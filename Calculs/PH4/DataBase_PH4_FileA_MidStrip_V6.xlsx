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4\"/>
    </mc:Choice>
  </mc:AlternateContent>
  <xr:revisionPtr revIDLastSave="0" documentId="13_ncr:1_{4E8B47A3-08B2-4659-9392-0FC759DED88E}" xr6:coauthVersionLast="47" xr6:coauthVersionMax="47" xr10:uidLastSave="{00000000-0000-0000-0000-000000000000}"/>
  <bookViews>
    <workbookView xWindow="57530" yWindow="210" windowWidth="19310" windowHeight="206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P10" i="1"/>
  <c r="O7" i="1"/>
  <c r="O9" i="1"/>
  <c r="U11" i="1"/>
  <c r="U9" i="1"/>
  <c r="U7" i="1"/>
  <c r="U5" i="1"/>
  <c r="U3" i="1"/>
  <c r="Y6" i="1" l="1"/>
  <c r="Z6" i="1"/>
  <c r="Y7" i="1"/>
  <c r="Z7" i="1"/>
  <c r="Y8" i="1"/>
  <c r="Z8" i="1"/>
  <c r="Y9" i="1"/>
  <c r="Z9" i="1"/>
  <c r="Y10" i="1"/>
  <c r="Z10" i="1"/>
  <c r="Y11" i="1"/>
  <c r="Z11" i="1"/>
  <c r="Y12" i="1"/>
  <c r="Z12" i="1"/>
  <c r="Y13" i="1"/>
  <c r="Z13" i="1"/>
  <c r="Y14" i="1"/>
  <c r="Z14" i="1"/>
  <c r="Y15" i="1"/>
  <c r="Z15" i="1"/>
  <c r="Y16" i="1"/>
  <c r="Z16" i="1"/>
  <c r="Y17" i="1"/>
  <c r="Z17" i="1"/>
  <c r="Y18" i="1"/>
  <c r="Z18" i="1"/>
  <c r="Y19" i="1"/>
  <c r="Z19" i="1"/>
  <c r="Y20" i="1"/>
  <c r="Z20" i="1"/>
  <c r="Y21" i="1"/>
  <c r="Z21" i="1"/>
  <c r="Y22" i="1"/>
  <c r="Z22" i="1"/>
  <c r="Y23" i="1"/>
  <c r="Z23" i="1"/>
  <c r="Y24" i="1"/>
  <c r="Z24" i="1"/>
  <c r="Y25" i="1"/>
  <c r="Z25" i="1"/>
  <c r="Y26" i="1"/>
  <c r="Z26" i="1"/>
  <c r="Y27" i="1"/>
  <c r="Z27" i="1"/>
  <c r="Y28" i="1"/>
  <c r="Z28" i="1"/>
  <c r="Y29" i="1"/>
  <c r="Z29" i="1"/>
  <c r="Y30" i="1"/>
  <c r="Z30" i="1"/>
  <c r="Y31" i="1"/>
  <c r="Z31" i="1"/>
  <c r="Y32" i="1"/>
  <c r="Z32" i="1"/>
  <c r="Y33" i="1"/>
  <c r="Z33" i="1"/>
  <c r="Y34" i="1"/>
  <c r="Z34" i="1"/>
  <c r="Y35" i="1"/>
  <c r="Z35" i="1"/>
  <c r="Y36" i="1"/>
  <c r="Z36" i="1"/>
  <c r="Y37" i="1"/>
  <c r="Z37" i="1"/>
  <c r="Y38" i="1"/>
  <c r="Z38" i="1"/>
  <c r="Y39" i="1"/>
  <c r="Z39" i="1"/>
  <c r="Y40" i="1"/>
  <c r="Z40" i="1"/>
  <c r="Y41" i="1"/>
  <c r="Z41" i="1"/>
  <c r="Y42" i="1"/>
  <c r="Z42" i="1"/>
  <c r="Y43" i="1"/>
  <c r="Z43" i="1"/>
  <c r="Y44" i="1"/>
  <c r="Z44" i="1"/>
  <c r="Y45" i="1"/>
  <c r="Z45" i="1"/>
  <c r="Y46" i="1"/>
  <c r="Z46" i="1"/>
  <c r="Y47" i="1"/>
  <c r="Z47" i="1"/>
  <c r="Y48" i="1"/>
  <c r="Z48" i="1"/>
  <c r="Y49" i="1"/>
  <c r="Z49" i="1"/>
  <c r="Y50" i="1"/>
  <c r="Z50" i="1"/>
  <c r="Y51" i="1"/>
  <c r="Z51" i="1"/>
  <c r="Y52" i="1"/>
  <c r="Z52" i="1"/>
  <c r="Y53" i="1"/>
  <c r="Z53" i="1"/>
  <c r="Y2" i="1"/>
  <c r="AC2" i="1" s="1"/>
  <c r="Z2" i="1"/>
  <c r="Y3" i="1"/>
  <c r="AB3" i="1" s="1"/>
  <c r="Z3" i="1"/>
  <c r="Y4" i="1"/>
  <c r="Z4" i="1"/>
  <c r="Z5" i="1"/>
  <c r="Y5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B2" i="1" l="1"/>
  <c r="AB23" i="1"/>
  <c r="AC23" i="1"/>
  <c r="AB34" i="1"/>
  <c r="AC34" i="1"/>
  <c r="AC12" i="1"/>
  <c r="AB12" i="1"/>
  <c r="AF12" i="1" s="1"/>
  <c r="AC35" i="1"/>
  <c r="AB35" i="1"/>
  <c r="AC46" i="1"/>
  <c r="AB46" i="1"/>
  <c r="AF46" i="1" s="1"/>
  <c r="AC45" i="1"/>
  <c r="AB45" i="1"/>
  <c r="AF45" i="1" s="1"/>
  <c r="AC9" i="1"/>
  <c r="AB9" i="1"/>
  <c r="AF9" i="1" s="1"/>
  <c r="AB4" i="1"/>
  <c r="AC4" i="1"/>
  <c r="AB8" i="1"/>
  <c r="AC8" i="1"/>
  <c r="AB31" i="1"/>
  <c r="AC31" i="1"/>
  <c r="AB15" i="1"/>
  <c r="AC15" i="1"/>
  <c r="AB24" i="1"/>
  <c r="AC24" i="1"/>
  <c r="AB11" i="1"/>
  <c r="AC11" i="1"/>
  <c r="AC21" i="1"/>
  <c r="AB21" i="1"/>
  <c r="AC32" i="1"/>
  <c r="AB32" i="1"/>
  <c r="AF32" i="1" s="1"/>
  <c r="AB7" i="1"/>
  <c r="AC7" i="1"/>
  <c r="AB18" i="1"/>
  <c r="AC18" i="1"/>
  <c r="AB17" i="1"/>
  <c r="AC17" i="1"/>
  <c r="AB52" i="1"/>
  <c r="AC52" i="1"/>
  <c r="AC27" i="1"/>
  <c r="AB27" i="1"/>
  <c r="AF27" i="1" s="1"/>
  <c r="AB10" i="1"/>
  <c r="AC10" i="1"/>
  <c r="AC30" i="1"/>
  <c r="AB30" i="1"/>
  <c r="AF30" i="1" s="1"/>
  <c r="AB29" i="1"/>
  <c r="AC29" i="1"/>
  <c r="AB28" i="1"/>
  <c r="AC28" i="1"/>
  <c r="AB39" i="1"/>
  <c r="AC39" i="1"/>
  <c r="AC50" i="1"/>
  <c r="AB50" i="1"/>
  <c r="AB38" i="1"/>
  <c r="AC38" i="1"/>
  <c r="AC26" i="1"/>
  <c r="AB26" i="1"/>
  <c r="AF26" i="1" s="1"/>
  <c r="AB14" i="1"/>
  <c r="AC14" i="1"/>
  <c r="AB5" i="1"/>
  <c r="AC5" i="1"/>
  <c r="AB36" i="1"/>
  <c r="AC36" i="1"/>
  <c r="AC47" i="1"/>
  <c r="AB47" i="1"/>
  <c r="AF47" i="1" s="1"/>
  <c r="AC22" i="1"/>
  <c r="AB22" i="1"/>
  <c r="AF22" i="1" s="1"/>
  <c r="AB33" i="1"/>
  <c r="AC33" i="1"/>
  <c r="AC44" i="1"/>
  <c r="AB44" i="1"/>
  <c r="AF44" i="1" s="1"/>
  <c r="AB20" i="1"/>
  <c r="AC20" i="1"/>
  <c r="AC43" i="1"/>
  <c r="AB43" i="1"/>
  <c r="AC19" i="1"/>
  <c r="AB19" i="1"/>
  <c r="AB42" i="1"/>
  <c r="AC42" i="1"/>
  <c r="AB41" i="1"/>
  <c r="AC41" i="1"/>
  <c r="AB40" i="1"/>
  <c r="AF40" i="1" s="1"/>
  <c r="AC40" i="1"/>
  <c r="AC51" i="1"/>
  <c r="AB51" i="1"/>
  <c r="AF51" i="1" s="1"/>
  <c r="AC48" i="1"/>
  <c r="AB48" i="1"/>
  <c r="AF48" i="1" s="1"/>
  <c r="AC6" i="1"/>
  <c r="AB6" i="1"/>
  <c r="AF6" i="1" s="1"/>
  <c r="AB53" i="1"/>
  <c r="AC53" i="1"/>
  <c r="AB16" i="1"/>
  <c r="AC16" i="1"/>
  <c r="AC49" i="1"/>
  <c r="AB49" i="1"/>
  <c r="AF49" i="1" s="1"/>
  <c r="AB37" i="1"/>
  <c r="AC37" i="1"/>
  <c r="AB25" i="1"/>
  <c r="AC25" i="1"/>
  <c r="AB13" i="1"/>
  <c r="AC13" i="1"/>
  <c r="AF21" i="1"/>
  <c r="AF13" i="1"/>
  <c r="AF23" i="1"/>
  <c r="AF34" i="1"/>
  <c r="AF35" i="1"/>
  <c r="AF11" i="1"/>
  <c r="AC3" i="1"/>
  <c r="AF3" i="1" s="1"/>
  <c r="AF39" i="1"/>
  <c r="AF43" i="1"/>
  <c r="AF19" i="1"/>
  <c r="AF7" i="1"/>
  <c r="AF14" i="1"/>
  <c r="AF50" i="1"/>
  <c r="AF36" i="1"/>
  <c r="AF2" i="1"/>
  <c r="AD6" i="1"/>
  <c r="AD10" i="1"/>
  <c r="AD23" i="1"/>
  <c r="AD32" i="1"/>
  <c r="AD45" i="1"/>
  <c r="AD49" i="1"/>
  <c r="AF41" i="1" l="1"/>
  <c r="AF15" i="1"/>
  <c r="AF42" i="1"/>
  <c r="AF10" i="1"/>
  <c r="AF17" i="1"/>
  <c r="AF38" i="1"/>
  <c r="AF37" i="1"/>
  <c r="AF31" i="1"/>
  <c r="AF16" i="1"/>
  <c r="AF33" i="1"/>
  <c r="AF24" i="1"/>
  <c r="AF29" i="1"/>
  <c r="AF53" i="1"/>
  <c r="AF28" i="1"/>
  <c r="AF8" i="1"/>
  <c r="AF4" i="1"/>
  <c r="AF52" i="1"/>
  <c r="AF5" i="1"/>
  <c r="AF18" i="1"/>
  <c r="AF20" i="1"/>
  <c r="AF25" i="1"/>
  <c r="AD19" i="1"/>
  <c r="AD36" i="1"/>
  <c r="AD52" i="1"/>
  <c r="AD47" i="1"/>
  <c r="AD43" i="1"/>
  <c r="AD39" i="1"/>
  <c r="AD34" i="1"/>
  <c r="AD30" i="1"/>
  <c r="AD25" i="1"/>
  <c r="AD21" i="1"/>
  <c r="AD17" i="1"/>
  <c r="AD12" i="1"/>
  <c r="AD8" i="1"/>
  <c r="AD4" i="1"/>
  <c r="AD5" i="1" l="1"/>
  <c r="A3" i="1"/>
  <c r="A4" i="1" l="1"/>
  <c r="A5" i="1" s="1"/>
  <c r="A6" i="1" s="1"/>
  <c r="A7" i="1" s="1"/>
  <c r="A8" i="1" s="1"/>
  <c r="A9" i="1" s="1"/>
  <c r="AD7" i="1"/>
  <c r="AD9" i="1" l="1"/>
  <c r="AD2" i="1"/>
  <c r="AD11" i="1" l="1"/>
  <c r="AD13" i="1" l="1"/>
  <c r="AD3" i="1"/>
  <c r="AD15" i="1" l="1"/>
  <c r="AD16" i="1" l="1"/>
  <c r="AD18" i="1" l="1"/>
  <c r="AD20" i="1" l="1"/>
  <c r="AD22" i="1" l="1"/>
  <c r="AD24" i="1" l="1"/>
  <c r="AD27" i="1" l="1"/>
  <c r="AD29" i="1" l="1"/>
  <c r="AD28" i="1"/>
  <c r="AD31" i="1" l="1"/>
  <c r="AD33" i="1" l="1"/>
  <c r="AD35" i="1" l="1"/>
  <c r="AD37" i="1" l="1"/>
  <c r="AD40" i="1" l="1"/>
  <c r="AD41" i="1"/>
  <c r="AD42" i="1" l="1"/>
  <c r="AD44" i="1" l="1"/>
  <c r="AD46" i="1" l="1"/>
  <c r="AD48" i="1" l="1"/>
  <c r="AD51" i="1"/>
  <c r="AD53" i="1" l="1"/>
</calcChain>
</file>

<file path=xl/sharedStrings.xml><?xml version="1.0" encoding="utf-8"?>
<sst xmlns="http://schemas.openxmlformats.org/spreadsheetml/2006/main" count="183" uniqueCount="50">
  <si>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</si>
  <si>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</si>
  <si>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</si>
  <si>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</si>
  <si>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</si>
  <si>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</si>
  <si>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</si>
  <si>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</si>
  <si>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</si>
  <si>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</si>
  <si>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</si>
  <si>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</si>
  <si>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</si>
  <si>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</si>
  <si>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</si>
  <si>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</si>
  <si>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</si>
  <si>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</si>
  <si>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</si>
  <si>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</si>
  <si>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</si>
  <si>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</si>
  <si>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</si>
  <si>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</si>
  <si>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</si>
  <si>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</si>
  <si>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</si>
  <si>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</si>
  <si>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</si>
  <si>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</si>
  <si>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</si>
  <si>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</si>
  <si>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</si>
  <si>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</si>
  <si>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</si>
  <si>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</si>
  <si>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</si>
  <si>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</si>
  <si>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</si>
  <si>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</si>
  <si>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</si>
  <si>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</si>
  <si>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</si>
  <si>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</si>
  <si>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A' - 2</t>
  </si>
  <si>
    <t>File A' - 3</t>
  </si>
  <si>
    <t>File A' - 4</t>
  </si>
  <si>
    <t>File A' - 5</t>
  </si>
  <si>
    <t>File A' - 6</t>
  </si>
  <si>
    <t>File A'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</si>
</sst>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9" fontId="0" fillId="33" borderId="0" xfId="0" applyNumberFormat="1" applyFill="1"/>
    <xf numFmtId="0" fontId="0" fillId="35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8"/>
  <sheetViews>
    <sheetView tabSelected="1" zoomScale="85" zoomScaleNormal="85" workbookViewId="0">
      <pane xSplit="3" topLeftCell="G1" activePane="topRight" state="frozen"/>
      <selection pane="topRight" activeCell="R12" sqref="R12"/>
    </sheetView>
  </sheetViews>
  <sheetFormatPr baseColWidth="10" defaultRowHeight="14.5" x14ac:dyDescent="0.35"/>
  <sheetData>
    <row r="1" spans="1:43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35">
      <c r="A2">
        <v>1</v>
      </c>
      <c r="B2" t="s">
        <v>49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>
        <v>0</v>
      </c>
      <c r="Y2" s="2">
        <f t="shared" ref="Y2:Y4" si="0">IFERROR(IF(ISNUMBER(SEARCH("Appui",C2)),V2+X2*V2,IF(A1&lt;A2,V2-X3*V3/2,IF(A2&lt;A3,V2-(X1*V1)/2,V2-(X3*V3+X1*V1)/2))),0)</f>
        <v>0</v>
      </c>
      <c r="Z2" s="2">
        <f t="shared" ref="Z2:Z4" si="1">IFERROR(IF(ISNUMBER(SEARCH("Appui",C2)),W2+X2*W2,IF(A1&lt;A2,W2-X3*W3/2,IF(A2&lt;A3,W2-(X1*W1)/2,W2-(X3*W3+X1*W1)/2))),0)</f>
        <v>0</v>
      </c>
      <c r="AA2" s="3">
        <v>0</v>
      </c>
      <c r="AB2" s="2">
        <f t="shared" ref="AB2:AB3" si="2">Y2*(1-AA2)</f>
        <v>0</v>
      </c>
      <c r="AC2" s="2">
        <f t="shared" ref="AC2:AC3" si="3">Y2*AA2 + Z2</f>
        <v>0</v>
      </c>
      <c r="AD2" s="8">
        <f t="shared" ref="AD2" si="4">1.35*Y2+1.5*Z2</f>
        <v>0</v>
      </c>
      <c r="AE2" s="8"/>
      <c r="AF2" s="2">
        <f>AB2+AC2</f>
        <v>0</v>
      </c>
      <c r="AP2" s="2"/>
      <c r="AQ2" s="2"/>
    </row>
    <row r="3" spans="1:43" x14ac:dyDescent="0.35">
      <c r="A3">
        <f t="shared" ref="A3:A53" si="5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5.35</v>
      </c>
      <c r="M3">
        <v>1.3878E-3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 s="12">
        <f>7-1</f>
        <v>6</v>
      </c>
      <c r="V3" s="2">
        <v>43</v>
      </c>
      <c r="W3" s="2">
        <v>23.5</v>
      </c>
      <c r="X3" s="7">
        <v>0</v>
      </c>
      <c r="Y3" s="2">
        <f t="shared" si="0"/>
        <v>43</v>
      </c>
      <c r="Z3" s="2">
        <f t="shared" si="1"/>
        <v>23.5</v>
      </c>
      <c r="AA3" s="3">
        <v>0</v>
      </c>
      <c r="AB3" s="2">
        <f t="shared" si="2"/>
        <v>43</v>
      </c>
      <c r="AC3" s="2">
        <f t="shared" si="3"/>
        <v>23.5</v>
      </c>
      <c r="AD3" s="8">
        <f t="shared" ref="AD3" si="6">1.35*Y3+1.5*Z3</f>
        <v>93.300000000000011</v>
      </c>
      <c r="AE3" s="8"/>
      <c r="AF3" s="2">
        <f t="shared" ref="AF3:AF53" si="7">AB3+AC3</f>
        <v>66.5</v>
      </c>
      <c r="AP3" s="2"/>
      <c r="AQ3" s="2"/>
    </row>
    <row r="4" spans="1:43" x14ac:dyDescent="0.35">
      <c r="A4">
        <f t="shared" si="5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5.35</v>
      </c>
      <c r="M4">
        <v>0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2">
        <v>38</v>
      </c>
      <c r="W4" s="2">
        <v>21</v>
      </c>
      <c r="X4" s="7">
        <v>0</v>
      </c>
      <c r="Y4" s="2">
        <f t="shared" si="0"/>
        <v>38</v>
      </c>
      <c r="Z4" s="2">
        <f t="shared" si="1"/>
        <v>21</v>
      </c>
      <c r="AA4" s="3">
        <v>0</v>
      </c>
      <c r="AB4" s="2">
        <f t="shared" ref="AB4:AB53" si="8">Y4*(1-AA4)</f>
        <v>38</v>
      </c>
      <c r="AC4" s="2">
        <f t="shared" ref="AC4:AC53" si="9">Y4*AA4 + Z4</f>
        <v>21</v>
      </c>
      <c r="AD4" s="8">
        <f t="shared" ref="AD4:AD53" si="10">1.35*Y4+1.5*Z4</f>
        <v>82.800000000000011</v>
      </c>
      <c r="AE4" s="8"/>
      <c r="AF4" s="2">
        <f t="shared" si="7"/>
        <v>59</v>
      </c>
      <c r="AP4" s="2"/>
      <c r="AQ4" s="2"/>
    </row>
    <row r="5" spans="1:43" x14ac:dyDescent="0.35">
      <c r="A5">
        <f t="shared" si="5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4.1749999999999998</v>
      </c>
      <c r="M5">
        <v>2.1545000000000002E-3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2">
        <f>7-1</f>
        <v>6</v>
      </c>
      <c r="V5" s="2">
        <v>64</v>
      </c>
      <c r="W5" s="2">
        <v>25</v>
      </c>
      <c r="X5" s="7">
        <v>0</v>
      </c>
      <c r="Y5" s="2">
        <f t="shared" ref="Y5" si="11">IFERROR(IF(ISNUMBER(SEARCH("Appui",C5)),V5+X5*V5,IF(A4&lt;A5,V5-X6*V6/2,IF(A5&lt;A6,V5-(X4*V4)/2,V5-(X6*V6+X4*V4)/2))),0)</f>
        <v>64</v>
      </c>
      <c r="Z5" s="2">
        <f t="shared" ref="Z5" si="12">IFERROR(IF(ISNUMBER(SEARCH("Appui",C5)),W5+X5*W5,IF(A4&lt;A5,W5-X6*W6/2,IF(A5&lt;A6,W5-(X4*W4)/2,W5-(X6*W6+X4*W4)/2))),0)</f>
        <v>25</v>
      </c>
      <c r="AA5" s="3">
        <v>0</v>
      </c>
      <c r="AB5" s="2">
        <f t="shared" si="8"/>
        <v>64</v>
      </c>
      <c r="AC5" s="2">
        <f t="shared" si="9"/>
        <v>25</v>
      </c>
      <c r="AD5" s="8">
        <f t="shared" si="10"/>
        <v>123.9</v>
      </c>
      <c r="AE5" s="8"/>
      <c r="AF5" s="2">
        <f t="shared" si="7"/>
        <v>89</v>
      </c>
      <c r="AP5" s="2"/>
      <c r="AQ5" s="2"/>
    </row>
    <row r="6" spans="1:43" x14ac:dyDescent="0.35">
      <c r="A6">
        <f t="shared" si="5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3</v>
      </c>
      <c r="M6">
        <v>0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2">
        <v>44</v>
      </c>
      <c r="W6" s="2">
        <v>17</v>
      </c>
      <c r="X6" s="7">
        <v>0</v>
      </c>
      <c r="Y6" s="2">
        <f t="shared" ref="Y6:Y53" si="13">IFERROR(IF(ISNUMBER(SEARCH("Appui",C6)),V6+X6*V6,IF(A5&lt;A6,V6-X7*V7/2,IF(A6&lt;A7,V6-(X5*V5)/2,V6-(X7*V7+X5*V5)/2))),0)</f>
        <v>44</v>
      </c>
      <c r="Z6" s="2">
        <f t="shared" ref="Z6:Z53" si="14">IFERROR(IF(ISNUMBER(SEARCH("Appui",C6)),W6+X6*W6,IF(A5&lt;A6,W6-X7*W7/2,IF(A6&lt;A7,W6-(X5*W5)/2,W6-(X7*W7+X5*W5)/2))),0)</f>
        <v>17</v>
      </c>
      <c r="AA6" s="3">
        <v>0</v>
      </c>
      <c r="AB6" s="2">
        <f t="shared" si="8"/>
        <v>44</v>
      </c>
      <c r="AC6" s="2">
        <f t="shared" si="9"/>
        <v>17</v>
      </c>
      <c r="AD6" s="8">
        <f t="shared" si="10"/>
        <v>84.9</v>
      </c>
      <c r="AE6" s="8"/>
      <c r="AF6" s="2">
        <f t="shared" si="7"/>
        <v>61</v>
      </c>
      <c r="AP6" s="2"/>
      <c r="AQ6" s="2"/>
    </row>
    <row r="7" spans="1:43" x14ac:dyDescent="0.35">
      <c r="A7">
        <f t="shared" si="5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3</v>
      </c>
      <c r="M7">
        <v>3.8400000000000001E-4</v>
      </c>
      <c r="N7">
        <v>0.04</v>
      </c>
      <c r="O7" s="12">
        <f>1+1</f>
        <v>2</v>
      </c>
      <c r="P7">
        <v>0</v>
      </c>
      <c r="Q7">
        <v>0</v>
      </c>
      <c r="R7">
        <v>1</v>
      </c>
      <c r="S7">
        <v>2.9099999999999999E-5</v>
      </c>
      <c r="T7">
        <v>0</v>
      </c>
      <c r="U7" s="12">
        <f>7-1</f>
        <v>6</v>
      </c>
      <c r="V7" s="2">
        <v>0</v>
      </c>
      <c r="W7" s="2">
        <v>8.5</v>
      </c>
      <c r="X7" s="7">
        <v>0</v>
      </c>
      <c r="Y7" s="2">
        <f t="shared" si="13"/>
        <v>0</v>
      </c>
      <c r="Z7" s="2">
        <f t="shared" si="14"/>
        <v>8.5</v>
      </c>
      <c r="AA7" s="3">
        <v>0</v>
      </c>
      <c r="AB7" s="2">
        <f t="shared" si="8"/>
        <v>0</v>
      </c>
      <c r="AC7" s="2">
        <f t="shared" si="9"/>
        <v>8.5</v>
      </c>
      <c r="AD7" s="8">
        <f t="shared" si="10"/>
        <v>12.75</v>
      </c>
      <c r="AE7" s="8"/>
      <c r="AF7" s="2">
        <f t="shared" si="7"/>
        <v>8.5</v>
      </c>
      <c r="AP7" s="2"/>
      <c r="AQ7" s="2"/>
    </row>
    <row r="8" spans="1:43" x14ac:dyDescent="0.35">
      <c r="A8">
        <f t="shared" si="5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3</v>
      </c>
      <c r="M8">
        <v>0</v>
      </c>
      <c r="N8">
        <v>6.9999999999999993E-2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 s="2">
        <v>3</v>
      </c>
      <c r="W8" s="2">
        <v>5</v>
      </c>
      <c r="X8" s="7">
        <v>0</v>
      </c>
      <c r="Y8" s="2">
        <f t="shared" si="13"/>
        <v>3</v>
      </c>
      <c r="Z8" s="2">
        <f t="shared" si="14"/>
        <v>5</v>
      </c>
      <c r="AA8" s="3">
        <v>0.25</v>
      </c>
      <c r="AB8" s="2">
        <f t="shared" si="8"/>
        <v>2.25</v>
      </c>
      <c r="AC8" s="2">
        <f t="shared" si="9"/>
        <v>5.75</v>
      </c>
      <c r="AD8" s="8">
        <f t="shared" si="10"/>
        <v>11.55</v>
      </c>
      <c r="AE8" s="8"/>
      <c r="AF8" s="2">
        <f t="shared" si="7"/>
        <v>8</v>
      </c>
      <c r="AP8" s="2"/>
      <c r="AQ8" s="2"/>
    </row>
    <row r="9" spans="1:43" x14ac:dyDescent="0.35">
      <c r="A9">
        <f t="shared" si="5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3</v>
      </c>
      <c r="M9">
        <v>3.8400000000000001E-4</v>
      </c>
      <c r="N9">
        <v>0.04</v>
      </c>
      <c r="O9" s="12">
        <f>1+1</f>
        <v>2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2">
        <f>7-1</f>
        <v>6</v>
      </c>
      <c r="V9" s="2">
        <v>0</v>
      </c>
      <c r="W9" s="2">
        <v>8.5</v>
      </c>
      <c r="X9" s="7">
        <v>0</v>
      </c>
      <c r="Y9" s="2">
        <f t="shared" si="13"/>
        <v>0</v>
      </c>
      <c r="Z9" s="2">
        <f t="shared" si="14"/>
        <v>8.5</v>
      </c>
      <c r="AA9" s="3">
        <v>0.5</v>
      </c>
      <c r="AB9" s="2">
        <f t="shared" si="8"/>
        <v>0</v>
      </c>
      <c r="AC9" s="2">
        <f t="shared" si="9"/>
        <v>8.5</v>
      </c>
      <c r="AD9" s="8">
        <f t="shared" si="10"/>
        <v>12.75</v>
      </c>
      <c r="AE9" s="8"/>
      <c r="AF9" s="2">
        <f t="shared" si="7"/>
        <v>8.5</v>
      </c>
      <c r="AP9" s="2"/>
    </row>
    <row r="10" spans="1:43" x14ac:dyDescent="0.35">
      <c r="A10">
        <f t="shared" si="5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0.22</v>
      </c>
      <c r="L10">
        <v>3</v>
      </c>
      <c r="M10">
        <v>0</v>
      </c>
      <c r="N10">
        <v>0.04</v>
      </c>
      <c r="O10">
        <v>1</v>
      </c>
      <c r="P10" s="12">
        <f>1.539*0.0001</f>
        <v>1.539E-4</v>
      </c>
      <c r="Q10">
        <v>0.04</v>
      </c>
      <c r="R10" s="12">
        <v>4</v>
      </c>
      <c r="S10">
        <v>0</v>
      </c>
      <c r="T10">
        <v>0</v>
      </c>
      <c r="U10">
        <v>0</v>
      </c>
      <c r="V10" s="2">
        <v>35</v>
      </c>
      <c r="W10" s="2">
        <v>15</v>
      </c>
      <c r="X10" s="7">
        <v>0</v>
      </c>
      <c r="Y10" s="2">
        <f t="shared" si="13"/>
        <v>35</v>
      </c>
      <c r="Z10" s="2">
        <f t="shared" si="14"/>
        <v>15</v>
      </c>
      <c r="AA10" s="3">
        <v>0.5</v>
      </c>
      <c r="AB10" s="2">
        <f t="shared" si="8"/>
        <v>17.5</v>
      </c>
      <c r="AC10" s="2">
        <f t="shared" si="9"/>
        <v>32.5</v>
      </c>
      <c r="AD10" s="8">
        <f t="shared" si="10"/>
        <v>69.75</v>
      </c>
      <c r="AE10" s="8"/>
      <c r="AF10" s="2">
        <f t="shared" si="7"/>
        <v>50</v>
      </c>
      <c r="AP10" s="2"/>
      <c r="AQ10" s="2"/>
    </row>
    <row r="11" spans="1:43" x14ac:dyDescent="0.35">
      <c r="A11">
        <f t="shared" si="5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4.1749999999999998</v>
      </c>
      <c r="M11">
        <v>1.6170000000000002E-3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>7-1</f>
        <v>6</v>
      </c>
      <c r="V11" s="2">
        <v>58</v>
      </c>
      <c r="W11" s="2">
        <v>24.2</v>
      </c>
      <c r="X11" s="7">
        <v>0</v>
      </c>
      <c r="Y11" s="2">
        <f t="shared" si="13"/>
        <v>58</v>
      </c>
      <c r="Z11" s="2">
        <f t="shared" si="14"/>
        <v>24.2</v>
      </c>
      <c r="AA11" s="3">
        <v>0.5</v>
      </c>
      <c r="AB11" s="2">
        <f t="shared" si="8"/>
        <v>29</v>
      </c>
      <c r="AC11" s="2">
        <f t="shared" si="9"/>
        <v>53.2</v>
      </c>
      <c r="AD11" s="8">
        <f t="shared" si="10"/>
        <v>114.60000000000001</v>
      </c>
      <c r="AE11" s="8"/>
      <c r="AF11" s="2">
        <f t="shared" si="7"/>
        <v>82.2</v>
      </c>
      <c r="AP11" s="2"/>
    </row>
    <row r="12" spans="1:43" x14ac:dyDescent="0.35">
      <c r="A12">
        <f t="shared" si="5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5.35</v>
      </c>
      <c r="M12">
        <v>0</v>
      </c>
      <c r="N12">
        <v>6.9999999999999993E-2</v>
      </c>
      <c r="O12">
        <v>1</v>
      </c>
      <c r="P12" s="12">
        <f>1.539*0.0001</f>
        <v>1.539E-4</v>
      </c>
      <c r="Q12">
        <v>0.04</v>
      </c>
      <c r="R12" s="12">
        <v>8</v>
      </c>
      <c r="S12">
        <v>0</v>
      </c>
      <c r="T12">
        <v>0</v>
      </c>
      <c r="U12">
        <v>0</v>
      </c>
      <c r="V12" s="2">
        <v>27</v>
      </c>
      <c r="W12" s="2">
        <v>18</v>
      </c>
      <c r="X12" s="7">
        <v>0</v>
      </c>
      <c r="Y12" s="2">
        <f t="shared" si="13"/>
        <v>27</v>
      </c>
      <c r="Z12" s="2">
        <f t="shared" si="14"/>
        <v>18</v>
      </c>
      <c r="AA12" s="3">
        <v>0.5</v>
      </c>
      <c r="AB12" s="2">
        <f t="shared" si="8"/>
        <v>13.5</v>
      </c>
      <c r="AC12" s="2">
        <f t="shared" si="9"/>
        <v>31.5</v>
      </c>
      <c r="AD12" s="8">
        <f t="shared" si="10"/>
        <v>63.45</v>
      </c>
      <c r="AE12" s="8"/>
      <c r="AF12" s="2">
        <f t="shared" si="7"/>
        <v>45</v>
      </c>
      <c r="AP12" s="2"/>
      <c r="AQ12" s="2"/>
    </row>
    <row r="13" spans="1:43" x14ac:dyDescent="0.35">
      <c r="A13">
        <f t="shared" si="5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0.26</v>
      </c>
      <c r="L13">
        <v>5.35</v>
      </c>
      <c r="M13">
        <v>1.3878E-3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 s="2">
        <v>47</v>
      </c>
      <c r="W13" s="2">
        <v>24</v>
      </c>
      <c r="X13" s="7">
        <v>0</v>
      </c>
      <c r="Y13" s="2">
        <f t="shared" si="13"/>
        <v>47</v>
      </c>
      <c r="Z13" s="2">
        <f t="shared" si="14"/>
        <v>24</v>
      </c>
      <c r="AA13" s="3">
        <v>0.5</v>
      </c>
      <c r="AB13" s="2">
        <f t="shared" si="8"/>
        <v>23.5</v>
      </c>
      <c r="AC13" s="2">
        <f t="shared" si="9"/>
        <v>47.5</v>
      </c>
      <c r="AD13" s="8">
        <f t="shared" si="10"/>
        <v>99.45</v>
      </c>
      <c r="AE13" s="8"/>
      <c r="AF13" s="2">
        <f t="shared" si="7"/>
        <v>71</v>
      </c>
      <c r="AP13" s="2"/>
      <c r="AQ13" s="2"/>
    </row>
    <row r="14" spans="1:43" x14ac:dyDescent="0.35">
      <c r="A14">
        <f t="shared" si="5"/>
        <v>2</v>
      </c>
      <c r="B14" t="s">
        <v>44</v>
      </c>
      <c r="D14" s="4">
        <v>25</v>
      </c>
      <c r="E14" s="4" t="s">
        <v>18</v>
      </c>
      <c r="F14" s="4">
        <v>500</v>
      </c>
      <c r="G14" s="5">
        <v>220000</v>
      </c>
      <c r="H14" s="4">
        <v>1576</v>
      </c>
      <c r="I14" s="4">
        <v>1870</v>
      </c>
      <c r="J14" s="4">
        <v>1</v>
      </c>
      <c r="K14" s="4">
        <v>0.2</v>
      </c>
      <c r="L14" s="4">
        <v>2.2000000000000002</v>
      </c>
      <c r="M14" s="4">
        <v>1.0000000000000001E-5</v>
      </c>
      <c r="N14" s="4">
        <v>0.03</v>
      </c>
      <c r="O14" s="4">
        <v>1</v>
      </c>
      <c r="P14" s="4">
        <v>0</v>
      </c>
      <c r="Q14" s="4">
        <v>0</v>
      </c>
      <c r="R14" s="4">
        <v>1</v>
      </c>
      <c r="S14" s="4">
        <v>0</v>
      </c>
      <c r="T14" s="4">
        <v>0</v>
      </c>
      <c r="U14" s="4">
        <v>0</v>
      </c>
      <c r="V14" s="6"/>
      <c r="W14" s="6"/>
      <c r="X14" s="4">
        <v>0</v>
      </c>
      <c r="Y14" s="2">
        <f t="shared" si="13"/>
        <v>0</v>
      </c>
      <c r="Z14" s="2">
        <f t="shared" si="14"/>
        <v>0</v>
      </c>
      <c r="AA14" s="3"/>
      <c r="AB14" s="2">
        <f t="shared" si="8"/>
        <v>0</v>
      </c>
      <c r="AC14" s="2">
        <f t="shared" si="9"/>
        <v>0</v>
      </c>
      <c r="AD14" s="8"/>
      <c r="AE14" s="8"/>
      <c r="AF14" s="2">
        <f t="shared" si="7"/>
        <v>0</v>
      </c>
      <c r="AP14" s="2"/>
      <c r="AQ14" s="2"/>
    </row>
    <row r="15" spans="1:43" x14ac:dyDescent="0.35">
      <c r="A15">
        <f t="shared" si="5"/>
        <v>3</v>
      </c>
      <c r="B15" t="s">
        <v>45</v>
      </c>
      <c r="C15" t="s">
        <v>19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0.26</v>
      </c>
      <c r="L15">
        <v>5.3</v>
      </c>
      <c r="M15">
        <v>1.3621000000000002E-3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7</v>
      </c>
      <c r="V15" s="2">
        <v>39</v>
      </c>
      <c r="W15" s="2">
        <v>21</v>
      </c>
      <c r="X15" s="7">
        <v>0</v>
      </c>
      <c r="Y15" s="2">
        <f t="shared" si="13"/>
        <v>39</v>
      </c>
      <c r="Z15" s="2">
        <f t="shared" si="14"/>
        <v>21</v>
      </c>
      <c r="AA15" s="3">
        <v>0</v>
      </c>
      <c r="AB15" s="2">
        <f t="shared" si="8"/>
        <v>39</v>
      </c>
      <c r="AC15" s="2">
        <f t="shared" si="9"/>
        <v>21</v>
      </c>
      <c r="AD15" s="8">
        <f t="shared" si="10"/>
        <v>84.15</v>
      </c>
      <c r="AE15" s="8"/>
      <c r="AF15" s="2">
        <f t="shared" si="7"/>
        <v>60</v>
      </c>
      <c r="AP15" s="2"/>
      <c r="AQ15" s="2"/>
    </row>
    <row r="16" spans="1:43" x14ac:dyDescent="0.35">
      <c r="A16">
        <f t="shared" si="5"/>
        <v>3</v>
      </c>
      <c r="B16" t="s">
        <v>45</v>
      </c>
      <c r="C16" t="s">
        <v>20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5.3</v>
      </c>
      <c r="M16">
        <v>0</v>
      </c>
      <c r="N16">
        <v>6.9999999999999993E-2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 s="2">
        <v>45</v>
      </c>
      <c r="W16" s="2">
        <v>22</v>
      </c>
      <c r="X16" s="7">
        <v>0</v>
      </c>
      <c r="Y16" s="2">
        <f t="shared" si="13"/>
        <v>45</v>
      </c>
      <c r="Z16" s="2">
        <f t="shared" si="14"/>
        <v>22</v>
      </c>
      <c r="AA16" s="3">
        <v>0</v>
      </c>
      <c r="AB16" s="2">
        <f t="shared" si="8"/>
        <v>45</v>
      </c>
      <c r="AC16" s="2">
        <f t="shared" si="9"/>
        <v>22</v>
      </c>
      <c r="AD16" s="8">
        <f t="shared" si="10"/>
        <v>93.75</v>
      </c>
      <c r="AE16" s="8"/>
      <c r="AF16" s="2">
        <f t="shared" si="7"/>
        <v>67</v>
      </c>
      <c r="AP16" s="2"/>
    </row>
    <row r="17" spans="1:43" x14ac:dyDescent="0.35">
      <c r="A17">
        <f t="shared" si="5"/>
        <v>3</v>
      </c>
      <c r="B17" t="s">
        <v>45</v>
      </c>
      <c r="C17" t="s">
        <v>23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5.3</v>
      </c>
      <c r="M17">
        <v>2.7189000000000002E-3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7</v>
      </c>
      <c r="V17" s="2">
        <v>90</v>
      </c>
      <c r="W17" s="2">
        <v>36</v>
      </c>
      <c r="X17" s="7">
        <v>0</v>
      </c>
      <c r="Y17" s="2">
        <f t="shared" si="13"/>
        <v>90</v>
      </c>
      <c r="Z17" s="2">
        <f t="shared" si="14"/>
        <v>36</v>
      </c>
      <c r="AA17" s="3">
        <v>0</v>
      </c>
      <c r="AB17" s="2">
        <f t="shared" si="8"/>
        <v>90</v>
      </c>
      <c r="AC17" s="2">
        <f t="shared" si="9"/>
        <v>36</v>
      </c>
      <c r="AD17" s="8">
        <f t="shared" si="10"/>
        <v>175.5</v>
      </c>
      <c r="AE17" s="8"/>
      <c r="AF17" s="2">
        <f t="shared" si="7"/>
        <v>126</v>
      </c>
      <c r="AP17" s="2"/>
      <c r="AQ17" s="2"/>
    </row>
    <row r="18" spans="1:43" x14ac:dyDescent="0.35">
      <c r="A18">
        <f t="shared" si="5"/>
        <v>3</v>
      </c>
      <c r="B18" t="s">
        <v>45</v>
      </c>
      <c r="C18" t="s">
        <v>24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0.22</v>
      </c>
      <c r="L18">
        <v>5.3</v>
      </c>
      <c r="M18">
        <v>0</v>
      </c>
      <c r="N18">
        <v>0.04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s="2">
        <v>42</v>
      </c>
      <c r="W18" s="2">
        <v>22</v>
      </c>
      <c r="X18" s="7">
        <v>0</v>
      </c>
      <c r="Y18" s="2">
        <f t="shared" si="13"/>
        <v>42</v>
      </c>
      <c r="Z18" s="2">
        <f t="shared" si="14"/>
        <v>22</v>
      </c>
      <c r="AA18" s="3">
        <v>0</v>
      </c>
      <c r="AB18" s="2">
        <f t="shared" si="8"/>
        <v>42</v>
      </c>
      <c r="AC18" s="2">
        <f t="shared" si="9"/>
        <v>22</v>
      </c>
      <c r="AD18" s="8">
        <f t="shared" si="10"/>
        <v>89.7</v>
      </c>
      <c r="AE18" s="8"/>
      <c r="AF18" s="2">
        <f t="shared" si="7"/>
        <v>64</v>
      </c>
      <c r="AP18" s="2"/>
      <c r="AQ18" s="2"/>
    </row>
    <row r="19" spans="1:43" x14ac:dyDescent="0.35">
      <c r="A19">
        <f t="shared" si="5"/>
        <v>3</v>
      </c>
      <c r="B19" t="s">
        <v>45</v>
      </c>
      <c r="C19" t="s">
        <v>25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5.3</v>
      </c>
      <c r="M19">
        <v>6.7840000000000001E-4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 s="2">
        <v>0</v>
      </c>
      <c r="W19" s="2">
        <v>16</v>
      </c>
      <c r="X19" s="7">
        <v>0</v>
      </c>
      <c r="Y19" s="2">
        <f t="shared" si="13"/>
        <v>0</v>
      </c>
      <c r="Z19" s="2">
        <f t="shared" si="14"/>
        <v>16</v>
      </c>
      <c r="AA19" s="3">
        <v>0</v>
      </c>
      <c r="AB19" s="2">
        <f t="shared" si="8"/>
        <v>0</v>
      </c>
      <c r="AC19" s="2">
        <f t="shared" si="9"/>
        <v>16</v>
      </c>
      <c r="AD19" s="8">
        <f t="shared" si="10"/>
        <v>24</v>
      </c>
      <c r="AE19" s="8"/>
      <c r="AF19" s="2">
        <f t="shared" si="7"/>
        <v>16</v>
      </c>
      <c r="AP19" s="2"/>
      <c r="AQ19" s="2"/>
    </row>
    <row r="20" spans="1:43" x14ac:dyDescent="0.35">
      <c r="A20">
        <f t="shared" si="5"/>
        <v>3</v>
      </c>
      <c r="B20" t="s">
        <v>45</v>
      </c>
      <c r="C20" t="s">
        <v>26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0.25</v>
      </c>
      <c r="L20">
        <v>5.3</v>
      </c>
      <c r="M20">
        <v>0</v>
      </c>
      <c r="N20">
        <v>6.9999999999999993E-2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0</v>
      </c>
      <c r="W20" s="2">
        <v>11</v>
      </c>
      <c r="X20" s="7">
        <v>0</v>
      </c>
      <c r="Y20" s="2">
        <f t="shared" si="13"/>
        <v>0</v>
      </c>
      <c r="Z20" s="2">
        <f t="shared" si="14"/>
        <v>11</v>
      </c>
      <c r="AA20" s="3">
        <v>0</v>
      </c>
      <c r="AB20" s="2">
        <f t="shared" si="8"/>
        <v>0</v>
      </c>
      <c r="AC20" s="2">
        <f t="shared" si="9"/>
        <v>11</v>
      </c>
      <c r="AD20" s="8">
        <f t="shared" si="10"/>
        <v>16.5</v>
      </c>
      <c r="AE20" s="8"/>
      <c r="AF20" s="2">
        <f t="shared" si="7"/>
        <v>11</v>
      </c>
      <c r="AP20" s="2"/>
      <c r="AQ20" s="2"/>
    </row>
    <row r="21" spans="1:43" x14ac:dyDescent="0.35">
      <c r="A21">
        <f t="shared" si="5"/>
        <v>3</v>
      </c>
      <c r="B21" t="s">
        <v>45</v>
      </c>
      <c r="C21" t="s">
        <v>27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5.3</v>
      </c>
      <c r="M21">
        <v>6.7840000000000001E-4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0</v>
      </c>
      <c r="W21" s="2">
        <v>16</v>
      </c>
      <c r="X21" s="7">
        <v>0</v>
      </c>
      <c r="Y21" s="2">
        <f t="shared" si="13"/>
        <v>0</v>
      </c>
      <c r="Z21" s="2">
        <f t="shared" si="14"/>
        <v>16</v>
      </c>
      <c r="AA21" s="3">
        <v>0</v>
      </c>
      <c r="AB21" s="2">
        <f t="shared" si="8"/>
        <v>0</v>
      </c>
      <c r="AC21" s="2">
        <f t="shared" si="9"/>
        <v>16</v>
      </c>
      <c r="AD21" s="8">
        <f t="shared" si="10"/>
        <v>24</v>
      </c>
      <c r="AE21" s="8"/>
      <c r="AF21" s="2">
        <f t="shared" si="7"/>
        <v>16</v>
      </c>
      <c r="AP21" s="2"/>
    </row>
    <row r="22" spans="1:43" x14ac:dyDescent="0.35">
      <c r="A22">
        <f t="shared" si="5"/>
        <v>3</v>
      </c>
      <c r="B22" t="s">
        <v>45</v>
      </c>
      <c r="C22" t="s">
        <v>28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5.3</v>
      </c>
      <c r="M22">
        <v>0</v>
      </c>
      <c r="N22">
        <v>0.04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39</v>
      </c>
      <c r="W22" s="2">
        <v>22</v>
      </c>
      <c r="X22" s="7">
        <v>0</v>
      </c>
      <c r="Y22" s="2">
        <f t="shared" si="13"/>
        <v>39</v>
      </c>
      <c r="Z22" s="2">
        <f t="shared" si="14"/>
        <v>22</v>
      </c>
      <c r="AA22" s="3">
        <v>0</v>
      </c>
      <c r="AB22" s="2">
        <f t="shared" si="8"/>
        <v>39</v>
      </c>
      <c r="AC22" s="2">
        <f t="shared" si="9"/>
        <v>22</v>
      </c>
      <c r="AD22" s="8">
        <f t="shared" si="10"/>
        <v>85.65</v>
      </c>
      <c r="AE22" s="8"/>
      <c r="AF22" s="2">
        <f t="shared" si="7"/>
        <v>61</v>
      </c>
      <c r="AP22" s="2"/>
    </row>
    <row r="23" spans="1:43" x14ac:dyDescent="0.35">
      <c r="A23">
        <f t="shared" si="5"/>
        <v>3</v>
      </c>
      <c r="B23" t="s">
        <v>45</v>
      </c>
      <c r="C23" t="s">
        <v>29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5.3</v>
      </c>
      <c r="M23">
        <v>2.0405000000000002E-3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10</v>
      </c>
      <c r="V23" s="2">
        <v>85</v>
      </c>
      <c r="W23" s="2">
        <v>35</v>
      </c>
      <c r="X23" s="7">
        <v>0</v>
      </c>
      <c r="Y23" s="2">
        <f t="shared" si="13"/>
        <v>85</v>
      </c>
      <c r="Z23" s="2">
        <f t="shared" si="14"/>
        <v>35</v>
      </c>
      <c r="AA23" s="3">
        <v>0</v>
      </c>
      <c r="AB23" s="2">
        <f t="shared" si="8"/>
        <v>85</v>
      </c>
      <c r="AC23" s="2">
        <f t="shared" si="9"/>
        <v>35</v>
      </c>
      <c r="AD23" s="8">
        <f t="shared" si="10"/>
        <v>167.25</v>
      </c>
      <c r="AE23" s="8"/>
      <c r="AF23" s="2">
        <f t="shared" si="7"/>
        <v>120</v>
      </c>
      <c r="AP23" s="2"/>
    </row>
    <row r="24" spans="1:43" x14ac:dyDescent="0.35">
      <c r="A24">
        <f t="shared" si="5"/>
        <v>3</v>
      </c>
      <c r="B24" t="s">
        <v>45</v>
      </c>
      <c r="C24" t="s">
        <v>30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0.25</v>
      </c>
      <c r="L24">
        <v>5.3</v>
      </c>
      <c r="M24">
        <v>0</v>
      </c>
      <c r="N24">
        <v>6.9999999999999993E-2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41</v>
      </c>
      <c r="W24" s="2">
        <v>22</v>
      </c>
      <c r="X24" s="7">
        <v>0</v>
      </c>
      <c r="Y24" s="2">
        <f t="shared" si="13"/>
        <v>41</v>
      </c>
      <c r="Z24" s="2">
        <f t="shared" si="14"/>
        <v>22</v>
      </c>
      <c r="AA24" s="3">
        <v>0</v>
      </c>
      <c r="AB24" s="2">
        <f t="shared" si="8"/>
        <v>41</v>
      </c>
      <c r="AC24" s="2">
        <f t="shared" si="9"/>
        <v>22</v>
      </c>
      <c r="AD24" s="8">
        <f t="shared" si="10"/>
        <v>88.35</v>
      </c>
      <c r="AE24" s="8"/>
      <c r="AF24" s="2">
        <f t="shared" si="7"/>
        <v>63</v>
      </c>
      <c r="AP24" s="2"/>
    </row>
    <row r="25" spans="1:43" x14ac:dyDescent="0.35">
      <c r="A25">
        <f t="shared" si="5"/>
        <v>3</v>
      </c>
      <c r="B25" t="s">
        <v>45</v>
      </c>
      <c r="C25" t="s">
        <v>31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0.26</v>
      </c>
      <c r="L25">
        <v>5.3</v>
      </c>
      <c r="M25">
        <v>1.3621000000000002E-3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7</v>
      </c>
      <c r="V25" s="2">
        <v>39</v>
      </c>
      <c r="W25" s="2">
        <v>23</v>
      </c>
      <c r="X25" s="7">
        <v>0</v>
      </c>
      <c r="Y25" s="2">
        <f t="shared" si="13"/>
        <v>39</v>
      </c>
      <c r="Z25" s="2">
        <f t="shared" si="14"/>
        <v>23</v>
      </c>
      <c r="AA25" s="11">
        <v>0</v>
      </c>
      <c r="AB25" s="2">
        <f t="shared" si="8"/>
        <v>39</v>
      </c>
      <c r="AC25" s="2">
        <f t="shared" si="9"/>
        <v>23</v>
      </c>
      <c r="AD25" s="8">
        <f t="shared" si="10"/>
        <v>87.15</v>
      </c>
      <c r="AE25" s="8"/>
      <c r="AF25" s="2">
        <f t="shared" si="7"/>
        <v>62</v>
      </c>
      <c r="AP25" s="2"/>
    </row>
    <row r="26" spans="1:43" x14ac:dyDescent="0.35">
      <c r="A26">
        <f t="shared" si="5"/>
        <v>3</v>
      </c>
      <c r="B26" t="s">
        <v>45</v>
      </c>
      <c r="D26" s="4">
        <v>25</v>
      </c>
      <c r="E26" s="4" t="s">
        <v>18</v>
      </c>
      <c r="F26" s="4">
        <v>500</v>
      </c>
      <c r="G26" s="5">
        <v>220000</v>
      </c>
      <c r="H26" s="4">
        <v>1576</v>
      </c>
      <c r="I26" s="4">
        <v>1870</v>
      </c>
      <c r="J26" s="4">
        <v>1</v>
      </c>
      <c r="K26" s="4">
        <v>0.2</v>
      </c>
      <c r="L26" s="4">
        <v>2.2000000000000002</v>
      </c>
      <c r="M26" s="4">
        <v>1.0000000000000001E-5</v>
      </c>
      <c r="N26" s="4">
        <v>0.03</v>
      </c>
      <c r="O26" s="4">
        <v>1</v>
      </c>
      <c r="P26" s="4">
        <v>0</v>
      </c>
      <c r="Q26" s="4">
        <v>0</v>
      </c>
      <c r="R26" s="4">
        <v>1</v>
      </c>
      <c r="S26" s="4">
        <v>0</v>
      </c>
      <c r="T26" s="4">
        <v>0</v>
      </c>
      <c r="U26" s="4">
        <v>0</v>
      </c>
      <c r="V26" s="6"/>
      <c r="W26" s="6"/>
      <c r="X26" s="4">
        <v>0</v>
      </c>
      <c r="Y26" s="2">
        <f t="shared" si="13"/>
        <v>0</v>
      </c>
      <c r="Z26" s="2">
        <f t="shared" si="14"/>
        <v>0</v>
      </c>
      <c r="AA26" s="11"/>
      <c r="AB26" s="2">
        <f t="shared" si="8"/>
        <v>0</v>
      </c>
      <c r="AC26" s="2">
        <f t="shared" si="9"/>
        <v>0</v>
      </c>
      <c r="AD26" s="8"/>
      <c r="AE26" s="8"/>
      <c r="AF26" s="2">
        <f t="shared" si="7"/>
        <v>0</v>
      </c>
      <c r="AP26" s="2"/>
    </row>
    <row r="27" spans="1:43" x14ac:dyDescent="0.35">
      <c r="A27">
        <f t="shared" si="5"/>
        <v>4</v>
      </c>
      <c r="B27" t="s">
        <v>46</v>
      </c>
      <c r="C27" t="s">
        <v>19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0.26</v>
      </c>
      <c r="L27">
        <v>5.3</v>
      </c>
      <c r="M27">
        <v>1.3621000000000002E-3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7</v>
      </c>
      <c r="V27" s="2">
        <v>36</v>
      </c>
      <c r="W27" s="2">
        <v>4</v>
      </c>
      <c r="X27" s="7">
        <v>0</v>
      </c>
      <c r="Y27" s="2">
        <f t="shared" si="13"/>
        <v>36</v>
      </c>
      <c r="Z27" s="2">
        <f t="shared" si="14"/>
        <v>4</v>
      </c>
      <c r="AA27" s="11">
        <v>0</v>
      </c>
      <c r="AB27" s="2">
        <f t="shared" si="8"/>
        <v>36</v>
      </c>
      <c r="AC27" s="2">
        <f t="shared" si="9"/>
        <v>4</v>
      </c>
      <c r="AD27" s="8">
        <f t="shared" si="10"/>
        <v>54.6</v>
      </c>
      <c r="AE27" s="8"/>
      <c r="AF27" s="2">
        <f t="shared" si="7"/>
        <v>40</v>
      </c>
      <c r="AP27" s="2"/>
    </row>
    <row r="28" spans="1:43" x14ac:dyDescent="0.35">
      <c r="A28">
        <f t="shared" si="5"/>
        <v>4</v>
      </c>
      <c r="B28" t="s">
        <v>46</v>
      </c>
      <c r="C28" t="s">
        <v>20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0.25</v>
      </c>
      <c r="L28">
        <v>5.3</v>
      </c>
      <c r="M28">
        <v>0</v>
      </c>
      <c r="N28">
        <v>6.9999999999999993E-2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 s="2">
        <v>52</v>
      </c>
      <c r="W28" s="2">
        <v>25</v>
      </c>
      <c r="X28" s="7">
        <v>0</v>
      </c>
      <c r="Y28" s="2">
        <f t="shared" si="13"/>
        <v>52</v>
      </c>
      <c r="Z28" s="2">
        <f t="shared" si="14"/>
        <v>25</v>
      </c>
      <c r="AA28" s="11">
        <v>0</v>
      </c>
      <c r="AB28" s="2">
        <f t="shared" si="8"/>
        <v>52</v>
      </c>
      <c r="AC28" s="2">
        <f t="shared" si="9"/>
        <v>25</v>
      </c>
      <c r="AD28" s="8">
        <f t="shared" si="10"/>
        <v>107.7</v>
      </c>
      <c r="AE28" s="8"/>
      <c r="AF28" s="2">
        <f t="shared" si="7"/>
        <v>77</v>
      </c>
      <c r="AP28" s="2"/>
    </row>
    <row r="29" spans="1:43" x14ac:dyDescent="0.35">
      <c r="A29">
        <f t="shared" si="5"/>
        <v>4</v>
      </c>
      <c r="B29" t="s">
        <v>46</v>
      </c>
      <c r="C29" t="s">
        <v>23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0.23500000000000001</v>
      </c>
      <c r="L29">
        <v>5.3</v>
      </c>
      <c r="M29">
        <v>2.7189000000000002E-3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7</v>
      </c>
      <c r="V29" s="2">
        <v>100</v>
      </c>
      <c r="W29" s="2">
        <v>39</v>
      </c>
      <c r="X29" s="7">
        <v>0</v>
      </c>
      <c r="Y29" s="2">
        <f t="shared" si="13"/>
        <v>100</v>
      </c>
      <c r="Z29" s="2">
        <f t="shared" si="14"/>
        <v>39</v>
      </c>
      <c r="AA29" s="11">
        <v>0</v>
      </c>
      <c r="AB29" s="2">
        <f t="shared" si="8"/>
        <v>100</v>
      </c>
      <c r="AC29" s="2">
        <f t="shared" si="9"/>
        <v>39</v>
      </c>
      <c r="AD29" s="8">
        <f t="shared" si="10"/>
        <v>193.5</v>
      </c>
      <c r="AE29" s="8"/>
      <c r="AF29" s="2">
        <f t="shared" si="7"/>
        <v>139</v>
      </c>
      <c r="AP29" s="2"/>
    </row>
    <row r="30" spans="1:43" x14ac:dyDescent="0.35">
      <c r="A30">
        <f t="shared" si="5"/>
        <v>4</v>
      </c>
      <c r="B30" t="s">
        <v>46</v>
      </c>
      <c r="C30" t="s">
        <v>24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0.22</v>
      </c>
      <c r="L30">
        <v>5.3</v>
      </c>
      <c r="M30">
        <v>0</v>
      </c>
      <c r="N30">
        <v>0.04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50</v>
      </c>
      <c r="W30" s="2">
        <v>25</v>
      </c>
      <c r="X30" s="7">
        <v>0</v>
      </c>
      <c r="Y30" s="2">
        <f t="shared" si="13"/>
        <v>50</v>
      </c>
      <c r="Z30" s="2">
        <f t="shared" si="14"/>
        <v>25</v>
      </c>
      <c r="AA30" s="11">
        <v>0</v>
      </c>
      <c r="AB30" s="2">
        <f t="shared" si="8"/>
        <v>50</v>
      </c>
      <c r="AC30" s="2">
        <f t="shared" si="9"/>
        <v>25</v>
      </c>
      <c r="AD30" s="8">
        <f t="shared" si="10"/>
        <v>105</v>
      </c>
      <c r="AE30" s="8"/>
      <c r="AF30" s="2">
        <f t="shared" si="7"/>
        <v>75</v>
      </c>
      <c r="AP30" s="2"/>
    </row>
    <row r="31" spans="1:43" x14ac:dyDescent="0.35">
      <c r="A31">
        <f t="shared" si="5"/>
        <v>4</v>
      </c>
      <c r="B31" t="s">
        <v>46</v>
      </c>
      <c r="C31" t="s">
        <v>25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0.23500000000000001</v>
      </c>
      <c r="L31">
        <v>5.3</v>
      </c>
      <c r="M31">
        <v>6.7840000000000001E-4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0</v>
      </c>
      <c r="W31" s="2">
        <v>14</v>
      </c>
      <c r="X31" s="7">
        <v>0</v>
      </c>
      <c r="Y31" s="2">
        <f t="shared" si="13"/>
        <v>0</v>
      </c>
      <c r="Z31" s="2">
        <f t="shared" si="14"/>
        <v>14</v>
      </c>
      <c r="AA31" s="11">
        <v>0</v>
      </c>
      <c r="AB31" s="2">
        <f t="shared" si="8"/>
        <v>0</v>
      </c>
      <c r="AC31" s="2">
        <f t="shared" si="9"/>
        <v>14</v>
      </c>
      <c r="AD31" s="8">
        <f t="shared" si="10"/>
        <v>21</v>
      </c>
      <c r="AE31" s="8"/>
      <c r="AF31" s="2">
        <f t="shared" si="7"/>
        <v>14</v>
      </c>
    </row>
    <row r="32" spans="1:43" x14ac:dyDescent="0.35">
      <c r="A32">
        <f t="shared" si="5"/>
        <v>4</v>
      </c>
      <c r="B32" t="s">
        <v>46</v>
      </c>
      <c r="C32" t="s">
        <v>26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0.25</v>
      </c>
      <c r="L32">
        <v>5.3</v>
      </c>
      <c r="M32">
        <v>0</v>
      </c>
      <c r="N32">
        <v>6.9999999999999993E-2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 s="2">
        <v>0</v>
      </c>
      <c r="W32" s="2">
        <v>12</v>
      </c>
      <c r="X32" s="7">
        <v>0</v>
      </c>
      <c r="Y32" s="2">
        <f t="shared" si="13"/>
        <v>0</v>
      </c>
      <c r="Z32" s="2">
        <f t="shared" si="14"/>
        <v>12</v>
      </c>
      <c r="AA32" s="11">
        <v>0</v>
      </c>
      <c r="AB32" s="2">
        <f t="shared" si="8"/>
        <v>0</v>
      </c>
      <c r="AC32" s="2">
        <f t="shared" si="9"/>
        <v>12</v>
      </c>
      <c r="AD32" s="8">
        <f t="shared" si="10"/>
        <v>18</v>
      </c>
      <c r="AE32" s="8"/>
      <c r="AF32" s="2">
        <f t="shared" si="7"/>
        <v>12</v>
      </c>
    </row>
    <row r="33" spans="1:32" x14ac:dyDescent="0.35">
      <c r="A33">
        <f t="shared" si="5"/>
        <v>4</v>
      </c>
      <c r="B33" t="s">
        <v>46</v>
      </c>
      <c r="C33" t="s">
        <v>27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0.23500000000000001</v>
      </c>
      <c r="L33">
        <v>5.3</v>
      </c>
      <c r="M33">
        <v>6.7840000000000001E-4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0</v>
      </c>
      <c r="W33" s="2">
        <v>14</v>
      </c>
      <c r="X33" s="7">
        <v>0</v>
      </c>
      <c r="Y33" s="2">
        <f t="shared" si="13"/>
        <v>0</v>
      </c>
      <c r="Z33" s="2">
        <f t="shared" si="14"/>
        <v>14</v>
      </c>
      <c r="AA33" s="11">
        <v>0</v>
      </c>
      <c r="AB33" s="2">
        <f t="shared" si="8"/>
        <v>0</v>
      </c>
      <c r="AC33" s="2">
        <f t="shared" si="9"/>
        <v>14</v>
      </c>
      <c r="AD33" s="8">
        <f t="shared" si="10"/>
        <v>21</v>
      </c>
      <c r="AE33" s="8"/>
      <c r="AF33" s="2">
        <f t="shared" si="7"/>
        <v>14</v>
      </c>
    </row>
    <row r="34" spans="1:32" x14ac:dyDescent="0.35">
      <c r="A34">
        <f t="shared" si="5"/>
        <v>4</v>
      </c>
      <c r="B34" t="s">
        <v>46</v>
      </c>
      <c r="C34" t="s">
        <v>28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0.22</v>
      </c>
      <c r="L34">
        <v>5.3</v>
      </c>
      <c r="M34">
        <v>0</v>
      </c>
      <c r="N34">
        <v>0.04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2">
        <v>40</v>
      </c>
      <c r="W34" s="2">
        <v>23</v>
      </c>
      <c r="X34" s="7">
        <v>0</v>
      </c>
      <c r="Y34" s="2">
        <f t="shared" si="13"/>
        <v>40</v>
      </c>
      <c r="Z34" s="2">
        <f t="shared" si="14"/>
        <v>23</v>
      </c>
      <c r="AA34" s="11">
        <v>0</v>
      </c>
      <c r="AB34" s="2">
        <f t="shared" si="8"/>
        <v>40</v>
      </c>
      <c r="AC34" s="2">
        <f t="shared" si="9"/>
        <v>23</v>
      </c>
      <c r="AD34" s="8">
        <f t="shared" si="10"/>
        <v>88.5</v>
      </c>
      <c r="AE34" s="8"/>
      <c r="AF34" s="2">
        <f t="shared" si="7"/>
        <v>63</v>
      </c>
    </row>
    <row r="35" spans="1:32" x14ac:dyDescent="0.35">
      <c r="A35">
        <f t="shared" si="5"/>
        <v>4</v>
      </c>
      <c r="B35" t="s">
        <v>46</v>
      </c>
      <c r="C35" t="s">
        <v>29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0.23500000000000001</v>
      </c>
      <c r="L35">
        <v>5.3</v>
      </c>
      <c r="M35">
        <v>2.0405000000000002E-3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10</v>
      </c>
      <c r="V35" s="2">
        <v>85</v>
      </c>
      <c r="W35" s="2">
        <v>35</v>
      </c>
      <c r="X35" s="7">
        <v>0</v>
      </c>
      <c r="Y35" s="2">
        <f t="shared" si="13"/>
        <v>85</v>
      </c>
      <c r="Z35" s="2">
        <f t="shared" si="14"/>
        <v>35</v>
      </c>
      <c r="AA35" s="11">
        <v>0</v>
      </c>
      <c r="AB35" s="2">
        <f t="shared" si="8"/>
        <v>85</v>
      </c>
      <c r="AC35" s="2">
        <f t="shared" si="9"/>
        <v>35</v>
      </c>
      <c r="AD35" s="8">
        <f t="shared" si="10"/>
        <v>167.25</v>
      </c>
      <c r="AE35" s="8"/>
      <c r="AF35" s="2">
        <f t="shared" si="7"/>
        <v>120</v>
      </c>
    </row>
    <row r="36" spans="1:32" x14ac:dyDescent="0.35">
      <c r="A36">
        <f t="shared" si="5"/>
        <v>4</v>
      </c>
      <c r="B36" t="s">
        <v>46</v>
      </c>
      <c r="C36" t="s">
        <v>30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0.25</v>
      </c>
      <c r="L36">
        <v>5.3</v>
      </c>
      <c r="M36">
        <v>0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 s="2">
        <v>37</v>
      </c>
      <c r="W36" s="2">
        <v>22</v>
      </c>
      <c r="X36" s="7">
        <v>0</v>
      </c>
      <c r="Y36" s="2">
        <f t="shared" si="13"/>
        <v>37</v>
      </c>
      <c r="Z36" s="2">
        <f t="shared" si="14"/>
        <v>22</v>
      </c>
      <c r="AA36" s="11">
        <v>0</v>
      </c>
      <c r="AB36" s="2">
        <f t="shared" si="8"/>
        <v>37</v>
      </c>
      <c r="AC36" s="2">
        <f t="shared" si="9"/>
        <v>22</v>
      </c>
      <c r="AD36" s="8">
        <f t="shared" si="10"/>
        <v>82.95</v>
      </c>
      <c r="AE36" s="8"/>
      <c r="AF36" s="2">
        <f t="shared" si="7"/>
        <v>59</v>
      </c>
    </row>
    <row r="37" spans="1:32" x14ac:dyDescent="0.35">
      <c r="A37">
        <f t="shared" si="5"/>
        <v>4</v>
      </c>
      <c r="B37" t="s">
        <v>46</v>
      </c>
      <c r="C37" t="s">
        <v>31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0.26</v>
      </c>
      <c r="L37">
        <v>5.3</v>
      </c>
      <c r="M37">
        <v>1.3621000000000002E-3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40</v>
      </c>
      <c r="W37" s="2">
        <v>23</v>
      </c>
      <c r="X37" s="7">
        <v>0</v>
      </c>
      <c r="Y37" s="2">
        <f t="shared" si="13"/>
        <v>40</v>
      </c>
      <c r="Z37" s="2">
        <f t="shared" si="14"/>
        <v>23</v>
      </c>
      <c r="AA37" s="11">
        <v>0</v>
      </c>
      <c r="AB37" s="2">
        <f t="shared" si="8"/>
        <v>40</v>
      </c>
      <c r="AC37" s="2">
        <f t="shared" si="9"/>
        <v>23</v>
      </c>
      <c r="AD37" s="8">
        <f t="shared" si="10"/>
        <v>88.5</v>
      </c>
      <c r="AE37" s="8"/>
      <c r="AF37" s="2">
        <f t="shared" si="7"/>
        <v>63</v>
      </c>
    </row>
    <row r="38" spans="1:32" x14ac:dyDescent="0.35">
      <c r="A38">
        <f t="shared" si="5"/>
        <v>4</v>
      </c>
      <c r="B38" t="s">
        <v>46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/>
      <c r="W38" s="6"/>
      <c r="X38" s="4">
        <v>0</v>
      </c>
      <c r="Y38" s="2">
        <f t="shared" si="13"/>
        <v>0</v>
      </c>
      <c r="Z38" s="2">
        <f t="shared" si="14"/>
        <v>0</v>
      </c>
      <c r="AA38" s="11"/>
      <c r="AB38" s="2">
        <f t="shared" si="8"/>
        <v>0</v>
      </c>
      <c r="AC38" s="2">
        <f t="shared" si="9"/>
        <v>0</v>
      </c>
      <c r="AD38" s="8"/>
      <c r="AE38" s="8"/>
      <c r="AF38" s="2">
        <f t="shared" si="7"/>
        <v>0</v>
      </c>
    </row>
    <row r="39" spans="1:32" x14ac:dyDescent="0.35">
      <c r="A39">
        <f t="shared" si="5"/>
        <v>5</v>
      </c>
      <c r="B39" t="s">
        <v>47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0.26</v>
      </c>
      <c r="L39">
        <v>5.3</v>
      </c>
      <c r="M39">
        <v>1.3621000000000002E-3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>
        <v>7</v>
      </c>
      <c r="V39" s="2">
        <v>39</v>
      </c>
      <c r="W39" s="2">
        <v>21</v>
      </c>
      <c r="X39" s="7">
        <v>0</v>
      </c>
      <c r="Y39" s="2">
        <f t="shared" si="13"/>
        <v>39</v>
      </c>
      <c r="Z39" s="2">
        <f t="shared" si="14"/>
        <v>21</v>
      </c>
      <c r="AA39" s="11">
        <v>0</v>
      </c>
      <c r="AB39" s="2">
        <f t="shared" si="8"/>
        <v>39</v>
      </c>
      <c r="AC39" s="2">
        <f t="shared" si="9"/>
        <v>21</v>
      </c>
      <c r="AD39" s="8">
        <f t="shared" si="10"/>
        <v>84.15</v>
      </c>
      <c r="AE39" s="8"/>
      <c r="AF39" s="2">
        <f t="shared" si="7"/>
        <v>60</v>
      </c>
    </row>
    <row r="40" spans="1:32" x14ac:dyDescent="0.35">
      <c r="A40">
        <f t="shared" si="5"/>
        <v>5</v>
      </c>
      <c r="B40" t="s">
        <v>47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0.25</v>
      </c>
      <c r="L40">
        <v>5.3</v>
      </c>
      <c r="M40">
        <v>0</v>
      </c>
      <c r="N40">
        <v>6.9999999999999993E-2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 s="2">
        <v>45</v>
      </c>
      <c r="W40" s="2">
        <v>22</v>
      </c>
      <c r="X40" s="7">
        <v>0</v>
      </c>
      <c r="Y40" s="2">
        <f t="shared" si="13"/>
        <v>45</v>
      </c>
      <c r="Z40" s="2">
        <f t="shared" si="14"/>
        <v>22</v>
      </c>
      <c r="AA40" s="11">
        <v>0</v>
      </c>
      <c r="AB40" s="2">
        <f t="shared" si="8"/>
        <v>45</v>
      </c>
      <c r="AC40" s="2">
        <f t="shared" si="9"/>
        <v>22</v>
      </c>
      <c r="AD40" s="8">
        <f t="shared" si="10"/>
        <v>93.75</v>
      </c>
      <c r="AE40" s="8"/>
      <c r="AF40" s="2">
        <f t="shared" si="7"/>
        <v>67</v>
      </c>
    </row>
    <row r="41" spans="1:32" x14ac:dyDescent="0.35">
      <c r="A41">
        <f t="shared" si="5"/>
        <v>5</v>
      </c>
      <c r="B41" t="s">
        <v>47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0.23500000000000001</v>
      </c>
      <c r="L41">
        <v>5.3</v>
      </c>
      <c r="M41">
        <v>2.7189000000000002E-3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7</v>
      </c>
      <c r="V41" s="2">
        <v>95</v>
      </c>
      <c r="W41" s="2">
        <v>35</v>
      </c>
      <c r="X41" s="7">
        <v>0</v>
      </c>
      <c r="Y41" s="2">
        <f t="shared" si="13"/>
        <v>95</v>
      </c>
      <c r="Z41" s="2">
        <f t="shared" si="14"/>
        <v>35</v>
      </c>
      <c r="AA41" s="11">
        <v>0</v>
      </c>
      <c r="AB41" s="2">
        <f t="shared" si="8"/>
        <v>95</v>
      </c>
      <c r="AC41" s="2">
        <f t="shared" si="9"/>
        <v>35</v>
      </c>
      <c r="AD41" s="8">
        <f t="shared" si="10"/>
        <v>180.75</v>
      </c>
      <c r="AE41" s="8"/>
      <c r="AF41" s="2">
        <f t="shared" si="7"/>
        <v>130</v>
      </c>
    </row>
    <row r="42" spans="1:32" x14ac:dyDescent="0.35">
      <c r="A42">
        <f t="shared" si="5"/>
        <v>5</v>
      </c>
      <c r="B42" t="s">
        <v>47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0.22</v>
      </c>
      <c r="L42">
        <v>5.3</v>
      </c>
      <c r="M42">
        <v>0</v>
      </c>
      <c r="N42">
        <v>0.04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0</v>
      </c>
      <c r="V42" s="2">
        <v>54</v>
      </c>
      <c r="W42" s="2">
        <v>23</v>
      </c>
      <c r="X42" s="7">
        <v>0</v>
      </c>
      <c r="Y42" s="2">
        <f t="shared" si="13"/>
        <v>54</v>
      </c>
      <c r="Z42" s="2">
        <f t="shared" si="14"/>
        <v>23</v>
      </c>
      <c r="AA42" s="11">
        <v>0.25</v>
      </c>
      <c r="AB42" s="2">
        <f t="shared" si="8"/>
        <v>40.5</v>
      </c>
      <c r="AC42" s="2">
        <f t="shared" si="9"/>
        <v>36.5</v>
      </c>
      <c r="AD42" s="8">
        <f t="shared" si="10"/>
        <v>107.4</v>
      </c>
      <c r="AE42" s="8"/>
      <c r="AF42" s="2">
        <f t="shared" si="7"/>
        <v>77</v>
      </c>
    </row>
    <row r="43" spans="1:32" x14ac:dyDescent="0.35">
      <c r="A43">
        <f t="shared" si="5"/>
        <v>5</v>
      </c>
      <c r="B43" t="s">
        <v>47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0.23500000000000001</v>
      </c>
      <c r="L43">
        <v>5.3</v>
      </c>
      <c r="M43">
        <v>6.7840000000000001E-4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 s="2">
        <v>0</v>
      </c>
      <c r="W43" s="2">
        <v>9</v>
      </c>
      <c r="X43" s="7">
        <v>0</v>
      </c>
      <c r="Y43" s="2">
        <f t="shared" si="13"/>
        <v>0</v>
      </c>
      <c r="Z43" s="2">
        <f t="shared" si="14"/>
        <v>9</v>
      </c>
      <c r="AA43" s="11">
        <v>0.5</v>
      </c>
      <c r="AB43" s="2">
        <f t="shared" si="8"/>
        <v>0</v>
      </c>
      <c r="AC43" s="2">
        <f t="shared" si="9"/>
        <v>9</v>
      </c>
      <c r="AD43" s="8">
        <f t="shared" si="10"/>
        <v>13.5</v>
      </c>
      <c r="AE43" s="8"/>
      <c r="AF43" s="2">
        <f t="shared" si="7"/>
        <v>9</v>
      </c>
    </row>
    <row r="44" spans="1:32" x14ac:dyDescent="0.35">
      <c r="A44">
        <f t="shared" si="5"/>
        <v>5</v>
      </c>
      <c r="B44" t="s">
        <v>47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0.25</v>
      </c>
      <c r="L44">
        <v>5.3</v>
      </c>
      <c r="M44">
        <v>0</v>
      </c>
      <c r="N44">
        <v>6.9999999999999993E-2</v>
      </c>
      <c r="O44">
        <v>1</v>
      </c>
      <c r="P44">
        <v>6.1599333517241381E-4</v>
      </c>
      <c r="Q44">
        <v>0.04</v>
      </c>
      <c r="R44">
        <v>1</v>
      </c>
      <c r="S44">
        <v>0</v>
      </c>
      <c r="T44">
        <v>0</v>
      </c>
      <c r="U44">
        <v>0</v>
      </c>
      <c r="V44" s="2">
        <v>0</v>
      </c>
      <c r="W44" s="2">
        <v>10</v>
      </c>
      <c r="X44" s="7">
        <v>0</v>
      </c>
      <c r="Y44" s="2">
        <f t="shared" si="13"/>
        <v>0</v>
      </c>
      <c r="Z44" s="2">
        <f t="shared" si="14"/>
        <v>10</v>
      </c>
      <c r="AA44" s="11">
        <v>0.5</v>
      </c>
      <c r="AB44" s="2">
        <f t="shared" si="8"/>
        <v>0</v>
      </c>
      <c r="AC44" s="2">
        <f t="shared" si="9"/>
        <v>10</v>
      </c>
      <c r="AD44" s="8">
        <f t="shared" si="10"/>
        <v>15</v>
      </c>
      <c r="AE44" s="8"/>
      <c r="AF44" s="2">
        <f t="shared" si="7"/>
        <v>10</v>
      </c>
    </row>
    <row r="45" spans="1:32" x14ac:dyDescent="0.35">
      <c r="A45">
        <f t="shared" si="5"/>
        <v>5</v>
      </c>
      <c r="B45" t="s">
        <v>47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0.23500000000000001</v>
      </c>
      <c r="L45">
        <v>5.3</v>
      </c>
      <c r="M45">
        <v>6.7840000000000001E-4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7</v>
      </c>
      <c r="V45" s="2">
        <v>0</v>
      </c>
      <c r="W45" s="2">
        <v>9</v>
      </c>
      <c r="X45" s="7">
        <v>0</v>
      </c>
      <c r="Y45" s="2">
        <f t="shared" si="13"/>
        <v>0</v>
      </c>
      <c r="Z45" s="2">
        <f t="shared" si="14"/>
        <v>9</v>
      </c>
      <c r="AA45" s="11">
        <v>0.5</v>
      </c>
      <c r="AB45" s="2">
        <f t="shared" si="8"/>
        <v>0</v>
      </c>
      <c r="AC45" s="2">
        <f t="shared" si="9"/>
        <v>9</v>
      </c>
      <c r="AD45" s="8">
        <f t="shared" si="10"/>
        <v>13.5</v>
      </c>
      <c r="AE45" s="8"/>
      <c r="AF45" s="2">
        <f t="shared" si="7"/>
        <v>9</v>
      </c>
    </row>
    <row r="46" spans="1:32" x14ac:dyDescent="0.35">
      <c r="A46">
        <f t="shared" si="5"/>
        <v>5</v>
      </c>
      <c r="B46" t="s">
        <v>47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0.22</v>
      </c>
      <c r="L46">
        <v>5.3</v>
      </c>
      <c r="M46">
        <v>0</v>
      </c>
      <c r="N46">
        <v>0.04</v>
      </c>
      <c r="O46">
        <v>1</v>
      </c>
      <c r="P46">
        <v>6.1599333517241381E-4</v>
      </c>
      <c r="Q46">
        <v>0.04</v>
      </c>
      <c r="R46">
        <v>1</v>
      </c>
      <c r="S46">
        <v>0</v>
      </c>
      <c r="T46">
        <v>0</v>
      </c>
      <c r="U46">
        <v>0</v>
      </c>
      <c r="V46" s="2">
        <v>80</v>
      </c>
      <c r="W46" s="2">
        <v>25</v>
      </c>
      <c r="X46" s="7">
        <v>0</v>
      </c>
      <c r="Y46" s="2">
        <f t="shared" si="13"/>
        <v>80</v>
      </c>
      <c r="Z46" s="2">
        <f t="shared" si="14"/>
        <v>25</v>
      </c>
      <c r="AA46" s="11">
        <v>0.5</v>
      </c>
      <c r="AB46" s="2">
        <f t="shared" si="8"/>
        <v>40</v>
      </c>
      <c r="AC46" s="2">
        <f t="shared" si="9"/>
        <v>65</v>
      </c>
      <c r="AD46" s="8">
        <f t="shared" si="10"/>
        <v>145.5</v>
      </c>
      <c r="AE46" s="8"/>
      <c r="AF46" s="2">
        <f t="shared" si="7"/>
        <v>105</v>
      </c>
    </row>
    <row r="47" spans="1:32" x14ac:dyDescent="0.35">
      <c r="A47">
        <f t="shared" si="5"/>
        <v>5</v>
      </c>
      <c r="B47" t="s">
        <v>47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0.23500000000000001</v>
      </c>
      <c r="L47">
        <v>5.3</v>
      </c>
      <c r="M47">
        <v>2.0405000000000002E-3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10</v>
      </c>
      <c r="V47" s="2">
        <v>84</v>
      </c>
      <c r="W47" s="2">
        <v>30</v>
      </c>
      <c r="X47" s="7">
        <v>0</v>
      </c>
      <c r="Y47" s="2">
        <f t="shared" si="13"/>
        <v>84</v>
      </c>
      <c r="Z47" s="2">
        <f t="shared" si="14"/>
        <v>30</v>
      </c>
      <c r="AA47" s="11">
        <v>0.5</v>
      </c>
      <c r="AB47" s="2">
        <f t="shared" si="8"/>
        <v>42</v>
      </c>
      <c r="AC47" s="2">
        <f t="shared" si="9"/>
        <v>72</v>
      </c>
      <c r="AD47" s="8">
        <f t="shared" si="10"/>
        <v>158.4</v>
      </c>
      <c r="AE47" s="8"/>
      <c r="AF47" s="2">
        <f t="shared" si="7"/>
        <v>114</v>
      </c>
    </row>
    <row r="48" spans="1:32" x14ac:dyDescent="0.35">
      <c r="A48">
        <f t="shared" si="5"/>
        <v>5</v>
      </c>
      <c r="B48" t="s">
        <v>47</v>
      </c>
      <c r="C48" t="s">
        <v>30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0.25</v>
      </c>
      <c r="L48">
        <v>5.3</v>
      </c>
      <c r="M48">
        <v>0</v>
      </c>
      <c r="N48">
        <v>6.9999999999999993E-2</v>
      </c>
      <c r="O48">
        <v>1</v>
      </c>
      <c r="P48">
        <v>6.1599333517241381E-4</v>
      </c>
      <c r="Q48">
        <v>0.04</v>
      </c>
      <c r="R48">
        <v>1</v>
      </c>
      <c r="S48">
        <v>0</v>
      </c>
      <c r="T48">
        <v>0</v>
      </c>
      <c r="U48">
        <v>0</v>
      </c>
      <c r="V48" s="2">
        <v>13</v>
      </c>
      <c r="W48" s="2">
        <v>14</v>
      </c>
      <c r="X48" s="7">
        <v>0</v>
      </c>
      <c r="Y48" s="2">
        <f t="shared" si="13"/>
        <v>13</v>
      </c>
      <c r="Z48" s="2">
        <f t="shared" si="14"/>
        <v>14</v>
      </c>
      <c r="AA48" s="11">
        <v>0.5</v>
      </c>
      <c r="AB48" s="2">
        <f t="shared" si="8"/>
        <v>6.5</v>
      </c>
      <c r="AC48" s="2">
        <f t="shared" si="9"/>
        <v>20.5</v>
      </c>
      <c r="AD48" s="8">
        <f t="shared" si="10"/>
        <v>38.549999999999997</v>
      </c>
      <c r="AE48" s="8"/>
      <c r="AF48" s="2">
        <f t="shared" si="7"/>
        <v>27</v>
      </c>
    </row>
    <row r="49" spans="1:32" x14ac:dyDescent="0.35">
      <c r="A49">
        <f t="shared" si="5"/>
        <v>5</v>
      </c>
      <c r="B49" t="s">
        <v>47</v>
      </c>
      <c r="C49" t="s">
        <v>31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0.26</v>
      </c>
      <c r="L49">
        <v>5.3</v>
      </c>
      <c r="M49">
        <v>6.7840000000000001E-4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 s="2">
        <v>0</v>
      </c>
      <c r="W49" s="2">
        <v>10</v>
      </c>
      <c r="X49" s="7">
        <v>0</v>
      </c>
      <c r="Y49" s="2">
        <f t="shared" si="13"/>
        <v>0</v>
      </c>
      <c r="Z49" s="2">
        <f t="shared" si="14"/>
        <v>10</v>
      </c>
      <c r="AA49" s="11">
        <v>0.5</v>
      </c>
      <c r="AB49" s="2">
        <f t="shared" si="8"/>
        <v>0</v>
      </c>
      <c r="AC49" s="2">
        <f t="shared" si="9"/>
        <v>10</v>
      </c>
      <c r="AD49" s="8">
        <f t="shared" si="10"/>
        <v>15</v>
      </c>
      <c r="AE49" s="8"/>
      <c r="AF49" s="2">
        <f t="shared" si="7"/>
        <v>10</v>
      </c>
    </row>
    <row r="50" spans="1:32" x14ac:dyDescent="0.35">
      <c r="A50">
        <f t="shared" si="5"/>
        <v>5</v>
      </c>
      <c r="B50" t="s">
        <v>47</v>
      </c>
      <c r="D50" s="4">
        <v>25</v>
      </c>
      <c r="E50" s="4" t="s">
        <v>18</v>
      </c>
      <c r="F50" s="4">
        <v>500</v>
      </c>
      <c r="G50" s="5">
        <v>220000</v>
      </c>
      <c r="H50" s="4">
        <v>1576</v>
      </c>
      <c r="I50" s="4">
        <v>1870</v>
      </c>
      <c r="J50" s="4">
        <v>1</v>
      </c>
      <c r="K50" s="4">
        <v>0.2</v>
      </c>
      <c r="L50" s="4">
        <v>2.2000000000000002</v>
      </c>
      <c r="M50" s="4">
        <v>1.0000000000000001E-5</v>
      </c>
      <c r="N50" s="4">
        <v>0.03</v>
      </c>
      <c r="O50" s="4">
        <v>1</v>
      </c>
      <c r="P50" s="4">
        <v>0</v>
      </c>
      <c r="Q50" s="4">
        <v>0</v>
      </c>
      <c r="R50" s="4">
        <v>1</v>
      </c>
      <c r="S50" s="4">
        <v>0</v>
      </c>
      <c r="T50" s="4">
        <v>0</v>
      </c>
      <c r="U50" s="4">
        <v>0</v>
      </c>
      <c r="V50" s="6"/>
      <c r="W50" s="6"/>
      <c r="X50" s="4">
        <v>0</v>
      </c>
      <c r="Y50" s="2">
        <f t="shared" si="13"/>
        <v>0</v>
      </c>
      <c r="Z50" s="2">
        <f t="shared" si="14"/>
        <v>0</v>
      </c>
      <c r="AA50" s="11"/>
      <c r="AB50" s="2">
        <f t="shared" si="8"/>
        <v>0</v>
      </c>
      <c r="AC50" s="2">
        <f t="shared" si="9"/>
        <v>0</v>
      </c>
      <c r="AD50" s="8"/>
      <c r="AE50" s="8"/>
      <c r="AF50" s="2">
        <f t="shared" si="7"/>
        <v>0</v>
      </c>
    </row>
    <row r="51" spans="1:32" x14ac:dyDescent="0.35">
      <c r="A51">
        <f t="shared" si="5"/>
        <v>6</v>
      </c>
      <c r="B51" t="s">
        <v>48</v>
      </c>
      <c r="C51" t="s">
        <v>19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0.26</v>
      </c>
      <c r="L51">
        <v>5.25</v>
      </c>
      <c r="M51">
        <v>2.02125E-3</v>
      </c>
      <c r="N51">
        <v>0.04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1</v>
      </c>
      <c r="V51" s="2">
        <v>46</v>
      </c>
      <c r="W51" s="2">
        <v>22</v>
      </c>
      <c r="X51" s="7">
        <v>0</v>
      </c>
      <c r="Y51" s="2">
        <f t="shared" si="13"/>
        <v>46</v>
      </c>
      <c r="Z51" s="2">
        <f t="shared" si="14"/>
        <v>22</v>
      </c>
      <c r="AA51" s="11">
        <v>0</v>
      </c>
      <c r="AB51" s="2">
        <f t="shared" si="8"/>
        <v>46</v>
      </c>
      <c r="AC51" s="2">
        <f t="shared" si="9"/>
        <v>22</v>
      </c>
      <c r="AD51" s="8">
        <f t="shared" si="10"/>
        <v>95.1</v>
      </c>
      <c r="AE51" s="8"/>
      <c r="AF51" s="2">
        <f t="shared" si="7"/>
        <v>68</v>
      </c>
    </row>
    <row r="52" spans="1:32" x14ac:dyDescent="0.35">
      <c r="A52">
        <f t="shared" si="5"/>
        <v>6</v>
      </c>
      <c r="B52" t="s">
        <v>48</v>
      </c>
      <c r="C52" t="s">
        <v>20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0.25</v>
      </c>
      <c r="L52">
        <v>5.25</v>
      </c>
      <c r="M52">
        <v>0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1</v>
      </c>
      <c r="V52" s="2">
        <v>27</v>
      </c>
      <c r="W52" s="2">
        <v>17</v>
      </c>
      <c r="X52" s="7">
        <v>0</v>
      </c>
      <c r="Y52" s="2">
        <f t="shared" si="13"/>
        <v>27</v>
      </c>
      <c r="Z52" s="2">
        <f t="shared" si="14"/>
        <v>17</v>
      </c>
      <c r="AA52" s="11">
        <v>0</v>
      </c>
      <c r="AB52" s="2">
        <f t="shared" si="8"/>
        <v>27</v>
      </c>
      <c r="AC52" s="2">
        <f t="shared" si="9"/>
        <v>17</v>
      </c>
      <c r="AD52" s="8">
        <f t="shared" si="10"/>
        <v>61.95</v>
      </c>
      <c r="AE52" s="8"/>
      <c r="AF52" s="2">
        <f t="shared" si="7"/>
        <v>44</v>
      </c>
    </row>
    <row r="53" spans="1:32" x14ac:dyDescent="0.35">
      <c r="A53">
        <f t="shared" si="5"/>
        <v>6</v>
      </c>
      <c r="B53" t="s">
        <v>48</v>
      </c>
      <c r="C53" t="s">
        <v>23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0.23500000000000001</v>
      </c>
      <c r="L53">
        <v>5.25</v>
      </c>
      <c r="M53">
        <v>2.6932500000000003E-3</v>
      </c>
      <c r="N53">
        <v>0.04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1</v>
      </c>
      <c r="V53" s="2">
        <v>71</v>
      </c>
      <c r="W53" s="2">
        <v>28</v>
      </c>
      <c r="X53" s="7">
        <v>0</v>
      </c>
      <c r="Y53" s="2">
        <f t="shared" si="13"/>
        <v>71</v>
      </c>
      <c r="Z53" s="2">
        <f t="shared" si="14"/>
        <v>28</v>
      </c>
      <c r="AA53" s="11">
        <v>0</v>
      </c>
      <c r="AB53" s="2">
        <f t="shared" si="8"/>
        <v>71</v>
      </c>
      <c r="AC53" s="2">
        <f t="shared" si="9"/>
        <v>28</v>
      </c>
      <c r="AD53" s="8">
        <f t="shared" si="10"/>
        <v>137.85000000000002</v>
      </c>
      <c r="AE53" s="8"/>
      <c r="AF53" s="2">
        <f t="shared" si="7"/>
        <v>99</v>
      </c>
    </row>
    <row r="54" spans="1:32" x14ac:dyDescent="0.35">
      <c r="G54" s="1"/>
      <c r="V54" s="2"/>
      <c r="W54" s="2"/>
      <c r="X54" s="7"/>
      <c r="Y54" s="9"/>
      <c r="Z54" s="9"/>
      <c r="AA54" s="11"/>
      <c r="AB54" s="9"/>
      <c r="AC54" s="9"/>
      <c r="AD54" s="8"/>
      <c r="AE54" s="8"/>
      <c r="AF54" s="9"/>
    </row>
    <row r="55" spans="1:32" x14ac:dyDescent="0.35">
      <c r="G55" s="1"/>
      <c r="V55" s="2"/>
      <c r="W55" s="2"/>
      <c r="X55" s="7"/>
      <c r="Y55" s="9"/>
      <c r="Z55" s="9"/>
      <c r="AA55" s="11"/>
      <c r="AB55" s="9"/>
      <c r="AC55" s="9"/>
      <c r="AD55" s="8"/>
      <c r="AE55" s="8"/>
      <c r="AF55" s="9"/>
    </row>
    <row r="56" spans="1:32" x14ac:dyDescent="0.35">
      <c r="G56" s="1"/>
      <c r="V56" s="2"/>
      <c r="W56" s="2"/>
      <c r="X56" s="7"/>
      <c r="Y56" s="9"/>
      <c r="Z56" s="9"/>
      <c r="AA56" s="11"/>
      <c r="AB56" s="9"/>
      <c r="AC56" s="9"/>
      <c r="AD56" s="8"/>
      <c r="AE56" s="8"/>
      <c r="AF56" s="9"/>
    </row>
    <row r="57" spans="1:32" x14ac:dyDescent="0.35">
      <c r="G57" s="1"/>
      <c r="V57" s="2"/>
      <c r="W57" s="2"/>
      <c r="X57" s="7"/>
      <c r="Y57" s="9"/>
      <c r="Z57" s="9"/>
      <c r="AA57" s="11"/>
      <c r="AB57" s="9"/>
      <c r="AC57" s="9"/>
      <c r="AD57" s="8"/>
      <c r="AE57" s="8"/>
      <c r="AF57" s="9"/>
    </row>
    <row r="58" spans="1:32" x14ac:dyDescent="0.35">
      <c r="G58" s="1"/>
      <c r="V58" s="2"/>
      <c r="W58" s="2"/>
      <c r="X58" s="7"/>
      <c r="Y58" s="9"/>
      <c r="Z58" s="9"/>
      <c r="AA58" s="3"/>
      <c r="AB58" s="9"/>
      <c r="AC58" s="9"/>
      <c r="AD58" s="8"/>
      <c r="AE58" s="8"/>
      <c r="AF58" s="9"/>
    </row>
    <row r="59" spans="1:32" x14ac:dyDescent="0.35">
      <c r="Y59" s="9"/>
      <c r="Z59" s="9"/>
      <c r="AA59" s="3"/>
      <c r="AB59" s="9"/>
      <c r="AC59" s="9"/>
      <c r="AD59" s="8"/>
      <c r="AE59" s="8"/>
      <c r="AF59" s="9"/>
    </row>
    <row r="60" spans="1:32" x14ac:dyDescent="0.35">
      <c r="Y60" s="9"/>
      <c r="Z60" s="9"/>
      <c r="AA60" s="3"/>
      <c r="AB60" s="9"/>
      <c r="AC60" s="9"/>
      <c r="AD60" s="8"/>
      <c r="AE60" s="8"/>
      <c r="AF60" s="9"/>
    </row>
    <row r="61" spans="1:32" x14ac:dyDescent="0.35">
      <c r="X61" s="7"/>
      <c r="Y61" s="9"/>
      <c r="Z61" s="9"/>
      <c r="AA61" s="3"/>
      <c r="AB61" s="9"/>
      <c r="AC61" s="9"/>
      <c r="AD61" s="8"/>
      <c r="AE61" s="8"/>
      <c r="AF61" s="9"/>
    </row>
    <row r="62" spans="1:32" x14ac:dyDescent="0.35">
      <c r="X62" s="7"/>
      <c r="Y62" s="9"/>
      <c r="Z62" s="9"/>
      <c r="AA62" s="10"/>
      <c r="AB62" s="9"/>
      <c r="AC62" s="9"/>
      <c r="AD62" s="9"/>
      <c r="AE62" s="9"/>
      <c r="AF62" s="9"/>
    </row>
    <row r="63" spans="1:32" x14ac:dyDescent="0.35">
      <c r="X63" s="7"/>
      <c r="Y63" s="9"/>
      <c r="Z63" s="9"/>
      <c r="AA63" s="10"/>
      <c r="AB63" s="9"/>
      <c r="AC63" s="9"/>
      <c r="AD63" s="9"/>
      <c r="AE63" s="9"/>
      <c r="AF63" s="9"/>
    </row>
    <row r="64" spans="1:32" x14ac:dyDescent="0.3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3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3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3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35"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35"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35"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35">
      <c r="X71" s="7"/>
      <c r="Y71" s="9"/>
      <c r="Z71" s="9"/>
      <c r="AA71" s="10"/>
      <c r="AB71" s="9"/>
      <c r="AC71" s="9"/>
      <c r="AD71" s="9"/>
      <c r="AE71" s="9"/>
      <c r="AF71" s="9"/>
    </row>
    <row r="72" spans="7:32" x14ac:dyDescent="0.35"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3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35">
      <c r="V74" s="9"/>
      <c r="W74" s="9"/>
      <c r="X74" s="7"/>
      <c r="Y74" s="9"/>
      <c r="Z74" s="9"/>
      <c r="AA74" s="10"/>
      <c r="AB74" s="9"/>
      <c r="AC74" s="9"/>
      <c r="AD74" s="9"/>
      <c r="AE74" s="9"/>
      <c r="AF74" s="9"/>
    </row>
    <row r="75" spans="7:32" x14ac:dyDescent="0.35">
      <c r="V75" s="9"/>
      <c r="W75" s="9"/>
      <c r="X75" s="7"/>
      <c r="Y75" s="9"/>
      <c r="Z75" s="9"/>
      <c r="AA75" s="10"/>
      <c r="AB75" s="9"/>
      <c r="AC75" s="9"/>
      <c r="AD75" s="9"/>
      <c r="AE75" s="9"/>
      <c r="AF75" s="9"/>
    </row>
    <row r="76" spans="7:32" x14ac:dyDescent="0.35">
      <c r="G76" s="1"/>
      <c r="V76" s="2"/>
      <c r="W76" s="2"/>
      <c r="Y76" s="9"/>
      <c r="Z76" s="9"/>
      <c r="AA76" s="10"/>
      <c r="AB76" s="9"/>
      <c r="AC76" s="9"/>
      <c r="AD76" s="9"/>
      <c r="AE76" s="9"/>
      <c r="AF76" s="9"/>
    </row>
    <row r="77" spans="7:32" x14ac:dyDescent="0.3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3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35">
      <c r="G79" s="1"/>
      <c r="V79" s="2"/>
      <c r="W79" s="2"/>
      <c r="Y79" s="9"/>
      <c r="Z79" s="9"/>
      <c r="AA79" s="10"/>
      <c r="AB79" s="9"/>
      <c r="AC79" s="9"/>
      <c r="AD79" s="9"/>
      <c r="AE79" s="9"/>
      <c r="AF79" s="9"/>
    </row>
    <row r="80" spans="7:32" x14ac:dyDescent="0.35">
      <c r="G80" s="1"/>
      <c r="V80" s="2"/>
      <c r="W80" s="2"/>
      <c r="Y80" s="9"/>
      <c r="Z80" s="9"/>
      <c r="AA80" s="10"/>
      <c r="AB80" s="9"/>
      <c r="AC80" s="9"/>
      <c r="AD80" s="9"/>
      <c r="AE80" s="9"/>
      <c r="AF80" s="9"/>
    </row>
    <row r="81" spans="22:32" x14ac:dyDescent="0.35">
      <c r="V81" s="9"/>
      <c r="W81" s="9"/>
      <c r="X81" s="7"/>
      <c r="Y81" s="9"/>
      <c r="Z81" s="9"/>
      <c r="AA81" s="10"/>
      <c r="AB81" s="9"/>
      <c r="AC81" s="9"/>
      <c r="AD81" s="9"/>
      <c r="AE81" s="9"/>
      <c r="AF81" s="9"/>
    </row>
    <row r="82" spans="22:32" x14ac:dyDescent="0.35">
      <c r="V82" s="9"/>
      <c r="W82" s="9"/>
      <c r="X82" s="7"/>
      <c r="Y82" s="9"/>
      <c r="Z82" s="9"/>
      <c r="AA82" s="10"/>
      <c r="AB82" s="9"/>
      <c r="AC82" s="9"/>
      <c r="AD82" s="9"/>
      <c r="AE82" s="9"/>
      <c r="AF82" s="9"/>
    </row>
    <row r="83" spans="22:32" x14ac:dyDescent="0.35">
      <c r="V83" s="9"/>
      <c r="W83" s="9"/>
      <c r="X83" s="7"/>
      <c r="Y83" s="9"/>
      <c r="Z83" s="9"/>
      <c r="AA83" s="10"/>
      <c r="AB83" s="9"/>
      <c r="AC83" s="9"/>
      <c r="AD83" s="9"/>
      <c r="AE83" s="9"/>
      <c r="AF83" s="9"/>
    </row>
    <row r="84" spans="22:32" x14ac:dyDescent="0.35">
      <c r="V84" s="9"/>
      <c r="W84" s="9"/>
      <c r="X84" s="7"/>
      <c r="Y84" s="9"/>
      <c r="Z84" s="9"/>
      <c r="AB84" s="9"/>
      <c r="AC84" s="9"/>
      <c r="AD84" s="9"/>
      <c r="AE84" s="9"/>
      <c r="AF84" s="9"/>
    </row>
    <row r="85" spans="22:32" x14ac:dyDescent="0.35">
      <c r="V85" s="9"/>
      <c r="W85" s="9"/>
      <c r="X85" s="7"/>
      <c r="Y85" s="9"/>
      <c r="Z85" s="9"/>
      <c r="AB85" s="9"/>
      <c r="AC85" s="9"/>
      <c r="AD85" s="9"/>
      <c r="AE85" s="9"/>
      <c r="AF85" s="9"/>
    </row>
    <row r="86" spans="22:32" x14ac:dyDescent="0.35">
      <c r="V86" s="9"/>
      <c r="W86" s="9"/>
      <c r="X86" s="7"/>
      <c r="Y86" s="9"/>
      <c r="Z86" s="9"/>
      <c r="AB86" s="9"/>
      <c r="AC86" s="9"/>
      <c r="AD86" s="9"/>
      <c r="AE86" s="9"/>
      <c r="AF86" s="9"/>
    </row>
    <row r="87" spans="22:32" x14ac:dyDescent="0.35">
      <c r="X87" s="7"/>
      <c r="Y87" s="9"/>
      <c r="Z87" s="9"/>
      <c r="AB87" s="9"/>
      <c r="AC87" s="9"/>
      <c r="AD87" s="9"/>
      <c r="AE87" s="9"/>
      <c r="AF87" s="9"/>
    </row>
    <row r="88" spans="22:32" x14ac:dyDescent="0.35">
      <c r="Y88" s="9"/>
      <c r="Z88" s="9"/>
      <c r="AB88" s="9"/>
      <c r="AC88" s="9"/>
      <c r="AD88" s="9"/>
      <c r="AE88" s="9"/>
      <c r="AF88" s="9"/>
    </row>
  </sheetData>
  <phoneticPr fontId="18" type="noConversion"/>
  <conditionalFormatting sqref="X3:X13 X15:X25 X27:X37 X39:X49 X51:X75">
    <cfRule type="expression" dxfId="1" priority="1">
      <formula>$A3="Travée"</formula>
    </cfRule>
  </conditionalFormatting>
  <conditionalFormatting sqref="X77:X78 X81:X87">
    <cfRule type="expression" dxfId="0" priority="2">
      <formula>$A77="Travée"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2025-12-09T11:01:50Z</dcterms:modified>
</cp:coreProperties>
</file>