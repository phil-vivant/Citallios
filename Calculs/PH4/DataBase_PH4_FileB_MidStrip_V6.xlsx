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PH4/"/>
    </mc:Choice>
  </mc:AlternateContent>
  <xr:revisionPtr revIDLastSave="36" documentId="13_ncr:1_{AFDA80FC-A2B1-4E42-A4BC-FC30F30A3A2F}" xr6:coauthVersionLast="47" xr6:coauthVersionMax="47" xr10:uidLastSave="{25C15DC4-482B-45AB-A5FD-3AC2D53C9652}"/>
  <bookViews>
    <workbookView xWindow="-120" yWindow="-120" windowWidth="38640" windowHeight="2112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" i="1" l="1"/>
  <c r="AC5" i="1"/>
  <c r="AC6" i="1"/>
  <c r="AC7" i="1"/>
  <c r="AC8" i="1"/>
  <c r="AF8" i="1" s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2" i="1"/>
  <c r="AC3" i="1"/>
  <c r="AF20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F33" i="1" s="1"/>
  <c r="AB34" i="1"/>
  <c r="AB35" i="1"/>
  <c r="AB36" i="1"/>
  <c r="AB37" i="1"/>
  <c r="AB38" i="1"/>
  <c r="AB39" i="1"/>
  <c r="AB40" i="1"/>
  <c r="AB41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AF3" i="1"/>
  <c r="AF2" i="1"/>
  <c r="AF5" i="1"/>
  <c r="AF6" i="1"/>
  <c r="AF18" i="1"/>
  <c r="AF21" i="1"/>
  <c r="AF28" i="1"/>
  <c r="AF30" i="1"/>
  <c r="AF4" i="1"/>
  <c r="AB3" i="1"/>
  <c r="AB2" i="1"/>
  <c r="Z3" i="1"/>
  <c r="Y3" i="1"/>
  <c r="Z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12" i="1"/>
  <c r="A3" i="1"/>
  <c r="A4" i="1" s="1"/>
  <c r="A5" i="1" s="1"/>
  <c r="AD4" i="1"/>
  <c r="AD17" i="1"/>
  <c r="AD30" i="1"/>
  <c r="AF9" i="1" l="1"/>
  <c r="AF15" i="1"/>
  <c r="AF12" i="1"/>
  <c r="AF36" i="1"/>
  <c r="AF39" i="1"/>
  <c r="AF27" i="1"/>
  <c r="AF24" i="1"/>
  <c r="AF22" i="1"/>
  <c r="AF23" i="1"/>
  <c r="AF7" i="1"/>
  <c r="AF31" i="1"/>
  <c r="AF19" i="1"/>
  <c r="AF32" i="1"/>
  <c r="AF11" i="1"/>
  <c r="AF35" i="1"/>
  <c r="AF29" i="1"/>
  <c r="AF41" i="1"/>
  <c r="AF37" i="1"/>
  <c r="AF16" i="1"/>
  <c r="AF40" i="1"/>
  <c r="AF14" i="1"/>
  <c r="AF13" i="1"/>
  <c r="AF34" i="1"/>
  <c r="AF26" i="1"/>
  <c r="AF25" i="1"/>
  <c r="AF17" i="1"/>
  <c r="AF10" i="1"/>
  <c r="AF38" i="1"/>
  <c r="AD39" i="1"/>
  <c r="A6" i="1"/>
  <c r="AD8" i="1"/>
  <c r="AD21" i="1"/>
  <c r="AD26" i="1"/>
  <c r="AD41" i="1"/>
  <c r="AD37" i="1"/>
  <c r="AD33" i="1"/>
  <c r="AD28" i="1"/>
  <c r="AD19" i="1"/>
  <c r="AD15" i="1"/>
  <c r="AD10" i="1"/>
  <c r="AD6" i="1"/>
  <c r="AD5" i="1" l="1"/>
  <c r="A7" i="1"/>
  <c r="A8" i="1" s="1"/>
  <c r="A9" i="1" l="1"/>
  <c r="A10" i="1" s="1"/>
  <c r="AD7" i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D9" i="1"/>
  <c r="AD11" i="1" l="1"/>
  <c r="AD2" i="1"/>
  <c r="AD3" i="1" l="1"/>
  <c r="AD14" i="1" l="1"/>
  <c r="AD13" i="1"/>
  <c r="AD16" i="1" l="1"/>
  <c r="AD18" i="1" l="1"/>
  <c r="AD20" i="1" l="1"/>
  <c r="AD23" i="1" l="1"/>
  <c r="AD24" i="1" l="1"/>
  <c r="AD25" i="1"/>
  <c r="AD27" i="1" l="1"/>
  <c r="AD29" i="1" l="1"/>
  <c r="AD31" i="1" l="1"/>
  <c r="AD34" i="1" l="1"/>
  <c r="AD35" i="1" l="1"/>
  <c r="AD36" i="1"/>
  <c r="AD38" i="1" l="1"/>
  <c r="AD40" i="1" l="1"/>
</calcChain>
</file>

<file path=xl/sharedStrings.xml><?xml version="1.0" encoding="utf-8"?>
<sst xmlns="http://schemas.openxmlformats.org/spreadsheetml/2006/main" count="148" uniqueCount="47">
  <si>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</si>
  <si>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</si>
  <si>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</si>
  <si>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</si>
  <si>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</si>
  <si>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</si>
  <si>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</si>
  <si>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</si>
  <si>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</si>
  <si>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</si>
  <si>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</si>
  <si>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</si>
  <si>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</si>
  <si>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</si>
  <si>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</si>
  <si>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</si>
  <si>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</si>
  <si>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</si>
  <si>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</si>
  <si>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</si>
  <si>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</si>
  <si>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</si>
  <si>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</si>
  <si>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</si>
  <si>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</si>
  <si>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</si>
  <si>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</si>
  <si>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</si>
  <si>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</si>
  <si>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</si>
  <si>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</si>
  <si>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</si>
  <si>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</si>
  <si>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</si>
  <si>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</si>
  <si>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</si>
  <si>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</si>
  <si>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</si>
  <si>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</si>
  <si>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</si>
  <si>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</si>
  <si>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</si>
  <si>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B' - 1</t>
  </si>
  <si>
    <t>File B' - 2</t>
  </si>
  <si>
    <t>File B' - 3</t>
  </si>
  <si>
    <t>File B' - 4</t>
  </si>
  <si>
    <t>File B'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</si>
</sst>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3"/>
  <sheetViews>
    <sheetView tabSelected="1" zoomScale="55" zoomScaleNormal="55" workbookViewId="0">
      <pane xSplit="3" topLeftCell="D1" activePane="topRight" state="frozen"/>
      <selection pane="topRight" activeCell="T33" sqref="T33:T41"/>
    </sheetView>
  </sheetViews>
  <sheetFormatPr baseColWidth="10" defaultRowHeight="15" x14ac:dyDescent="0.25"/>
  <sheetData>
    <row r="1" spans="1:43" x14ac:dyDescent="0.25">
      <c r="A1" t="s">
        <v>38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39</v>
      </c>
      <c r="W1" t="s">
        <v>40</v>
      </c>
      <c r="X1" t="s">
        <v>41</v>
      </c>
      <c r="Y1" t="s">
        <v>35</v>
      </c>
      <c r="Z1" t="s">
        <v>36</v>
      </c>
      <c r="AA1" t="s">
        <v>37</v>
      </c>
      <c r="AB1" t="s">
        <v>32</v>
      </c>
      <c r="AC1" t="s">
        <v>34</v>
      </c>
      <c r="AD1" t="s">
        <v>30</v>
      </c>
      <c r="AE1" t="s">
        <v>33</v>
      </c>
      <c r="AF1" t="s">
        <v>31</v>
      </c>
    </row>
    <row r="2" spans="1:43" x14ac:dyDescent="0.25">
      <c r="A2">
        <v>1</v>
      </c>
      <c r="B2" t="s">
        <v>46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>
        <v>0</v>
      </c>
      <c r="Y2" s="2"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 t="shared" ref="AB2:AB41" si="0">Y2*(1-AA2)</f>
        <v>0</v>
      </c>
      <c r="AC2" s="2">
        <f t="shared" ref="AC2:AC41" si="1">Y2*AA2 + Z2</f>
        <v>0</v>
      </c>
      <c r="AD2" s="8">
        <f t="shared" ref="AD2" si="2">1.35*Y2+1.5*Z2</f>
        <v>0</v>
      </c>
      <c r="AE2" s="8"/>
      <c r="AF2" s="2">
        <f>AB2+AC2</f>
        <v>0</v>
      </c>
      <c r="AP2" s="2"/>
      <c r="AQ2" s="2"/>
    </row>
    <row r="3" spans="1:43" x14ac:dyDescent="0.25">
      <c r="A3">
        <f t="shared" ref="A3:A41" si="3">IF(B3=B2,A2,A2+1)</f>
        <v>2</v>
      </c>
      <c r="B3" t="s">
        <v>42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0.23500000000000001</v>
      </c>
      <c r="L3">
        <v>4</v>
      </c>
      <c r="M3">
        <v>5.1200000000000009E-4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>
        <v>7</v>
      </c>
      <c r="V3" s="2">
        <v>56.256</v>
      </c>
      <c r="W3" s="2">
        <v>17.088000000000001</v>
      </c>
      <c r="X3" s="7">
        <v>0</v>
      </c>
      <c r="Y3" s="2">
        <f>IFERROR(IF(ISNUMBER(SEARCH("Appui",C3)),V3+X3*V3,IF(A2&lt;A3,V3-X4*V4/2,IF(A3&lt;A4,V3-(X2*V2)/2,V3-(X4*V4+X2*V2)/2))),0)</f>
        <v>56.256</v>
      </c>
      <c r="Z3" s="2">
        <f>IFERROR(IF(ISNUMBER(SEARCH("Appui",C3)),W3+X3*W3,IF(A2&lt;A3,W3-X4*W4/2,IF(A3&lt;A4,W3-(X2*W2)/2,W3-(X4*W4+X2*W2)/2))),0)</f>
        <v>17.088000000000001</v>
      </c>
      <c r="AA3" s="3">
        <v>0</v>
      </c>
      <c r="AB3" s="2">
        <f t="shared" si="0"/>
        <v>56.256</v>
      </c>
      <c r="AC3" s="2">
        <f t="shared" si="1"/>
        <v>17.088000000000001</v>
      </c>
      <c r="AD3" s="8">
        <f t="shared" ref="AD3" si="4">1.35*Y3+1.5*Z3</f>
        <v>101.5776</v>
      </c>
      <c r="AE3" s="8"/>
      <c r="AF3" s="2">
        <f t="shared" ref="AF3:AF41" si="5">AB3+AC3</f>
        <v>73.343999999999994</v>
      </c>
      <c r="AP3" s="2"/>
      <c r="AQ3" s="2"/>
    </row>
    <row r="4" spans="1:43" x14ac:dyDescent="0.25">
      <c r="A4">
        <f t="shared" si="3"/>
        <v>2</v>
      </c>
      <c r="B4" t="s">
        <v>42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0.23500000000000001</v>
      </c>
      <c r="L4">
        <v>4</v>
      </c>
      <c r="M4">
        <v>1.0060000000000002E-3</v>
      </c>
      <c r="N4">
        <v>5.5E-2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 s="2">
        <v>0.64460000000000006</v>
      </c>
      <c r="W4" s="2">
        <v>0.1958</v>
      </c>
      <c r="X4" s="7">
        <v>0</v>
      </c>
      <c r="Y4" s="2">
        <f t="shared" ref="Y4:Y41" si="6">IFERROR(IF(ISNUMBER(SEARCH("Appui",C4)),V4+X4*V4,IF(A3&lt;A4,V4-X5*V5/2,IF(A4&lt;A5,V4-(X3*V3)/2,V4-(X5*V5+X3*V3)/2))),0)</f>
        <v>0.64460000000000006</v>
      </c>
      <c r="Z4" s="2">
        <f t="shared" ref="Z4:Z41" si="7">IFERROR(IF(ISNUMBER(SEARCH("Appui",C4)),W4+X4*W4,IF(A3&lt;A4,W4-X5*W5/2,IF(A4&lt;A5,W4-(X3*W3)/2,W4-(X5*W5+X3*W3)/2))),0)</f>
        <v>0.1958</v>
      </c>
      <c r="AA4" s="3">
        <v>0</v>
      </c>
      <c r="AB4" s="2">
        <f t="shared" si="0"/>
        <v>0.64460000000000006</v>
      </c>
      <c r="AC4" s="2">
        <f t="shared" si="1"/>
        <v>0.1958</v>
      </c>
      <c r="AD4" s="8">
        <f t="shared" ref="AD4:AD41" si="8">1.35*Y4+1.5*Z4</f>
        <v>1.1639100000000002</v>
      </c>
      <c r="AE4" s="8"/>
      <c r="AF4" s="2">
        <f t="shared" si="5"/>
        <v>0.84040000000000004</v>
      </c>
      <c r="AP4" s="2"/>
      <c r="AQ4" s="2"/>
    </row>
    <row r="5" spans="1:43" x14ac:dyDescent="0.25">
      <c r="A5">
        <f t="shared" si="3"/>
        <v>2</v>
      </c>
      <c r="B5" t="s">
        <v>42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0.23500000000000001</v>
      </c>
      <c r="L5">
        <v>4</v>
      </c>
      <c r="M5">
        <v>2.052E-3</v>
      </c>
      <c r="N5">
        <v>0.04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 s="2">
        <v>29.253119999999999</v>
      </c>
      <c r="W5" s="2">
        <v>8.8857599999999994</v>
      </c>
      <c r="X5" s="7">
        <v>0</v>
      </c>
      <c r="Y5" s="2">
        <f t="shared" si="6"/>
        <v>29.253119999999999</v>
      </c>
      <c r="Z5" s="2">
        <f t="shared" si="7"/>
        <v>8.8857599999999994</v>
      </c>
      <c r="AA5" s="3">
        <v>0</v>
      </c>
      <c r="AB5" s="2">
        <f t="shared" si="0"/>
        <v>29.253119999999999</v>
      </c>
      <c r="AC5" s="2">
        <f t="shared" si="1"/>
        <v>8.8857599999999994</v>
      </c>
      <c r="AD5" s="8">
        <f t="shared" si="8"/>
        <v>52.820352</v>
      </c>
      <c r="AE5" s="8"/>
      <c r="AF5" s="2">
        <f t="shared" si="5"/>
        <v>38.13888</v>
      </c>
      <c r="AP5" s="2"/>
      <c r="AQ5" s="2"/>
    </row>
    <row r="6" spans="1:43" x14ac:dyDescent="0.25">
      <c r="A6">
        <f t="shared" si="3"/>
        <v>2</v>
      </c>
      <c r="B6" t="s">
        <v>42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0.23500000000000001</v>
      </c>
      <c r="L6">
        <v>4</v>
      </c>
      <c r="M6">
        <v>1.0060000000000002E-3</v>
      </c>
      <c r="N6">
        <v>5.5E-2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 s="2">
        <v>30.296199999999999</v>
      </c>
      <c r="W6" s="2">
        <v>9.2026000000000003</v>
      </c>
      <c r="X6" s="7">
        <v>0</v>
      </c>
      <c r="Y6" s="2">
        <f t="shared" si="6"/>
        <v>30.296199999999999</v>
      </c>
      <c r="Z6" s="2">
        <f t="shared" si="7"/>
        <v>9.2026000000000003</v>
      </c>
      <c r="AA6" s="3">
        <v>0</v>
      </c>
      <c r="AB6" s="2">
        <f t="shared" si="0"/>
        <v>30.296199999999999</v>
      </c>
      <c r="AC6" s="2">
        <f t="shared" si="1"/>
        <v>9.2026000000000003</v>
      </c>
      <c r="AD6" s="8">
        <f t="shared" si="8"/>
        <v>54.703769999999999</v>
      </c>
      <c r="AE6" s="8"/>
      <c r="AF6" s="2">
        <f t="shared" si="5"/>
        <v>39.498800000000003</v>
      </c>
      <c r="AP6" s="2"/>
      <c r="AQ6" s="2"/>
    </row>
    <row r="7" spans="1:43" x14ac:dyDescent="0.25">
      <c r="A7">
        <f t="shared" si="3"/>
        <v>2</v>
      </c>
      <c r="B7" t="s">
        <v>42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0.23500000000000001</v>
      </c>
      <c r="L7">
        <v>4.4000000000000004</v>
      </c>
      <c r="M7">
        <v>2.2572E-3</v>
      </c>
      <c r="N7">
        <v>0.04</v>
      </c>
      <c r="O7">
        <v>1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 s="2">
        <v>78.758399999999995</v>
      </c>
      <c r="W7" s="2">
        <v>23.923200000000001</v>
      </c>
      <c r="X7" s="7">
        <v>0</v>
      </c>
      <c r="Y7" s="2">
        <f t="shared" si="6"/>
        <v>78.758399999999995</v>
      </c>
      <c r="Z7" s="2">
        <f t="shared" si="7"/>
        <v>23.923200000000001</v>
      </c>
      <c r="AA7" s="3">
        <v>0</v>
      </c>
      <c r="AB7" s="2">
        <f t="shared" si="0"/>
        <v>78.758399999999995</v>
      </c>
      <c r="AC7" s="2">
        <f t="shared" si="1"/>
        <v>23.923200000000001</v>
      </c>
      <c r="AD7" s="8">
        <f t="shared" si="8"/>
        <v>142.20864</v>
      </c>
      <c r="AE7" s="8"/>
      <c r="AF7" s="2">
        <f t="shared" si="5"/>
        <v>102.6816</v>
      </c>
      <c r="AP7" s="2"/>
      <c r="AQ7" s="2"/>
    </row>
    <row r="8" spans="1:43" x14ac:dyDescent="0.25">
      <c r="A8">
        <f t="shared" si="3"/>
        <v>2</v>
      </c>
      <c r="B8" t="s">
        <v>42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0.23500000000000001</v>
      </c>
      <c r="L8">
        <v>4.4000000000000004</v>
      </c>
      <c r="M8">
        <v>1.0060000000000002E-3</v>
      </c>
      <c r="N8">
        <v>5.5E-2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 s="2">
        <v>50.923400000000001</v>
      </c>
      <c r="W8" s="2">
        <v>15.4682</v>
      </c>
      <c r="X8" s="7">
        <v>0</v>
      </c>
      <c r="Y8" s="2">
        <f t="shared" si="6"/>
        <v>50.923400000000001</v>
      </c>
      <c r="Z8" s="2">
        <f t="shared" si="7"/>
        <v>15.4682</v>
      </c>
      <c r="AA8" s="3">
        <v>0</v>
      </c>
      <c r="AB8" s="2">
        <f t="shared" si="0"/>
        <v>50.923400000000001</v>
      </c>
      <c r="AC8" s="2">
        <f t="shared" si="1"/>
        <v>15.4682</v>
      </c>
      <c r="AD8" s="8">
        <f t="shared" si="8"/>
        <v>91.948890000000006</v>
      </c>
      <c r="AE8" s="8"/>
      <c r="AF8" s="2">
        <f t="shared" si="5"/>
        <v>66.391599999999997</v>
      </c>
      <c r="AP8" s="2"/>
      <c r="AQ8" s="2"/>
    </row>
    <row r="9" spans="1:43" x14ac:dyDescent="0.25">
      <c r="A9">
        <f t="shared" si="3"/>
        <v>2</v>
      </c>
      <c r="B9" t="s">
        <v>42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0.23500000000000001</v>
      </c>
      <c r="L9">
        <v>4.4000000000000004</v>
      </c>
      <c r="M9">
        <v>2.2572E-3</v>
      </c>
      <c r="N9">
        <v>0.04</v>
      </c>
      <c r="O9">
        <v>1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 s="2">
        <v>76.508160000000004</v>
      </c>
      <c r="W9" s="2">
        <v>23.23968</v>
      </c>
      <c r="X9" s="7">
        <v>0</v>
      </c>
      <c r="Y9" s="2">
        <f t="shared" si="6"/>
        <v>76.508160000000004</v>
      </c>
      <c r="Z9" s="2">
        <f t="shared" si="7"/>
        <v>23.23968</v>
      </c>
      <c r="AA9" s="3">
        <v>0</v>
      </c>
      <c r="AB9" s="2">
        <f t="shared" si="0"/>
        <v>76.508160000000004</v>
      </c>
      <c r="AC9" s="2">
        <f t="shared" si="1"/>
        <v>23.23968</v>
      </c>
      <c r="AD9" s="8">
        <f t="shared" si="8"/>
        <v>138.14553600000002</v>
      </c>
      <c r="AE9" s="8"/>
      <c r="AF9" s="2">
        <f t="shared" si="5"/>
        <v>99.747839999999997</v>
      </c>
      <c r="AP9" s="2"/>
    </row>
    <row r="10" spans="1:43" x14ac:dyDescent="0.25">
      <c r="A10">
        <f t="shared" si="3"/>
        <v>2</v>
      </c>
      <c r="B10" t="s">
        <v>42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0.23500000000000001</v>
      </c>
      <c r="L10">
        <v>5</v>
      </c>
      <c r="M10">
        <v>1.0060000000000002E-3</v>
      </c>
      <c r="N10">
        <v>5.5E-2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 s="2">
        <v>33.519199999999998</v>
      </c>
      <c r="W10" s="2">
        <v>10.1816</v>
      </c>
      <c r="X10" s="7">
        <v>0</v>
      </c>
      <c r="Y10" s="2">
        <f t="shared" si="6"/>
        <v>33.519199999999998</v>
      </c>
      <c r="Z10" s="2">
        <f t="shared" si="7"/>
        <v>10.1816</v>
      </c>
      <c r="AA10" s="3">
        <v>0</v>
      </c>
      <c r="AB10" s="2">
        <f t="shared" si="0"/>
        <v>33.519199999999998</v>
      </c>
      <c r="AC10" s="2">
        <f t="shared" si="1"/>
        <v>10.1816</v>
      </c>
      <c r="AD10" s="8">
        <f t="shared" si="8"/>
        <v>60.523319999999998</v>
      </c>
      <c r="AE10" s="8"/>
      <c r="AF10" s="2">
        <f t="shared" si="5"/>
        <v>43.700800000000001</v>
      </c>
      <c r="AP10" s="2"/>
      <c r="AQ10" s="2"/>
    </row>
    <row r="11" spans="1:43" x14ac:dyDescent="0.25">
      <c r="A11">
        <f t="shared" si="3"/>
        <v>2</v>
      </c>
      <c r="B11" t="s">
        <v>42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0.23500000000000001</v>
      </c>
      <c r="L11">
        <v>5</v>
      </c>
      <c r="M11">
        <v>2.565E-3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 s="2">
        <v>82.508800000000008</v>
      </c>
      <c r="W11" s="2">
        <v>25.0624</v>
      </c>
      <c r="X11" s="7">
        <v>0</v>
      </c>
      <c r="Y11" s="2">
        <f t="shared" si="6"/>
        <v>82.508800000000008</v>
      </c>
      <c r="Z11" s="2">
        <f t="shared" si="7"/>
        <v>25.0624</v>
      </c>
      <c r="AA11" s="3">
        <v>0</v>
      </c>
      <c r="AB11" s="2">
        <f t="shared" si="0"/>
        <v>82.508800000000008</v>
      </c>
      <c r="AC11" s="2">
        <f t="shared" si="1"/>
        <v>25.0624</v>
      </c>
      <c r="AD11" s="8">
        <f t="shared" si="8"/>
        <v>148.98048000000003</v>
      </c>
      <c r="AE11" s="8"/>
      <c r="AF11" s="2">
        <f t="shared" si="5"/>
        <v>107.5712</v>
      </c>
      <c r="AP11" s="2"/>
    </row>
    <row r="12" spans="1:43" x14ac:dyDescent="0.25">
      <c r="A12">
        <f t="shared" si="3"/>
        <v>2</v>
      </c>
      <c r="B12" t="s">
        <v>42</v>
      </c>
      <c r="D12" s="4">
        <v>25</v>
      </c>
      <c r="E12" s="4" t="s">
        <v>18</v>
      </c>
      <c r="F12" s="4">
        <v>500</v>
      </c>
      <c r="G12" s="5">
        <v>220000</v>
      </c>
      <c r="H12" s="4">
        <v>1576</v>
      </c>
      <c r="I12" s="4">
        <v>1870</v>
      </c>
      <c r="J12" s="4">
        <v>1</v>
      </c>
      <c r="K12" s="4">
        <v>0.2</v>
      </c>
      <c r="L12" s="4">
        <v>2.2000000000000002</v>
      </c>
      <c r="M12" s="4">
        <v>1.0000000000000001E-5</v>
      </c>
      <c r="N12" s="4">
        <v>0.03</v>
      </c>
      <c r="O12" s="4">
        <v>1</v>
      </c>
      <c r="P12" s="4">
        <v>0</v>
      </c>
      <c r="Q12" s="4">
        <v>0</v>
      </c>
      <c r="R12" s="4">
        <v>1</v>
      </c>
      <c r="S12" s="4">
        <v>0</v>
      </c>
      <c r="T12" s="4">
        <v>0</v>
      </c>
      <c r="U12" s="4">
        <v>0</v>
      </c>
      <c r="V12" s="6">
        <v>0</v>
      </c>
      <c r="W12" s="6">
        <v>0</v>
      </c>
      <c r="X12" s="4">
        <v>0</v>
      </c>
      <c r="Y12" s="2">
        <f t="shared" si="6"/>
        <v>0</v>
      </c>
      <c r="Z12" s="2">
        <f t="shared" si="7"/>
        <v>0</v>
      </c>
      <c r="AA12" s="3"/>
      <c r="AB12" s="2">
        <f t="shared" si="0"/>
        <v>0</v>
      </c>
      <c r="AC12" s="2">
        <f t="shared" si="1"/>
        <v>0</v>
      </c>
      <c r="AD12" s="8"/>
      <c r="AE12" s="8"/>
      <c r="AF12" s="2">
        <f t="shared" si="5"/>
        <v>0</v>
      </c>
      <c r="AP12" s="2"/>
    </row>
    <row r="13" spans="1:43" x14ac:dyDescent="0.25">
      <c r="A13">
        <f>IF(B13=B11,A11,A11+1)</f>
        <v>3</v>
      </c>
      <c r="B13" t="s">
        <v>43</v>
      </c>
      <c r="C13" t="s">
        <v>19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0.23500000000000001</v>
      </c>
      <c r="L13">
        <v>2</v>
      </c>
      <c r="M13">
        <v>5.1400000000000003E-4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5</v>
      </c>
      <c r="V13" s="2">
        <v>0</v>
      </c>
      <c r="W13" s="2">
        <v>0</v>
      </c>
      <c r="X13" s="7">
        <v>0</v>
      </c>
      <c r="Y13" s="2">
        <f t="shared" si="6"/>
        <v>0</v>
      </c>
      <c r="Z13" s="2">
        <f t="shared" si="7"/>
        <v>0</v>
      </c>
      <c r="AA13" s="3">
        <v>0</v>
      </c>
      <c r="AB13" s="2">
        <f t="shared" si="0"/>
        <v>0</v>
      </c>
      <c r="AC13" s="2">
        <f t="shared" si="1"/>
        <v>0</v>
      </c>
      <c r="AD13" s="8">
        <f t="shared" si="8"/>
        <v>0</v>
      </c>
      <c r="AE13" s="8"/>
      <c r="AF13" s="2">
        <f t="shared" si="5"/>
        <v>0</v>
      </c>
      <c r="AP13" s="2"/>
    </row>
    <row r="14" spans="1:43" x14ac:dyDescent="0.25">
      <c r="A14">
        <f t="shared" si="3"/>
        <v>3</v>
      </c>
      <c r="B14" t="s">
        <v>43</v>
      </c>
      <c r="C14" t="s">
        <v>20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0.23500000000000001</v>
      </c>
      <c r="L14">
        <v>2</v>
      </c>
      <c r="M14">
        <v>1.0060000000000002E-3</v>
      </c>
      <c r="N14">
        <v>5.5E-2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 s="2">
        <v>42.754560000000005</v>
      </c>
      <c r="W14" s="2">
        <v>12.986880000000001</v>
      </c>
      <c r="X14" s="7">
        <v>0</v>
      </c>
      <c r="Y14" s="2">
        <f t="shared" si="6"/>
        <v>42.754560000000005</v>
      </c>
      <c r="Z14" s="2">
        <f t="shared" si="7"/>
        <v>12.986880000000001</v>
      </c>
      <c r="AA14" s="3">
        <v>0</v>
      </c>
      <c r="AB14" s="2">
        <f t="shared" si="0"/>
        <v>42.754560000000005</v>
      </c>
      <c r="AC14" s="2">
        <f t="shared" si="1"/>
        <v>12.986880000000001</v>
      </c>
      <c r="AD14" s="8">
        <f t="shared" si="8"/>
        <v>77.198976000000016</v>
      </c>
      <c r="AE14" s="8"/>
      <c r="AF14" s="2">
        <f t="shared" si="5"/>
        <v>55.741440000000004</v>
      </c>
      <c r="AP14" s="2"/>
      <c r="AQ14" s="2"/>
    </row>
    <row r="15" spans="1:43" x14ac:dyDescent="0.25">
      <c r="A15">
        <f t="shared" si="3"/>
        <v>3</v>
      </c>
      <c r="B15" t="s">
        <v>43</v>
      </c>
      <c r="C15" t="s">
        <v>23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0.23500000000000001</v>
      </c>
      <c r="L15">
        <v>2</v>
      </c>
      <c r="M15">
        <v>1.0280000000000001E-3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 s="2">
        <v>30.296199999999999</v>
      </c>
      <c r="W15" s="2">
        <v>9.2026000000000003</v>
      </c>
      <c r="X15" s="7">
        <v>0</v>
      </c>
      <c r="Y15" s="2">
        <f t="shared" si="6"/>
        <v>30.296199999999999</v>
      </c>
      <c r="Z15" s="2">
        <f t="shared" si="7"/>
        <v>9.2026000000000003</v>
      </c>
      <c r="AA15" s="3">
        <v>0</v>
      </c>
      <c r="AB15" s="2">
        <f t="shared" si="0"/>
        <v>30.296199999999999</v>
      </c>
      <c r="AC15" s="2">
        <f t="shared" si="1"/>
        <v>9.2026000000000003</v>
      </c>
      <c r="AD15" s="8">
        <f t="shared" si="8"/>
        <v>54.703769999999999</v>
      </c>
      <c r="AE15" s="8"/>
      <c r="AF15" s="2">
        <f t="shared" si="5"/>
        <v>39.498800000000003</v>
      </c>
      <c r="AP15" s="2"/>
      <c r="AQ15" s="2"/>
    </row>
    <row r="16" spans="1:43" x14ac:dyDescent="0.25">
      <c r="A16">
        <f t="shared" si="3"/>
        <v>3</v>
      </c>
      <c r="B16" t="s">
        <v>43</v>
      </c>
      <c r="C16" t="s">
        <v>24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0.23500000000000001</v>
      </c>
      <c r="L16">
        <v>2</v>
      </c>
      <c r="M16">
        <v>1.01E-3</v>
      </c>
      <c r="N16">
        <v>5.5E-2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 s="2">
        <v>0.75007999999999997</v>
      </c>
      <c r="W16" s="2">
        <v>0.22783999999999999</v>
      </c>
      <c r="X16" s="7">
        <v>0</v>
      </c>
      <c r="Y16" s="2">
        <f t="shared" si="6"/>
        <v>0.75007999999999997</v>
      </c>
      <c r="Z16" s="2">
        <f t="shared" si="7"/>
        <v>0.22783999999999999</v>
      </c>
      <c r="AA16" s="3">
        <v>0</v>
      </c>
      <c r="AB16" s="2">
        <f t="shared" si="0"/>
        <v>0.75007999999999997</v>
      </c>
      <c r="AC16" s="2">
        <f t="shared" si="1"/>
        <v>0.22783999999999999</v>
      </c>
      <c r="AD16" s="8">
        <f t="shared" si="8"/>
        <v>1.354368</v>
      </c>
      <c r="AE16" s="8"/>
      <c r="AF16" s="2">
        <f t="shared" si="5"/>
        <v>0.9779199999999999</v>
      </c>
      <c r="AP16" s="2"/>
      <c r="AQ16" s="2"/>
    </row>
    <row r="17" spans="1:43" x14ac:dyDescent="0.25">
      <c r="A17">
        <f t="shared" si="3"/>
        <v>3</v>
      </c>
      <c r="B17" t="s">
        <v>43</v>
      </c>
      <c r="C17" t="s">
        <v>25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0.23500000000000001</v>
      </c>
      <c r="L17">
        <v>2</v>
      </c>
      <c r="M17">
        <v>7.7000000000000007E-4</v>
      </c>
      <c r="N17">
        <v>0.04</v>
      </c>
      <c r="O17">
        <v>1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 s="2">
        <v>36.742199999999997</v>
      </c>
      <c r="W17" s="2">
        <v>11.160600000000001</v>
      </c>
      <c r="X17" s="7">
        <v>0</v>
      </c>
      <c r="Y17" s="2">
        <f t="shared" si="6"/>
        <v>36.742199999999997</v>
      </c>
      <c r="Z17" s="2">
        <f t="shared" si="7"/>
        <v>11.160600000000001</v>
      </c>
      <c r="AA17" s="3">
        <v>0</v>
      </c>
      <c r="AB17" s="2">
        <f t="shared" si="0"/>
        <v>36.742199999999997</v>
      </c>
      <c r="AC17" s="2">
        <f t="shared" si="1"/>
        <v>11.160600000000001</v>
      </c>
      <c r="AD17" s="8">
        <f t="shared" si="8"/>
        <v>66.342870000000005</v>
      </c>
      <c r="AE17" s="8"/>
      <c r="AF17" s="2">
        <f t="shared" si="5"/>
        <v>47.902799999999999</v>
      </c>
      <c r="AP17" s="2"/>
    </row>
    <row r="18" spans="1:43" x14ac:dyDescent="0.25">
      <c r="A18">
        <f t="shared" si="3"/>
        <v>3</v>
      </c>
      <c r="B18" t="s">
        <v>43</v>
      </c>
      <c r="C18" t="s">
        <v>26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0.23500000000000001</v>
      </c>
      <c r="L18">
        <v>2</v>
      </c>
      <c r="M18">
        <v>1.01E-3</v>
      </c>
      <c r="N18">
        <v>5.5E-2</v>
      </c>
      <c r="O18">
        <v>1</v>
      </c>
      <c r="P18">
        <v>0</v>
      </c>
      <c r="Q18">
        <v>0</v>
      </c>
      <c r="R18">
        <v>1</v>
      </c>
      <c r="S18">
        <v>2.9099999999999999E-5</v>
      </c>
      <c r="T18">
        <v>0</v>
      </c>
      <c r="U18">
        <v>5</v>
      </c>
      <c r="V18" s="2">
        <v>41.254400000000004</v>
      </c>
      <c r="W18" s="2">
        <v>12.5312</v>
      </c>
      <c r="X18" s="7">
        <v>0</v>
      </c>
      <c r="Y18" s="2">
        <f t="shared" si="6"/>
        <v>41.254400000000004</v>
      </c>
      <c r="Z18" s="2">
        <f t="shared" si="7"/>
        <v>12.5312</v>
      </c>
      <c r="AA18" s="3">
        <v>0</v>
      </c>
      <c r="AB18" s="2">
        <f t="shared" si="0"/>
        <v>41.254400000000004</v>
      </c>
      <c r="AC18" s="2">
        <f t="shared" si="1"/>
        <v>12.5312</v>
      </c>
      <c r="AD18" s="8">
        <f t="shared" si="8"/>
        <v>74.490240000000014</v>
      </c>
      <c r="AE18" s="8"/>
      <c r="AF18" s="2">
        <f t="shared" si="5"/>
        <v>53.785600000000002</v>
      </c>
      <c r="AP18" s="2"/>
      <c r="AQ18" s="2"/>
    </row>
    <row r="19" spans="1:43" x14ac:dyDescent="0.25">
      <c r="A19">
        <f t="shared" si="3"/>
        <v>3</v>
      </c>
      <c r="B19" t="s">
        <v>43</v>
      </c>
      <c r="C19" t="s">
        <v>27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0.23500000000000001</v>
      </c>
      <c r="L19">
        <v>1.5</v>
      </c>
      <c r="M19">
        <v>3.86E-4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5</v>
      </c>
      <c r="V19" s="2">
        <v>52.212600000000002</v>
      </c>
      <c r="W19" s="2">
        <v>15.8598</v>
      </c>
      <c r="X19" s="7">
        <v>0</v>
      </c>
      <c r="Y19" s="2">
        <f t="shared" si="6"/>
        <v>52.212600000000002</v>
      </c>
      <c r="Z19" s="2">
        <f t="shared" si="7"/>
        <v>15.8598</v>
      </c>
      <c r="AA19" s="3">
        <v>0</v>
      </c>
      <c r="AB19" s="2">
        <f t="shared" si="0"/>
        <v>52.212600000000002</v>
      </c>
      <c r="AC19" s="2">
        <f t="shared" si="1"/>
        <v>15.8598</v>
      </c>
      <c r="AD19" s="8">
        <f t="shared" si="8"/>
        <v>94.276710000000008</v>
      </c>
      <c r="AE19" s="8"/>
      <c r="AF19" s="2">
        <f t="shared" si="5"/>
        <v>68.072400000000002</v>
      </c>
      <c r="AP19" s="2"/>
      <c r="AQ19" s="2"/>
    </row>
    <row r="20" spans="1:43" x14ac:dyDescent="0.25">
      <c r="A20">
        <f t="shared" si="3"/>
        <v>3</v>
      </c>
      <c r="B20" t="s">
        <v>43</v>
      </c>
      <c r="C20" t="s">
        <v>28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0.23500000000000001</v>
      </c>
      <c r="L20">
        <v>1.5</v>
      </c>
      <c r="M20">
        <v>7.5450000000000007E-4</v>
      </c>
      <c r="N20">
        <v>5.5E-2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32.253439999999998</v>
      </c>
      <c r="W20" s="2">
        <v>9.7971199999999996</v>
      </c>
      <c r="X20" s="7">
        <v>0</v>
      </c>
      <c r="Y20" s="2">
        <f t="shared" si="6"/>
        <v>32.253439999999998</v>
      </c>
      <c r="Z20" s="2">
        <f t="shared" si="7"/>
        <v>9.7971199999999996</v>
      </c>
      <c r="AA20" s="3">
        <v>0</v>
      </c>
      <c r="AB20" s="2">
        <f t="shared" si="0"/>
        <v>32.253439999999998</v>
      </c>
      <c r="AC20" s="2">
        <f t="shared" si="1"/>
        <v>9.7971199999999996</v>
      </c>
      <c r="AD20" s="8">
        <f t="shared" si="8"/>
        <v>58.237824000000003</v>
      </c>
      <c r="AE20" s="8"/>
      <c r="AF20" s="2">
        <f t="shared" si="5"/>
        <v>42.050559999999997</v>
      </c>
      <c r="AP20" s="2"/>
      <c r="AQ20" s="2"/>
    </row>
    <row r="21" spans="1:43" x14ac:dyDescent="0.25">
      <c r="A21">
        <f t="shared" si="3"/>
        <v>3</v>
      </c>
      <c r="B21" t="s">
        <v>43</v>
      </c>
      <c r="C21" t="s">
        <v>29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0.23500000000000001</v>
      </c>
      <c r="L21">
        <v>1.5</v>
      </c>
      <c r="M21">
        <v>5.7750000000000011E-4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 s="2">
        <v>38.675999999999995</v>
      </c>
      <c r="W21" s="2">
        <v>11.747999999999999</v>
      </c>
      <c r="X21" s="7">
        <v>0</v>
      </c>
      <c r="Y21" s="2">
        <f t="shared" si="6"/>
        <v>38.675999999999995</v>
      </c>
      <c r="Z21" s="2">
        <f t="shared" si="7"/>
        <v>11.747999999999999</v>
      </c>
      <c r="AA21" s="3">
        <v>0</v>
      </c>
      <c r="AB21" s="2">
        <f t="shared" si="0"/>
        <v>38.675999999999995</v>
      </c>
      <c r="AC21" s="2">
        <f t="shared" si="1"/>
        <v>11.747999999999999</v>
      </c>
      <c r="AD21" s="8">
        <f t="shared" si="8"/>
        <v>69.834599999999995</v>
      </c>
      <c r="AE21" s="8"/>
      <c r="AF21" s="2">
        <f t="shared" si="5"/>
        <v>50.423999999999992</v>
      </c>
      <c r="AP21" s="2"/>
      <c r="AQ21" s="2"/>
    </row>
    <row r="22" spans="1:43" x14ac:dyDescent="0.25">
      <c r="A22">
        <f t="shared" si="3"/>
        <v>3</v>
      </c>
      <c r="B22" t="s">
        <v>43</v>
      </c>
      <c r="D22" s="4">
        <v>25</v>
      </c>
      <c r="E22" s="4" t="s">
        <v>18</v>
      </c>
      <c r="F22" s="4">
        <v>500</v>
      </c>
      <c r="G22" s="5">
        <v>220000</v>
      </c>
      <c r="H22" s="4">
        <v>1576</v>
      </c>
      <c r="I22" s="4">
        <v>1870</v>
      </c>
      <c r="J22" s="4">
        <v>1</v>
      </c>
      <c r="K22" s="4">
        <v>0.2</v>
      </c>
      <c r="L22" s="4">
        <v>2.2000000000000002</v>
      </c>
      <c r="M22" s="4">
        <v>1.0000000000000001E-5</v>
      </c>
      <c r="N22" s="4">
        <v>0.03</v>
      </c>
      <c r="O22" s="4">
        <v>1</v>
      </c>
      <c r="P22" s="4">
        <v>0</v>
      </c>
      <c r="Q22" s="4">
        <v>0</v>
      </c>
      <c r="R22" s="4">
        <v>1</v>
      </c>
      <c r="S22" s="4">
        <v>0</v>
      </c>
      <c r="T22" s="4">
        <v>0</v>
      </c>
      <c r="U22" s="4">
        <v>0</v>
      </c>
      <c r="V22" s="6">
        <v>0</v>
      </c>
      <c r="W22" s="6">
        <v>0</v>
      </c>
      <c r="X22" s="4">
        <v>0</v>
      </c>
      <c r="Y22" s="2">
        <f t="shared" si="6"/>
        <v>0</v>
      </c>
      <c r="Z22" s="2">
        <f t="shared" si="7"/>
        <v>0</v>
      </c>
      <c r="AA22" s="3"/>
      <c r="AB22" s="2">
        <f t="shared" si="0"/>
        <v>0</v>
      </c>
      <c r="AC22" s="2">
        <f t="shared" si="1"/>
        <v>0</v>
      </c>
      <c r="AD22" s="8"/>
      <c r="AE22" s="8"/>
      <c r="AF22" s="2">
        <f t="shared" si="5"/>
        <v>0</v>
      </c>
      <c r="AP22" s="2"/>
      <c r="AQ22" s="2"/>
    </row>
    <row r="23" spans="1:43" x14ac:dyDescent="0.25">
      <c r="A23">
        <f t="shared" si="3"/>
        <v>4</v>
      </c>
      <c r="B23" t="s">
        <v>44</v>
      </c>
      <c r="C23" t="s">
        <v>19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0.23500000000000001</v>
      </c>
      <c r="L23">
        <v>2.5</v>
      </c>
      <c r="M23">
        <v>6.4250000000000006E-4</v>
      </c>
      <c r="N23">
        <v>0.04</v>
      </c>
      <c r="O23">
        <v>1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 s="2">
        <v>21.752319999999997</v>
      </c>
      <c r="W23" s="2">
        <v>6.607359999999999</v>
      </c>
      <c r="X23" s="7">
        <v>0</v>
      </c>
      <c r="Y23" s="2">
        <f t="shared" si="6"/>
        <v>21.752319999999997</v>
      </c>
      <c r="Z23" s="2">
        <f t="shared" si="7"/>
        <v>6.607359999999999</v>
      </c>
      <c r="AA23" s="3">
        <v>0</v>
      </c>
      <c r="AB23" s="2">
        <f t="shared" si="0"/>
        <v>21.752319999999997</v>
      </c>
      <c r="AC23" s="2">
        <f t="shared" si="1"/>
        <v>6.607359999999999</v>
      </c>
      <c r="AD23" s="8">
        <f t="shared" si="8"/>
        <v>39.276671999999998</v>
      </c>
      <c r="AE23" s="8"/>
      <c r="AF23" s="2">
        <f t="shared" si="5"/>
        <v>28.359679999999997</v>
      </c>
      <c r="AP23" s="2"/>
    </row>
    <row r="24" spans="1:43" x14ac:dyDescent="0.25">
      <c r="A24">
        <f t="shared" si="3"/>
        <v>4</v>
      </c>
      <c r="B24" t="s">
        <v>44</v>
      </c>
      <c r="C24" t="s">
        <v>20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0.23500000000000001</v>
      </c>
      <c r="L24">
        <v>2</v>
      </c>
      <c r="M24">
        <v>1.0060000000000002E-3</v>
      </c>
      <c r="N24">
        <v>5.5E-2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 s="2">
        <v>0</v>
      </c>
      <c r="W24" s="2">
        <v>0</v>
      </c>
      <c r="X24" s="7">
        <v>0</v>
      </c>
      <c r="Y24" s="2">
        <f t="shared" si="6"/>
        <v>0</v>
      </c>
      <c r="Z24" s="2">
        <f t="shared" si="7"/>
        <v>0</v>
      </c>
      <c r="AA24" s="3">
        <v>0</v>
      </c>
      <c r="AB24" s="2">
        <f t="shared" si="0"/>
        <v>0</v>
      </c>
      <c r="AC24" s="2">
        <f t="shared" si="1"/>
        <v>0</v>
      </c>
      <c r="AD24" s="8">
        <f t="shared" si="8"/>
        <v>0</v>
      </c>
      <c r="AE24" s="8"/>
      <c r="AF24" s="2">
        <f t="shared" si="5"/>
        <v>0</v>
      </c>
      <c r="AP24" s="2"/>
    </row>
    <row r="25" spans="1:43" x14ac:dyDescent="0.25">
      <c r="A25">
        <f t="shared" si="3"/>
        <v>4</v>
      </c>
      <c r="B25" t="s">
        <v>44</v>
      </c>
      <c r="C25" t="s">
        <v>23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0.23500000000000001</v>
      </c>
      <c r="L25">
        <v>2</v>
      </c>
      <c r="M25">
        <v>1.0300000000000001E-3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 s="2">
        <v>34.503680000000003</v>
      </c>
      <c r="W25" s="2">
        <v>10.480639999999999</v>
      </c>
      <c r="X25" s="7">
        <v>0</v>
      </c>
      <c r="Y25" s="2">
        <f t="shared" si="6"/>
        <v>34.503680000000003</v>
      </c>
      <c r="Z25" s="2">
        <f t="shared" si="7"/>
        <v>10.480639999999999</v>
      </c>
      <c r="AA25" s="3">
        <v>0</v>
      </c>
      <c r="AB25" s="2">
        <f t="shared" si="0"/>
        <v>34.503680000000003</v>
      </c>
      <c r="AC25" s="2">
        <f t="shared" si="1"/>
        <v>10.480639999999999</v>
      </c>
      <c r="AD25" s="8">
        <f t="shared" si="8"/>
        <v>62.300928000000006</v>
      </c>
      <c r="AE25" s="8"/>
      <c r="AF25" s="2">
        <f t="shared" si="5"/>
        <v>44.984320000000004</v>
      </c>
      <c r="AP25" s="2"/>
    </row>
    <row r="26" spans="1:43" x14ac:dyDescent="0.25">
      <c r="A26">
        <f t="shared" si="3"/>
        <v>4</v>
      </c>
      <c r="B26" t="s">
        <v>44</v>
      </c>
      <c r="C26" t="s">
        <v>24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0.23500000000000001</v>
      </c>
      <c r="L26">
        <v>2</v>
      </c>
      <c r="M26">
        <v>1.0060000000000002E-3</v>
      </c>
      <c r="N26">
        <v>5.5E-2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 s="2">
        <v>22.561</v>
      </c>
      <c r="W26" s="2">
        <v>6.8529999999999998</v>
      </c>
      <c r="X26" s="7">
        <v>0</v>
      </c>
      <c r="Y26" s="2">
        <f t="shared" si="6"/>
        <v>22.561</v>
      </c>
      <c r="Z26" s="2">
        <f t="shared" si="7"/>
        <v>6.8529999999999998</v>
      </c>
      <c r="AA26" s="3">
        <v>0</v>
      </c>
      <c r="AB26" s="2">
        <f t="shared" si="0"/>
        <v>22.561</v>
      </c>
      <c r="AC26" s="2">
        <f t="shared" si="1"/>
        <v>6.8529999999999998</v>
      </c>
      <c r="AD26" s="8">
        <f t="shared" si="8"/>
        <v>40.736850000000004</v>
      </c>
      <c r="AE26" s="8"/>
      <c r="AF26" s="2">
        <f t="shared" si="5"/>
        <v>29.414000000000001</v>
      </c>
      <c r="AP26" s="2"/>
    </row>
    <row r="27" spans="1:43" x14ac:dyDescent="0.25">
      <c r="A27">
        <f t="shared" si="3"/>
        <v>4</v>
      </c>
      <c r="B27" t="s">
        <v>44</v>
      </c>
      <c r="C27" t="s">
        <v>25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0.23500000000000001</v>
      </c>
      <c r="L27">
        <v>2</v>
      </c>
      <c r="M27">
        <v>7.7000000000000007E-4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5</v>
      </c>
      <c r="V27" s="2">
        <v>0.75007999999999997</v>
      </c>
      <c r="W27" s="2">
        <v>0.22783999999999999</v>
      </c>
      <c r="X27" s="7">
        <v>0</v>
      </c>
      <c r="Y27" s="2">
        <f t="shared" si="6"/>
        <v>0.75007999999999997</v>
      </c>
      <c r="Z27" s="2">
        <f t="shared" si="7"/>
        <v>0.22783999999999999</v>
      </c>
      <c r="AA27" s="3">
        <v>0</v>
      </c>
      <c r="AB27" s="2">
        <f t="shared" si="0"/>
        <v>0.75007999999999997</v>
      </c>
      <c r="AC27" s="2">
        <f t="shared" si="1"/>
        <v>0.22783999999999999</v>
      </c>
      <c r="AD27" s="8">
        <f t="shared" si="8"/>
        <v>1.354368</v>
      </c>
      <c r="AE27" s="8"/>
      <c r="AF27" s="2">
        <f t="shared" si="5"/>
        <v>0.9779199999999999</v>
      </c>
      <c r="AP27" s="2"/>
    </row>
    <row r="28" spans="1:43" x14ac:dyDescent="0.25">
      <c r="A28">
        <f t="shared" si="3"/>
        <v>4</v>
      </c>
      <c r="B28" t="s">
        <v>44</v>
      </c>
      <c r="C28" t="s">
        <v>26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0.23500000000000001</v>
      </c>
      <c r="L28">
        <v>2</v>
      </c>
      <c r="M28">
        <v>1.01E-3</v>
      </c>
      <c r="N28">
        <v>5.5E-2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 s="2">
        <v>32.874600000000001</v>
      </c>
      <c r="W28" s="2">
        <v>9.9857999999999993</v>
      </c>
      <c r="X28" s="7">
        <v>0</v>
      </c>
      <c r="Y28" s="2">
        <f t="shared" si="6"/>
        <v>32.874600000000001</v>
      </c>
      <c r="Z28" s="2">
        <f t="shared" si="7"/>
        <v>9.9857999999999993</v>
      </c>
      <c r="AA28" s="3">
        <v>0</v>
      </c>
      <c r="AB28" s="2">
        <f t="shared" si="0"/>
        <v>32.874600000000001</v>
      </c>
      <c r="AC28" s="2">
        <f t="shared" si="1"/>
        <v>9.9857999999999993</v>
      </c>
      <c r="AD28" s="8">
        <f t="shared" si="8"/>
        <v>59.359410000000011</v>
      </c>
      <c r="AE28" s="8"/>
      <c r="AF28" s="2">
        <f t="shared" si="5"/>
        <v>42.860399999999998</v>
      </c>
      <c r="AP28" s="2"/>
    </row>
    <row r="29" spans="1:43" x14ac:dyDescent="0.25">
      <c r="A29">
        <f t="shared" si="3"/>
        <v>4</v>
      </c>
      <c r="B29" t="s">
        <v>44</v>
      </c>
      <c r="C29" t="s">
        <v>27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0.23500000000000001</v>
      </c>
      <c r="L29">
        <v>2</v>
      </c>
      <c r="M29">
        <v>5.1400000000000003E-4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>
        <v>5</v>
      </c>
      <c r="V29" s="2">
        <v>42.004480000000001</v>
      </c>
      <c r="W29" s="2">
        <v>12.759040000000001</v>
      </c>
      <c r="X29" s="7">
        <v>0</v>
      </c>
      <c r="Y29" s="2">
        <f t="shared" si="6"/>
        <v>42.004480000000001</v>
      </c>
      <c r="Z29" s="2">
        <f t="shared" si="7"/>
        <v>12.759040000000001</v>
      </c>
      <c r="AA29" s="3">
        <v>0</v>
      </c>
      <c r="AB29" s="2">
        <f t="shared" si="0"/>
        <v>42.004480000000001</v>
      </c>
      <c r="AC29" s="2">
        <f t="shared" si="1"/>
        <v>12.759040000000001</v>
      </c>
      <c r="AD29" s="8">
        <f t="shared" si="8"/>
        <v>75.844608000000008</v>
      </c>
      <c r="AE29" s="8"/>
      <c r="AF29" s="2">
        <f t="shared" si="5"/>
        <v>54.76352</v>
      </c>
      <c r="AP29" s="2"/>
    </row>
    <row r="30" spans="1:43" x14ac:dyDescent="0.25">
      <c r="A30">
        <f t="shared" si="3"/>
        <v>4</v>
      </c>
      <c r="B30" t="s">
        <v>44</v>
      </c>
      <c r="C30" t="s">
        <v>28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0.23500000000000001</v>
      </c>
      <c r="L30">
        <v>2</v>
      </c>
      <c r="M30">
        <v>1.01E-3</v>
      </c>
      <c r="N30">
        <v>5.5E-2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 s="2">
        <v>50.923400000000001</v>
      </c>
      <c r="W30" s="2">
        <v>15.4682</v>
      </c>
      <c r="X30" s="7">
        <v>0</v>
      </c>
      <c r="Y30" s="2">
        <f t="shared" si="6"/>
        <v>50.923400000000001</v>
      </c>
      <c r="Z30" s="2">
        <f t="shared" si="7"/>
        <v>15.4682</v>
      </c>
      <c r="AA30" s="3">
        <v>0</v>
      </c>
      <c r="AB30" s="2">
        <f t="shared" si="0"/>
        <v>50.923400000000001</v>
      </c>
      <c r="AC30" s="2">
        <f t="shared" si="1"/>
        <v>15.4682</v>
      </c>
      <c r="AD30" s="8">
        <f t="shared" si="8"/>
        <v>91.948890000000006</v>
      </c>
      <c r="AE30" s="8"/>
      <c r="AF30" s="2">
        <f t="shared" si="5"/>
        <v>66.391599999999997</v>
      </c>
      <c r="AP30" s="2"/>
    </row>
    <row r="31" spans="1:43" x14ac:dyDescent="0.25">
      <c r="A31">
        <f t="shared" si="3"/>
        <v>4</v>
      </c>
      <c r="B31" t="s">
        <v>44</v>
      </c>
      <c r="C31" t="s">
        <v>29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0.23500000000000001</v>
      </c>
      <c r="L31">
        <v>2</v>
      </c>
      <c r="M31">
        <v>7.7000000000000007E-4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 s="2">
        <v>36.003839999999997</v>
      </c>
      <c r="W31" s="2">
        <v>10.936319999999998</v>
      </c>
      <c r="X31" s="7">
        <v>0</v>
      </c>
      <c r="Y31" s="2">
        <f t="shared" si="6"/>
        <v>36.003839999999997</v>
      </c>
      <c r="Z31" s="2">
        <f t="shared" si="7"/>
        <v>10.936319999999998</v>
      </c>
      <c r="AA31" s="3">
        <v>0</v>
      </c>
      <c r="AB31" s="2">
        <f t="shared" si="0"/>
        <v>36.003839999999997</v>
      </c>
      <c r="AC31" s="2">
        <f t="shared" si="1"/>
        <v>10.936319999999998</v>
      </c>
      <c r="AD31" s="8">
        <f t="shared" si="8"/>
        <v>65.009664000000001</v>
      </c>
      <c r="AE31" s="8"/>
      <c r="AF31" s="2">
        <f t="shared" si="5"/>
        <v>46.940159999999992</v>
      </c>
      <c r="AP31" s="2"/>
    </row>
    <row r="32" spans="1:43" x14ac:dyDescent="0.25">
      <c r="A32">
        <f t="shared" si="3"/>
        <v>4</v>
      </c>
      <c r="B32" t="s">
        <v>44</v>
      </c>
      <c r="D32" s="4">
        <v>25</v>
      </c>
      <c r="E32" s="4" t="s">
        <v>18</v>
      </c>
      <c r="F32" s="4">
        <v>500</v>
      </c>
      <c r="G32" s="5">
        <v>220000</v>
      </c>
      <c r="H32" s="4">
        <v>1576</v>
      </c>
      <c r="I32" s="4">
        <v>1870</v>
      </c>
      <c r="J32" s="4">
        <v>1</v>
      </c>
      <c r="K32" s="4">
        <v>0.2</v>
      </c>
      <c r="L32" s="4">
        <v>2.2000000000000002</v>
      </c>
      <c r="M32" s="4">
        <v>1.0000000000000001E-5</v>
      </c>
      <c r="N32" s="4">
        <v>0.03</v>
      </c>
      <c r="O32" s="4">
        <v>1</v>
      </c>
      <c r="P32" s="4">
        <v>0</v>
      </c>
      <c r="Q32" s="4">
        <v>0</v>
      </c>
      <c r="R32" s="4">
        <v>1</v>
      </c>
      <c r="S32" s="4">
        <v>0</v>
      </c>
      <c r="T32" s="4">
        <v>0</v>
      </c>
      <c r="U32" s="4">
        <v>0</v>
      </c>
      <c r="V32" s="6">
        <v>0</v>
      </c>
      <c r="W32" s="6">
        <v>0</v>
      </c>
      <c r="X32" s="4">
        <v>0</v>
      </c>
      <c r="Y32" s="2">
        <f t="shared" si="6"/>
        <v>0</v>
      </c>
      <c r="Z32" s="2">
        <f t="shared" si="7"/>
        <v>0</v>
      </c>
      <c r="AA32" s="3"/>
      <c r="AB32" s="2">
        <f t="shared" si="0"/>
        <v>0</v>
      </c>
      <c r="AC32" s="2">
        <f t="shared" si="1"/>
        <v>0</v>
      </c>
      <c r="AD32" s="8"/>
      <c r="AE32" s="8"/>
      <c r="AF32" s="2">
        <f t="shared" si="5"/>
        <v>0</v>
      </c>
      <c r="AP32" s="2"/>
    </row>
    <row r="33" spans="1:42" x14ac:dyDescent="0.25">
      <c r="A33">
        <f t="shared" si="3"/>
        <v>5</v>
      </c>
      <c r="B33" t="s">
        <v>45</v>
      </c>
      <c r="C33" t="s">
        <v>19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0.23500000000000001</v>
      </c>
      <c r="L33">
        <v>3.5</v>
      </c>
      <c r="M33">
        <v>4.4800000000000005E-4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 s="2">
        <v>38.031399999999998</v>
      </c>
      <c r="W33" s="2">
        <v>11.552200000000001</v>
      </c>
      <c r="X33" s="7">
        <v>0</v>
      </c>
      <c r="Y33" s="2">
        <f t="shared" si="6"/>
        <v>38.031399999999998</v>
      </c>
      <c r="Z33" s="2">
        <f t="shared" si="7"/>
        <v>11.552200000000001</v>
      </c>
      <c r="AA33" s="3">
        <v>0</v>
      </c>
      <c r="AB33" s="2">
        <f t="shared" si="0"/>
        <v>38.031399999999998</v>
      </c>
      <c r="AC33" s="2">
        <f t="shared" si="1"/>
        <v>11.552200000000001</v>
      </c>
      <c r="AD33" s="8">
        <f t="shared" si="8"/>
        <v>68.670690000000008</v>
      </c>
      <c r="AE33" s="8"/>
      <c r="AF33" s="2">
        <f t="shared" si="5"/>
        <v>49.583599999999997</v>
      </c>
      <c r="AP33" s="2"/>
    </row>
    <row r="34" spans="1:42" x14ac:dyDescent="0.25">
      <c r="A34">
        <f t="shared" si="3"/>
        <v>5</v>
      </c>
      <c r="B34" t="s">
        <v>45</v>
      </c>
      <c r="C34" t="s">
        <v>20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0.23500000000000001</v>
      </c>
      <c r="L34">
        <v>4</v>
      </c>
      <c r="M34">
        <v>5.13E-4</v>
      </c>
      <c r="N34">
        <v>5.5E-2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>
        <v>5</v>
      </c>
      <c r="V34" s="2">
        <v>21.00224</v>
      </c>
      <c r="W34" s="2">
        <v>6.3795200000000003</v>
      </c>
      <c r="X34" s="7">
        <v>0</v>
      </c>
      <c r="Y34" s="2">
        <f t="shared" si="6"/>
        <v>21.00224</v>
      </c>
      <c r="Z34" s="2">
        <f t="shared" si="7"/>
        <v>6.3795200000000003</v>
      </c>
      <c r="AA34" s="3">
        <v>0</v>
      </c>
      <c r="AB34" s="2">
        <f t="shared" si="0"/>
        <v>21.00224</v>
      </c>
      <c r="AC34" s="2">
        <f t="shared" si="1"/>
        <v>6.3795200000000003</v>
      </c>
      <c r="AD34" s="8">
        <f t="shared" si="8"/>
        <v>37.922304000000004</v>
      </c>
      <c r="AE34" s="8"/>
      <c r="AF34" s="2">
        <f t="shared" si="5"/>
        <v>27.38176</v>
      </c>
    </row>
    <row r="35" spans="1:42" x14ac:dyDescent="0.25">
      <c r="A35">
        <f t="shared" si="3"/>
        <v>5</v>
      </c>
      <c r="B35" t="s">
        <v>45</v>
      </c>
      <c r="C35" t="s">
        <v>23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0.23500000000000001</v>
      </c>
      <c r="L35">
        <v>4</v>
      </c>
      <c r="M35">
        <v>1.5400000000000001E-3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 s="2">
        <v>0</v>
      </c>
      <c r="W35" s="2">
        <v>0</v>
      </c>
      <c r="X35" s="7">
        <v>0</v>
      </c>
      <c r="Y35" s="2">
        <f t="shared" si="6"/>
        <v>0</v>
      </c>
      <c r="Z35" s="2">
        <f t="shared" si="7"/>
        <v>0</v>
      </c>
      <c r="AA35" s="3">
        <v>0</v>
      </c>
      <c r="AB35" s="2">
        <f t="shared" si="0"/>
        <v>0</v>
      </c>
      <c r="AC35" s="2">
        <f t="shared" si="1"/>
        <v>0</v>
      </c>
      <c r="AD35" s="8">
        <f t="shared" si="8"/>
        <v>0</v>
      </c>
      <c r="AE35" s="8"/>
      <c r="AF35" s="2">
        <f t="shared" si="5"/>
        <v>0</v>
      </c>
    </row>
    <row r="36" spans="1:42" x14ac:dyDescent="0.25">
      <c r="A36">
        <f t="shared" si="3"/>
        <v>5</v>
      </c>
      <c r="B36" t="s">
        <v>45</v>
      </c>
      <c r="C36" t="s">
        <v>24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0.23500000000000001</v>
      </c>
      <c r="L36">
        <v>4</v>
      </c>
      <c r="M36">
        <v>5.13E-4</v>
      </c>
      <c r="N36">
        <v>5.5E-2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>
        <v>5</v>
      </c>
      <c r="V36" s="2">
        <v>3.7504</v>
      </c>
      <c r="W36" s="2">
        <v>1.1392</v>
      </c>
      <c r="X36" s="7">
        <v>0</v>
      </c>
      <c r="Y36" s="2">
        <f t="shared" si="6"/>
        <v>3.7504</v>
      </c>
      <c r="Z36" s="2">
        <f t="shared" si="7"/>
        <v>1.1392</v>
      </c>
      <c r="AA36" s="3">
        <v>0</v>
      </c>
      <c r="AB36" s="2">
        <f t="shared" si="0"/>
        <v>3.7504</v>
      </c>
      <c r="AC36" s="2">
        <f t="shared" si="1"/>
        <v>1.1392</v>
      </c>
      <c r="AD36" s="8">
        <f t="shared" si="8"/>
        <v>6.7718400000000001</v>
      </c>
      <c r="AE36" s="8"/>
      <c r="AF36" s="2">
        <f t="shared" si="5"/>
        <v>4.8895999999999997</v>
      </c>
    </row>
    <row r="37" spans="1:42" x14ac:dyDescent="0.25">
      <c r="A37">
        <f t="shared" si="3"/>
        <v>5</v>
      </c>
      <c r="B37" t="s">
        <v>45</v>
      </c>
      <c r="C37" t="s">
        <v>25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0.23500000000000001</v>
      </c>
      <c r="L37">
        <v>4</v>
      </c>
      <c r="M37">
        <v>2.052E-3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 s="2">
        <v>0.64460000000000006</v>
      </c>
      <c r="W37" s="2">
        <v>0.1958</v>
      </c>
      <c r="X37" s="7">
        <v>0</v>
      </c>
      <c r="Y37" s="2">
        <f t="shared" si="6"/>
        <v>0.64460000000000006</v>
      </c>
      <c r="Z37" s="2">
        <f t="shared" si="7"/>
        <v>0.1958</v>
      </c>
      <c r="AA37" s="3">
        <v>0</v>
      </c>
      <c r="AB37" s="2">
        <f t="shared" si="0"/>
        <v>0.64460000000000006</v>
      </c>
      <c r="AC37" s="2">
        <f t="shared" si="1"/>
        <v>0.1958</v>
      </c>
      <c r="AD37" s="8">
        <f t="shared" si="8"/>
        <v>1.1639100000000002</v>
      </c>
      <c r="AE37" s="8"/>
      <c r="AF37" s="2">
        <f t="shared" si="5"/>
        <v>0.84040000000000004</v>
      </c>
    </row>
    <row r="38" spans="1:42" x14ac:dyDescent="0.25">
      <c r="A38">
        <f t="shared" si="3"/>
        <v>5</v>
      </c>
      <c r="B38" t="s">
        <v>45</v>
      </c>
      <c r="C38" t="s">
        <v>26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0.23500000000000001</v>
      </c>
      <c r="L38">
        <v>4</v>
      </c>
      <c r="M38">
        <v>5.13E-4</v>
      </c>
      <c r="N38">
        <v>5.5E-2</v>
      </c>
      <c r="O38">
        <v>1</v>
      </c>
      <c r="P38">
        <v>0</v>
      </c>
      <c r="Q38">
        <v>0</v>
      </c>
      <c r="R38">
        <v>1</v>
      </c>
      <c r="S38">
        <v>2.9099999999999999E-5</v>
      </c>
      <c r="T38">
        <v>0</v>
      </c>
      <c r="U38">
        <v>5</v>
      </c>
      <c r="V38" s="2">
        <v>37.503999999999998</v>
      </c>
      <c r="W38" s="2">
        <v>11.391999999999999</v>
      </c>
      <c r="X38" s="7">
        <v>0</v>
      </c>
      <c r="Y38" s="2">
        <f t="shared" si="6"/>
        <v>37.503999999999998</v>
      </c>
      <c r="Z38" s="2">
        <f t="shared" si="7"/>
        <v>11.391999999999999</v>
      </c>
      <c r="AA38" s="3">
        <v>0</v>
      </c>
      <c r="AB38" s="2">
        <f t="shared" si="0"/>
        <v>37.503999999999998</v>
      </c>
      <c r="AC38" s="2">
        <f t="shared" si="1"/>
        <v>11.391999999999999</v>
      </c>
      <c r="AD38" s="8">
        <f t="shared" si="8"/>
        <v>67.718400000000003</v>
      </c>
      <c r="AE38" s="8"/>
      <c r="AF38" s="2">
        <f t="shared" si="5"/>
        <v>48.896000000000001</v>
      </c>
    </row>
    <row r="39" spans="1:42" x14ac:dyDescent="0.25">
      <c r="A39">
        <f t="shared" si="3"/>
        <v>5</v>
      </c>
      <c r="B39" t="s">
        <v>45</v>
      </c>
      <c r="C39" t="s">
        <v>27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0.23500000000000001</v>
      </c>
      <c r="L39">
        <v>4</v>
      </c>
      <c r="M39">
        <v>1.5400000000000001E-3</v>
      </c>
      <c r="N39">
        <v>0.04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 s="2">
        <v>36.0976</v>
      </c>
      <c r="W39" s="2">
        <v>10.9648</v>
      </c>
      <c r="X39" s="7">
        <v>0</v>
      </c>
      <c r="Y39" s="2">
        <f t="shared" si="6"/>
        <v>36.0976</v>
      </c>
      <c r="Z39" s="2">
        <f t="shared" si="7"/>
        <v>10.9648</v>
      </c>
      <c r="AA39" s="3">
        <v>0</v>
      </c>
      <c r="AB39" s="2">
        <f t="shared" si="0"/>
        <v>36.0976</v>
      </c>
      <c r="AC39" s="2">
        <f t="shared" si="1"/>
        <v>10.9648</v>
      </c>
      <c r="AD39" s="8">
        <f t="shared" si="8"/>
        <v>65.178960000000004</v>
      </c>
      <c r="AE39" s="8"/>
      <c r="AF39" s="2">
        <f t="shared" si="5"/>
        <v>47.062399999999997</v>
      </c>
    </row>
    <row r="40" spans="1:42" x14ac:dyDescent="0.25">
      <c r="A40">
        <f t="shared" si="3"/>
        <v>5</v>
      </c>
      <c r="B40" t="s">
        <v>45</v>
      </c>
      <c r="C40" t="s">
        <v>28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0.23500000000000001</v>
      </c>
      <c r="L40">
        <v>4</v>
      </c>
      <c r="M40">
        <v>5.13E-4</v>
      </c>
      <c r="N40">
        <v>5.5E-2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>
        <v>5</v>
      </c>
      <c r="V40" s="2">
        <v>77.258240000000001</v>
      </c>
      <c r="W40" s="2">
        <v>23.46752</v>
      </c>
      <c r="X40" s="7">
        <v>0</v>
      </c>
      <c r="Y40" s="2">
        <f t="shared" si="6"/>
        <v>77.258240000000001</v>
      </c>
      <c r="Z40" s="2">
        <f t="shared" si="7"/>
        <v>23.46752</v>
      </c>
      <c r="AA40" s="3">
        <v>0</v>
      </c>
      <c r="AB40" s="2">
        <f t="shared" si="0"/>
        <v>77.258240000000001</v>
      </c>
      <c r="AC40" s="2">
        <f t="shared" si="1"/>
        <v>23.46752</v>
      </c>
      <c r="AD40" s="8">
        <f t="shared" si="8"/>
        <v>139.49990400000002</v>
      </c>
      <c r="AE40" s="8"/>
      <c r="AF40" s="2">
        <f t="shared" si="5"/>
        <v>100.72576000000001</v>
      </c>
    </row>
    <row r="41" spans="1:42" x14ac:dyDescent="0.25">
      <c r="A41">
        <f t="shared" si="3"/>
        <v>5</v>
      </c>
      <c r="B41" t="s">
        <v>45</v>
      </c>
      <c r="C41" t="s">
        <v>29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0.23500000000000001</v>
      </c>
      <c r="L41">
        <v>4</v>
      </c>
      <c r="M41">
        <v>2.052E-3</v>
      </c>
      <c r="N41">
        <v>0.04</v>
      </c>
      <c r="O41">
        <v>1</v>
      </c>
      <c r="P41">
        <v>0</v>
      </c>
      <c r="Q41">
        <v>0</v>
      </c>
      <c r="R41">
        <v>1</v>
      </c>
      <c r="S41">
        <v>0</v>
      </c>
      <c r="T41">
        <v>0</v>
      </c>
      <c r="U41">
        <v>0</v>
      </c>
      <c r="V41" s="2">
        <v>50.278800000000004</v>
      </c>
      <c r="W41" s="2">
        <v>15.272400000000001</v>
      </c>
      <c r="X41" s="7">
        <v>0</v>
      </c>
      <c r="Y41" s="2">
        <f t="shared" si="6"/>
        <v>50.278800000000004</v>
      </c>
      <c r="Z41" s="2">
        <f t="shared" si="7"/>
        <v>15.272400000000001</v>
      </c>
      <c r="AA41" s="3">
        <v>0</v>
      </c>
      <c r="AB41" s="2">
        <f t="shared" si="0"/>
        <v>50.278800000000004</v>
      </c>
      <c r="AC41" s="2">
        <f t="shared" si="1"/>
        <v>15.272400000000001</v>
      </c>
      <c r="AD41" s="8">
        <f t="shared" si="8"/>
        <v>90.784980000000019</v>
      </c>
      <c r="AE41" s="8"/>
      <c r="AF41" s="2">
        <f t="shared" si="5"/>
        <v>65.551200000000009</v>
      </c>
    </row>
    <row r="42" spans="1:42" x14ac:dyDescent="0.25">
      <c r="X42" s="7"/>
      <c r="Y42" s="9"/>
      <c r="Z42" s="9"/>
      <c r="AA42" s="10"/>
      <c r="AB42" s="9"/>
      <c r="AC42" s="9"/>
      <c r="AD42" s="9"/>
      <c r="AE42" s="9"/>
      <c r="AF42" s="9"/>
    </row>
    <row r="43" spans="1:42" x14ac:dyDescent="0.25">
      <c r="X43" s="7"/>
      <c r="Y43" s="9"/>
      <c r="Z43" s="9"/>
      <c r="AA43" s="10"/>
      <c r="AB43" s="9"/>
      <c r="AC43" s="9"/>
      <c r="AD43" s="9"/>
      <c r="AE43" s="9"/>
      <c r="AF43" s="9"/>
    </row>
    <row r="44" spans="1:42" x14ac:dyDescent="0.25">
      <c r="X44" s="7"/>
      <c r="Y44" s="9"/>
      <c r="Z44" s="9"/>
      <c r="AA44" s="10"/>
      <c r="AB44" s="9"/>
      <c r="AC44" s="9"/>
      <c r="AD44" s="9"/>
      <c r="AE44" s="9"/>
      <c r="AF44" s="9"/>
    </row>
    <row r="45" spans="1:42" x14ac:dyDescent="0.25">
      <c r="X45" s="7"/>
      <c r="Y45" s="9"/>
      <c r="Z45" s="9"/>
      <c r="AA45" s="10"/>
      <c r="AB45" s="9"/>
      <c r="AC45" s="9"/>
      <c r="AD45" s="9"/>
      <c r="AE45" s="9"/>
      <c r="AF45" s="9"/>
    </row>
    <row r="46" spans="1:42" x14ac:dyDescent="0.25">
      <c r="X46" s="7"/>
      <c r="Y46" s="9"/>
      <c r="Z46" s="9"/>
      <c r="AA46" s="10"/>
      <c r="AB46" s="9"/>
      <c r="AC46" s="9"/>
      <c r="AD46" s="9"/>
      <c r="AE46" s="9"/>
      <c r="AF46" s="9"/>
    </row>
    <row r="47" spans="1:42" x14ac:dyDescent="0.25">
      <c r="X47" s="7"/>
      <c r="Y47" s="9"/>
      <c r="Z47" s="9"/>
      <c r="AA47" s="10"/>
      <c r="AB47" s="9"/>
      <c r="AC47" s="9"/>
      <c r="AD47" s="9"/>
      <c r="AE47" s="9"/>
      <c r="AF47" s="9"/>
    </row>
    <row r="48" spans="1:42" x14ac:dyDescent="0.25">
      <c r="X48" s="7"/>
      <c r="Y48" s="9"/>
      <c r="Z48" s="9"/>
      <c r="AA48" s="10"/>
      <c r="AB48" s="9"/>
      <c r="AC48" s="9"/>
      <c r="AD48" s="9"/>
      <c r="AE48" s="9"/>
      <c r="AF48" s="9"/>
    </row>
    <row r="49" spans="24:32" x14ac:dyDescent="0.25">
      <c r="X49" s="7"/>
      <c r="Y49" s="9"/>
      <c r="Z49" s="9"/>
      <c r="AA49" s="10"/>
      <c r="AB49" s="9"/>
      <c r="AC49" s="9"/>
      <c r="AD49" s="9"/>
      <c r="AE49" s="9"/>
      <c r="AF49" s="9"/>
    </row>
    <row r="50" spans="24:32" x14ac:dyDescent="0.25">
      <c r="X50" s="7"/>
      <c r="Y50" s="9"/>
      <c r="Z50" s="9"/>
      <c r="AA50" s="10"/>
      <c r="AB50" s="9"/>
      <c r="AC50" s="9"/>
      <c r="AD50" s="9"/>
      <c r="AE50" s="9"/>
      <c r="AF50" s="9"/>
    </row>
    <row r="51" spans="24:32" x14ac:dyDescent="0.25">
      <c r="X51" s="7"/>
      <c r="Y51" s="9"/>
      <c r="Z51" s="9"/>
      <c r="AA51" s="10"/>
      <c r="AB51" s="9"/>
      <c r="AC51" s="9"/>
      <c r="AD51" s="9"/>
      <c r="AE51" s="9"/>
      <c r="AF51" s="9"/>
    </row>
    <row r="52" spans="24:32" x14ac:dyDescent="0.25">
      <c r="X52" s="7"/>
      <c r="Y52" s="9"/>
      <c r="Z52" s="9"/>
      <c r="AA52" s="10"/>
      <c r="AB52" s="9"/>
      <c r="AC52" s="9"/>
      <c r="AD52" s="9"/>
      <c r="AE52" s="9"/>
      <c r="AF52" s="9"/>
    </row>
    <row r="53" spans="24:32" x14ac:dyDescent="0.25">
      <c r="X53" s="7"/>
      <c r="Y53" s="9"/>
      <c r="Z53" s="9"/>
      <c r="AA53" s="10"/>
      <c r="AB53" s="9"/>
      <c r="AC53" s="9"/>
      <c r="AD53" s="9"/>
      <c r="AE53" s="9"/>
      <c r="AF53" s="9"/>
    </row>
    <row r="54" spans="24:32" x14ac:dyDescent="0.25">
      <c r="X54" s="7"/>
      <c r="Y54" s="9"/>
      <c r="Z54" s="9"/>
      <c r="AA54" s="10"/>
      <c r="AB54" s="9"/>
      <c r="AC54" s="9"/>
      <c r="AD54" s="9"/>
      <c r="AE54" s="9"/>
      <c r="AF54" s="9"/>
    </row>
    <row r="55" spans="24:32" x14ac:dyDescent="0.25">
      <c r="X55" s="7"/>
      <c r="Y55" s="9"/>
      <c r="Z55" s="9"/>
      <c r="AA55" s="10"/>
      <c r="AB55" s="9"/>
      <c r="AC55" s="9"/>
      <c r="AD55" s="9"/>
      <c r="AE55" s="9"/>
      <c r="AF55" s="9"/>
    </row>
    <row r="56" spans="24:32" x14ac:dyDescent="0.25">
      <c r="X56" s="7"/>
      <c r="Y56" s="9"/>
      <c r="Z56" s="9"/>
      <c r="AA56" s="10"/>
      <c r="AB56" s="9"/>
      <c r="AC56" s="9"/>
      <c r="AD56" s="9"/>
      <c r="AE56" s="9"/>
      <c r="AF56" s="9"/>
    </row>
    <row r="57" spans="24:32" x14ac:dyDescent="0.25">
      <c r="X57" s="7"/>
      <c r="Y57" s="9"/>
      <c r="Z57" s="9"/>
      <c r="AA57" s="10"/>
      <c r="AB57" s="9"/>
      <c r="AC57" s="9"/>
      <c r="AD57" s="9"/>
      <c r="AE57" s="9"/>
      <c r="AF57" s="9"/>
    </row>
    <row r="58" spans="24:32" x14ac:dyDescent="0.25">
      <c r="X58" s="7"/>
      <c r="Y58" s="9"/>
      <c r="Z58" s="9"/>
      <c r="AA58" s="10"/>
      <c r="AB58" s="9"/>
      <c r="AC58" s="9"/>
      <c r="AD58" s="9"/>
      <c r="AE58" s="9"/>
      <c r="AF58" s="9"/>
    </row>
    <row r="59" spans="24:32" x14ac:dyDescent="0.25">
      <c r="X59" s="7"/>
      <c r="Y59" s="9"/>
      <c r="Z59" s="9"/>
      <c r="AA59" s="10"/>
      <c r="AB59" s="9"/>
      <c r="AC59" s="9"/>
      <c r="AD59" s="9"/>
      <c r="AE59" s="9"/>
      <c r="AF59" s="9"/>
    </row>
    <row r="60" spans="24:32" x14ac:dyDescent="0.25">
      <c r="X60" s="7"/>
      <c r="Y60" s="9"/>
      <c r="Z60" s="9"/>
      <c r="AA60" s="10"/>
      <c r="AB60" s="9"/>
      <c r="AC60" s="9"/>
      <c r="AD60" s="9"/>
      <c r="AE60" s="9"/>
      <c r="AF60" s="9"/>
    </row>
    <row r="61" spans="24:32" x14ac:dyDescent="0.25">
      <c r="X61" s="7"/>
      <c r="Y61" s="9"/>
      <c r="Z61" s="9"/>
      <c r="AA61" s="10"/>
      <c r="AB61" s="9"/>
      <c r="AC61" s="9"/>
      <c r="AD61" s="9"/>
      <c r="AE61" s="9"/>
      <c r="AF61" s="9"/>
    </row>
    <row r="62" spans="24:32" x14ac:dyDescent="0.25">
      <c r="X62" s="7"/>
      <c r="Y62" s="9"/>
      <c r="Z62" s="9"/>
      <c r="AA62" s="10"/>
      <c r="AB62" s="9"/>
      <c r="AC62" s="9"/>
      <c r="AD62" s="9"/>
      <c r="AE62" s="9"/>
      <c r="AF62" s="9"/>
    </row>
    <row r="63" spans="24:32" x14ac:dyDescent="0.25">
      <c r="X63" s="7"/>
      <c r="Y63" s="9"/>
      <c r="Z63" s="9"/>
      <c r="AA63" s="10"/>
      <c r="AB63" s="9"/>
      <c r="AC63" s="9"/>
      <c r="AD63" s="9"/>
      <c r="AE63" s="9"/>
      <c r="AF63" s="9"/>
    </row>
    <row r="64" spans="24:32" x14ac:dyDescent="0.25">
      <c r="X64" s="7"/>
      <c r="Y64" s="9"/>
      <c r="Z64" s="9"/>
      <c r="AA64" s="10"/>
      <c r="AB64" s="9"/>
      <c r="AC64" s="9"/>
      <c r="AD64" s="9"/>
      <c r="AE64" s="9"/>
      <c r="AF64" s="9"/>
    </row>
    <row r="65" spans="7:32" x14ac:dyDescent="0.25"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25"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25">
      <c r="X67" s="7"/>
      <c r="Y67" s="9"/>
      <c r="Z67" s="9"/>
      <c r="AA67" s="10"/>
      <c r="AB67" s="9"/>
      <c r="AC67" s="9"/>
      <c r="AD67" s="9"/>
      <c r="AE67" s="9"/>
      <c r="AF67" s="9"/>
    </row>
    <row r="68" spans="7:32" x14ac:dyDescent="0.25">
      <c r="V68" s="9"/>
      <c r="W68" s="9"/>
      <c r="X68" s="7"/>
      <c r="Y68" s="9"/>
      <c r="Z68" s="9"/>
      <c r="AA68" s="10"/>
      <c r="AB68" s="9"/>
      <c r="AC68" s="9"/>
      <c r="AD68" s="9"/>
      <c r="AE68" s="9"/>
      <c r="AF68" s="9"/>
    </row>
    <row r="69" spans="7:32" x14ac:dyDescent="0.25">
      <c r="V69" s="9"/>
      <c r="W69" s="9"/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25">
      <c r="V70" s="9"/>
      <c r="W70" s="9"/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25">
      <c r="G71" s="1"/>
      <c r="V71" s="2"/>
      <c r="W71" s="2"/>
      <c r="Y71" s="9"/>
      <c r="Z71" s="9"/>
      <c r="AA71" s="10"/>
      <c r="AB71" s="9"/>
      <c r="AC71" s="9"/>
      <c r="AD71" s="9"/>
      <c r="AE71" s="9"/>
      <c r="AF71" s="9"/>
    </row>
    <row r="72" spans="7:32" x14ac:dyDescent="0.25">
      <c r="V72" s="9"/>
      <c r="W72" s="9"/>
      <c r="X72" s="7"/>
      <c r="Y72" s="9"/>
      <c r="Z72" s="9"/>
      <c r="AA72" s="10"/>
      <c r="AB72" s="9"/>
      <c r="AC72" s="9"/>
      <c r="AD72" s="9"/>
      <c r="AE72" s="9"/>
      <c r="AF72" s="9"/>
    </row>
    <row r="73" spans="7:32" x14ac:dyDescent="0.2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7:32" x14ac:dyDescent="0.25">
      <c r="G74" s="1"/>
      <c r="V74" s="2"/>
      <c r="W74" s="2"/>
      <c r="Y74" s="9"/>
      <c r="Z74" s="9"/>
      <c r="AA74" s="10"/>
      <c r="AB74" s="9"/>
      <c r="AC74" s="9"/>
      <c r="AD74" s="9"/>
      <c r="AE74" s="9"/>
      <c r="AF74" s="9"/>
    </row>
    <row r="75" spans="7:32" x14ac:dyDescent="0.25">
      <c r="G75" s="1"/>
      <c r="V75" s="2"/>
      <c r="W75" s="2"/>
      <c r="Y75" s="9"/>
      <c r="Z75" s="9"/>
      <c r="AA75" s="10"/>
      <c r="AB75" s="9"/>
      <c r="AC75" s="9"/>
      <c r="AD75" s="9"/>
      <c r="AE75" s="9"/>
      <c r="AF75" s="9"/>
    </row>
    <row r="76" spans="7:32" x14ac:dyDescent="0.25">
      <c r="V76" s="9"/>
      <c r="W76" s="9"/>
      <c r="X76" s="7"/>
      <c r="Y76" s="9"/>
      <c r="Z76" s="9"/>
      <c r="AA76" s="10"/>
      <c r="AB76" s="9"/>
      <c r="AC76" s="9"/>
      <c r="AD76" s="9"/>
      <c r="AE76" s="9"/>
      <c r="AF76" s="9"/>
    </row>
    <row r="77" spans="7:32" x14ac:dyDescent="0.25">
      <c r="V77" s="9"/>
      <c r="W77" s="9"/>
      <c r="X77" s="7"/>
      <c r="Y77" s="9"/>
      <c r="Z77" s="9"/>
      <c r="AA77" s="10"/>
      <c r="AB77" s="9"/>
      <c r="AC77" s="9"/>
      <c r="AD77" s="9"/>
      <c r="AE77" s="9"/>
      <c r="AF77" s="9"/>
    </row>
    <row r="78" spans="7:32" x14ac:dyDescent="0.25">
      <c r="V78" s="9"/>
      <c r="W78" s="9"/>
      <c r="X78" s="7"/>
      <c r="Y78" s="9"/>
      <c r="Z78" s="9"/>
      <c r="AA78" s="10"/>
      <c r="AB78" s="9"/>
      <c r="AC78" s="9"/>
      <c r="AD78" s="9"/>
      <c r="AE78" s="9"/>
      <c r="AF78" s="9"/>
    </row>
    <row r="79" spans="7:32" x14ac:dyDescent="0.25">
      <c r="V79" s="9"/>
      <c r="W79" s="9"/>
      <c r="X79" s="7"/>
      <c r="Y79" s="9"/>
      <c r="Z79" s="9"/>
      <c r="AB79" s="9"/>
      <c r="AC79" s="9"/>
      <c r="AD79" s="9"/>
      <c r="AE79" s="9"/>
      <c r="AF79" s="9"/>
    </row>
    <row r="80" spans="7:32" x14ac:dyDescent="0.25">
      <c r="V80" s="9"/>
      <c r="W80" s="9"/>
      <c r="X80" s="7"/>
      <c r="Y80" s="9"/>
      <c r="Z80" s="9"/>
      <c r="AB80" s="9"/>
      <c r="AC80" s="9"/>
      <c r="AD80" s="9"/>
      <c r="AE80" s="9"/>
      <c r="AF80" s="9"/>
    </row>
    <row r="81" spans="22:32" x14ac:dyDescent="0.25">
      <c r="V81" s="9"/>
      <c r="W81" s="9"/>
      <c r="X81" s="7"/>
      <c r="Y81" s="9"/>
      <c r="Z81" s="9"/>
      <c r="AB81" s="9"/>
      <c r="AC81" s="9"/>
      <c r="AD81" s="9"/>
      <c r="AE81" s="9"/>
      <c r="AF81" s="9"/>
    </row>
    <row r="82" spans="22:32" x14ac:dyDescent="0.25">
      <c r="X82" s="7"/>
      <c r="Y82" s="9"/>
      <c r="Z82" s="9"/>
      <c r="AB82" s="9"/>
      <c r="AC82" s="9"/>
      <c r="AD82" s="9"/>
      <c r="AE82" s="9"/>
      <c r="AF82" s="9"/>
    </row>
    <row r="83" spans="22:32" x14ac:dyDescent="0.25">
      <c r="Y83" s="9"/>
      <c r="Z83" s="9"/>
      <c r="AB83" s="9"/>
      <c r="AC83" s="9"/>
      <c r="AD83" s="9"/>
      <c r="AE83" s="9"/>
      <c r="AF83" s="9"/>
    </row>
  </sheetData>
  <phoneticPr fontId="18" type="noConversion"/>
  <conditionalFormatting sqref="X3:X11 X13:X21 X23:X31 X33:X70">
    <cfRule type="expression" dxfId="1" priority="1">
      <formula>$A3="Travée"</formula>
    </cfRule>
  </conditionalFormatting>
  <conditionalFormatting sqref="X72:X73 X76:X82">
    <cfRule type="expression" dxfId="0" priority="2">
      <formula>$A72="Travée"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2025-12-08T10:29:19Z</dcterms:modified>
</cp:coreProperties>
</file>