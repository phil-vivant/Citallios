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be78f506c0bb2d4/Documents/Citallios/Calculs/PH4/"/>
    </mc:Choice>
  </mc:AlternateContent>
  <xr:revisionPtr revIDLastSave="97" documentId="13_ncr:1_{B6EAA742-0D34-4156-A07B-181580B7D09F}" xr6:coauthVersionLast="47" xr6:coauthVersionMax="47" xr10:uidLastSave="{B88F0776-B2F0-4117-A1A4-828FF196CB87}"/>
  <bookViews>
    <workbookView xWindow="2340" yWindow="2340" windowWidth="28800" windowHeight="15345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" i="1" l="1"/>
  <c r="A3" i="1"/>
  <c r="A4" i="1" s="1"/>
  <c r="Y3" i="1"/>
  <c r="AD3" i="1" s="1"/>
  <c r="Z3" i="1"/>
  <c r="X4" i="1"/>
  <c r="Z5" i="1"/>
  <c r="Y5" i="1"/>
  <c r="AC3" i="1" l="1"/>
  <c r="AB3" i="1"/>
  <c r="AF3" i="1" s="1"/>
  <c r="AC5" i="1"/>
  <c r="AB5" i="1"/>
  <c r="AF5" i="1" s="1"/>
  <c r="AD5" i="1"/>
  <c r="AB2" i="1" l="1"/>
  <c r="AC2" i="1"/>
  <c r="AD2" i="1"/>
  <c r="A5" i="1"/>
  <c r="Z4" i="1" l="1"/>
  <c r="Y4" i="1"/>
  <c r="AF2" i="1"/>
  <c r="AC4" i="1" l="1"/>
  <c r="AB4" i="1"/>
  <c r="AF4" i="1" s="1"/>
  <c r="AD4" i="1"/>
</calcChain>
</file>

<file path=xl/sharedStrings.xml><?xml version="1.0" encoding="utf-8"?>
<sst xmlns="http://schemas.openxmlformats.org/spreadsheetml/2006/main" count="44" uniqueCount="38">
  <si>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</si>
  <si>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</si>
  <si>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</si>
  <si>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</si>
  <si>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</si>
  <si>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</si>
  <si>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</si>
  <si>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</si>
  <si>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</si>
  <si>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</si>
  <si>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</si>
  <si>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</si>
  <si>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</si>
  <si>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</si>
  <si>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</si>
  <si>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</si>
  <si>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</si>
  <si>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</si>
  <si>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</si>
  <si>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File A - 1</t>
  </si>
  <si>
    <t>Travée 1</t>
  </si>
  <si>
    <t>Appui 1</t>
  </si>
  <si>
    <t>File</t>
  </si>
  <si>
    <t>ID</t>
  </si>
  <si>
    <t>Travée 2</t>
  </si>
  <si>
    <t>Appui 2</t>
  </si>
  <si>
    <t>m_elu_1</t>
  </si>
  <si>
    <t>m_elu_2</t>
  </si>
  <si>
    <t>m_els_1_1</t>
  </si>
  <si>
    <t>m_feu_1</t>
  </si>
  <si>
    <t>m_els_2_1</t>
  </si>
  <si>
    <t>Mg+g'</t>
  </si>
  <si>
    <t>Mq</t>
  </si>
  <si>
    <t xml:space="preserve">Vérinage </t>
  </si>
  <si>
    <t>F</t>
  </si>
  <si>
    <t>Mg+g'_Elas</t>
  </si>
  <si>
    <t>Mq_Elas</t>
  </si>
  <si>
    <t>Redis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</si>
</sst>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1">
    <xf numFmtId="0" fontId="0" fillId="0" borderId="0" xfId="0"/>
    <xf numFmtId="3" fontId="0" fillId="0" borderId="0" xfId="0" applyNumberFormat="1"/>
    <xf numFmtId="164" fontId="0" fillId="0" borderId="0" xfId="0" applyNumberFormat="1"/>
    <xf numFmtId="9" fontId="0" fillId="33" borderId="0" xfId="42" applyFont="1" applyFill="1"/>
    <xf numFmtId="0" fontId="0" fillId="34" borderId="0" xfId="0" applyFill="1"/>
    <xf numFmtId="3" fontId="0" fillId="34" borderId="0" xfId="0" applyNumberFormat="1" applyFill="1"/>
    <xf numFmtId="164" fontId="0" fillId="34" borderId="0" xfId="0" applyNumberFormat="1" applyFill="1"/>
    <xf numFmtId="10" fontId="0" fillId="0" borderId="0" xfId="0" applyNumberFormat="1"/>
    <xf numFmtId="1" fontId="0" fillId="33" borderId="0" xfId="0" applyNumberFormat="1" applyFill="1"/>
    <xf numFmtId="1" fontId="0" fillId="0" borderId="0" xfId="0" applyNumberFormat="1"/>
    <xf numFmtId="9" fontId="0" fillId="33" borderId="0" xfId="0" applyNumberFormat="1" applyFill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1"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AQ75"/>
  <sheetViews>
    <sheetView tabSelected="1" zoomScale="55" zoomScaleNormal="55" workbookViewId="0">
      <pane xSplit="3" topLeftCell="D1" activePane="topRight" state="frozen"/>
      <selection pane="topRight" activeCell="Z3" sqref="Z3"/>
    </sheetView>
  </sheetViews>
  <sheetFormatPr baseColWidth="10" defaultRowHeight="15" x14ac:dyDescent="0.25"/>
  <sheetData>
    <row r="1" spans="1:43" x14ac:dyDescent="0.25">
      <c r="A1" t="s">
        <v>34</v>
      </c>
      <c r="B1" t="s">
        <v>22</v>
      </c>
      <c r="C1" t="s">
        <v>23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35</v>
      </c>
      <c r="W1" t="s">
        <v>36</v>
      </c>
      <c r="X1" t="s">
        <v>37</v>
      </c>
      <c r="Y1" t="s">
        <v>31</v>
      </c>
      <c r="Z1" t="s">
        <v>32</v>
      </c>
      <c r="AA1" t="s">
        <v>33</v>
      </c>
      <c r="AB1" t="s">
        <v>28</v>
      </c>
      <c r="AC1" t="s">
        <v>30</v>
      </c>
      <c r="AD1" t="s">
        <v>26</v>
      </c>
      <c r="AE1" t="s">
        <v>29</v>
      </c>
      <c r="AF1" t="s">
        <v>27</v>
      </c>
    </row>
    <row r="2" spans="1:43" x14ac:dyDescent="0.25">
      <c r="A2">
        <v>1</v>
      </c>
      <c r="B2" t="s">
        <v>19</v>
      </c>
      <c r="C2" t="s">
        <v>20</v>
      </c>
      <c r="D2">
        <v>25</v>
      </c>
      <c r="E2" t="s">
        <v>18</v>
      </c>
      <c r="F2">
        <v>500</v>
      </c>
      <c r="G2" s="1">
        <v>220000</v>
      </c>
      <c r="H2">
        <v>1576</v>
      </c>
      <c r="I2">
        <v>1870</v>
      </c>
      <c r="J2">
        <v>1</v>
      </c>
      <c r="K2">
        <v>0.26</v>
      </c>
      <c r="L2">
        <v>2.2000000000000002</v>
      </c>
      <c r="M2">
        <v>5.6539999999999997E-4</v>
      </c>
      <c r="N2">
        <v>0.04</v>
      </c>
      <c r="O2">
        <v>1</v>
      </c>
      <c r="P2">
        <v>2.9099999999999999E-5</v>
      </c>
      <c r="R2">
        <v>2</v>
      </c>
      <c r="S2">
        <v>9.6000000000000002E-5</v>
      </c>
      <c r="T2">
        <v>0</v>
      </c>
      <c r="U2">
        <v>1</v>
      </c>
      <c r="V2" s="9">
        <v>29.253119999999999</v>
      </c>
      <c r="W2" s="9">
        <v>8.8857599999999994</v>
      </c>
      <c r="X2" s="7" t="str">
        <f t="shared" ref="X2" si="0">IF(ISNUMBER(SEARCH("Appui",#REF!)),0,"0")</f>
        <v>0</v>
      </c>
      <c r="Y2" s="2">
        <v>1</v>
      </c>
      <c r="Z2" s="2">
        <v>1</v>
      </c>
      <c r="AA2" s="3">
        <v>0.5</v>
      </c>
      <c r="AB2" s="2">
        <f t="shared" ref="AB2:AB5" si="1">Y2*(1-AA2)</f>
        <v>0.5</v>
      </c>
      <c r="AC2" s="2">
        <f t="shared" ref="AC2:AC5" si="2">Y2*AA2 + Z2</f>
        <v>1.5</v>
      </c>
      <c r="AD2" s="8">
        <f t="shared" ref="AD2:AD5" si="3">1.35*Y2+1.5*Z2</f>
        <v>2.85</v>
      </c>
      <c r="AE2" s="8"/>
      <c r="AF2" s="2">
        <f t="shared" ref="AF2:AF5" si="4">AB2+AC2</f>
        <v>2</v>
      </c>
      <c r="AP2" s="2"/>
      <c r="AQ2" s="2"/>
    </row>
    <row r="3" spans="1:43" x14ac:dyDescent="0.25">
      <c r="A3">
        <f t="shared" ref="A3:A5" si="5">IF(B3=B2,A2,A2+1)</f>
        <v>1</v>
      </c>
      <c r="B3" t="s">
        <v>19</v>
      </c>
      <c r="C3" t="s">
        <v>21</v>
      </c>
      <c r="D3">
        <v>25</v>
      </c>
      <c r="E3" t="s">
        <v>18</v>
      </c>
      <c r="F3">
        <v>500</v>
      </c>
      <c r="G3" s="1">
        <v>220000</v>
      </c>
      <c r="H3">
        <v>1576</v>
      </c>
      <c r="I3">
        <v>1870</v>
      </c>
      <c r="J3">
        <v>1</v>
      </c>
      <c r="K3">
        <v>0.25</v>
      </c>
      <c r="L3">
        <v>2.2000000000000002</v>
      </c>
      <c r="M3">
        <v>1.1286E-3</v>
      </c>
      <c r="N3">
        <v>9.9999999999999992E-2</v>
      </c>
      <c r="O3">
        <v>1</v>
      </c>
      <c r="P3">
        <v>0</v>
      </c>
      <c r="R3">
        <v>0</v>
      </c>
      <c r="S3">
        <v>0</v>
      </c>
      <c r="T3">
        <v>0</v>
      </c>
      <c r="U3">
        <v>1</v>
      </c>
      <c r="V3" s="9">
        <v>80.574999999999989</v>
      </c>
      <c r="W3" s="9">
        <v>24.474999999999998</v>
      </c>
      <c r="X3" s="7">
        <v>0</v>
      </c>
      <c r="Y3" s="2">
        <f t="shared" ref="Y3:Y5" si="6">IFERROR(IF(ISNUMBER(SEARCH("Appui",C3)),V3+X3*V3,IF(A2&lt;A3,V3-X4*V4/2,IF(A3&lt;A4,V3-(X2*V2)/2,V3-(X4*V4+X2*V2)/2))),0)</f>
        <v>80.574999999999989</v>
      </c>
      <c r="Z3" s="2">
        <f t="shared" ref="Z3:Z5" si="7">IFERROR(IF(ISNUMBER(SEARCH("Appui",C3)),W3+X3*W3,IF(A2&lt;A3,W3-X4*W4/2,IF(A3&lt;A4,W3-(X2*W2)/2,W3-(X4*W4+X2*W2)/2))),0)</f>
        <v>24.474999999999998</v>
      </c>
      <c r="AA3" s="3">
        <v>0.5</v>
      </c>
      <c r="AB3" s="2">
        <f t="shared" si="1"/>
        <v>40.287499999999994</v>
      </c>
      <c r="AC3" s="2">
        <f t="shared" si="2"/>
        <v>64.762499999999989</v>
      </c>
      <c r="AD3" s="8">
        <f t="shared" si="3"/>
        <v>145.48874999999998</v>
      </c>
      <c r="AE3" s="8"/>
      <c r="AF3" s="2">
        <f t="shared" si="4"/>
        <v>105.04999999999998</v>
      </c>
      <c r="AP3" s="2"/>
      <c r="AQ3" s="2"/>
    </row>
    <row r="4" spans="1:43" x14ac:dyDescent="0.25">
      <c r="A4">
        <f t="shared" si="5"/>
        <v>1</v>
      </c>
      <c r="B4" t="s">
        <v>19</v>
      </c>
      <c r="C4" t="s">
        <v>24</v>
      </c>
      <c r="D4">
        <v>25</v>
      </c>
      <c r="E4" t="s">
        <v>18</v>
      </c>
      <c r="F4">
        <v>500</v>
      </c>
      <c r="G4" s="1">
        <v>220000</v>
      </c>
      <c r="H4">
        <v>1576</v>
      </c>
      <c r="I4">
        <v>1870</v>
      </c>
      <c r="J4">
        <v>1</v>
      </c>
      <c r="K4">
        <v>0.23499999999999999</v>
      </c>
      <c r="L4">
        <v>2.2000000000000002</v>
      </c>
      <c r="M4">
        <v>8.470000000000001E-4</v>
      </c>
      <c r="N4">
        <v>0.04</v>
      </c>
      <c r="O4">
        <v>1</v>
      </c>
      <c r="P4">
        <v>2.9099999999999999E-5</v>
      </c>
      <c r="R4">
        <v>2</v>
      </c>
      <c r="S4">
        <v>9.6000000000000002E-5</v>
      </c>
      <c r="T4">
        <v>0</v>
      </c>
      <c r="U4">
        <v>1</v>
      </c>
      <c r="V4" s="9">
        <v>30.75328</v>
      </c>
      <c r="W4" s="9">
        <v>9.3414400000000004</v>
      </c>
      <c r="X4" s="7" t="str">
        <f t="shared" ref="X3:X4" si="8">IF(ISNUMBER(SEARCH("Appui",#REF!)),0,"0")</f>
        <v>0</v>
      </c>
      <c r="Y4" s="2">
        <f t="shared" si="6"/>
        <v>30.75328</v>
      </c>
      <c r="Z4" s="2">
        <f t="shared" si="7"/>
        <v>9.3414400000000004</v>
      </c>
      <c r="AA4" s="3">
        <v>0.5</v>
      </c>
      <c r="AB4" s="2">
        <f t="shared" si="1"/>
        <v>15.37664</v>
      </c>
      <c r="AC4" s="2">
        <f t="shared" si="2"/>
        <v>24.71808</v>
      </c>
      <c r="AD4" s="8">
        <f t="shared" si="3"/>
        <v>55.529088000000002</v>
      </c>
      <c r="AE4" s="8"/>
      <c r="AF4" s="2">
        <f t="shared" si="4"/>
        <v>40.094720000000002</v>
      </c>
      <c r="AP4" s="2"/>
      <c r="AQ4" s="2"/>
    </row>
    <row r="5" spans="1:43" x14ac:dyDescent="0.25">
      <c r="A5">
        <f t="shared" si="5"/>
        <v>1</v>
      </c>
      <c r="B5" t="s">
        <v>19</v>
      </c>
      <c r="C5" t="s">
        <v>25</v>
      </c>
      <c r="D5">
        <v>25</v>
      </c>
      <c r="E5" t="s">
        <v>18</v>
      </c>
      <c r="F5">
        <v>500</v>
      </c>
      <c r="G5" s="1">
        <v>220000</v>
      </c>
      <c r="H5">
        <v>1576</v>
      </c>
      <c r="I5">
        <v>1870</v>
      </c>
      <c r="J5">
        <v>1</v>
      </c>
      <c r="K5">
        <v>0.22</v>
      </c>
      <c r="L5">
        <v>2.2000000000000002</v>
      </c>
      <c r="M5">
        <v>1.1286E-3</v>
      </c>
      <c r="N5">
        <v>0.04</v>
      </c>
      <c r="O5">
        <v>1</v>
      </c>
      <c r="P5">
        <v>0</v>
      </c>
      <c r="R5">
        <v>0</v>
      </c>
      <c r="S5">
        <v>0</v>
      </c>
      <c r="T5">
        <v>0</v>
      </c>
      <c r="U5">
        <v>1</v>
      </c>
      <c r="V5" s="9">
        <v>58.014000000000003</v>
      </c>
      <c r="W5" s="9">
        <v>17.622000000000003</v>
      </c>
      <c r="X5" s="7">
        <v>0</v>
      </c>
      <c r="Y5" s="2">
        <f t="shared" si="6"/>
        <v>58.014000000000003</v>
      </c>
      <c r="Z5" s="2">
        <f t="shared" si="7"/>
        <v>17.622000000000003</v>
      </c>
      <c r="AA5" s="3">
        <v>0.25</v>
      </c>
      <c r="AB5" s="2">
        <f t="shared" si="1"/>
        <v>43.5105</v>
      </c>
      <c r="AC5" s="2">
        <f t="shared" si="2"/>
        <v>32.125500000000002</v>
      </c>
      <c r="AD5" s="8">
        <f t="shared" si="3"/>
        <v>104.75190000000002</v>
      </c>
      <c r="AE5" s="8"/>
      <c r="AF5" s="2">
        <f t="shared" si="4"/>
        <v>75.635999999999996</v>
      </c>
      <c r="AP5" s="2"/>
      <c r="AQ5" s="2"/>
    </row>
    <row r="6" spans="1:43" x14ac:dyDescent="0.25">
      <c r="D6" s="4"/>
      <c r="E6" s="4"/>
      <c r="F6" s="4"/>
      <c r="G6" s="5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6"/>
      <c r="W6" s="6"/>
      <c r="X6" s="4"/>
      <c r="Y6" s="2"/>
      <c r="Z6" s="2"/>
      <c r="AA6" s="3"/>
      <c r="AB6" s="2"/>
      <c r="AC6" s="2"/>
      <c r="AD6" s="8"/>
      <c r="AE6" s="8"/>
      <c r="AF6" s="2"/>
      <c r="AP6" s="2"/>
      <c r="AQ6" s="2"/>
    </row>
    <row r="7" spans="1:43" x14ac:dyDescent="0.25">
      <c r="D7" s="4"/>
      <c r="E7" s="4"/>
      <c r="F7" s="4"/>
      <c r="G7" s="5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6"/>
      <c r="W7" s="6"/>
      <c r="X7" s="4"/>
      <c r="Y7" s="2"/>
      <c r="Z7" s="2"/>
      <c r="AA7" s="3"/>
      <c r="AB7" s="2"/>
      <c r="AC7" s="2"/>
      <c r="AD7" s="8"/>
      <c r="AE7" s="8"/>
      <c r="AF7" s="2"/>
      <c r="AP7" s="2"/>
      <c r="AQ7" s="2"/>
    </row>
    <row r="8" spans="1:43" x14ac:dyDescent="0.25">
      <c r="G8" s="1"/>
      <c r="V8" s="9"/>
      <c r="W8" s="9"/>
      <c r="X8" s="7"/>
      <c r="Y8" s="2"/>
      <c r="Z8" s="2"/>
      <c r="AA8" s="3"/>
      <c r="AB8" s="2"/>
      <c r="AC8" s="2"/>
      <c r="AD8" s="8"/>
      <c r="AE8" s="8"/>
      <c r="AF8" s="2"/>
      <c r="AP8" s="2"/>
      <c r="AQ8" s="2"/>
    </row>
    <row r="9" spans="1:43" x14ac:dyDescent="0.25">
      <c r="G9" s="1"/>
      <c r="V9" s="9"/>
      <c r="W9" s="9"/>
      <c r="X9" s="7"/>
      <c r="Y9" s="2"/>
      <c r="Z9" s="2"/>
      <c r="AA9" s="3"/>
      <c r="AB9" s="2"/>
      <c r="AC9" s="2"/>
      <c r="AD9" s="8"/>
      <c r="AE9" s="8"/>
      <c r="AF9" s="2"/>
      <c r="AP9" s="2"/>
      <c r="AQ9" s="2"/>
    </row>
    <row r="10" spans="1:43" x14ac:dyDescent="0.25">
      <c r="G10" s="1"/>
      <c r="V10" s="9"/>
      <c r="W10" s="9"/>
      <c r="X10" s="7"/>
      <c r="Y10" s="2"/>
      <c r="Z10" s="2"/>
      <c r="AA10" s="3"/>
      <c r="AB10" s="2"/>
      <c r="AC10" s="2"/>
      <c r="AD10" s="8"/>
      <c r="AE10" s="8"/>
      <c r="AF10" s="2"/>
      <c r="AP10" s="2"/>
      <c r="AQ10" s="2"/>
    </row>
    <row r="11" spans="1:43" x14ac:dyDescent="0.25">
      <c r="G11" s="1"/>
      <c r="V11" s="9"/>
      <c r="W11" s="9"/>
      <c r="X11" s="7"/>
      <c r="Y11" s="2"/>
      <c r="Z11" s="2"/>
      <c r="AA11" s="3"/>
      <c r="AB11" s="2"/>
      <c r="AC11" s="2"/>
      <c r="AD11" s="8"/>
      <c r="AE11" s="8"/>
      <c r="AF11" s="2"/>
      <c r="AP11" s="2"/>
    </row>
    <row r="12" spans="1:43" x14ac:dyDescent="0.25">
      <c r="G12" s="1"/>
      <c r="V12" s="9"/>
      <c r="W12" s="9"/>
      <c r="X12" s="7"/>
      <c r="Y12" s="2"/>
      <c r="Z12" s="2"/>
      <c r="AA12" s="3"/>
      <c r="AB12" s="2"/>
      <c r="AC12" s="2"/>
      <c r="AD12" s="8"/>
      <c r="AE12" s="8"/>
      <c r="AF12" s="2"/>
      <c r="AP12" s="2"/>
      <c r="AQ12" s="2"/>
    </row>
    <row r="13" spans="1:43" x14ac:dyDescent="0.25">
      <c r="G13" s="1"/>
      <c r="V13" s="9"/>
      <c r="W13" s="9"/>
      <c r="X13" s="7"/>
      <c r="Y13" s="2"/>
      <c r="Z13" s="2"/>
      <c r="AA13" s="3"/>
      <c r="AB13" s="2"/>
      <c r="AC13" s="2"/>
      <c r="AD13" s="8"/>
      <c r="AE13" s="8"/>
      <c r="AF13" s="2"/>
      <c r="AP13" s="2"/>
    </row>
    <row r="14" spans="1:43" x14ac:dyDescent="0.25">
      <c r="G14" s="1"/>
      <c r="V14" s="9"/>
      <c r="W14" s="9"/>
      <c r="X14" s="7"/>
      <c r="Y14" s="2"/>
      <c r="Z14" s="2"/>
      <c r="AA14" s="3"/>
      <c r="AB14" s="2"/>
      <c r="AC14" s="2"/>
      <c r="AD14" s="8"/>
      <c r="AE14" s="8"/>
      <c r="AF14" s="2"/>
      <c r="AP14" s="2"/>
      <c r="AQ14" s="2"/>
    </row>
    <row r="15" spans="1:43" x14ac:dyDescent="0.25">
      <c r="G15" s="1"/>
      <c r="V15" s="9"/>
      <c r="W15" s="9"/>
      <c r="X15" s="7"/>
      <c r="Y15" s="2"/>
      <c r="Z15" s="2"/>
      <c r="AA15" s="3"/>
      <c r="AB15" s="2"/>
      <c r="AC15" s="2"/>
      <c r="AD15" s="8"/>
      <c r="AE15" s="8"/>
      <c r="AF15" s="2"/>
      <c r="AP15" s="2"/>
      <c r="AQ15" s="2"/>
    </row>
    <row r="16" spans="1:43" x14ac:dyDescent="0.25">
      <c r="G16" s="1"/>
      <c r="V16" s="9"/>
      <c r="W16" s="9"/>
      <c r="X16" s="7"/>
      <c r="Y16" s="2"/>
      <c r="Z16" s="2"/>
      <c r="AA16" s="3"/>
      <c r="AB16" s="2"/>
      <c r="AC16" s="2"/>
      <c r="AD16" s="8"/>
      <c r="AE16" s="8"/>
      <c r="AF16" s="2"/>
      <c r="AP16" s="2"/>
    </row>
    <row r="17" spans="4:43" x14ac:dyDescent="0.25">
      <c r="G17" s="1"/>
      <c r="V17" s="9"/>
      <c r="W17" s="9"/>
      <c r="X17" s="7"/>
      <c r="Y17" s="2"/>
      <c r="Z17" s="2"/>
      <c r="AA17" s="3"/>
      <c r="AB17" s="2"/>
      <c r="AC17" s="2"/>
      <c r="AD17" s="8"/>
      <c r="AE17" s="8"/>
      <c r="AF17" s="2"/>
      <c r="AP17" s="2"/>
      <c r="AQ17" s="2"/>
    </row>
    <row r="18" spans="4:43" x14ac:dyDescent="0.25">
      <c r="G18" s="1"/>
      <c r="V18" s="9"/>
      <c r="W18" s="9"/>
      <c r="X18" s="7"/>
      <c r="Y18" s="2"/>
      <c r="Z18" s="2"/>
      <c r="AA18" s="3"/>
      <c r="AB18" s="2"/>
      <c r="AC18" s="2"/>
      <c r="AD18" s="8"/>
      <c r="AE18" s="8"/>
      <c r="AF18" s="2"/>
      <c r="AP18" s="2"/>
      <c r="AQ18" s="2"/>
    </row>
    <row r="19" spans="4:43" x14ac:dyDescent="0.25">
      <c r="D19" s="4"/>
      <c r="E19" s="4"/>
      <c r="F19" s="4"/>
      <c r="G19" s="5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6"/>
      <c r="W19" s="6"/>
      <c r="X19" s="4"/>
      <c r="Y19" s="2"/>
      <c r="Z19" s="2"/>
      <c r="AA19" s="3"/>
      <c r="AB19" s="2"/>
      <c r="AC19" s="2"/>
      <c r="AD19" s="8"/>
      <c r="AE19" s="8"/>
      <c r="AF19" s="2"/>
      <c r="AP19" s="2"/>
      <c r="AQ19" s="2"/>
    </row>
    <row r="20" spans="4:43" x14ac:dyDescent="0.25">
      <c r="G20" s="1"/>
      <c r="V20" s="9"/>
      <c r="W20" s="9"/>
      <c r="X20" s="7"/>
      <c r="Y20" s="2"/>
      <c r="Z20" s="2"/>
      <c r="AA20" s="3"/>
      <c r="AB20" s="2"/>
      <c r="AC20" s="2"/>
      <c r="AD20" s="8"/>
      <c r="AE20" s="8"/>
      <c r="AF20" s="2"/>
      <c r="AP20" s="2"/>
    </row>
    <row r="21" spans="4:43" x14ac:dyDescent="0.25">
      <c r="G21" s="1"/>
      <c r="V21" s="9"/>
      <c r="W21" s="9"/>
      <c r="X21" s="7"/>
      <c r="Y21" s="2"/>
      <c r="Z21" s="2"/>
      <c r="AA21" s="3"/>
      <c r="AB21" s="2"/>
      <c r="AC21" s="2"/>
      <c r="AD21" s="8"/>
      <c r="AE21" s="8"/>
      <c r="AF21" s="2"/>
      <c r="AP21" s="2"/>
    </row>
    <row r="22" spans="4:43" x14ac:dyDescent="0.25">
      <c r="G22" s="1"/>
      <c r="V22" s="9"/>
      <c r="W22" s="9"/>
      <c r="X22" s="7"/>
      <c r="Y22" s="2"/>
      <c r="Z22" s="2"/>
      <c r="AA22" s="3"/>
      <c r="AB22" s="2"/>
      <c r="AC22" s="2"/>
      <c r="AD22" s="8"/>
      <c r="AE22" s="8"/>
      <c r="AF22" s="2"/>
      <c r="AP22" s="2"/>
    </row>
    <row r="23" spans="4:43" x14ac:dyDescent="0.25">
      <c r="G23" s="1"/>
      <c r="V23" s="9"/>
      <c r="W23" s="9"/>
      <c r="X23" s="7"/>
      <c r="Y23" s="2"/>
      <c r="Z23" s="2"/>
      <c r="AA23" s="3"/>
      <c r="AB23" s="2"/>
      <c r="AC23" s="2"/>
      <c r="AD23" s="8"/>
      <c r="AE23" s="8"/>
      <c r="AF23" s="2"/>
      <c r="AP23" s="2"/>
    </row>
    <row r="24" spans="4:43" x14ac:dyDescent="0.25">
      <c r="G24" s="1"/>
      <c r="V24" s="9"/>
      <c r="W24" s="9"/>
      <c r="X24" s="7"/>
      <c r="Y24" s="2"/>
      <c r="Z24" s="2"/>
      <c r="AA24" s="3"/>
      <c r="AB24" s="2"/>
      <c r="AC24" s="2"/>
      <c r="AD24" s="8"/>
      <c r="AE24" s="8"/>
      <c r="AF24" s="2"/>
      <c r="AP24" s="2"/>
    </row>
    <row r="25" spans="4:43" x14ac:dyDescent="0.25">
      <c r="G25" s="1"/>
      <c r="V25" s="9"/>
      <c r="W25" s="9"/>
      <c r="X25" s="7"/>
      <c r="Y25" s="2"/>
      <c r="Z25" s="2"/>
      <c r="AA25" s="3"/>
      <c r="AB25" s="2"/>
      <c r="AC25" s="2"/>
      <c r="AD25" s="8"/>
      <c r="AE25" s="8"/>
      <c r="AF25" s="2"/>
      <c r="AP25" s="2"/>
    </row>
    <row r="26" spans="4:43" x14ac:dyDescent="0.25">
      <c r="G26" s="1"/>
      <c r="V26" s="9"/>
      <c r="W26" s="9"/>
      <c r="X26" s="7"/>
      <c r="Y26" s="2"/>
      <c r="Z26" s="2"/>
      <c r="AA26" s="3"/>
      <c r="AB26" s="2"/>
      <c r="AC26" s="2"/>
      <c r="AD26" s="8"/>
      <c r="AE26" s="8"/>
      <c r="AF26" s="2"/>
      <c r="AP26" s="2"/>
    </row>
    <row r="27" spans="4:43" x14ac:dyDescent="0.25">
      <c r="G27" s="1"/>
      <c r="V27" s="9"/>
      <c r="W27" s="9"/>
      <c r="X27" s="7"/>
      <c r="Y27" s="2"/>
      <c r="Z27" s="2"/>
      <c r="AA27" s="3"/>
      <c r="AB27" s="2"/>
      <c r="AC27" s="2"/>
      <c r="AD27" s="8"/>
      <c r="AE27" s="8"/>
      <c r="AF27" s="2"/>
      <c r="AP27" s="2"/>
    </row>
    <row r="28" spans="4:43" x14ac:dyDescent="0.25">
      <c r="G28" s="1"/>
      <c r="V28" s="9"/>
      <c r="W28" s="9"/>
      <c r="X28" s="7"/>
      <c r="Y28" s="2"/>
      <c r="Z28" s="2"/>
      <c r="AA28" s="3"/>
      <c r="AB28" s="2"/>
      <c r="AC28" s="2"/>
      <c r="AD28" s="8"/>
      <c r="AE28" s="8"/>
      <c r="AF28" s="2"/>
    </row>
    <row r="29" spans="4:43" x14ac:dyDescent="0.25">
      <c r="G29" s="1"/>
      <c r="V29" s="9"/>
      <c r="W29" s="9"/>
      <c r="X29" s="7"/>
      <c r="Y29" s="2"/>
      <c r="Z29" s="2"/>
      <c r="AA29" s="3"/>
      <c r="AB29" s="2"/>
      <c r="AC29" s="2"/>
      <c r="AD29" s="8"/>
      <c r="AE29" s="8"/>
      <c r="AF29" s="2"/>
    </row>
    <row r="30" spans="4:43" x14ac:dyDescent="0.25">
      <c r="G30" s="1"/>
      <c r="V30" s="9"/>
      <c r="W30" s="9"/>
      <c r="X30" s="7"/>
      <c r="Y30" s="2"/>
      <c r="Z30" s="2"/>
      <c r="AA30" s="3"/>
      <c r="AB30" s="2"/>
      <c r="AC30" s="2"/>
      <c r="AD30" s="8"/>
      <c r="AE30" s="8"/>
      <c r="AF30" s="2"/>
    </row>
    <row r="31" spans="4:43" x14ac:dyDescent="0.25">
      <c r="D31" s="4"/>
      <c r="E31" s="4"/>
      <c r="F31" s="4"/>
      <c r="G31" s="5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6"/>
      <c r="W31" s="6"/>
      <c r="X31" s="4"/>
      <c r="Y31" s="2"/>
      <c r="Z31" s="2"/>
      <c r="AA31" s="3"/>
      <c r="AB31" s="2"/>
      <c r="AC31" s="2"/>
      <c r="AD31" s="8"/>
      <c r="AE31" s="8"/>
      <c r="AF31" s="2"/>
    </row>
    <row r="32" spans="4:43" x14ac:dyDescent="0.25">
      <c r="D32" s="4"/>
      <c r="E32" s="4"/>
      <c r="F32" s="4"/>
      <c r="G32" s="5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6"/>
      <c r="W32" s="6"/>
      <c r="X32" s="4"/>
      <c r="Y32" s="2"/>
      <c r="Z32" s="2"/>
      <c r="AA32" s="3"/>
      <c r="AB32" s="2"/>
      <c r="AC32" s="2"/>
      <c r="AD32" s="8"/>
      <c r="AE32" s="8"/>
      <c r="AF32" s="2"/>
    </row>
    <row r="33" spans="4:32" x14ac:dyDescent="0.25">
      <c r="G33" s="1"/>
      <c r="V33" s="9"/>
      <c r="W33" s="9"/>
      <c r="X33" s="7"/>
      <c r="Y33" s="2"/>
      <c r="Z33" s="2"/>
      <c r="AA33" s="3"/>
      <c r="AB33" s="2"/>
      <c r="AC33" s="2"/>
      <c r="AD33" s="8"/>
      <c r="AE33" s="8"/>
      <c r="AF33" s="2"/>
    </row>
    <row r="34" spans="4:32" x14ac:dyDescent="0.25">
      <c r="G34" s="1"/>
      <c r="V34" s="9"/>
      <c r="W34" s="9"/>
      <c r="X34" s="7"/>
      <c r="Y34" s="2"/>
      <c r="Z34" s="2"/>
      <c r="AA34" s="3"/>
      <c r="AB34" s="2"/>
      <c r="AC34" s="2"/>
      <c r="AD34" s="8"/>
      <c r="AE34" s="8"/>
      <c r="AF34" s="2"/>
    </row>
    <row r="35" spans="4:32" x14ac:dyDescent="0.25">
      <c r="G35" s="1"/>
      <c r="V35" s="9"/>
      <c r="W35" s="9"/>
      <c r="X35" s="7"/>
      <c r="Y35" s="2"/>
      <c r="Z35" s="2"/>
      <c r="AA35" s="3"/>
      <c r="AB35" s="2"/>
      <c r="AC35" s="2"/>
      <c r="AD35" s="8"/>
      <c r="AE35" s="8"/>
      <c r="AF35" s="2"/>
    </row>
    <row r="36" spans="4:32" x14ac:dyDescent="0.25">
      <c r="G36" s="1"/>
      <c r="V36" s="9"/>
      <c r="W36" s="9"/>
      <c r="X36" s="7"/>
      <c r="Y36" s="2"/>
      <c r="Z36" s="2"/>
      <c r="AA36" s="3"/>
      <c r="AB36" s="2"/>
      <c r="AC36" s="2"/>
      <c r="AD36" s="8"/>
      <c r="AE36" s="8"/>
      <c r="AF36" s="2"/>
    </row>
    <row r="37" spans="4:32" x14ac:dyDescent="0.25">
      <c r="G37" s="1"/>
      <c r="V37" s="9"/>
      <c r="W37" s="9"/>
      <c r="X37" s="7"/>
      <c r="Y37" s="2"/>
      <c r="Z37" s="2"/>
      <c r="AA37" s="3"/>
      <c r="AB37" s="2"/>
      <c r="AC37" s="2"/>
      <c r="AD37" s="8"/>
      <c r="AE37" s="8"/>
      <c r="AF37" s="2"/>
    </row>
    <row r="38" spans="4:32" x14ac:dyDescent="0.25">
      <c r="G38" s="1"/>
      <c r="V38" s="9"/>
      <c r="W38" s="9"/>
      <c r="X38" s="7"/>
      <c r="Y38" s="2"/>
      <c r="Z38" s="2"/>
      <c r="AA38" s="3"/>
      <c r="AB38" s="2"/>
      <c r="AC38" s="2"/>
      <c r="AD38" s="8"/>
      <c r="AE38" s="8"/>
      <c r="AF38" s="2"/>
    </row>
    <row r="39" spans="4:32" x14ac:dyDescent="0.25">
      <c r="G39" s="1"/>
      <c r="V39" s="9"/>
      <c r="W39" s="9"/>
      <c r="X39" s="7"/>
      <c r="Y39" s="2"/>
      <c r="Z39" s="2"/>
      <c r="AA39" s="3"/>
      <c r="AB39" s="2"/>
      <c r="AC39" s="2"/>
      <c r="AD39" s="8"/>
      <c r="AE39" s="8"/>
      <c r="AF39" s="2"/>
    </row>
    <row r="40" spans="4:32" x14ac:dyDescent="0.25">
      <c r="G40" s="1"/>
      <c r="V40" s="9"/>
      <c r="W40" s="9"/>
      <c r="X40" s="7"/>
      <c r="Y40" s="2"/>
      <c r="Z40" s="2"/>
      <c r="AA40" s="3"/>
      <c r="AB40" s="2"/>
      <c r="AC40" s="2"/>
      <c r="AD40" s="8"/>
      <c r="AE40" s="8"/>
      <c r="AF40" s="2"/>
    </row>
    <row r="41" spans="4:32" x14ac:dyDescent="0.25">
      <c r="G41" s="1"/>
      <c r="V41" s="9"/>
      <c r="W41" s="9"/>
      <c r="X41" s="7"/>
      <c r="Y41" s="2"/>
      <c r="Z41" s="2"/>
      <c r="AA41" s="3"/>
      <c r="AB41" s="2"/>
      <c r="AC41" s="2"/>
      <c r="AD41" s="8"/>
      <c r="AE41" s="8"/>
      <c r="AF41" s="2"/>
    </row>
    <row r="42" spans="4:32" x14ac:dyDescent="0.25">
      <c r="G42" s="1"/>
      <c r="V42" s="9"/>
      <c r="W42" s="9"/>
      <c r="X42" s="7"/>
      <c r="Y42" s="2"/>
      <c r="Z42" s="2"/>
      <c r="AA42" s="3"/>
      <c r="AB42" s="2"/>
      <c r="AC42" s="2"/>
      <c r="AD42" s="8"/>
      <c r="AE42" s="8"/>
      <c r="AF42" s="2"/>
    </row>
    <row r="43" spans="4:32" x14ac:dyDescent="0.25">
      <c r="G43" s="1"/>
      <c r="V43" s="9"/>
      <c r="W43" s="9"/>
      <c r="X43" s="7"/>
      <c r="Y43" s="2"/>
      <c r="Z43" s="2"/>
      <c r="AA43" s="3"/>
      <c r="AB43" s="2"/>
      <c r="AC43" s="2"/>
      <c r="AD43" s="8"/>
      <c r="AE43" s="8"/>
      <c r="AF43" s="2"/>
    </row>
    <row r="44" spans="4:32" x14ac:dyDescent="0.25">
      <c r="D44" s="4"/>
      <c r="E44" s="4"/>
      <c r="F44" s="4"/>
      <c r="G44" s="5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6"/>
      <c r="X44" s="4"/>
      <c r="Y44" s="2"/>
      <c r="Z44" s="2"/>
      <c r="AA44" s="3"/>
      <c r="AB44" s="2"/>
      <c r="AC44" s="2"/>
      <c r="AD44" s="8"/>
      <c r="AE44" s="8"/>
      <c r="AF44" s="2"/>
    </row>
    <row r="45" spans="4:32" x14ac:dyDescent="0.25">
      <c r="G45" s="1"/>
      <c r="V45" s="9"/>
      <c r="W45" s="9"/>
      <c r="X45" s="7"/>
      <c r="Y45" s="2"/>
      <c r="Z45" s="2"/>
      <c r="AA45" s="3"/>
      <c r="AB45" s="2"/>
      <c r="AC45" s="2"/>
      <c r="AD45" s="8"/>
      <c r="AE45" s="8"/>
      <c r="AF45" s="2"/>
    </row>
    <row r="46" spans="4:32" x14ac:dyDescent="0.25">
      <c r="G46" s="1"/>
      <c r="V46" s="9"/>
      <c r="W46" s="9"/>
      <c r="X46" s="7"/>
      <c r="Y46" s="2"/>
      <c r="Z46" s="2"/>
      <c r="AA46" s="3"/>
      <c r="AB46" s="2"/>
      <c r="AC46" s="2"/>
      <c r="AD46" s="8"/>
      <c r="AE46" s="8"/>
      <c r="AF46" s="2"/>
    </row>
    <row r="47" spans="4:32" x14ac:dyDescent="0.25">
      <c r="G47" s="1"/>
      <c r="V47" s="9"/>
      <c r="W47" s="9"/>
      <c r="X47" s="7"/>
      <c r="Y47" s="2"/>
      <c r="Z47" s="2"/>
      <c r="AA47" s="3"/>
      <c r="AB47" s="2"/>
      <c r="AC47" s="2"/>
      <c r="AD47" s="8"/>
      <c r="AE47" s="8"/>
      <c r="AF47" s="2"/>
    </row>
    <row r="48" spans="4:32" x14ac:dyDescent="0.25">
      <c r="G48" s="1"/>
      <c r="V48" s="9"/>
      <c r="W48" s="9"/>
      <c r="X48" s="7"/>
      <c r="Y48" s="2"/>
      <c r="Z48" s="2"/>
      <c r="AA48" s="3"/>
      <c r="AB48" s="2"/>
      <c r="AC48" s="2"/>
      <c r="AD48" s="8"/>
      <c r="AE48" s="8"/>
      <c r="AF48" s="2"/>
    </row>
    <row r="49" spans="4:32" x14ac:dyDescent="0.25">
      <c r="G49" s="1"/>
      <c r="V49" s="9"/>
      <c r="W49" s="9"/>
      <c r="X49" s="7"/>
      <c r="Y49" s="2"/>
      <c r="Z49" s="2"/>
      <c r="AA49" s="3"/>
      <c r="AB49" s="2"/>
      <c r="AC49" s="2"/>
      <c r="AD49" s="8"/>
      <c r="AE49" s="8"/>
      <c r="AF49" s="2"/>
    </row>
    <row r="50" spans="4:32" x14ac:dyDescent="0.25">
      <c r="G50" s="1"/>
      <c r="V50" s="9"/>
      <c r="W50" s="9"/>
      <c r="X50" s="7"/>
      <c r="Y50" s="2"/>
      <c r="Z50" s="2"/>
      <c r="AA50" s="3"/>
      <c r="AB50" s="2"/>
      <c r="AC50" s="2"/>
      <c r="AD50" s="8"/>
      <c r="AE50" s="8"/>
      <c r="AF50" s="2"/>
    </row>
    <row r="51" spans="4:32" x14ac:dyDescent="0.25">
      <c r="G51" s="1"/>
      <c r="V51" s="9"/>
      <c r="W51" s="9"/>
      <c r="X51" s="7"/>
      <c r="Y51" s="2"/>
      <c r="Z51" s="2"/>
      <c r="AA51" s="3"/>
      <c r="AB51" s="2"/>
      <c r="AC51" s="2"/>
      <c r="AD51" s="8"/>
      <c r="AE51" s="8"/>
      <c r="AF51" s="2"/>
    </row>
    <row r="52" spans="4:32" x14ac:dyDescent="0.25">
      <c r="G52" s="1"/>
      <c r="V52" s="9"/>
      <c r="W52" s="9"/>
      <c r="X52" s="7"/>
      <c r="Y52" s="2"/>
      <c r="Z52" s="2"/>
      <c r="AA52" s="3"/>
      <c r="AB52" s="2"/>
      <c r="AC52" s="2"/>
      <c r="AD52" s="8"/>
      <c r="AE52" s="8"/>
      <c r="AF52" s="2"/>
    </row>
    <row r="53" spans="4:32" x14ac:dyDescent="0.25">
      <c r="G53" s="1"/>
      <c r="V53" s="9"/>
      <c r="W53" s="9"/>
      <c r="X53" s="7"/>
      <c r="Y53" s="2"/>
      <c r="Z53" s="2"/>
      <c r="AA53" s="3"/>
      <c r="AB53" s="2"/>
      <c r="AC53" s="2"/>
      <c r="AD53" s="8"/>
      <c r="AE53" s="8"/>
      <c r="AF53" s="2"/>
    </row>
    <row r="54" spans="4:32" x14ac:dyDescent="0.25">
      <c r="G54" s="1"/>
      <c r="V54" s="9"/>
      <c r="W54" s="9"/>
      <c r="X54" s="7"/>
      <c r="Y54" s="2"/>
      <c r="Z54" s="2"/>
      <c r="AA54" s="3"/>
      <c r="AB54" s="2"/>
      <c r="AC54" s="2"/>
      <c r="AD54" s="8"/>
      <c r="AE54" s="8"/>
      <c r="AF54" s="2"/>
    </row>
    <row r="55" spans="4:32" x14ac:dyDescent="0.25">
      <c r="G55" s="1"/>
      <c r="V55" s="9"/>
      <c r="W55" s="9"/>
      <c r="X55" s="7"/>
      <c r="Y55" s="2"/>
      <c r="Z55" s="2"/>
      <c r="AA55" s="3"/>
      <c r="AB55" s="2"/>
      <c r="AC55" s="2"/>
      <c r="AD55" s="8"/>
      <c r="AE55" s="8"/>
      <c r="AF55" s="2"/>
    </row>
    <row r="56" spans="4:32" x14ac:dyDescent="0.25">
      <c r="D56" s="4"/>
      <c r="E56" s="4"/>
      <c r="F56" s="4"/>
      <c r="G56" s="5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6"/>
      <c r="X56" s="4"/>
      <c r="Y56" s="2"/>
      <c r="Z56" s="2"/>
      <c r="AA56" s="3"/>
      <c r="AB56" s="2"/>
      <c r="AC56" s="2"/>
      <c r="AD56" s="8"/>
      <c r="AE56" s="8"/>
      <c r="AF56" s="2"/>
    </row>
    <row r="57" spans="4:32" x14ac:dyDescent="0.25">
      <c r="G57" s="1"/>
      <c r="V57" s="9"/>
      <c r="W57" s="9"/>
      <c r="X57" s="7"/>
      <c r="Y57" s="2"/>
      <c r="Z57" s="2"/>
      <c r="AA57" s="3"/>
      <c r="AB57" s="2"/>
      <c r="AC57" s="2"/>
      <c r="AD57" s="8"/>
      <c r="AE57" s="8"/>
      <c r="AF57" s="2"/>
    </row>
    <row r="58" spans="4:32" x14ac:dyDescent="0.25">
      <c r="G58" s="1"/>
      <c r="V58" s="9"/>
      <c r="W58" s="9"/>
      <c r="X58" s="7"/>
      <c r="Y58" s="2"/>
      <c r="Z58" s="2"/>
      <c r="AA58" s="3"/>
      <c r="AB58" s="2"/>
      <c r="AC58" s="2"/>
      <c r="AD58" s="8"/>
      <c r="AE58" s="8"/>
      <c r="AF58" s="2"/>
    </row>
    <row r="59" spans="4:32" x14ac:dyDescent="0.25">
      <c r="G59" s="1"/>
      <c r="V59" s="9"/>
      <c r="W59" s="9"/>
      <c r="X59" s="7"/>
      <c r="Y59" s="2"/>
      <c r="Z59" s="2"/>
      <c r="AA59" s="3"/>
      <c r="AB59" s="2"/>
      <c r="AC59" s="2"/>
      <c r="AD59" s="8"/>
      <c r="AE59" s="8"/>
      <c r="AF59" s="2"/>
    </row>
    <row r="60" spans="4:32" x14ac:dyDescent="0.25">
      <c r="D60" s="4"/>
      <c r="E60" s="4"/>
      <c r="F60" s="4"/>
      <c r="G60" s="5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6"/>
      <c r="X60" s="4"/>
      <c r="Y60" s="2"/>
      <c r="Z60" s="2"/>
      <c r="AA60" s="3"/>
      <c r="AB60" s="2"/>
      <c r="AC60" s="2"/>
      <c r="AD60" s="8"/>
      <c r="AE60" s="8"/>
      <c r="AF60" s="2"/>
    </row>
    <row r="61" spans="4:32" x14ac:dyDescent="0.25">
      <c r="G61" s="1"/>
      <c r="V61" s="9"/>
      <c r="W61" s="9"/>
      <c r="X61" s="7"/>
      <c r="Y61" s="2"/>
      <c r="Z61" s="2"/>
      <c r="AA61" s="3"/>
      <c r="AB61" s="2"/>
      <c r="AC61" s="2"/>
      <c r="AD61" s="8"/>
      <c r="AE61" s="8"/>
      <c r="AF61" s="2"/>
    </row>
    <row r="62" spans="4:32" x14ac:dyDescent="0.25">
      <c r="G62" s="1"/>
      <c r="V62" s="9"/>
      <c r="W62" s="9"/>
      <c r="X62" s="7"/>
      <c r="Y62" s="2"/>
      <c r="Z62" s="2"/>
      <c r="AA62" s="3"/>
      <c r="AB62" s="2"/>
      <c r="AC62" s="2"/>
      <c r="AD62" s="8"/>
      <c r="AE62" s="8"/>
      <c r="AF62" s="2"/>
    </row>
    <row r="63" spans="4:32" x14ac:dyDescent="0.25">
      <c r="D63" s="4"/>
      <c r="E63" s="4"/>
      <c r="F63" s="4"/>
      <c r="G63" s="5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6"/>
      <c r="X63" s="4"/>
      <c r="Y63" s="2"/>
      <c r="Z63" s="2"/>
      <c r="AA63" s="3"/>
      <c r="AB63" s="2"/>
      <c r="AC63" s="2"/>
      <c r="AD63" s="8"/>
      <c r="AE63" s="8"/>
      <c r="AF63" s="2"/>
    </row>
    <row r="64" spans="4:32" x14ac:dyDescent="0.25">
      <c r="D64" s="4"/>
      <c r="E64" s="4"/>
      <c r="F64" s="4"/>
      <c r="G64" s="5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6"/>
      <c r="X64" s="4"/>
      <c r="Y64" s="2"/>
      <c r="Z64" s="2"/>
      <c r="AA64" s="3"/>
      <c r="AB64" s="2"/>
      <c r="AC64" s="2"/>
      <c r="AD64" s="8"/>
      <c r="AE64" s="8"/>
      <c r="AF64" s="2"/>
    </row>
    <row r="65" spans="7:32" x14ac:dyDescent="0.25">
      <c r="G65" s="1"/>
      <c r="V65" s="9"/>
      <c r="W65" s="9"/>
      <c r="X65" s="7"/>
      <c r="Y65" s="2"/>
      <c r="Z65" s="2"/>
      <c r="AA65" s="10"/>
      <c r="AB65" s="2"/>
      <c r="AC65" s="2"/>
      <c r="AD65" s="8"/>
      <c r="AE65" s="8"/>
      <c r="AF65" s="2"/>
    </row>
    <row r="66" spans="7:32" x14ac:dyDescent="0.25">
      <c r="G66" s="1"/>
      <c r="V66" s="9"/>
      <c r="W66" s="9"/>
      <c r="X66" s="7"/>
      <c r="Y66" s="2"/>
      <c r="Z66" s="2"/>
      <c r="AA66" s="10"/>
      <c r="AB66" s="2"/>
      <c r="AC66" s="2"/>
      <c r="AD66" s="8"/>
      <c r="AE66" s="8"/>
      <c r="AF66" s="2"/>
    </row>
    <row r="67" spans="7:32" x14ac:dyDescent="0.25">
      <c r="G67" s="1"/>
      <c r="V67" s="9"/>
      <c r="W67" s="9"/>
      <c r="X67" s="7"/>
      <c r="Y67" s="2"/>
      <c r="Z67" s="2"/>
      <c r="AA67" s="10"/>
      <c r="AB67" s="2"/>
      <c r="AC67" s="2"/>
      <c r="AD67" s="8"/>
      <c r="AE67" s="8"/>
      <c r="AF67" s="2"/>
    </row>
    <row r="68" spans="7:32" x14ac:dyDescent="0.25">
      <c r="G68" s="1"/>
      <c r="V68" s="9"/>
      <c r="W68" s="9"/>
      <c r="X68" s="7"/>
      <c r="Y68" s="9"/>
      <c r="Z68" s="9"/>
      <c r="AA68" s="3"/>
      <c r="AB68" s="9"/>
      <c r="AC68" s="9"/>
      <c r="AD68" s="8"/>
      <c r="AE68" s="8"/>
      <c r="AF68" s="9"/>
    </row>
    <row r="69" spans="7:32" x14ac:dyDescent="0.25">
      <c r="G69" s="1"/>
      <c r="V69" s="9"/>
      <c r="W69" s="9"/>
      <c r="X69" s="7"/>
      <c r="Y69" s="9"/>
      <c r="Z69" s="9"/>
      <c r="AA69" s="3"/>
      <c r="AB69" s="9"/>
      <c r="AC69" s="9"/>
      <c r="AD69" s="8"/>
      <c r="AE69" s="8"/>
      <c r="AF69" s="9"/>
    </row>
    <row r="70" spans="7:32" x14ac:dyDescent="0.25">
      <c r="G70" s="1"/>
      <c r="V70" s="9"/>
      <c r="W70" s="9"/>
      <c r="X70" s="7"/>
      <c r="Y70" s="9"/>
      <c r="Z70" s="9"/>
      <c r="AA70" s="3"/>
      <c r="AB70" s="9"/>
      <c r="AC70" s="9"/>
      <c r="AD70" s="8"/>
      <c r="AE70" s="8"/>
      <c r="AF70" s="9"/>
    </row>
    <row r="71" spans="7:32" x14ac:dyDescent="0.25">
      <c r="V71" s="9"/>
      <c r="W71" s="9"/>
      <c r="X71" s="7"/>
      <c r="Y71" s="9"/>
      <c r="Z71" s="9"/>
      <c r="AB71" s="9"/>
      <c r="AC71" s="9"/>
      <c r="AD71" s="9"/>
      <c r="AE71" s="9"/>
      <c r="AF71" s="9"/>
    </row>
    <row r="72" spans="7:32" x14ac:dyDescent="0.25">
      <c r="V72" s="9"/>
      <c r="W72" s="9"/>
      <c r="X72" s="7"/>
      <c r="Y72" s="9"/>
      <c r="Z72" s="9"/>
      <c r="AB72" s="9"/>
      <c r="AC72" s="9"/>
      <c r="AD72" s="9"/>
      <c r="AE72" s="9"/>
      <c r="AF72" s="9"/>
    </row>
    <row r="73" spans="7:32" x14ac:dyDescent="0.25">
      <c r="V73" s="9"/>
      <c r="W73" s="9"/>
      <c r="X73" s="7"/>
      <c r="Y73" s="9"/>
      <c r="Z73" s="9"/>
      <c r="AB73" s="9"/>
      <c r="AC73" s="9"/>
      <c r="AD73" s="9"/>
      <c r="AE73" s="9"/>
      <c r="AF73" s="9"/>
    </row>
    <row r="74" spans="7:32" x14ac:dyDescent="0.25">
      <c r="X74" s="7"/>
      <c r="Y74" s="9"/>
      <c r="Z74" s="9"/>
      <c r="AB74" s="9"/>
      <c r="AC74" s="9"/>
      <c r="AD74" s="9"/>
      <c r="AE74" s="9"/>
      <c r="AF74" s="9"/>
    </row>
    <row r="75" spans="7:32" x14ac:dyDescent="0.25">
      <c r="Y75" s="9"/>
      <c r="Z75" s="9"/>
      <c r="AB75" s="9"/>
      <c r="AC75" s="9"/>
      <c r="AD75" s="9"/>
      <c r="AE75" s="9"/>
      <c r="AF75" s="9"/>
    </row>
  </sheetData>
  <phoneticPr fontId="18" type="noConversion"/>
  <conditionalFormatting sqref="X2:X6 X8:X31 X33:X43 X45:X55 X57:X59 X61:X62 X65:X74">
    <cfRule type="expression" dxfId="0" priority="1">
      <formula>$A2="Travée"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Julien MOUTET</cp:lastModifiedBy>
  <dcterms:created xsi:type="dcterms:W3CDTF">2025-10-29T09:04:54Z</dcterms:created>
  <dcterms:modified xsi:type="dcterms:W3CDTF">2025-12-05T17:04:01Z</dcterms:modified>
</cp:coreProperties>
</file>