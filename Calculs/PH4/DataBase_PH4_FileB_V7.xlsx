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4\"/>
    </mc:Choice>
  </mc:AlternateContent>
  <xr:revisionPtr revIDLastSave="0" documentId="13_ncr:1_{A649DFFC-8DA2-4D17-B7F3-02773C9D8AF7}" xr6:coauthVersionLast="47" xr6:coauthVersionMax="47" xr10:uidLastSave="{00000000-0000-0000-0000-000000000000}"/>
  <bookViews>
    <workbookView xWindow="19110" yWindow="0" windowWidth="19380" windowHeight="2097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8" i="1" l="1"/>
  <c r="A69" i="1" s="1"/>
  <c r="A70" i="1" s="1"/>
  <c r="A71" i="1" s="1"/>
  <c r="A72" i="1" s="1"/>
  <c r="A73" i="1" s="1"/>
  <c r="A74" i="1" s="1"/>
  <c r="K64" i="1"/>
  <c r="K66" i="1"/>
  <c r="K68" i="1"/>
  <c r="K70" i="1"/>
  <c r="K72" i="1"/>
  <c r="Z74" i="1"/>
  <c r="Y74" i="1"/>
  <c r="AD74" i="1" s="1"/>
  <c r="X73" i="1"/>
  <c r="Z72" i="1"/>
  <c r="Y72" i="1"/>
  <c r="X71" i="1"/>
  <c r="Z70" i="1"/>
  <c r="Y70" i="1"/>
  <c r="AC70" i="1" s="1"/>
  <c r="X69" i="1"/>
  <c r="Z68" i="1"/>
  <c r="Y68" i="1"/>
  <c r="X67" i="1"/>
  <c r="Z66" i="1"/>
  <c r="Y66" i="1"/>
  <c r="AD66" i="1" s="1"/>
  <c r="X65" i="1"/>
  <c r="Z64" i="1"/>
  <c r="Y64" i="1"/>
  <c r="X63" i="1"/>
  <c r="A75" i="1" l="1"/>
  <c r="AC72" i="1"/>
  <c r="AD72" i="1"/>
  <c r="AD68" i="1"/>
  <c r="AC64" i="1"/>
  <c r="AC74" i="1"/>
  <c r="AB64" i="1"/>
  <c r="AF64" i="1" s="1"/>
  <c r="AD64" i="1"/>
  <c r="AD70" i="1"/>
  <c r="AB68" i="1"/>
  <c r="AC68" i="1"/>
  <c r="AB66" i="1"/>
  <c r="AC66" i="1"/>
  <c r="AB72" i="1"/>
  <c r="AB70" i="1"/>
  <c r="AF70" i="1" s="1"/>
  <c r="AB74" i="1"/>
  <c r="AF72" i="1" l="1"/>
  <c r="AF74" i="1"/>
  <c r="AF68" i="1"/>
  <c r="AF66" i="1"/>
  <c r="P16" i="1" l="1"/>
  <c r="P14" i="1"/>
  <c r="P12" i="1"/>
  <c r="P10" i="1"/>
  <c r="P8" i="1"/>
  <c r="P6" i="1"/>
  <c r="P4" i="1"/>
  <c r="Y4" i="1"/>
  <c r="AC4" i="1" s="1"/>
  <c r="Z4" i="1"/>
  <c r="Y6" i="1"/>
  <c r="Z6" i="1"/>
  <c r="Y8" i="1"/>
  <c r="AB8" i="1" s="1"/>
  <c r="Z8" i="1"/>
  <c r="Y10" i="1"/>
  <c r="Z10" i="1"/>
  <c r="Y12" i="1"/>
  <c r="AC12" i="1" s="1"/>
  <c r="AF12" i="1" s="1"/>
  <c r="Z12" i="1"/>
  <c r="Y14" i="1"/>
  <c r="AB14" i="1" s="1"/>
  <c r="Z14" i="1"/>
  <c r="Y16" i="1"/>
  <c r="AB16" i="1" s="1"/>
  <c r="Z16" i="1"/>
  <c r="Y20" i="1"/>
  <c r="Z20" i="1"/>
  <c r="Y22" i="1"/>
  <c r="AB22" i="1" s="1"/>
  <c r="Z22" i="1"/>
  <c r="Y24" i="1"/>
  <c r="AB24" i="1" s="1"/>
  <c r="Z24" i="1"/>
  <c r="Y26" i="1"/>
  <c r="AC26" i="1" s="1"/>
  <c r="Z26" i="1"/>
  <c r="Y30" i="1"/>
  <c r="Z30" i="1"/>
  <c r="Y32" i="1"/>
  <c r="Z32" i="1"/>
  <c r="Y34" i="1"/>
  <c r="Z34" i="1"/>
  <c r="Y36" i="1"/>
  <c r="AB36" i="1" s="1"/>
  <c r="Z36" i="1"/>
  <c r="Y40" i="1"/>
  <c r="AC40" i="1" s="1"/>
  <c r="Z40" i="1"/>
  <c r="Y42" i="1"/>
  <c r="Z42" i="1"/>
  <c r="Y44" i="1"/>
  <c r="Z44" i="1"/>
  <c r="Y46" i="1"/>
  <c r="Z46" i="1"/>
  <c r="Y50" i="1"/>
  <c r="AB50" i="1" s="1"/>
  <c r="Z50" i="1"/>
  <c r="Y52" i="1"/>
  <c r="AB52" i="1" s="1"/>
  <c r="Z52" i="1"/>
  <c r="Y54" i="1"/>
  <c r="AB54" i="1" s="1"/>
  <c r="Z54" i="1"/>
  <c r="Y56" i="1"/>
  <c r="Z56" i="1"/>
  <c r="Y58" i="1"/>
  <c r="AB58" i="1" s="1"/>
  <c r="Z58" i="1"/>
  <c r="Y60" i="1"/>
  <c r="AB60" i="1" s="1"/>
  <c r="Z60" i="1"/>
  <c r="AB6" i="1"/>
  <c r="AC6" i="1"/>
  <c r="AB10" i="1"/>
  <c r="AC10" i="1"/>
  <c r="AB12" i="1"/>
  <c r="AB20" i="1"/>
  <c r="AC20" i="1"/>
  <c r="AB30" i="1"/>
  <c r="AC30" i="1"/>
  <c r="AB32" i="1"/>
  <c r="AC32" i="1"/>
  <c r="AB34" i="1"/>
  <c r="AC34" i="1"/>
  <c r="AB42" i="1"/>
  <c r="AC42" i="1"/>
  <c r="AB44" i="1"/>
  <c r="AC44" i="1"/>
  <c r="AB46" i="1"/>
  <c r="AC46" i="1"/>
  <c r="AB56" i="1"/>
  <c r="AC56" i="1"/>
  <c r="AF6" i="1"/>
  <c r="X7" i="1"/>
  <c r="X9" i="1"/>
  <c r="X11" i="1"/>
  <c r="X13" i="1"/>
  <c r="X15" i="1"/>
  <c r="X17" i="1"/>
  <c r="X19" i="1"/>
  <c r="X21" i="1"/>
  <c r="X23" i="1"/>
  <c r="X25" i="1"/>
  <c r="X27" i="1"/>
  <c r="X29" i="1"/>
  <c r="X31" i="1"/>
  <c r="X33" i="1"/>
  <c r="X35" i="1"/>
  <c r="X37" i="1"/>
  <c r="X39" i="1"/>
  <c r="X41" i="1"/>
  <c r="X43" i="1"/>
  <c r="X45" i="1"/>
  <c r="X47" i="1"/>
  <c r="X49" i="1"/>
  <c r="X51" i="1"/>
  <c r="X53" i="1"/>
  <c r="X55" i="1"/>
  <c r="X57" i="1"/>
  <c r="X59" i="1"/>
  <c r="AB26" i="1" l="1"/>
  <c r="AB4" i="1"/>
  <c r="AF4" i="1" s="1"/>
  <c r="AB40" i="1"/>
  <c r="AF40" i="1" s="1"/>
  <c r="AC14" i="1"/>
  <c r="AF14" i="1" s="1"/>
  <c r="AC36" i="1"/>
  <c r="AF36" i="1" s="1"/>
  <c r="AC54" i="1"/>
  <c r="AC52" i="1"/>
  <c r="AC60" i="1"/>
  <c r="AF60" i="1" s="1"/>
  <c r="AC58" i="1"/>
  <c r="AF58" i="1" s="1"/>
  <c r="AF52" i="1"/>
  <c r="AC50" i="1"/>
  <c r="AF50" i="1" s="1"/>
  <c r="AC24" i="1"/>
  <c r="AF24" i="1" s="1"/>
  <c r="AC22" i="1"/>
  <c r="AF22" i="1" s="1"/>
  <c r="AC16" i="1"/>
  <c r="AF16" i="1" s="1"/>
  <c r="AC8" i="1"/>
  <c r="AF8" i="1" s="1"/>
  <c r="AF30" i="1"/>
  <c r="AF44" i="1"/>
  <c r="AF26" i="1"/>
  <c r="AF56" i="1"/>
  <c r="AF20" i="1"/>
  <c r="AF32" i="1"/>
  <c r="AF42" i="1"/>
  <c r="AF46" i="1"/>
  <c r="AF54" i="1"/>
  <c r="AF34" i="1"/>
  <c r="AF10" i="1"/>
  <c r="AD4" i="1"/>
  <c r="AD6" i="1"/>
  <c r="AD8" i="1"/>
  <c r="AD10" i="1"/>
  <c r="AD14" i="1"/>
  <c r="AD16" i="1"/>
  <c r="AD22" i="1"/>
  <c r="AD26" i="1"/>
  <c r="AD30" i="1"/>
  <c r="AD32" i="1"/>
  <c r="AD34" i="1"/>
  <c r="AD36" i="1"/>
  <c r="AD40" i="1"/>
  <c r="AD44" i="1"/>
  <c r="AD50" i="1"/>
  <c r="AD52" i="1"/>
  <c r="AD54" i="1"/>
  <c r="AD56" i="1"/>
  <c r="AD58" i="1"/>
  <c r="AD60" i="1"/>
  <c r="X5" i="1"/>
  <c r="X3" i="1"/>
  <c r="AD24" i="1" l="1"/>
  <c r="AD46" i="1"/>
  <c r="AD20" i="1"/>
  <c r="AD12" i="1"/>
  <c r="AD42" i="1"/>
  <c r="A3" i="1"/>
  <c r="Z2" i="1" l="1"/>
  <c r="Y2" i="1"/>
  <c r="AD2" i="1" s="1"/>
  <c r="Y3" i="1"/>
  <c r="Z3" i="1"/>
  <c r="AC3" i="1" s="1"/>
  <c r="AB3" i="1" l="1"/>
  <c r="AF3" i="1" s="1"/>
  <c r="AD3" i="1"/>
  <c r="AC2" i="1"/>
  <c r="AB2" i="1"/>
  <c r="AF2" i="1" s="1"/>
  <c r="A4" i="1"/>
  <c r="A5" i="1" l="1"/>
  <c r="A6" i="1" s="1"/>
  <c r="Y5" i="1"/>
  <c r="AB5" i="1" l="1"/>
  <c r="A7" i="1"/>
  <c r="A8" i="1" s="1"/>
  <c r="Y7" i="1"/>
  <c r="Z7" i="1"/>
  <c r="AC7" i="1" s="1"/>
  <c r="Z5" i="1"/>
  <c r="AC5" i="1" s="1"/>
  <c r="AB7" i="1" l="1"/>
  <c r="AF7" i="1" s="1"/>
  <c r="AD7" i="1"/>
  <c r="A9" i="1"/>
  <c r="A10" i="1" s="1"/>
  <c r="Y9" i="1"/>
  <c r="Z9" i="1"/>
  <c r="AD5" i="1"/>
  <c r="AF5" i="1"/>
  <c r="AB9" i="1" l="1"/>
  <c r="AC9" i="1"/>
  <c r="AD9" i="1"/>
  <c r="A11" i="1"/>
  <c r="A12" i="1" s="1"/>
  <c r="Z11" i="1"/>
  <c r="A13" i="1" l="1"/>
  <c r="A14" i="1" s="1"/>
  <c r="Y13" i="1"/>
  <c r="Z13" i="1"/>
  <c r="AC13" i="1" s="1"/>
  <c r="Y11" i="1"/>
  <c r="AF9" i="1"/>
  <c r="AB11" i="1" l="1"/>
  <c r="AC11" i="1"/>
  <c r="AF11" i="1" s="1"/>
  <c r="AD11" i="1"/>
  <c r="AB13" i="1"/>
  <c r="AF13" i="1" s="1"/>
  <c r="AD13" i="1"/>
  <c r="A15" i="1"/>
  <c r="A16" i="1" s="1"/>
  <c r="Y15" i="1"/>
  <c r="Z15" i="1"/>
  <c r="AC15" i="1" l="1"/>
  <c r="AB15" i="1"/>
  <c r="AF15" i="1" s="1"/>
  <c r="AD15" i="1"/>
  <c r="A17" i="1"/>
  <c r="A18" i="1" l="1"/>
  <c r="A19" i="1" l="1"/>
  <c r="Y19" i="1"/>
  <c r="Z19" i="1"/>
  <c r="AC19" i="1" s="1"/>
  <c r="Y17" i="1"/>
  <c r="Z17" i="1"/>
  <c r="AB17" i="1" l="1"/>
  <c r="AD17" i="1"/>
  <c r="AC17" i="1"/>
  <c r="AF17" i="1" s="1"/>
  <c r="AB19" i="1"/>
  <c r="AF19" i="1" s="1"/>
  <c r="AD19" i="1"/>
  <c r="A20" i="1"/>
  <c r="Y18" i="1"/>
  <c r="Z18" i="1"/>
  <c r="A21" i="1" l="1"/>
  <c r="A22" i="1" s="1"/>
  <c r="Y21" i="1"/>
  <c r="Z21" i="1"/>
  <c r="AC21" i="1" s="1"/>
  <c r="AC18" i="1"/>
  <c r="AB18" i="1"/>
  <c r="AF18" i="1" s="1"/>
  <c r="AB21" i="1" l="1"/>
  <c r="AF21" i="1" s="1"/>
  <c r="AD21" i="1"/>
  <c r="A23" i="1"/>
  <c r="A24" i="1" s="1"/>
  <c r="Z23" i="1"/>
  <c r="Y23" i="1"/>
  <c r="AB23" i="1" l="1"/>
  <c r="AD23" i="1"/>
  <c r="AC23" i="1"/>
  <c r="AF23" i="1" s="1"/>
  <c r="A25" i="1"/>
  <c r="A26" i="1" s="1"/>
  <c r="Y25" i="1"/>
  <c r="Z25" i="1"/>
  <c r="AC25" i="1" s="1"/>
  <c r="AB25" i="1" l="1"/>
  <c r="AF25" i="1" s="1"/>
  <c r="AD25" i="1"/>
  <c r="A27" i="1"/>
  <c r="A28" i="1" l="1"/>
  <c r="A29" i="1" l="1"/>
  <c r="Z29" i="1"/>
  <c r="Y29" i="1"/>
  <c r="Y27" i="1"/>
  <c r="Z27" i="1"/>
  <c r="AB27" i="1" l="1"/>
  <c r="AC27" i="1"/>
  <c r="AD27" i="1"/>
  <c r="AB29" i="1"/>
  <c r="AC29" i="1"/>
  <c r="AF29" i="1" s="1"/>
  <c r="AD29" i="1"/>
  <c r="A30" i="1"/>
  <c r="Z28" i="1"/>
  <c r="Y28" i="1"/>
  <c r="AB28" i="1" l="1"/>
  <c r="AC28" i="1"/>
  <c r="AF28" i="1" s="1"/>
  <c r="A31" i="1"/>
  <c r="A32" i="1" s="1"/>
  <c r="Y31" i="1"/>
  <c r="Z31" i="1"/>
  <c r="AC31" i="1" s="1"/>
  <c r="AF27" i="1"/>
  <c r="AB31" i="1" l="1"/>
  <c r="AF31" i="1" s="1"/>
  <c r="AD31" i="1"/>
  <c r="A33" i="1"/>
  <c r="A34" i="1" s="1"/>
  <c r="Y33" i="1"/>
  <c r="Z33" i="1"/>
  <c r="AB33" i="1" l="1"/>
  <c r="AC33" i="1"/>
  <c r="AD33" i="1"/>
  <c r="A35" i="1"/>
  <c r="A36" i="1" s="1"/>
  <c r="Y35" i="1"/>
  <c r="Z35" i="1"/>
  <c r="AB35" i="1" l="1"/>
  <c r="AD35" i="1"/>
  <c r="AC35" i="1"/>
  <c r="A37" i="1"/>
  <c r="AF33" i="1"/>
  <c r="A38" i="1" l="1"/>
  <c r="AF35" i="1"/>
  <c r="A39" i="1" l="1"/>
  <c r="Y39" i="1"/>
  <c r="Z39" i="1"/>
  <c r="Z37" i="1"/>
  <c r="Y37" i="1"/>
  <c r="AB37" i="1" l="1"/>
  <c r="AD37" i="1"/>
  <c r="AC37" i="1"/>
  <c r="AC39" i="1"/>
  <c r="AB39" i="1"/>
  <c r="AF39" i="1" s="1"/>
  <c r="AD39" i="1"/>
  <c r="A40" i="1"/>
  <c r="Y38" i="1"/>
  <c r="Z38" i="1"/>
  <c r="AB38" i="1" l="1"/>
  <c r="AC38" i="1"/>
  <c r="A41" i="1"/>
  <c r="A42" i="1" s="1"/>
  <c r="Y41" i="1"/>
  <c r="Z41" i="1"/>
  <c r="AF37" i="1"/>
  <c r="AB41" i="1" l="1"/>
  <c r="AD41" i="1"/>
  <c r="AC41" i="1"/>
  <c r="AF41" i="1" s="1"/>
  <c r="A43" i="1"/>
  <c r="A44" i="1" s="1"/>
  <c r="Y43" i="1"/>
  <c r="Z43" i="1"/>
  <c r="AC43" i="1" s="1"/>
  <c r="AF38" i="1"/>
  <c r="AB43" i="1" l="1"/>
  <c r="AF43" i="1" s="1"/>
  <c r="AD43" i="1"/>
  <c r="A45" i="1"/>
  <c r="A46" i="1" s="1"/>
  <c r="Y45" i="1"/>
  <c r="Z45" i="1"/>
  <c r="AB45" i="1" l="1"/>
  <c r="AC45" i="1"/>
  <c r="AD45" i="1"/>
  <c r="A47" i="1"/>
  <c r="A48" i="1" l="1"/>
  <c r="AF45" i="1"/>
  <c r="A49" i="1" l="1"/>
  <c r="Z49" i="1"/>
  <c r="AC49" i="1" s="1"/>
  <c r="Y49" i="1"/>
  <c r="Z47" i="1"/>
  <c r="Y47" i="1"/>
  <c r="AB47" i="1" l="1"/>
  <c r="AC47" i="1"/>
  <c r="AD47" i="1"/>
  <c r="AB49" i="1"/>
  <c r="AF49" i="1" s="1"/>
  <c r="AD49" i="1"/>
  <c r="A50" i="1"/>
  <c r="Z48" i="1"/>
  <c r="Y48" i="1"/>
  <c r="AB48" i="1" l="1"/>
  <c r="AC48" i="1"/>
  <c r="AF48" i="1" s="1"/>
  <c r="A51" i="1"/>
  <c r="A52" i="1" s="1"/>
  <c r="Y51" i="1"/>
  <c r="Z51" i="1"/>
  <c r="AF47" i="1"/>
  <c r="AB51" i="1" l="1"/>
  <c r="AC51" i="1"/>
  <c r="AF51" i="1" s="1"/>
  <c r="AD51" i="1"/>
  <c r="A53" i="1"/>
  <c r="A54" i="1" s="1"/>
  <c r="Y53" i="1"/>
  <c r="Z53" i="1"/>
  <c r="AB53" i="1" l="1"/>
  <c r="AD53" i="1"/>
  <c r="AC53" i="1"/>
  <c r="AF53" i="1" s="1"/>
  <c r="A55" i="1"/>
  <c r="A56" i="1" s="1"/>
  <c r="Y55" i="1"/>
  <c r="Z55" i="1"/>
  <c r="AB55" i="1" l="1"/>
  <c r="AC55" i="1"/>
  <c r="AD55" i="1"/>
  <c r="A57" i="1"/>
  <c r="A58" i="1" s="1"/>
  <c r="Z57" i="1"/>
  <c r="AC57" i="1" s="1"/>
  <c r="Y57" i="1"/>
  <c r="AB57" i="1" l="1"/>
  <c r="AF57" i="1" s="1"/>
  <c r="AD57" i="1"/>
  <c r="A59" i="1"/>
  <c r="A60" i="1" s="1"/>
  <c r="Y59" i="1"/>
  <c r="Z59" i="1"/>
  <c r="AF55" i="1"/>
  <c r="AB59" i="1" l="1"/>
  <c r="AC59" i="1"/>
  <c r="AF59" i="1" s="1"/>
  <c r="AD59" i="1"/>
  <c r="A61" i="1"/>
  <c r="A63" i="1" l="1"/>
  <c r="A62" i="1"/>
  <c r="Z63" i="1"/>
  <c r="Y63" i="1"/>
  <c r="AD63" i="1" l="1"/>
  <c r="AB63" i="1"/>
  <c r="AF63" i="1" s="1"/>
  <c r="AC63" i="1"/>
  <c r="A64" i="1"/>
  <c r="Y61" i="1"/>
  <c r="Z61" i="1"/>
  <c r="AC61" i="1" l="1"/>
  <c r="AB61" i="1"/>
  <c r="AF61" i="1" s="1"/>
  <c r="A65" i="1"/>
  <c r="A66" i="1" s="1"/>
  <c r="Z65" i="1"/>
  <c r="Y65" i="1"/>
  <c r="Y62" i="1"/>
  <c r="Z62" i="1"/>
  <c r="AC62" i="1" l="1"/>
  <c r="AB62" i="1"/>
  <c r="AF62" i="1" s="1"/>
  <c r="AD65" i="1"/>
  <c r="AB65" i="1"/>
  <c r="AF65" i="1" s="1"/>
  <c r="AC65" i="1"/>
  <c r="A67" i="1"/>
  <c r="Y67" i="1"/>
  <c r="Z67" i="1"/>
  <c r="AD67" i="1" l="1"/>
  <c r="AC67" i="1"/>
  <c r="AB67" i="1"/>
  <c r="AF67" i="1" s="1"/>
  <c r="Y69" i="1"/>
  <c r="Z69" i="1"/>
  <c r="AD69" i="1" l="1"/>
  <c r="AB69" i="1"/>
  <c r="AC69" i="1"/>
  <c r="Z71" i="1"/>
  <c r="Y71" i="1"/>
  <c r="AD71" i="1" l="1"/>
  <c r="AB71" i="1"/>
  <c r="AC71" i="1"/>
  <c r="Z73" i="1"/>
  <c r="Y73" i="1"/>
  <c r="AF69" i="1"/>
  <c r="AD73" i="1" l="1"/>
  <c r="AC73" i="1"/>
  <c r="AB73" i="1"/>
  <c r="AF73" i="1" s="1"/>
  <c r="Z75" i="1"/>
  <c r="AF71" i="1"/>
  <c r="Y75" i="1" l="1"/>
  <c r="AC75" i="1" l="1"/>
  <c r="AB75" i="1"/>
  <c r="AF75" i="1" s="1"/>
</calcChain>
</file>

<file path=xl/sharedStrings.xml><?xml version="1.0" encoding="utf-8"?>
<sst xmlns="http://schemas.openxmlformats.org/spreadsheetml/2006/main" count="246" uniqueCount="55">
  <si>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</si>
  <si>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</si>
  <si>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</si>
  <si>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</si>
  <si>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</si>
  <si>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</si>
  <si>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</si>
  <si>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</si>
  <si>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</si>
  <si>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</si>
  <si>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</si>
  <si>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</si>
  <si>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</si>
  <si>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</si>
  <si>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</si>
  <si>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</si>
  <si>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</si>
  <si>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</si>
  <si>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</si>
  <si>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</si>
  <si>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</si>
  <si>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</si>
  <si>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</si>
  <si>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</si>
  <si>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</si>
  <si>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</si>
  <si>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</si>
  <si>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</si>
  <si>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</si>
  <si>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</si>
  <si>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</si>
  <si>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</si>
  <si>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</si>
  <si>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</si>
  <si>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</si>
  <si>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</si>
  <si>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</si>
  <si>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</si>
  <si>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</si>
  <si>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</si>
  <si>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</t>
  </si>
  <si>
    <t>Mg+g'_Elas</t>
  </si>
  <si>
    <t>Mq_Elas</t>
  </si>
  <si>
    <t>Redis</t>
  </si>
  <si>
    <t>File B - 1</t>
  </si>
  <si>
    <t>Appui 6</t>
  </si>
  <si>
    <t>Travée 7</t>
  </si>
  <si>
    <t>Appui 7</t>
  </si>
  <si>
    <t>Travée 8</t>
  </si>
  <si>
    <t>File B - 2</t>
  </si>
  <si>
    <t>File B - 3</t>
  </si>
  <si>
    <t>File B - 4</t>
  </si>
  <si>
    <t>File B - 5</t>
  </si>
  <si>
    <t>File B - 0</t>
  </si>
  <si>
    <t>File B - 5 + Chapiteau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</si>
</sst>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9" fontId="0" fillId="33" borderId="0" xfId="42" applyFon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33" borderId="0" xfId="0" applyNumberFormat="1" applyFill="1"/>
    <xf numFmtId="1" fontId="0" fillId="0" borderId="0" xfId="0" applyNumberFormat="1"/>
    <xf numFmtId="9" fontId="0" fillId="0" borderId="0" xfId="42" applyFont="1" applyFill="1"/>
    <xf numFmtId="0" fontId="0" fillId="35" borderId="0" xfId="0" applyFill="1"/>
    <xf numFmtId="10" fontId="0" fillId="35" borderId="0" xfId="0" applyNumberFormat="1" applyFill="1"/>
    <xf numFmtId="0" fontId="0" fillId="36" borderId="0" xfId="0" applyFill="1"/>
    <xf numFmtId="1" fontId="0" fillId="36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Q81"/>
  <sheetViews>
    <sheetView tabSelected="1" zoomScale="70" zoomScaleNormal="70" workbookViewId="0">
      <pane xSplit="3" topLeftCell="I1" activePane="topRight" state="frozen"/>
      <selection pane="topRight" activeCell="A27" activeCellId="4" sqref="A19:XFD19 A21:XFD21 A23:XFD23 A25:XFD25 A27:XFD27"/>
    </sheetView>
  </sheetViews>
  <sheetFormatPr baseColWidth="10" defaultRowHeight="14.5" x14ac:dyDescent="0.35"/>
  <cols>
    <col min="2" max="2" width="18.453125" bestFit="1" customWidth="1"/>
  </cols>
  <sheetData>
    <row r="1" spans="1:43" x14ac:dyDescent="0.35">
      <c r="A1" t="s">
        <v>40</v>
      </c>
      <c r="B1" t="s">
        <v>21</v>
      </c>
      <c r="C1" t="s">
        <v>22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41</v>
      </c>
      <c r="W1" t="s">
        <v>42</v>
      </c>
      <c r="X1" t="s">
        <v>43</v>
      </c>
      <c r="Y1" t="s">
        <v>37</v>
      </c>
      <c r="Z1" t="s">
        <v>38</v>
      </c>
      <c r="AA1" t="s">
        <v>39</v>
      </c>
      <c r="AB1" t="s">
        <v>34</v>
      </c>
      <c r="AC1" t="s">
        <v>36</v>
      </c>
      <c r="AD1" t="s">
        <v>32</v>
      </c>
      <c r="AE1" t="s">
        <v>35</v>
      </c>
      <c r="AF1" t="s">
        <v>33</v>
      </c>
    </row>
    <row r="2" spans="1:43" x14ac:dyDescent="0.35">
      <c r="A2">
        <v>1</v>
      </c>
      <c r="B2" t="s">
        <v>53</v>
      </c>
      <c r="D2" s="3">
        <v>25</v>
      </c>
      <c r="E2" s="3" t="s">
        <v>18</v>
      </c>
      <c r="F2" s="3">
        <v>500</v>
      </c>
      <c r="G2" s="4">
        <v>220000</v>
      </c>
      <c r="H2" s="3">
        <v>1576</v>
      </c>
      <c r="I2" s="3">
        <v>1870</v>
      </c>
      <c r="J2" s="3">
        <v>1</v>
      </c>
      <c r="K2" s="3">
        <v>0.2</v>
      </c>
      <c r="L2" s="3">
        <v>2.2000000000000002</v>
      </c>
      <c r="M2" s="3">
        <v>1.0000000000000001E-5</v>
      </c>
      <c r="N2" s="3">
        <v>0.03</v>
      </c>
      <c r="O2" s="3">
        <v>1</v>
      </c>
      <c r="P2" s="3">
        <v>0</v>
      </c>
      <c r="Q2" s="3">
        <v>0</v>
      </c>
      <c r="R2" s="3">
        <v>1</v>
      </c>
      <c r="S2" s="3">
        <v>0</v>
      </c>
      <c r="T2" s="3">
        <v>0</v>
      </c>
      <c r="U2" s="3">
        <v>0</v>
      </c>
      <c r="V2" s="5">
        <v>0</v>
      </c>
      <c r="W2" s="5">
        <v>0</v>
      </c>
      <c r="X2" s="3"/>
      <c r="Y2" s="1">
        <f>IFERROR(IF(ISNUMBER(SEARCH("Appui",C2)),V2+X2*V2,IF(A1&lt;A2,V2-X3*V3/2,IF(A2&lt;A3,V2-(X1*V1)/2,V2-(X3*V3+X1*V1)/2))),0)</f>
        <v>0</v>
      </c>
      <c r="Z2" s="1">
        <f>IFERROR(IF(ISNUMBER(SEARCH("Appui",C2)),W2+X2*W2,IF(A1&lt;A2,W2-X3*W3/2,IF(A2&lt;A3,W2-(X1*W1)/2,W2-(X3*W3+X1*W1)/2))),0)</f>
        <v>0</v>
      </c>
      <c r="AA2" s="2">
        <v>0</v>
      </c>
      <c r="AB2" s="1">
        <f t="shared" ref="AB2" si="0">Y2*(1-AA2)</f>
        <v>0</v>
      </c>
      <c r="AC2" s="1">
        <f t="shared" ref="AC2" si="1">Y2*AA2 + Z2</f>
        <v>0</v>
      </c>
      <c r="AD2" s="7">
        <f t="shared" ref="AD2" si="2">1.35*Y2+1.5*Z2</f>
        <v>0</v>
      </c>
      <c r="AE2" s="7"/>
      <c r="AF2" s="1">
        <f>AB2+AC2</f>
        <v>0</v>
      </c>
      <c r="AP2" s="1"/>
      <c r="AQ2" s="1"/>
    </row>
    <row r="3" spans="1:43" x14ac:dyDescent="0.35">
      <c r="A3">
        <f t="shared" ref="A3:A60" si="3">IF(B3=B2,A2,A2+1)</f>
        <v>2</v>
      </c>
      <c r="B3" t="s">
        <v>44</v>
      </c>
      <c r="C3" t="s">
        <v>19</v>
      </c>
      <c r="D3">
        <v>25</v>
      </c>
      <c r="E3" t="s">
        <v>18</v>
      </c>
      <c r="F3">
        <v>500</v>
      </c>
      <c r="G3" s="12">
        <v>215000</v>
      </c>
      <c r="H3" s="13">
        <v>1412.67</v>
      </c>
      <c r="I3" s="12">
        <v>1828</v>
      </c>
      <c r="J3">
        <v>1</v>
      </c>
      <c r="K3">
        <v>0.25</v>
      </c>
      <c r="L3">
        <v>2.6</v>
      </c>
      <c r="M3">
        <v>3.3280000000000001E-4</v>
      </c>
      <c r="N3">
        <v>0.04</v>
      </c>
      <c r="O3">
        <v>1</v>
      </c>
      <c r="P3">
        <v>0</v>
      </c>
      <c r="Q3">
        <v>0</v>
      </c>
      <c r="R3">
        <v>1</v>
      </c>
      <c r="S3" s="12">
        <v>9.1649999999999992E-5</v>
      </c>
      <c r="T3">
        <v>0</v>
      </c>
      <c r="U3" s="12">
        <v>3</v>
      </c>
      <c r="V3" s="1">
        <v>26</v>
      </c>
      <c r="W3" s="1">
        <v>10</v>
      </c>
      <c r="X3" s="6" t="str">
        <f t="shared" ref="X3" si="4">IF(ISNUMBER(SEARCH("Appui",#REF!)),0,"0")</f>
        <v>0</v>
      </c>
      <c r="Y3" s="1">
        <f>IFERROR(IF(ISNUMBER(SEARCH("Appui",C3)),V3+X3*V3,IF(A2&lt;A3,V3-X4*V4/2,IF(A3&lt;A4,V3-(X2*V2)/2,V3-(X4*V4+X2*V2)/2))),0)</f>
        <v>26</v>
      </c>
      <c r="Z3" s="1">
        <f>IFERROR(IF(ISNUMBER(SEARCH("Appui",C3)),W3+X3*W3,IF(A2&lt;A3,W3-X4*W4/2,IF(A3&lt;A4,W3-(X2*W2)/2,W3-(X4*W4+X2*W2)/2))),0)</f>
        <v>10</v>
      </c>
      <c r="AA3" s="2">
        <v>0.5</v>
      </c>
      <c r="AB3" s="1">
        <f t="shared" ref="AB3" si="5">Y3*(1-AA3)</f>
        <v>13</v>
      </c>
      <c r="AC3" s="1">
        <f t="shared" ref="AC3" si="6">Y3*AA3 + Z3</f>
        <v>23</v>
      </c>
      <c r="AD3" s="7">
        <f t="shared" ref="AD3:AD60" si="7">1.35*Y3+1.5*Z3</f>
        <v>50.1</v>
      </c>
      <c r="AE3" s="7"/>
      <c r="AF3" s="1">
        <f t="shared" ref="AF3:AF60" si="8">AB3+AC3</f>
        <v>36</v>
      </c>
      <c r="AP3" s="1"/>
      <c r="AQ3" s="1"/>
    </row>
    <row r="4" spans="1:43" x14ac:dyDescent="0.35">
      <c r="A4">
        <f t="shared" si="3"/>
        <v>2</v>
      </c>
      <c r="B4" t="s">
        <v>44</v>
      </c>
      <c r="C4" t="s">
        <v>20</v>
      </c>
      <c r="D4">
        <v>25</v>
      </c>
      <c r="E4" t="s">
        <v>18</v>
      </c>
      <c r="F4">
        <v>500</v>
      </c>
      <c r="G4" s="12">
        <v>215000</v>
      </c>
      <c r="H4" s="13">
        <v>1412.67</v>
      </c>
      <c r="I4" s="12">
        <v>1828</v>
      </c>
      <c r="J4">
        <v>1</v>
      </c>
      <c r="K4">
        <v>0.25</v>
      </c>
      <c r="L4">
        <v>2.6</v>
      </c>
      <c r="M4">
        <v>1.3338E-3</v>
      </c>
      <c r="N4">
        <v>9.9999999999999992E-2</v>
      </c>
      <c r="O4">
        <v>1</v>
      </c>
      <c r="P4" s="10">
        <f>1.539*0.0001</f>
        <v>1.539E-4</v>
      </c>
      <c r="Q4">
        <v>0.04</v>
      </c>
      <c r="R4" s="10">
        <v>4</v>
      </c>
      <c r="S4">
        <v>0</v>
      </c>
      <c r="T4">
        <v>0</v>
      </c>
      <c r="U4">
        <v>0</v>
      </c>
      <c r="V4" s="1">
        <v>90</v>
      </c>
      <c r="W4" s="1">
        <v>30</v>
      </c>
      <c r="X4" s="6">
        <v>0</v>
      </c>
      <c r="Y4" s="1">
        <f t="shared" ref="Y4:Y60" si="9">IFERROR(IF(ISNUMBER(SEARCH("Appui",C4)),V4+X4*V4,IF(A3&lt;A4,V4-X5*V5/2,IF(A4&lt;A5,V4-(X3*V3)/2,V4-(X5*V5+X3*V3)/2))),0)</f>
        <v>90</v>
      </c>
      <c r="Z4" s="1">
        <f t="shared" ref="Z4:Z60" si="10">IFERROR(IF(ISNUMBER(SEARCH("Appui",C4)),W4+X4*W4,IF(A3&lt;A4,W4-X5*W5/2,IF(A4&lt;A5,W4-(X3*W3)/2,W4-(X5*W5+X3*W3)/2))),0)</f>
        <v>30</v>
      </c>
      <c r="AA4" s="2">
        <v>0.5</v>
      </c>
      <c r="AB4" s="1">
        <f t="shared" ref="AB4:AB60" si="11">Y4*(1-AA4)</f>
        <v>45</v>
      </c>
      <c r="AC4" s="1">
        <f t="shared" ref="AC4:AC60" si="12">Y4*AA4 + Z4</f>
        <v>75</v>
      </c>
      <c r="AD4" s="7">
        <f t="shared" si="7"/>
        <v>166.5</v>
      </c>
      <c r="AE4" s="7"/>
      <c r="AF4" s="1">
        <f t="shared" si="8"/>
        <v>120</v>
      </c>
      <c r="AP4" s="1"/>
      <c r="AQ4" s="1"/>
    </row>
    <row r="5" spans="1:43" x14ac:dyDescent="0.35">
      <c r="A5">
        <f t="shared" si="3"/>
        <v>2</v>
      </c>
      <c r="B5" t="s">
        <v>44</v>
      </c>
      <c r="C5" t="s">
        <v>23</v>
      </c>
      <c r="D5">
        <v>25</v>
      </c>
      <c r="E5" t="s">
        <v>18</v>
      </c>
      <c r="F5">
        <v>500</v>
      </c>
      <c r="G5" s="12">
        <v>215000</v>
      </c>
      <c r="H5" s="13">
        <v>1412.67</v>
      </c>
      <c r="I5" s="12">
        <v>1828</v>
      </c>
      <c r="J5">
        <v>1</v>
      </c>
      <c r="K5">
        <v>0.25</v>
      </c>
      <c r="L5">
        <v>2.6</v>
      </c>
      <c r="M5">
        <v>3.3280000000000001E-4</v>
      </c>
      <c r="N5">
        <v>0.04</v>
      </c>
      <c r="O5">
        <v>1</v>
      </c>
      <c r="P5">
        <v>0</v>
      </c>
      <c r="Q5">
        <v>0</v>
      </c>
      <c r="R5">
        <v>1</v>
      </c>
      <c r="S5" s="12">
        <v>9.1649999999999992E-5</v>
      </c>
      <c r="T5">
        <v>0</v>
      </c>
      <c r="U5" s="12">
        <v>5</v>
      </c>
      <c r="V5" s="1">
        <v>37</v>
      </c>
      <c r="W5" s="1">
        <v>15</v>
      </c>
      <c r="X5" s="6" t="str">
        <f t="shared" ref="X5:X59" si="13">IF(ISNUMBER(SEARCH("Appui",#REF!)),0,"0")</f>
        <v>0</v>
      </c>
      <c r="Y5" s="1">
        <f t="shared" si="9"/>
        <v>37</v>
      </c>
      <c r="Z5" s="1">
        <f t="shared" si="10"/>
        <v>15</v>
      </c>
      <c r="AA5" s="2">
        <v>0.5</v>
      </c>
      <c r="AB5" s="1">
        <f t="shared" si="11"/>
        <v>18.5</v>
      </c>
      <c r="AC5" s="1">
        <f t="shared" si="12"/>
        <v>33.5</v>
      </c>
      <c r="AD5" s="7">
        <f t="shared" si="7"/>
        <v>72.45</v>
      </c>
      <c r="AE5" s="7"/>
      <c r="AF5" s="1">
        <f t="shared" si="8"/>
        <v>52</v>
      </c>
      <c r="AP5" s="1"/>
      <c r="AQ5" s="1"/>
    </row>
    <row r="6" spans="1:43" x14ac:dyDescent="0.35">
      <c r="A6">
        <f t="shared" si="3"/>
        <v>2</v>
      </c>
      <c r="B6" t="s">
        <v>44</v>
      </c>
      <c r="C6" t="s">
        <v>24</v>
      </c>
      <c r="D6">
        <v>25</v>
      </c>
      <c r="E6" t="s">
        <v>18</v>
      </c>
      <c r="F6">
        <v>500</v>
      </c>
      <c r="G6" s="12">
        <v>215000</v>
      </c>
      <c r="H6" s="13">
        <v>1412.67</v>
      </c>
      <c r="I6" s="12">
        <v>1828</v>
      </c>
      <c r="J6">
        <v>1</v>
      </c>
      <c r="K6">
        <v>0.25</v>
      </c>
      <c r="L6">
        <v>2.6</v>
      </c>
      <c r="M6">
        <v>1.3338E-3</v>
      </c>
      <c r="N6">
        <v>6.9999999999999993E-2</v>
      </c>
      <c r="O6">
        <v>1</v>
      </c>
      <c r="P6" s="10">
        <f>2.011*0.0001</f>
        <v>2.0110000000000001E-4</v>
      </c>
      <c r="Q6">
        <v>0.04</v>
      </c>
      <c r="R6" s="10">
        <v>6</v>
      </c>
      <c r="S6">
        <v>0</v>
      </c>
      <c r="T6">
        <v>0</v>
      </c>
      <c r="U6">
        <v>0</v>
      </c>
      <c r="V6" s="1">
        <v>114</v>
      </c>
      <c r="W6" s="1">
        <v>40.5</v>
      </c>
      <c r="X6" s="6">
        <v>0</v>
      </c>
      <c r="Y6" s="1">
        <f t="shared" si="9"/>
        <v>114</v>
      </c>
      <c r="Z6" s="1">
        <f t="shared" si="10"/>
        <v>40.5</v>
      </c>
      <c r="AA6" s="2">
        <v>0.5</v>
      </c>
      <c r="AB6" s="1">
        <f t="shared" si="11"/>
        <v>57</v>
      </c>
      <c r="AC6" s="1">
        <f t="shared" si="12"/>
        <v>97.5</v>
      </c>
      <c r="AD6" s="7">
        <f t="shared" si="7"/>
        <v>214.65</v>
      </c>
      <c r="AE6" s="7"/>
      <c r="AF6" s="1">
        <f t="shared" si="8"/>
        <v>154.5</v>
      </c>
      <c r="AP6" s="1"/>
      <c r="AQ6" s="1"/>
    </row>
    <row r="7" spans="1:43" x14ac:dyDescent="0.35">
      <c r="A7">
        <f t="shared" si="3"/>
        <v>2</v>
      </c>
      <c r="B7" t="s">
        <v>44</v>
      </c>
      <c r="C7" t="s">
        <v>25</v>
      </c>
      <c r="D7">
        <v>25</v>
      </c>
      <c r="E7" t="s">
        <v>18</v>
      </c>
      <c r="F7">
        <v>500</v>
      </c>
      <c r="G7" s="12">
        <v>215000</v>
      </c>
      <c r="H7" s="13">
        <v>1412.67</v>
      </c>
      <c r="I7" s="12">
        <v>1828</v>
      </c>
      <c r="J7">
        <v>1</v>
      </c>
      <c r="K7">
        <v>0.25</v>
      </c>
      <c r="L7">
        <v>2.6</v>
      </c>
      <c r="M7">
        <v>3.3280000000000001E-4</v>
      </c>
      <c r="N7">
        <v>0.04</v>
      </c>
      <c r="O7">
        <v>1</v>
      </c>
      <c r="P7">
        <v>0</v>
      </c>
      <c r="Q7">
        <v>0</v>
      </c>
      <c r="R7">
        <v>1</v>
      </c>
      <c r="S7" s="12">
        <v>9.1649999999999992E-5</v>
      </c>
      <c r="T7">
        <v>0</v>
      </c>
      <c r="U7" s="12">
        <v>5</v>
      </c>
      <c r="V7" s="1">
        <v>37</v>
      </c>
      <c r="W7">
        <v>17</v>
      </c>
      <c r="X7" s="6" t="str">
        <f t="shared" si="13"/>
        <v>0</v>
      </c>
      <c r="Y7" s="1">
        <f t="shared" si="9"/>
        <v>39.975000000000001</v>
      </c>
      <c r="Z7" s="1">
        <f t="shared" si="10"/>
        <v>18.074999999999999</v>
      </c>
      <c r="AA7" s="2">
        <v>0.5</v>
      </c>
      <c r="AB7" s="1">
        <f t="shared" si="11"/>
        <v>19.987500000000001</v>
      </c>
      <c r="AC7" s="1">
        <f t="shared" si="12"/>
        <v>38.0625</v>
      </c>
      <c r="AD7" s="7">
        <f t="shared" si="7"/>
        <v>81.078749999999999</v>
      </c>
      <c r="AE7" s="7"/>
      <c r="AF7" s="1">
        <f t="shared" si="8"/>
        <v>58.05</v>
      </c>
      <c r="AP7" s="1"/>
      <c r="AQ7" s="1"/>
    </row>
    <row r="8" spans="1:43" x14ac:dyDescent="0.35">
      <c r="A8">
        <f t="shared" si="3"/>
        <v>2</v>
      </c>
      <c r="B8" t="s">
        <v>44</v>
      </c>
      <c r="C8" t="s">
        <v>26</v>
      </c>
      <c r="D8">
        <v>25</v>
      </c>
      <c r="E8" t="s">
        <v>18</v>
      </c>
      <c r="F8">
        <v>500</v>
      </c>
      <c r="G8" s="12">
        <v>215000</v>
      </c>
      <c r="H8" s="13">
        <v>1412.67</v>
      </c>
      <c r="I8" s="12">
        <v>1828</v>
      </c>
      <c r="J8">
        <v>1</v>
      </c>
      <c r="K8">
        <v>0.25</v>
      </c>
      <c r="L8">
        <v>2.6</v>
      </c>
      <c r="M8">
        <v>1.0009999999999999E-3</v>
      </c>
      <c r="N8">
        <v>6.9999999999999993E-2</v>
      </c>
      <c r="O8">
        <v>1</v>
      </c>
      <c r="P8" s="10">
        <f>3.142*0.0001</f>
        <v>3.1419999999999999E-4</v>
      </c>
      <c r="Q8">
        <v>0.04</v>
      </c>
      <c r="R8" s="10">
        <v>6</v>
      </c>
      <c r="S8">
        <v>0</v>
      </c>
      <c r="T8">
        <v>0</v>
      </c>
      <c r="U8">
        <v>0</v>
      </c>
      <c r="V8" s="1">
        <v>119</v>
      </c>
      <c r="W8" s="1">
        <v>43</v>
      </c>
      <c r="X8" s="11">
        <v>-0.05</v>
      </c>
      <c r="Y8" s="1">
        <f t="shared" si="9"/>
        <v>113.05</v>
      </c>
      <c r="Z8" s="1">
        <f t="shared" si="10"/>
        <v>40.85</v>
      </c>
      <c r="AA8" s="2">
        <v>0.5</v>
      </c>
      <c r="AB8" s="1">
        <f t="shared" si="11"/>
        <v>56.524999999999999</v>
      </c>
      <c r="AC8" s="1">
        <f t="shared" si="12"/>
        <v>97.375</v>
      </c>
      <c r="AD8" s="7">
        <f t="shared" si="7"/>
        <v>213.89250000000001</v>
      </c>
      <c r="AE8" s="7"/>
      <c r="AF8" s="1">
        <f t="shared" si="8"/>
        <v>153.9</v>
      </c>
      <c r="AP8" s="1"/>
      <c r="AQ8" s="1"/>
    </row>
    <row r="9" spans="1:43" x14ac:dyDescent="0.35">
      <c r="A9">
        <f t="shared" si="3"/>
        <v>2</v>
      </c>
      <c r="B9" t="s">
        <v>44</v>
      </c>
      <c r="C9" t="s">
        <v>27</v>
      </c>
      <c r="D9">
        <v>25</v>
      </c>
      <c r="E9" t="s">
        <v>18</v>
      </c>
      <c r="F9">
        <v>500</v>
      </c>
      <c r="G9" s="12">
        <v>215000</v>
      </c>
      <c r="H9" s="13">
        <v>1412.67</v>
      </c>
      <c r="I9" s="12">
        <v>1828</v>
      </c>
      <c r="J9">
        <v>1</v>
      </c>
      <c r="K9">
        <v>0.25</v>
      </c>
      <c r="L9">
        <v>2.6</v>
      </c>
      <c r="M9">
        <v>3.3280000000000001E-4</v>
      </c>
      <c r="N9">
        <v>0.04</v>
      </c>
      <c r="O9">
        <v>1</v>
      </c>
      <c r="P9">
        <v>0</v>
      </c>
      <c r="Q9">
        <v>0</v>
      </c>
      <c r="R9">
        <v>1</v>
      </c>
      <c r="S9" s="12">
        <v>9.1649999999999992E-5</v>
      </c>
      <c r="T9">
        <v>0</v>
      </c>
      <c r="U9" s="12">
        <v>5</v>
      </c>
      <c r="V9" s="1">
        <v>41</v>
      </c>
      <c r="W9">
        <v>18</v>
      </c>
      <c r="X9" s="6" t="str">
        <f t="shared" si="13"/>
        <v>0</v>
      </c>
      <c r="Y9" s="1">
        <f t="shared" si="9"/>
        <v>40.912500000000001</v>
      </c>
      <c r="Z9" s="1">
        <f t="shared" si="10"/>
        <v>18.175000000000001</v>
      </c>
      <c r="AA9" s="2">
        <v>0.5</v>
      </c>
      <c r="AB9" s="1">
        <f t="shared" si="11"/>
        <v>20.456250000000001</v>
      </c>
      <c r="AC9" s="1">
        <f t="shared" si="12"/>
        <v>38.631250000000001</v>
      </c>
      <c r="AD9" s="7">
        <f t="shared" si="7"/>
        <v>82.494375000000005</v>
      </c>
      <c r="AE9" s="7"/>
      <c r="AF9" s="1">
        <f t="shared" si="8"/>
        <v>59.087500000000006</v>
      </c>
      <c r="AP9" s="1"/>
    </row>
    <row r="10" spans="1:43" x14ac:dyDescent="0.35">
      <c r="A10">
        <f t="shared" si="3"/>
        <v>2</v>
      </c>
      <c r="B10" t="s">
        <v>44</v>
      </c>
      <c r="C10" t="s">
        <v>28</v>
      </c>
      <c r="D10">
        <v>25</v>
      </c>
      <c r="E10" t="s">
        <v>18</v>
      </c>
      <c r="F10">
        <v>500</v>
      </c>
      <c r="G10" s="12">
        <v>215000</v>
      </c>
      <c r="H10" s="13">
        <v>1412.67</v>
      </c>
      <c r="I10" s="12">
        <v>1828</v>
      </c>
      <c r="J10">
        <v>1</v>
      </c>
      <c r="K10">
        <v>0.25</v>
      </c>
      <c r="L10">
        <v>2.6</v>
      </c>
      <c r="M10">
        <v>1.3338E-3</v>
      </c>
      <c r="N10">
        <v>6.9999999999999993E-2</v>
      </c>
      <c r="O10">
        <v>1</v>
      </c>
      <c r="P10" s="10">
        <f>3.142*0.0001</f>
        <v>3.1419999999999999E-4</v>
      </c>
      <c r="Q10">
        <v>0.04</v>
      </c>
      <c r="R10" s="10">
        <v>6</v>
      </c>
      <c r="S10">
        <v>0</v>
      </c>
      <c r="T10">
        <v>0</v>
      </c>
      <c r="U10">
        <v>0</v>
      </c>
      <c r="V10" s="1">
        <v>122.5</v>
      </c>
      <c r="W10" s="1">
        <v>36</v>
      </c>
      <c r="X10" s="11">
        <v>0.05</v>
      </c>
      <c r="Y10" s="1">
        <f t="shared" si="9"/>
        <v>128.625</v>
      </c>
      <c r="Z10" s="1">
        <f t="shared" si="10"/>
        <v>37.799999999999997</v>
      </c>
      <c r="AA10" s="2">
        <v>0.5</v>
      </c>
      <c r="AB10" s="1">
        <f t="shared" si="11"/>
        <v>64.3125</v>
      </c>
      <c r="AC10" s="1">
        <f t="shared" si="12"/>
        <v>102.1125</v>
      </c>
      <c r="AD10" s="7">
        <f t="shared" si="7"/>
        <v>230.34375</v>
      </c>
      <c r="AE10" s="7"/>
      <c r="AF10" s="1">
        <f t="shared" si="8"/>
        <v>166.42500000000001</v>
      </c>
      <c r="AP10" s="1"/>
      <c r="AQ10" s="1"/>
    </row>
    <row r="11" spans="1:43" x14ac:dyDescent="0.35">
      <c r="A11">
        <f t="shared" si="3"/>
        <v>2</v>
      </c>
      <c r="B11" t="s">
        <v>44</v>
      </c>
      <c r="C11" t="s">
        <v>29</v>
      </c>
      <c r="D11">
        <v>25</v>
      </c>
      <c r="E11" t="s">
        <v>18</v>
      </c>
      <c r="F11">
        <v>500</v>
      </c>
      <c r="G11" s="12">
        <v>215000</v>
      </c>
      <c r="H11" s="13">
        <v>1412.67</v>
      </c>
      <c r="I11" s="12">
        <v>1828</v>
      </c>
      <c r="J11">
        <v>1</v>
      </c>
      <c r="K11">
        <v>0.25</v>
      </c>
      <c r="L11">
        <v>2.6</v>
      </c>
      <c r="M11">
        <v>3.3280000000000001E-4</v>
      </c>
      <c r="N11">
        <v>0.04</v>
      </c>
      <c r="O11">
        <v>1</v>
      </c>
      <c r="P11">
        <v>0</v>
      </c>
      <c r="Q11">
        <v>0</v>
      </c>
      <c r="R11">
        <v>1</v>
      </c>
      <c r="S11" s="12">
        <v>9.1649999999999992E-5</v>
      </c>
      <c r="T11">
        <v>0</v>
      </c>
      <c r="U11" s="12">
        <v>5</v>
      </c>
      <c r="V11" s="1">
        <v>41</v>
      </c>
      <c r="W11" s="1">
        <v>12</v>
      </c>
      <c r="X11" s="6" t="str">
        <f t="shared" si="13"/>
        <v>0</v>
      </c>
      <c r="Y11" s="1">
        <f t="shared" si="9"/>
        <v>34.712499999999999</v>
      </c>
      <c r="Z11" s="1">
        <f t="shared" si="10"/>
        <v>10.1625</v>
      </c>
      <c r="AA11" s="2">
        <v>0.5</v>
      </c>
      <c r="AB11" s="1">
        <f t="shared" si="11"/>
        <v>17.356249999999999</v>
      </c>
      <c r="AC11" s="1">
        <f t="shared" si="12"/>
        <v>27.518749999999997</v>
      </c>
      <c r="AD11" s="7">
        <f t="shared" si="7"/>
        <v>62.105624999999996</v>
      </c>
      <c r="AE11" s="7"/>
      <c r="AF11" s="1">
        <f t="shared" si="8"/>
        <v>44.875</v>
      </c>
      <c r="AP11" s="1"/>
    </row>
    <row r="12" spans="1:43" x14ac:dyDescent="0.35">
      <c r="A12">
        <f t="shared" si="3"/>
        <v>2</v>
      </c>
      <c r="B12" t="s">
        <v>44</v>
      </c>
      <c r="C12" t="s">
        <v>30</v>
      </c>
      <c r="D12">
        <v>25</v>
      </c>
      <c r="E12" t="s">
        <v>18</v>
      </c>
      <c r="F12">
        <v>500</v>
      </c>
      <c r="G12" s="12">
        <v>215000</v>
      </c>
      <c r="H12" s="13">
        <v>1412.67</v>
      </c>
      <c r="I12" s="12">
        <v>1828</v>
      </c>
      <c r="J12">
        <v>1</v>
      </c>
      <c r="K12">
        <v>0.25</v>
      </c>
      <c r="L12">
        <v>2.6</v>
      </c>
      <c r="M12">
        <v>1.3338E-3</v>
      </c>
      <c r="N12">
        <v>6.9999999999999993E-2</v>
      </c>
      <c r="O12">
        <v>1</v>
      </c>
      <c r="P12" s="10">
        <f>3.142*0.0001</f>
        <v>3.1419999999999999E-4</v>
      </c>
      <c r="Q12">
        <v>0.04</v>
      </c>
      <c r="R12" s="10">
        <v>6</v>
      </c>
      <c r="S12">
        <v>0</v>
      </c>
      <c r="T12">
        <v>0</v>
      </c>
      <c r="U12">
        <v>0</v>
      </c>
      <c r="V12" s="1">
        <v>129</v>
      </c>
      <c r="W12">
        <v>37.5</v>
      </c>
      <c r="X12" s="11">
        <v>0.05</v>
      </c>
      <c r="Y12" s="1">
        <f t="shared" si="9"/>
        <v>135.44999999999999</v>
      </c>
      <c r="Z12" s="1">
        <f t="shared" si="10"/>
        <v>39.375</v>
      </c>
      <c r="AA12" s="2">
        <v>0.5</v>
      </c>
      <c r="AB12" s="1">
        <f t="shared" si="11"/>
        <v>67.724999999999994</v>
      </c>
      <c r="AC12" s="1">
        <f t="shared" si="12"/>
        <v>107.1</v>
      </c>
      <c r="AD12" s="7">
        <f t="shared" si="7"/>
        <v>241.92</v>
      </c>
      <c r="AE12" s="7"/>
      <c r="AF12" s="1">
        <f t="shared" si="8"/>
        <v>174.82499999999999</v>
      </c>
      <c r="AP12" s="1"/>
      <c r="AQ12" s="1"/>
    </row>
    <row r="13" spans="1:43" x14ac:dyDescent="0.35">
      <c r="A13">
        <f t="shared" si="3"/>
        <v>2</v>
      </c>
      <c r="B13" t="s">
        <v>44</v>
      </c>
      <c r="C13" t="s">
        <v>31</v>
      </c>
      <c r="D13">
        <v>25</v>
      </c>
      <c r="E13" t="s">
        <v>18</v>
      </c>
      <c r="F13">
        <v>500</v>
      </c>
      <c r="G13" s="12">
        <v>215000</v>
      </c>
      <c r="H13" s="13">
        <v>1412.67</v>
      </c>
      <c r="I13" s="12">
        <v>1828</v>
      </c>
      <c r="J13">
        <v>1</v>
      </c>
      <c r="K13">
        <v>0.25</v>
      </c>
      <c r="L13">
        <v>2.6</v>
      </c>
      <c r="M13">
        <v>3.3280000000000001E-4</v>
      </c>
      <c r="N13">
        <v>0.04</v>
      </c>
      <c r="O13">
        <v>1</v>
      </c>
      <c r="P13">
        <v>0</v>
      </c>
      <c r="Q13">
        <v>0</v>
      </c>
      <c r="R13">
        <v>1</v>
      </c>
      <c r="S13" s="12">
        <v>9.1649999999999992E-5</v>
      </c>
      <c r="T13">
        <v>0</v>
      </c>
      <c r="U13" s="12">
        <v>5</v>
      </c>
      <c r="V13" s="1">
        <v>42</v>
      </c>
      <c r="W13" s="1">
        <v>18</v>
      </c>
      <c r="X13" s="6" t="str">
        <f t="shared" si="13"/>
        <v>0</v>
      </c>
      <c r="Y13" s="1">
        <f t="shared" si="9"/>
        <v>35.9</v>
      </c>
      <c r="Z13" s="1">
        <f t="shared" si="10"/>
        <v>16.05</v>
      </c>
      <c r="AA13" s="2">
        <v>0.5</v>
      </c>
      <c r="AB13" s="1">
        <f t="shared" si="11"/>
        <v>17.95</v>
      </c>
      <c r="AC13" s="1">
        <f t="shared" si="12"/>
        <v>34</v>
      </c>
      <c r="AD13" s="7">
        <f t="shared" si="7"/>
        <v>72.540000000000006</v>
      </c>
      <c r="AE13" s="7"/>
      <c r="AF13" s="1">
        <f t="shared" si="8"/>
        <v>51.95</v>
      </c>
      <c r="AP13" s="1"/>
      <c r="AQ13" s="1"/>
    </row>
    <row r="14" spans="1:43" x14ac:dyDescent="0.35">
      <c r="A14">
        <f t="shared" si="3"/>
        <v>2</v>
      </c>
      <c r="B14" t="s">
        <v>44</v>
      </c>
      <c r="C14" t="s">
        <v>45</v>
      </c>
      <c r="D14">
        <v>25</v>
      </c>
      <c r="E14" t="s">
        <v>18</v>
      </c>
      <c r="F14">
        <v>500</v>
      </c>
      <c r="G14" s="12">
        <v>215000</v>
      </c>
      <c r="H14" s="13">
        <v>1412.67</v>
      </c>
      <c r="I14" s="12">
        <v>1828</v>
      </c>
      <c r="J14">
        <v>1</v>
      </c>
      <c r="K14">
        <v>0.25</v>
      </c>
      <c r="L14">
        <v>2.6</v>
      </c>
      <c r="M14">
        <v>2.1000000000000003E-3</v>
      </c>
      <c r="N14">
        <v>9.5000000000000001E-2</v>
      </c>
      <c r="O14">
        <v>1</v>
      </c>
      <c r="P14" s="10">
        <f>2.011*0.0001</f>
        <v>2.0110000000000001E-4</v>
      </c>
      <c r="Q14">
        <v>0.04</v>
      </c>
      <c r="R14" s="10">
        <v>6</v>
      </c>
      <c r="S14">
        <v>0</v>
      </c>
      <c r="T14">
        <v>0</v>
      </c>
      <c r="U14">
        <v>0</v>
      </c>
      <c r="V14" s="1">
        <v>115</v>
      </c>
      <c r="W14" s="1">
        <v>40.5</v>
      </c>
      <c r="X14" s="11">
        <v>0.05</v>
      </c>
      <c r="Y14" s="1">
        <f t="shared" si="9"/>
        <v>120.75</v>
      </c>
      <c r="Z14" s="1">
        <f t="shared" si="10"/>
        <v>42.524999999999999</v>
      </c>
      <c r="AA14" s="2">
        <v>0.5</v>
      </c>
      <c r="AB14" s="1">
        <f t="shared" si="11"/>
        <v>60.375</v>
      </c>
      <c r="AC14" s="1">
        <f t="shared" si="12"/>
        <v>102.9</v>
      </c>
      <c r="AD14" s="7">
        <f t="shared" si="7"/>
        <v>226.8</v>
      </c>
      <c r="AE14" s="7"/>
      <c r="AF14" s="1">
        <f t="shared" si="8"/>
        <v>163.27500000000001</v>
      </c>
      <c r="AP14" s="1"/>
    </row>
    <row r="15" spans="1:43" x14ac:dyDescent="0.35">
      <c r="A15">
        <f t="shared" si="3"/>
        <v>2</v>
      </c>
      <c r="B15" t="s">
        <v>44</v>
      </c>
      <c r="C15" t="s">
        <v>46</v>
      </c>
      <c r="D15">
        <v>25</v>
      </c>
      <c r="E15" t="s">
        <v>18</v>
      </c>
      <c r="F15">
        <v>500</v>
      </c>
      <c r="G15" s="12">
        <v>215000</v>
      </c>
      <c r="H15" s="13">
        <v>1412.67</v>
      </c>
      <c r="I15" s="12">
        <v>1828</v>
      </c>
      <c r="J15">
        <v>1</v>
      </c>
      <c r="K15">
        <v>0.25</v>
      </c>
      <c r="L15">
        <v>2.6</v>
      </c>
      <c r="M15">
        <v>1E-3</v>
      </c>
      <c r="N15">
        <v>0.04</v>
      </c>
      <c r="O15">
        <v>1</v>
      </c>
      <c r="P15">
        <v>0</v>
      </c>
      <c r="Q15">
        <v>0</v>
      </c>
      <c r="R15">
        <v>1</v>
      </c>
      <c r="S15" s="12">
        <v>9.1649999999999992E-5</v>
      </c>
      <c r="T15">
        <v>0</v>
      </c>
      <c r="U15" s="12">
        <v>4</v>
      </c>
      <c r="V15" s="1">
        <v>33.6</v>
      </c>
      <c r="W15" s="1">
        <v>15</v>
      </c>
      <c r="X15" s="6" t="str">
        <f t="shared" si="13"/>
        <v>0</v>
      </c>
      <c r="Y15" s="1">
        <f t="shared" si="9"/>
        <v>39.162500000000001</v>
      </c>
      <c r="Z15" s="1">
        <f t="shared" si="10"/>
        <v>16.8</v>
      </c>
      <c r="AA15" s="2">
        <v>0.5</v>
      </c>
      <c r="AB15" s="1">
        <f t="shared" si="11"/>
        <v>19.581250000000001</v>
      </c>
      <c r="AC15" s="1">
        <f t="shared" si="12"/>
        <v>36.381250000000001</v>
      </c>
      <c r="AD15" s="7">
        <f t="shared" si="7"/>
        <v>78.069375000000008</v>
      </c>
      <c r="AE15" s="7"/>
      <c r="AF15" s="1">
        <f t="shared" si="8"/>
        <v>55.962500000000006</v>
      </c>
      <c r="AP15" s="1"/>
      <c r="AQ15" s="1"/>
    </row>
    <row r="16" spans="1:43" x14ac:dyDescent="0.35">
      <c r="A16">
        <f t="shared" si="3"/>
        <v>2</v>
      </c>
      <c r="B16" t="s">
        <v>44</v>
      </c>
      <c r="C16" t="s">
        <v>47</v>
      </c>
      <c r="D16">
        <v>25</v>
      </c>
      <c r="E16" t="s">
        <v>18</v>
      </c>
      <c r="F16">
        <v>500</v>
      </c>
      <c r="G16" s="12">
        <v>215000</v>
      </c>
      <c r="H16" s="13">
        <v>1412.67</v>
      </c>
      <c r="I16" s="12">
        <v>1828</v>
      </c>
      <c r="J16">
        <v>1</v>
      </c>
      <c r="K16">
        <v>0.25</v>
      </c>
      <c r="L16">
        <v>2.6</v>
      </c>
      <c r="M16">
        <v>1.1000000000000001E-3</v>
      </c>
      <c r="N16">
        <v>6.9999999999999993E-2</v>
      </c>
      <c r="O16">
        <v>1</v>
      </c>
      <c r="P16" s="10">
        <f>1.539*0.0001</f>
        <v>1.539E-4</v>
      </c>
      <c r="Q16">
        <v>0.04</v>
      </c>
      <c r="R16" s="10">
        <v>4</v>
      </c>
      <c r="S16">
        <v>0</v>
      </c>
      <c r="T16">
        <v>0</v>
      </c>
      <c r="U16">
        <v>0</v>
      </c>
      <c r="V16" s="1">
        <v>112.5</v>
      </c>
      <c r="W16" s="1">
        <v>37.5</v>
      </c>
      <c r="X16" s="11">
        <v>-0.15</v>
      </c>
      <c r="Y16" s="1">
        <f t="shared" si="9"/>
        <v>95.625</v>
      </c>
      <c r="Z16" s="1">
        <f t="shared" si="10"/>
        <v>31.875</v>
      </c>
      <c r="AA16" s="2">
        <v>0.5</v>
      </c>
      <c r="AB16" s="1">
        <f t="shared" si="11"/>
        <v>47.8125</v>
      </c>
      <c r="AC16" s="1">
        <f t="shared" si="12"/>
        <v>79.6875</v>
      </c>
      <c r="AD16" s="7">
        <f t="shared" si="7"/>
        <v>176.90625</v>
      </c>
      <c r="AE16" s="7"/>
      <c r="AF16" s="1">
        <f t="shared" si="8"/>
        <v>127.5</v>
      </c>
      <c r="AP16" s="1"/>
      <c r="AQ16" s="1"/>
    </row>
    <row r="17" spans="1:43" x14ac:dyDescent="0.35">
      <c r="A17">
        <f t="shared" si="3"/>
        <v>2</v>
      </c>
      <c r="B17" t="s">
        <v>44</v>
      </c>
      <c r="C17" t="s">
        <v>48</v>
      </c>
      <c r="D17">
        <v>25</v>
      </c>
      <c r="E17" t="s">
        <v>18</v>
      </c>
      <c r="F17">
        <v>500</v>
      </c>
      <c r="G17" s="12">
        <v>215000</v>
      </c>
      <c r="H17" s="13">
        <v>1412.67</v>
      </c>
      <c r="I17" s="12">
        <v>1828</v>
      </c>
      <c r="J17">
        <v>1</v>
      </c>
      <c r="K17">
        <v>0.25</v>
      </c>
      <c r="L17">
        <v>2.6</v>
      </c>
      <c r="M17">
        <v>1E-3</v>
      </c>
      <c r="N17">
        <v>0.04</v>
      </c>
      <c r="O17">
        <v>1</v>
      </c>
      <c r="P17">
        <v>0</v>
      </c>
      <c r="Q17">
        <v>0</v>
      </c>
      <c r="R17">
        <v>1</v>
      </c>
      <c r="S17" s="12">
        <v>9.1649999999999992E-5</v>
      </c>
      <c r="T17">
        <v>0</v>
      </c>
      <c r="U17" s="12">
        <v>3</v>
      </c>
      <c r="V17" s="1">
        <v>44</v>
      </c>
      <c r="W17">
        <v>16</v>
      </c>
      <c r="X17" s="6" t="str">
        <f t="shared" si="13"/>
        <v>0</v>
      </c>
      <c r="Y17" s="1">
        <f t="shared" si="9"/>
        <v>52.4375</v>
      </c>
      <c r="Z17" s="1">
        <f t="shared" si="10"/>
        <v>18.8125</v>
      </c>
      <c r="AA17" s="2">
        <v>0.5</v>
      </c>
      <c r="AB17" s="1">
        <f t="shared" si="11"/>
        <v>26.21875</v>
      </c>
      <c r="AC17" s="1">
        <f t="shared" si="12"/>
        <v>45.03125</v>
      </c>
      <c r="AD17" s="7">
        <f t="shared" si="7"/>
        <v>99.009375000000006</v>
      </c>
      <c r="AE17" s="7"/>
      <c r="AF17" s="1">
        <f t="shared" si="8"/>
        <v>71.25</v>
      </c>
      <c r="AP17" s="1"/>
      <c r="AQ17" s="1"/>
    </row>
    <row r="18" spans="1:43" x14ac:dyDescent="0.35">
      <c r="A18">
        <f t="shared" si="3"/>
        <v>2</v>
      </c>
      <c r="B18" t="s">
        <v>44</v>
      </c>
      <c r="D18" s="3">
        <v>25</v>
      </c>
      <c r="E18" s="3" t="s">
        <v>18</v>
      </c>
      <c r="F18" s="3">
        <v>500</v>
      </c>
      <c r="G18" s="4">
        <v>220000</v>
      </c>
      <c r="H18" s="3">
        <v>1576</v>
      </c>
      <c r="I18" s="3">
        <v>1870</v>
      </c>
      <c r="J18" s="3">
        <v>1</v>
      </c>
      <c r="K18" s="3">
        <v>0.2</v>
      </c>
      <c r="L18" s="3">
        <v>2.2000000000000002</v>
      </c>
      <c r="M18" s="3">
        <v>1.0000000000000001E-5</v>
      </c>
      <c r="N18" s="3">
        <v>0.03</v>
      </c>
      <c r="O18" s="3">
        <v>1</v>
      </c>
      <c r="P18" s="3">
        <v>0</v>
      </c>
      <c r="Q18" s="3">
        <v>0</v>
      </c>
      <c r="R18" s="3">
        <v>1</v>
      </c>
      <c r="S18" s="3">
        <v>0</v>
      </c>
      <c r="T18" s="3">
        <v>0</v>
      </c>
      <c r="U18" s="3">
        <v>0</v>
      </c>
      <c r="V18" s="5"/>
      <c r="W18" s="5"/>
      <c r="X18" s="6">
        <v>0</v>
      </c>
      <c r="Y18" s="1">
        <f t="shared" si="9"/>
        <v>0</v>
      </c>
      <c r="Z18" s="1">
        <f t="shared" si="10"/>
        <v>0</v>
      </c>
      <c r="AA18" s="2">
        <v>0</v>
      </c>
      <c r="AB18" s="1">
        <f t="shared" si="11"/>
        <v>0</v>
      </c>
      <c r="AC18" s="1">
        <f t="shared" si="12"/>
        <v>0</v>
      </c>
      <c r="AD18" s="7">
        <v>0</v>
      </c>
      <c r="AE18" s="7"/>
      <c r="AF18" s="1">
        <f t="shared" si="8"/>
        <v>0</v>
      </c>
      <c r="AP18" s="1"/>
      <c r="AQ18" s="1"/>
    </row>
    <row r="19" spans="1:43" x14ac:dyDescent="0.35">
      <c r="A19">
        <f t="shared" si="3"/>
        <v>3</v>
      </c>
      <c r="B19" t="s">
        <v>49</v>
      </c>
      <c r="C19" t="s">
        <v>19</v>
      </c>
      <c r="D19">
        <v>25</v>
      </c>
      <c r="E19" t="s">
        <v>18</v>
      </c>
      <c r="F19">
        <v>500</v>
      </c>
      <c r="G19" s="12">
        <v>215000</v>
      </c>
      <c r="H19" s="13">
        <v>1412.67</v>
      </c>
      <c r="I19" s="12">
        <v>1828</v>
      </c>
      <c r="J19">
        <v>1</v>
      </c>
      <c r="K19">
        <v>0.22</v>
      </c>
      <c r="L19">
        <v>2.33</v>
      </c>
      <c r="M19">
        <v>7.4800000000000008E-4</v>
      </c>
      <c r="N19">
        <v>0.04</v>
      </c>
      <c r="O19">
        <v>1</v>
      </c>
      <c r="P19">
        <v>0</v>
      </c>
      <c r="Q19">
        <v>0</v>
      </c>
      <c r="R19">
        <v>1</v>
      </c>
      <c r="S19" s="12">
        <v>9.1649999999999992E-5</v>
      </c>
      <c r="T19">
        <v>0</v>
      </c>
      <c r="U19" s="12">
        <v>2</v>
      </c>
      <c r="V19" s="1">
        <v>40</v>
      </c>
      <c r="W19">
        <v>15</v>
      </c>
      <c r="X19" s="6" t="str">
        <f t="shared" si="13"/>
        <v>0</v>
      </c>
      <c r="Y19" s="1">
        <f t="shared" si="9"/>
        <v>40</v>
      </c>
      <c r="Z19" s="1">
        <f t="shared" si="10"/>
        <v>15</v>
      </c>
      <c r="AA19" s="2">
        <v>0</v>
      </c>
      <c r="AB19" s="1">
        <f t="shared" si="11"/>
        <v>40</v>
      </c>
      <c r="AC19" s="1">
        <f t="shared" si="12"/>
        <v>15</v>
      </c>
      <c r="AD19" s="7">
        <f t="shared" si="7"/>
        <v>76.5</v>
      </c>
      <c r="AE19" s="7"/>
      <c r="AF19" s="1">
        <f t="shared" si="8"/>
        <v>55</v>
      </c>
      <c r="AP19" s="1"/>
      <c r="AQ19" s="1"/>
    </row>
    <row r="20" spans="1:43" x14ac:dyDescent="0.35">
      <c r="A20">
        <f t="shared" si="3"/>
        <v>3</v>
      </c>
      <c r="B20" t="s">
        <v>49</v>
      </c>
      <c r="C20" t="s">
        <v>20</v>
      </c>
      <c r="D20">
        <v>25</v>
      </c>
      <c r="E20" t="s">
        <v>18</v>
      </c>
      <c r="F20">
        <v>500</v>
      </c>
      <c r="G20" s="12">
        <v>215000</v>
      </c>
      <c r="H20" s="13">
        <v>1412.67</v>
      </c>
      <c r="I20" s="12">
        <v>1828</v>
      </c>
      <c r="J20">
        <v>1</v>
      </c>
      <c r="K20">
        <v>0.22</v>
      </c>
      <c r="L20">
        <v>2.33</v>
      </c>
      <c r="M20">
        <v>2.0690000000000001E-3</v>
      </c>
      <c r="N20">
        <v>0.04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 s="1">
        <v>79</v>
      </c>
      <c r="W20">
        <v>30</v>
      </c>
      <c r="X20" s="6">
        <v>0</v>
      </c>
      <c r="Y20" s="1">
        <f t="shared" si="9"/>
        <v>79</v>
      </c>
      <c r="Z20" s="1">
        <f t="shared" si="10"/>
        <v>30</v>
      </c>
      <c r="AA20" s="2">
        <v>0</v>
      </c>
      <c r="AB20" s="1">
        <f t="shared" si="11"/>
        <v>79</v>
      </c>
      <c r="AC20" s="1">
        <f t="shared" si="12"/>
        <v>30</v>
      </c>
      <c r="AD20" s="7">
        <f t="shared" si="7"/>
        <v>151.65</v>
      </c>
      <c r="AE20" s="7"/>
      <c r="AF20" s="1">
        <f t="shared" si="8"/>
        <v>109</v>
      </c>
      <c r="AP20" s="1"/>
    </row>
    <row r="21" spans="1:43" x14ac:dyDescent="0.35">
      <c r="A21">
        <f t="shared" si="3"/>
        <v>3</v>
      </c>
      <c r="B21" t="s">
        <v>49</v>
      </c>
      <c r="C21" t="s">
        <v>23</v>
      </c>
      <c r="D21">
        <v>25</v>
      </c>
      <c r="E21" t="s">
        <v>18</v>
      </c>
      <c r="F21">
        <v>500</v>
      </c>
      <c r="G21" s="12">
        <v>215000</v>
      </c>
      <c r="H21" s="13">
        <v>1412.67</v>
      </c>
      <c r="I21" s="12">
        <v>1828</v>
      </c>
      <c r="J21">
        <v>1</v>
      </c>
      <c r="K21">
        <v>0.22</v>
      </c>
      <c r="L21">
        <v>2.33</v>
      </c>
      <c r="M21">
        <v>7.4800000000000008E-4</v>
      </c>
      <c r="N21">
        <v>0.04</v>
      </c>
      <c r="O21">
        <v>1</v>
      </c>
      <c r="P21">
        <v>0</v>
      </c>
      <c r="Q21">
        <v>0</v>
      </c>
      <c r="R21">
        <v>1</v>
      </c>
      <c r="S21" s="12">
        <v>9.1649999999999992E-5</v>
      </c>
      <c r="T21">
        <v>0</v>
      </c>
      <c r="U21" s="12">
        <v>2</v>
      </c>
      <c r="V21" s="1">
        <v>8.5</v>
      </c>
      <c r="W21">
        <v>12</v>
      </c>
      <c r="X21" s="6" t="str">
        <f t="shared" si="13"/>
        <v>0</v>
      </c>
      <c r="Y21" s="1">
        <f t="shared" si="9"/>
        <v>11.335000000000001</v>
      </c>
      <c r="Z21" s="1">
        <f t="shared" si="10"/>
        <v>13.154999999999999</v>
      </c>
      <c r="AA21" s="2">
        <v>0</v>
      </c>
      <c r="AB21" s="1">
        <f t="shared" si="11"/>
        <v>11.335000000000001</v>
      </c>
      <c r="AC21" s="1">
        <f t="shared" si="12"/>
        <v>13.154999999999999</v>
      </c>
      <c r="AD21" s="7">
        <f t="shared" si="7"/>
        <v>35.034750000000003</v>
      </c>
      <c r="AE21" s="7"/>
      <c r="AF21" s="1">
        <f t="shared" si="8"/>
        <v>24.490000000000002</v>
      </c>
      <c r="AP21" s="1"/>
    </row>
    <row r="22" spans="1:43" x14ac:dyDescent="0.35">
      <c r="A22">
        <f t="shared" si="3"/>
        <v>3</v>
      </c>
      <c r="B22" t="s">
        <v>49</v>
      </c>
      <c r="C22" t="s">
        <v>24</v>
      </c>
      <c r="D22">
        <v>25</v>
      </c>
      <c r="E22" t="s">
        <v>18</v>
      </c>
      <c r="F22">
        <v>500</v>
      </c>
      <c r="G22" s="12">
        <v>215000</v>
      </c>
      <c r="H22" s="13">
        <v>1412.67</v>
      </c>
      <c r="I22" s="12">
        <v>1828</v>
      </c>
      <c r="J22">
        <v>1</v>
      </c>
      <c r="K22">
        <v>0.22</v>
      </c>
      <c r="L22">
        <v>2.33</v>
      </c>
      <c r="M22">
        <v>1.9399999999999999E-3</v>
      </c>
      <c r="N22">
        <v>8.4999999999999992E-2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 s="1">
        <v>81</v>
      </c>
      <c r="W22">
        <v>33</v>
      </c>
      <c r="X22" s="11">
        <v>-7.0000000000000007E-2</v>
      </c>
      <c r="Y22" s="1">
        <f t="shared" si="9"/>
        <v>75.33</v>
      </c>
      <c r="Z22" s="1">
        <f t="shared" si="10"/>
        <v>30.69</v>
      </c>
      <c r="AA22" s="2">
        <v>0</v>
      </c>
      <c r="AB22" s="1">
        <f t="shared" si="11"/>
        <v>75.33</v>
      </c>
      <c r="AC22" s="1">
        <f t="shared" si="12"/>
        <v>30.69</v>
      </c>
      <c r="AD22" s="7">
        <f t="shared" si="7"/>
        <v>147.73050000000001</v>
      </c>
      <c r="AE22" s="7"/>
      <c r="AF22" s="1">
        <f t="shared" si="8"/>
        <v>106.02</v>
      </c>
      <c r="AP22" s="1"/>
    </row>
    <row r="23" spans="1:43" x14ac:dyDescent="0.35">
      <c r="A23">
        <f t="shared" si="3"/>
        <v>3</v>
      </c>
      <c r="B23" t="s">
        <v>49</v>
      </c>
      <c r="C23" t="s">
        <v>25</v>
      </c>
      <c r="D23">
        <v>25</v>
      </c>
      <c r="E23" t="s">
        <v>18</v>
      </c>
      <c r="F23">
        <v>500</v>
      </c>
      <c r="G23" s="12">
        <v>215000</v>
      </c>
      <c r="H23" s="13">
        <v>1412.67</v>
      </c>
      <c r="I23" s="12">
        <v>1828</v>
      </c>
      <c r="J23">
        <v>1</v>
      </c>
      <c r="K23">
        <v>0.22</v>
      </c>
      <c r="L23">
        <v>2.33</v>
      </c>
      <c r="M23">
        <v>1.0460000000000001E-3</v>
      </c>
      <c r="N23">
        <v>0.04</v>
      </c>
      <c r="O23">
        <v>1</v>
      </c>
      <c r="P23">
        <v>0</v>
      </c>
      <c r="Q23">
        <v>0</v>
      </c>
      <c r="R23">
        <v>1</v>
      </c>
      <c r="S23" s="12">
        <v>9.1649999999999992E-5</v>
      </c>
      <c r="T23">
        <v>0</v>
      </c>
      <c r="U23" s="12">
        <v>2</v>
      </c>
      <c r="V23" s="1">
        <v>40</v>
      </c>
      <c r="W23">
        <v>19</v>
      </c>
      <c r="X23" s="6" t="str">
        <f t="shared" si="13"/>
        <v>0</v>
      </c>
      <c r="Y23" s="1">
        <f t="shared" si="9"/>
        <v>46.86</v>
      </c>
      <c r="Z23" s="1">
        <f t="shared" si="10"/>
        <v>21.59</v>
      </c>
      <c r="AA23" s="2">
        <v>0</v>
      </c>
      <c r="AB23" s="1">
        <f t="shared" si="11"/>
        <v>46.86</v>
      </c>
      <c r="AC23" s="1">
        <f t="shared" si="12"/>
        <v>21.59</v>
      </c>
      <c r="AD23" s="7">
        <f t="shared" si="7"/>
        <v>95.646000000000001</v>
      </c>
      <c r="AE23" s="7"/>
      <c r="AF23" s="1">
        <f t="shared" si="8"/>
        <v>68.45</v>
      </c>
      <c r="AP23" s="1"/>
    </row>
    <row r="24" spans="1:43" x14ac:dyDescent="0.35">
      <c r="A24">
        <f t="shared" si="3"/>
        <v>3</v>
      </c>
      <c r="B24" t="s">
        <v>49</v>
      </c>
      <c r="C24" t="s">
        <v>26</v>
      </c>
      <c r="D24">
        <v>25</v>
      </c>
      <c r="E24" t="s">
        <v>18</v>
      </c>
      <c r="F24">
        <v>500</v>
      </c>
      <c r="G24" s="12">
        <v>215000</v>
      </c>
      <c r="H24" s="13">
        <v>1412.67</v>
      </c>
      <c r="I24" s="12">
        <v>1828</v>
      </c>
      <c r="J24">
        <v>1</v>
      </c>
      <c r="K24">
        <v>0.22</v>
      </c>
      <c r="L24">
        <v>2.33</v>
      </c>
      <c r="M24">
        <v>1.9399999999999999E-3</v>
      </c>
      <c r="N24">
        <v>0.04</v>
      </c>
      <c r="O24">
        <v>1</v>
      </c>
      <c r="P24">
        <v>0</v>
      </c>
      <c r="Q24">
        <v>0</v>
      </c>
      <c r="R24">
        <v>1</v>
      </c>
      <c r="S24" s="12">
        <v>9.1649999999999992E-5</v>
      </c>
      <c r="T24">
        <v>0</v>
      </c>
      <c r="U24" s="12">
        <v>4</v>
      </c>
      <c r="V24" s="1">
        <v>115</v>
      </c>
      <c r="W24">
        <v>41</v>
      </c>
      <c r="X24" s="11">
        <v>-7.0000000000000007E-2</v>
      </c>
      <c r="Y24" s="1">
        <f t="shared" si="9"/>
        <v>106.95</v>
      </c>
      <c r="Z24" s="1">
        <f t="shared" si="10"/>
        <v>38.130000000000003</v>
      </c>
      <c r="AA24" s="2">
        <v>0</v>
      </c>
      <c r="AB24" s="1">
        <f t="shared" si="11"/>
        <v>106.95</v>
      </c>
      <c r="AC24" s="1">
        <f t="shared" si="12"/>
        <v>38.130000000000003</v>
      </c>
      <c r="AD24" s="7">
        <f t="shared" si="7"/>
        <v>201.57750000000004</v>
      </c>
      <c r="AE24" s="7"/>
      <c r="AF24" s="1">
        <f t="shared" si="8"/>
        <v>145.08000000000001</v>
      </c>
      <c r="AP24" s="1"/>
    </row>
    <row r="25" spans="1:43" x14ac:dyDescent="0.35">
      <c r="A25">
        <f t="shared" si="3"/>
        <v>3</v>
      </c>
      <c r="B25" t="s">
        <v>49</v>
      </c>
      <c r="C25" t="s">
        <v>27</v>
      </c>
      <c r="D25">
        <v>25</v>
      </c>
      <c r="E25" t="s">
        <v>18</v>
      </c>
      <c r="F25">
        <v>500</v>
      </c>
      <c r="G25" s="12">
        <v>215000</v>
      </c>
      <c r="H25" s="13">
        <v>1412.67</v>
      </c>
      <c r="I25" s="12">
        <v>1828</v>
      </c>
      <c r="J25">
        <v>1</v>
      </c>
      <c r="K25">
        <v>0.22</v>
      </c>
      <c r="L25">
        <v>2.33</v>
      </c>
      <c r="M25">
        <v>7.4800000000000008E-4</v>
      </c>
      <c r="N25">
        <v>0.04</v>
      </c>
      <c r="O25">
        <v>1</v>
      </c>
      <c r="P25">
        <v>0</v>
      </c>
      <c r="Q25">
        <v>0</v>
      </c>
      <c r="R25">
        <v>1</v>
      </c>
      <c r="S25" s="12">
        <v>9.1649999999999992E-5</v>
      </c>
      <c r="T25">
        <v>0</v>
      </c>
      <c r="U25" s="12">
        <v>2</v>
      </c>
      <c r="V25" s="1">
        <v>36</v>
      </c>
      <c r="W25">
        <v>18</v>
      </c>
      <c r="X25" s="6" t="str">
        <f t="shared" si="13"/>
        <v>0</v>
      </c>
      <c r="Y25" s="1">
        <f t="shared" si="9"/>
        <v>40.024999999999999</v>
      </c>
      <c r="Z25" s="1">
        <f t="shared" si="10"/>
        <v>19.434999999999999</v>
      </c>
      <c r="AA25" s="2">
        <v>0</v>
      </c>
      <c r="AB25" s="1">
        <f t="shared" si="11"/>
        <v>40.024999999999999</v>
      </c>
      <c r="AC25" s="1">
        <f t="shared" si="12"/>
        <v>19.434999999999999</v>
      </c>
      <c r="AD25" s="7">
        <f t="shared" si="7"/>
        <v>83.186250000000001</v>
      </c>
      <c r="AE25" s="7"/>
      <c r="AF25" s="1">
        <f t="shared" si="8"/>
        <v>59.459999999999994</v>
      </c>
      <c r="AP25" s="1"/>
    </row>
    <row r="26" spans="1:43" x14ac:dyDescent="0.35">
      <c r="A26">
        <f t="shared" si="3"/>
        <v>3</v>
      </c>
      <c r="B26" t="s">
        <v>49</v>
      </c>
      <c r="C26" t="s">
        <v>28</v>
      </c>
      <c r="D26">
        <v>25</v>
      </c>
      <c r="E26" t="s">
        <v>18</v>
      </c>
      <c r="F26">
        <v>500</v>
      </c>
      <c r="G26" s="12">
        <v>215000</v>
      </c>
      <c r="H26" s="13">
        <v>1412.67</v>
      </c>
      <c r="I26" s="12">
        <v>1828</v>
      </c>
      <c r="J26">
        <v>1</v>
      </c>
      <c r="K26">
        <v>0.22</v>
      </c>
      <c r="L26">
        <v>2.33</v>
      </c>
      <c r="M26">
        <v>1.9399999999999999E-3</v>
      </c>
      <c r="N26">
        <v>0.04</v>
      </c>
      <c r="O26">
        <v>1</v>
      </c>
      <c r="P26">
        <v>0</v>
      </c>
      <c r="Q26">
        <v>0</v>
      </c>
      <c r="R26">
        <v>1</v>
      </c>
      <c r="S26" s="12">
        <v>9.1649999999999992E-5</v>
      </c>
      <c r="T26">
        <v>0</v>
      </c>
      <c r="U26" s="12">
        <v>4</v>
      </c>
      <c r="V26" s="1">
        <v>100</v>
      </c>
      <c r="W26">
        <v>37.5</v>
      </c>
      <c r="X26" s="6">
        <v>0</v>
      </c>
      <c r="Y26" s="1">
        <f t="shared" si="9"/>
        <v>100</v>
      </c>
      <c r="Z26" s="1">
        <f t="shared" si="10"/>
        <v>37.5</v>
      </c>
      <c r="AA26" s="2">
        <v>0</v>
      </c>
      <c r="AB26" s="1">
        <f t="shared" si="11"/>
        <v>100</v>
      </c>
      <c r="AC26" s="1">
        <f t="shared" si="12"/>
        <v>37.5</v>
      </c>
      <c r="AD26" s="7">
        <f t="shared" si="7"/>
        <v>191.25</v>
      </c>
      <c r="AE26" s="7"/>
      <c r="AF26" s="1">
        <f t="shared" si="8"/>
        <v>137.5</v>
      </c>
      <c r="AP26" s="1"/>
    </row>
    <row r="27" spans="1:43" x14ac:dyDescent="0.35">
      <c r="A27">
        <f t="shared" si="3"/>
        <v>3</v>
      </c>
      <c r="B27" t="s">
        <v>49</v>
      </c>
      <c r="C27" t="s">
        <v>29</v>
      </c>
      <c r="D27">
        <v>25</v>
      </c>
      <c r="E27" t="s">
        <v>18</v>
      </c>
      <c r="F27">
        <v>500</v>
      </c>
      <c r="G27" s="12">
        <v>215000</v>
      </c>
      <c r="H27" s="13">
        <v>1412.67</v>
      </c>
      <c r="I27" s="12">
        <v>1828</v>
      </c>
      <c r="J27">
        <v>1</v>
      </c>
      <c r="K27">
        <v>0.22</v>
      </c>
      <c r="L27">
        <v>2.33</v>
      </c>
      <c r="M27">
        <v>1.0460000000000001E-3</v>
      </c>
      <c r="N27">
        <v>0.04</v>
      </c>
      <c r="O27">
        <v>1</v>
      </c>
      <c r="P27">
        <v>0</v>
      </c>
      <c r="Q27">
        <v>0</v>
      </c>
      <c r="R27">
        <v>1</v>
      </c>
      <c r="S27" s="12">
        <v>9.1649999999999992E-5</v>
      </c>
      <c r="T27">
        <v>0</v>
      </c>
      <c r="U27" s="12">
        <v>2</v>
      </c>
      <c r="V27" s="1">
        <v>31</v>
      </c>
      <c r="W27">
        <v>15</v>
      </c>
      <c r="X27" s="6" t="str">
        <f t="shared" si="13"/>
        <v>0</v>
      </c>
      <c r="Y27" s="1">
        <f t="shared" si="9"/>
        <v>31</v>
      </c>
      <c r="Z27" s="1">
        <f t="shared" si="10"/>
        <v>15</v>
      </c>
      <c r="AA27" s="2">
        <v>0</v>
      </c>
      <c r="AB27" s="1">
        <f t="shared" si="11"/>
        <v>31</v>
      </c>
      <c r="AC27" s="1">
        <f t="shared" si="12"/>
        <v>15</v>
      </c>
      <c r="AD27" s="7">
        <f t="shared" si="7"/>
        <v>64.349999999999994</v>
      </c>
      <c r="AE27" s="7"/>
      <c r="AF27" s="1">
        <f t="shared" si="8"/>
        <v>46</v>
      </c>
      <c r="AP27" s="1"/>
    </row>
    <row r="28" spans="1:43" x14ac:dyDescent="0.35">
      <c r="A28">
        <f t="shared" si="3"/>
        <v>3</v>
      </c>
      <c r="B28" t="s">
        <v>49</v>
      </c>
      <c r="D28" s="3">
        <v>25</v>
      </c>
      <c r="E28" s="3" t="s">
        <v>18</v>
      </c>
      <c r="F28" s="3">
        <v>500</v>
      </c>
      <c r="G28" s="4">
        <v>220000</v>
      </c>
      <c r="H28" s="3">
        <v>1576</v>
      </c>
      <c r="I28" s="3">
        <v>1870</v>
      </c>
      <c r="J28" s="3">
        <v>1</v>
      </c>
      <c r="K28" s="3">
        <v>0.2</v>
      </c>
      <c r="L28" s="3">
        <v>2.2000000000000002</v>
      </c>
      <c r="M28" s="3">
        <v>1.0000000000000001E-5</v>
      </c>
      <c r="N28" s="3">
        <v>0.03</v>
      </c>
      <c r="O28" s="3">
        <v>1</v>
      </c>
      <c r="P28" s="3">
        <v>0</v>
      </c>
      <c r="Q28" s="3">
        <v>0</v>
      </c>
      <c r="R28" s="3">
        <v>1</v>
      </c>
      <c r="S28" s="3">
        <v>0</v>
      </c>
      <c r="T28" s="3">
        <v>0</v>
      </c>
      <c r="U28" s="3">
        <v>0</v>
      </c>
      <c r="V28" s="5"/>
      <c r="W28" s="5"/>
      <c r="X28" s="6">
        <v>0</v>
      </c>
      <c r="Y28" s="1">
        <f t="shared" si="9"/>
        <v>0</v>
      </c>
      <c r="Z28" s="1">
        <f t="shared" si="10"/>
        <v>0</v>
      </c>
      <c r="AA28" s="2">
        <v>0</v>
      </c>
      <c r="AB28" s="1">
        <f t="shared" si="11"/>
        <v>0</v>
      </c>
      <c r="AC28" s="1">
        <f t="shared" si="12"/>
        <v>0</v>
      </c>
      <c r="AD28" s="7">
        <v>0</v>
      </c>
      <c r="AE28" s="7"/>
      <c r="AF28" s="1">
        <f t="shared" si="8"/>
        <v>0</v>
      </c>
      <c r="AP28" s="1"/>
    </row>
    <row r="29" spans="1:43" x14ac:dyDescent="0.35">
      <c r="A29">
        <f t="shared" si="3"/>
        <v>4</v>
      </c>
      <c r="B29" t="s">
        <v>50</v>
      </c>
      <c r="C29" t="s">
        <v>19</v>
      </c>
      <c r="D29">
        <v>25</v>
      </c>
      <c r="E29" t="s">
        <v>18</v>
      </c>
      <c r="F29">
        <v>500</v>
      </c>
      <c r="G29" s="12">
        <v>215000</v>
      </c>
      <c r="H29" s="13">
        <v>1412.67</v>
      </c>
      <c r="I29" s="12">
        <v>1828</v>
      </c>
      <c r="J29">
        <v>1</v>
      </c>
      <c r="K29">
        <v>0.25</v>
      </c>
      <c r="L29">
        <v>2.33</v>
      </c>
      <c r="M29">
        <v>5.9000000000000003E-4</v>
      </c>
      <c r="N29">
        <v>0.04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 s="1">
        <v>24</v>
      </c>
      <c r="W29">
        <v>10</v>
      </c>
      <c r="X29" s="6" t="str">
        <f t="shared" si="13"/>
        <v>0</v>
      </c>
      <c r="Y29" s="1">
        <f t="shared" si="9"/>
        <v>24</v>
      </c>
      <c r="Z29" s="1">
        <f t="shared" si="10"/>
        <v>10</v>
      </c>
      <c r="AA29" s="2">
        <v>0</v>
      </c>
      <c r="AB29" s="1">
        <f t="shared" si="11"/>
        <v>24</v>
      </c>
      <c r="AC29" s="1">
        <f t="shared" si="12"/>
        <v>10</v>
      </c>
      <c r="AD29" s="7">
        <f t="shared" si="7"/>
        <v>47.400000000000006</v>
      </c>
      <c r="AE29" s="7"/>
      <c r="AF29" s="1">
        <f t="shared" si="8"/>
        <v>34</v>
      </c>
    </row>
    <row r="30" spans="1:43" x14ac:dyDescent="0.35">
      <c r="A30">
        <f t="shared" si="3"/>
        <v>4</v>
      </c>
      <c r="B30" t="s">
        <v>50</v>
      </c>
      <c r="C30" t="s">
        <v>20</v>
      </c>
      <c r="D30">
        <v>25</v>
      </c>
      <c r="E30" t="s">
        <v>18</v>
      </c>
      <c r="F30">
        <v>500</v>
      </c>
      <c r="G30" s="12">
        <v>215000</v>
      </c>
      <c r="H30" s="13">
        <v>1412.67</v>
      </c>
      <c r="I30" s="12">
        <v>1828</v>
      </c>
      <c r="J30">
        <v>1</v>
      </c>
      <c r="K30">
        <v>0.25</v>
      </c>
      <c r="L30">
        <v>2.33</v>
      </c>
      <c r="M30">
        <v>2.0690000000000001E-3</v>
      </c>
      <c r="N30">
        <v>6.9999999999999993E-2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 s="1">
        <v>32.5</v>
      </c>
      <c r="W30">
        <v>18.5</v>
      </c>
      <c r="X30" s="6">
        <v>0</v>
      </c>
      <c r="Y30" s="1">
        <f t="shared" si="9"/>
        <v>32.5</v>
      </c>
      <c r="Z30" s="1">
        <f t="shared" si="10"/>
        <v>18.5</v>
      </c>
      <c r="AA30" s="2">
        <v>0</v>
      </c>
      <c r="AB30" s="1">
        <f t="shared" si="11"/>
        <v>32.5</v>
      </c>
      <c r="AC30" s="1">
        <f t="shared" si="12"/>
        <v>18.5</v>
      </c>
      <c r="AD30" s="7">
        <f t="shared" si="7"/>
        <v>71.625</v>
      </c>
      <c r="AE30" s="7"/>
      <c r="AF30" s="1">
        <f t="shared" si="8"/>
        <v>51</v>
      </c>
    </row>
    <row r="31" spans="1:43" x14ac:dyDescent="0.35">
      <c r="A31">
        <f t="shared" si="3"/>
        <v>4</v>
      </c>
      <c r="B31" t="s">
        <v>50</v>
      </c>
      <c r="C31" t="s">
        <v>23</v>
      </c>
      <c r="D31">
        <v>25</v>
      </c>
      <c r="E31" t="s">
        <v>18</v>
      </c>
      <c r="F31">
        <v>500</v>
      </c>
      <c r="G31" s="12">
        <v>215000</v>
      </c>
      <c r="H31" s="13">
        <v>1412.67</v>
      </c>
      <c r="I31" s="12">
        <v>1828</v>
      </c>
      <c r="J31">
        <v>1</v>
      </c>
      <c r="K31">
        <v>0.25</v>
      </c>
      <c r="L31">
        <v>2.33</v>
      </c>
      <c r="M31">
        <v>5.9000000000000003E-4</v>
      </c>
      <c r="N31">
        <v>0.04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 s="1">
        <v>0</v>
      </c>
      <c r="W31">
        <v>8</v>
      </c>
      <c r="X31" s="6" t="str">
        <f t="shared" si="13"/>
        <v>0</v>
      </c>
      <c r="Y31" s="1">
        <f t="shared" si="9"/>
        <v>0</v>
      </c>
      <c r="Z31" s="1">
        <f t="shared" si="10"/>
        <v>8</v>
      </c>
      <c r="AA31" s="2">
        <v>0</v>
      </c>
      <c r="AB31" s="1">
        <f t="shared" si="11"/>
        <v>0</v>
      </c>
      <c r="AC31" s="1">
        <f t="shared" si="12"/>
        <v>8</v>
      </c>
      <c r="AD31" s="7">
        <f t="shared" si="7"/>
        <v>12</v>
      </c>
      <c r="AE31" s="7"/>
      <c r="AF31" s="1">
        <f t="shared" si="8"/>
        <v>8</v>
      </c>
    </row>
    <row r="32" spans="1:43" x14ac:dyDescent="0.35">
      <c r="A32">
        <f t="shared" si="3"/>
        <v>4</v>
      </c>
      <c r="B32" t="s">
        <v>50</v>
      </c>
      <c r="C32" t="s">
        <v>24</v>
      </c>
      <c r="D32">
        <v>25</v>
      </c>
      <c r="E32" t="s">
        <v>18</v>
      </c>
      <c r="F32">
        <v>500</v>
      </c>
      <c r="G32" s="12">
        <v>215000</v>
      </c>
      <c r="H32" s="13">
        <v>1412.67</v>
      </c>
      <c r="I32" s="12">
        <v>1828</v>
      </c>
      <c r="J32">
        <v>1</v>
      </c>
      <c r="K32">
        <v>0.25</v>
      </c>
      <c r="L32">
        <v>2.33</v>
      </c>
      <c r="M32">
        <v>1.9399999999999999E-3</v>
      </c>
      <c r="N32">
        <v>9.9999999999999992E-2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 s="1">
        <v>32.5</v>
      </c>
      <c r="W32">
        <v>20</v>
      </c>
      <c r="X32" s="6">
        <v>0</v>
      </c>
      <c r="Y32" s="1">
        <f t="shared" si="9"/>
        <v>32.5</v>
      </c>
      <c r="Z32" s="1">
        <f t="shared" si="10"/>
        <v>20</v>
      </c>
      <c r="AA32" s="2">
        <v>0</v>
      </c>
      <c r="AB32" s="1">
        <f t="shared" si="11"/>
        <v>32.5</v>
      </c>
      <c r="AC32" s="1">
        <f t="shared" si="12"/>
        <v>20</v>
      </c>
      <c r="AD32" s="7">
        <f t="shared" si="7"/>
        <v>73.875</v>
      </c>
      <c r="AE32" s="7"/>
      <c r="AF32" s="1">
        <f t="shared" si="8"/>
        <v>52.5</v>
      </c>
    </row>
    <row r="33" spans="1:32" x14ac:dyDescent="0.35">
      <c r="A33">
        <f t="shared" si="3"/>
        <v>4</v>
      </c>
      <c r="B33" t="s">
        <v>50</v>
      </c>
      <c r="C33" t="s">
        <v>25</v>
      </c>
      <c r="D33">
        <v>25</v>
      </c>
      <c r="E33" t="s">
        <v>18</v>
      </c>
      <c r="F33">
        <v>500</v>
      </c>
      <c r="G33" s="12">
        <v>215000</v>
      </c>
      <c r="H33" s="13">
        <v>1412.67</v>
      </c>
      <c r="I33" s="12">
        <v>1828</v>
      </c>
      <c r="J33">
        <v>1</v>
      </c>
      <c r="K33">
        <v>0.25</v>
      </c>
      <c r="L33">
        <v>2.33</v>
      </c>
      <c r="M33">
        <v>9.0000000000000008E-4</v>
      </c>
      <c r="N33">
        <v>0.04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 s="1">
        <v>28</v>
      </c>
      <c r="W33">
        <v>15</v>
      </c>
      <c r="X33" s="6" t="str">
        <f t="shared" si="13"/>
        <v>0</v>
      </c>
      <c r="Y33" s="1">
        <f t="shared" si="9"/>
        <v>28</v>
      </c>
      <c r="Z33" s="1">
        <f t="shared" si="10"/>
        <v>15</v>
      </c>
      <c r="AA33" s="2">
        <v>0</v>
      </c>
      <c r="AB33" s="1">
        <f t="shared" si="11"/>
        <v>28</v>
      </c>
      <c r="AC33" s="1">
        <f t="shared" si="12"/>
        <v>15</v>
      </c>
      <c r="AD33" s="7">
        <f t="shared" si="7"/>
        <v>60.300000000000004</v>
      </c>
      <c r="AE33" s="7"/>
      <c r="AF33" s="1">
        <f t="shared" si="8"/>
        <v>43</v>
      </c>
    </row>
    <row r="34" spans="1:32" x14ac:dyDescent="0.35">
      <c r="A34">
        <f t="shared" si="3"/>
        <v>4</v>
      </c>
      <c r="B34" t="s">
        <v>50</v>
      </c>
      <c r="C34" t="s">
        <v>26</v>
      </c>
      <c r="D34">
        <v>25</v>
      </c>
      <c r="E34" t="s">
        <v>18</v>
      </c>
      <c r="F34">
        <v>500</v>
      </c>
      <c r="G34" s="12">
        <v>215000</v>
      </c>
      <c r="H34" s="13">
        <v>1412.67</v>
      </c>
      <c r="I34" s="12">
        <v>1828</v>
      </c>
      <c r="J34">
        <v>1</v>
      </c>
      <c r="K34">
        <v>0.25</v>
      </c>
      <c r="L34">
        <v>2.33</v>
      </c>
      <c r="M34">
        <v>1.9399999999999999E-3</v>
      </c>
      <c r="N34">
        <v>6.9999999999999993E-2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 s="1">
        <v>53</v>
      </c>
      <c r="W34">
        <v>21.5</v>
      </c>
      <c r="X34" s="6">
        <v>0</v>
      </c>
      <c r="Y34" s="1">
        <f t="shared" si="9"/>
        <v>53</v>
      </c>
      <c r="Z34" s="1">
        <f t="shared" si="10"/>
        <v>21.5</v>
      </c>
      <c r="AA34" s="2">
        <v>0</v>
      </c>
      <c r="AB34" s="1">
        <f t="shared" si="11"/>
        <v>53</v>
      </c>
      <c r="AC34" s="1">
        <f t="shared" si="12"/>
        <v>21.5</v>
      </c>
      <c r="AD34" s="7">
        <f t="shared" si="7"/>
        <v>103.80000000000001</v>
      </c>
      <c r="AE34" s="7"/>
      <c r="AF34" s="1">
        <f t="shared" si="8"/>
        <v>74.5</v>
      </c>
    </row>
    <row r="35" spans="1:32" x14ac:dyDescent="0.35">
      <c r="A35">
        <f t="shared" si="3"/>
        <v>4</v>
      </c>
      <c r="B35" t="s">
        <v>50</v>
      </c>
      <c r="C35" t="s">
        <v>27</v>
      </c>
      <c r="D35">
        <v>25</v>
      </c>
      <c r="E35" t="s">
        <v>18</v>
      </c>
      <c r="F35">
        <v>500</v>
      </c>
      <c r="G35" s="12">
        <v>215000</v>
      </c>
      <c r="H35" s="13">
        <v>1412.67</v>
      </c>
      <c r="I35" s="12">
        <v>1828</v>
      </c>
      <c r="J35">
        <v>1</v>
      </c>
      <c r="K35">
        <v>0.25</v>
      </c>
      <c r="L35">
        <v>2.33</v>
      </c>
      <c r="M35">
        <v>5.9900000000000003E-4</v>
      </c>
      <c r="N35">
        <v>0.04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 s="1">
        <v>24</v>
      </c>
      <c r="W35">
        <v>14</v>
      </c>
      <c r="X35" s="6" t="str">
        <f t="shared" si="13"/>
        <v>0</v>
      </c>
      <c r="Y35" s="1">
        <f t="shared" si="9"/>
        <v>24</v>
      </c>
      <c r="Z35" s="1">
        <f t="shared" si="10"/>
        <v>14</v>
      </c>
      <c r="AA35" s="2">
        <v>0</v>
      </c>
      <c r="AB35" s="1">
        <f t="shared" si="11"/>
        <v>24</v>
      </c>
      <c r="AC35" s="1">
        <f t="shared" si="12"/>
        <v>14</v>
      </c>
      <c r="AD35" s="7">
        <f t="shared" si="7"/>
        <v>53.400000000000006</v>
      </c>
      <c r="AE35" s="7"/>
      <c r="AF35" s="1">
        <f t="shared" si="8"/>
        <v>38</v>
      </c>
    </row>
    <row r="36" spans="1:32" x14ac:dyDescent="0.35">
      <c r="A36">
        <f t="shared" si="3"/>
        <v>4</v>
      </c>
      <c r="B36" t="s">
        <v>50</v>
      </c>
      <c r="C36" t="s">
        <v>28</v>
      </c>
      <c r="D36">
        <v>25</v>
      </c>
      <c r="E36" t="s">
        <v>18</v>
      </c>
      <c r="F36">
        <v>500</v>
      </c>
      <c r="G36" s="12">
        <v>215000</v>
      </c>
      <c r="H36" s="13">
        <v>1412.67</v>
      </c>
      <c r="I36" s="12">
        <v>1828</v>
      </c>
      <c r="J36">
        <v>1</v>
      </c>
      <c r="K36">
        <v>0.25</v>
      </c>
      <c r="L36">
        <v>2.33</v>
      </c>
      <c r="M36">
        <v>1.9399999999999999E-3</v>
      </c>
      <c r="N36">
        <v>6.9999999999999993E-2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 s="1">
        <v>37.5</v>
      </c>
      <c r="W36">
        <v>20</v>
      </c>
      <c r="X36" s="6">
        <v>0</v>
      </c>
      <c r="Y36" s="1">
        <f t="shared" si="9"/>
        <v>37.5</v>
      </c>
      <c r="Z36" s="1">
        <f t="shared" si="10"/>
        <v>20</v>
      </c>
      <c r="AA36" s="2">
        <v>0</v>
      </c>
      <c r="AB36" s="1">
        <f t="shared" si="11"/>
        <v>37.5</v>
      </c>
      <c r="AC36" s="1">
        <f t="shared" si="12"/>
        <v>20</v>
      </c>
      <c r="AD36" s="7">
        <f t="shared" si="7"/>
        <v>80.625</v>
      </c>
      <c r="AE36" s="7"/>
      <c r="AF36" s="1">
        <f t="shared" si="8"/>
        <v>57.5</v>
      </c>
    </row>
    <row r="37" spans="1:32" x14ac:dyDescent="0.35">
      <c r="A37">
        <f t="shared" si="3"/>
        <v>4</v>
      </c>
      <c r="B37" t="s">
        <v>50</v>
      </c>
      <c r="C37" t="s">
        <v>29</v>
      </c>
      <c r="D37">
        <v>25</v>
      </c>
      <c r="E37" t="s">
        <v>18</v>
      </c>
      <c r="F37">
        <v>500</v>
      </c>
      <c r="G37" s="12">
        <v>215000</v>
      </c>
      <c r="H37" s="13">
        <v>1412.67</v>
      </c>
      <c r="I37" s="12">
        <v>1828</v>
      </c>
      <c r="J37">
        <v>1</v>
      </c>
      <c r="K37">
        <v>0.25</v>
      </c>
      <c r="L37">
        <v>2.33</v>
      </c>
      <c r="M37">
        <v>9.0000000000000008E-4</v>
      </c>
      <c r="N37">
        <v>0.04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 s="1">
        <v>17</v>
      </c>
      <c r="W37">
        <v>10</v>
      </c>
      <c r="X37" s="6" t="str">
        <f t="shared" si="13"/>
        <v>0</v>
      </c>
      <c r="Y37" s="1">
        <f t="shared" si="9"/>
        <v>17</v>
      </c>
      <c r="Z37" s="1">
        <f t="shared" si="10"/>
        <v>10</v>
      </c>
      <c r="AA37" s="2">
        <v>0</v>
      </c>
      <c r="AB37" s="1">
        <f t="shared" si="11"/>
        <v>17</v>
      </c>
      <c r="AC37" s="1">
        <f t="shared" si="12"/>
        <v>10</v>
      </c>
      <c r="AD37" s="7">
        <f t="shared" si="7"/>
        <v>37.950000000000003</v>
      </c>
      <c r="AE37" s="7"/>
      <c r="AF37" s="1">
        <f t="shared" si="8"/>
        <v>27</v>
      </c>
    </row>
    <row r="38" spans="1:32" x14ac:dyDescent="0.35">
      <c r="A38">
        <f t="shared" si="3"/>
        <v>4</v>
      </c>
      <c r="B38" t="s">
        <v>50</v>
      </c>
      <c r="D38" s="3">
        <v>25</v>
      </c>
      <c r="E38" s="3" t="s">
        <v>18</v>
      </c>
      <c r="F38" s="3">
        <v>500</v>
      </c>
      <c r="G38" s="4">
        <v>220000</v>
      </c>
      <c r="H38" s="3">
        <v>1576</v>
      </c>
      <c r="I38" s="3">
        <v>1870</v>
      </c>
      <c r="J38" s="3">
        <v>1</v>
      </c>
      <c r="K38" s="3">
        <v>0.2</v>
      </c>
      <c r="L38" s="3">
        <v>2.2000000000000002</v>
      </c>
      <c r="M38" s="3">
        <v>1.0000000000000001E-5</v>
      </c>
      <c r="N38" s="3">
        <v>0.03</v>
      </c>
      <c r="O38" s="3">
        <v>1</v>
      </c>
      <c r="P38" s="3">
        <v>0</v>
      </c>
      <c r="Q38" s="3">
        <v>0</v>
      </c>
      <c r="R38" s="3">
        <v>1</v>
      </c>
      <c r="S38" s="3">
        <v>0</v>
      </c>
      <c r="T38" s="3">
        <v>0</v>
      </c>
      <c r="U38" s="3">
        <v>0</v>
      </c>
      <c r="V38" s="5"/>
      <c r="W38" s="5"/>
      <c r="X38" s="6">
        <v>0</v>
      </c>
      <c r="Y38" s="1">
        <f t="shared" si="9"/>
        <v>0</v>
      </c>
      <c r="Z38" s="1">
        <f t="shared" si="10"/>
        <v>0</v>
      </c>
      <c r="AA38" s="2">
        <v>0</v>
      </c>
      <c r="AB38" s="1">
        <f t="shared" si="11"/>
        <v>0</v>
      </c>
      <c r="AC38" s="1">
        <f t="shared" si="12"/>
        <v>0</v>
      </c>
      <c r="AD38" s="7">
        <v>0</v>
      </c>
      <c r="AE38" s="7"/>
      <c r="AF38" s="1">
        <f t="shared" si="8"/>
        <v>0</v>
      </c>
    </row>
    <row r="39" spans="1:32" x14ac:dyDescent="0.35">
      <c r="A39">
        <f t="shared" si="3"/>
        <v>5</v>
      </c>
      <c r="B39" t="s">
        <v>51</v>
      </c>
      <c r="C39" t="s">
        <v>19</v>
      </c>
      <c r="D39">
        <v>25</v>
      </c>
      <c r="E39" t="s">
        <v>18</v>
      </c>
      <c r="F39">
        <v>500</v>
      </c>
      <c r="G39" s="12">
        <v>215000</v>
      </c>
      <c r="H39" s="13">
        <v>1412.67</v>
      </c>
      <c r="I39" s="12">
        <v>1828</v>
      </c>
      <c r="J39">
        <v>1</v>
      </c>
      <c r="K39">
        <v>0.22</v>
      </c>
      <c r="L39">
        <v>2.33</v>
      </c>
      <c r="M39">
        <v>5.9000000000000003E-4</v>
      </c>
      <c r="N39">
        <v>0.04</v>
      </c>
      <c r="O39">
        <v>1</v>
      </c>
      <c r="P39">
        <v>0</v>
      </c>
      <c r="Q39">
        <v>0</v>
      </c>
      <c r="R39">
        <v>1</v>
      </c>
      <c r="S39" s="12">
        <v>9.1649999999999992E-5</v>
      </c>
      <c r="T39">
        <v>0</v>
      </c>
      <c r="U39" s="12">
        <v>2</v>
      </c>
      <c r="V39" s="1">
        <v>25</v>
      </c>
      <c r="W39">
        <v>10</v>
      </c>
      <c r="X39" s="6" t="str">
        <f t="shared" si="13"/>
        <v>0</v>
      </c>
      <c r="Y39" s="1">
        <f t="shared" si="9"/>
        <v>25</v>
      </c>
      <c r="Z39" s="1">
        <f t="shared" si="10"/>
        <v>10</v>
      </c>
      <c r="AA39" s="2">
        <v>0</v>
      </c>
      <c r="AB39" s="1">
        <f t="shared" si="11"/>
        <v>25</v>
      </c>
      <c r="AC39" s="1">
        <f t="shared" si="12"/>
        <v>10</v>
      </c>
      <c r="AD39" s="7">
        <f t="shared" si="7"/>
        <v>48.75</v>
      </c>
      <c r="AE39" s="7"/>
      <c r="AF39" s="1">
        <f t="shared" si="8"/>
        <v>35</v>
      </c>
    </row>
    <row r="40" spans="1:32" x14ac:dyDescent="0.35">
      <c r="A40">
        <f t="shared" si="3"/>
        <v>5</v>
      </c>
      <c r="B40" t="s">
        <v>51</v>
      </c>
      <c r="C40" t="s">
        <v>20</v>
      </c>
      <c r="D40">
        <v>25</v>
      </c>
      <c r="E40" t="s">
        <v>18</v>
      </c>
      <c r="F40">
        <v>500</v>
      </c>
      <c r="G40" s="12">
        <v>215000</v>
      </c>
      <c r="H40" s="13">
        <v>1412.67</v>
      </c>
      <c r="I40" s="12">
        <v>1828</v>
      </c>
      <c r="J40">
        <v>1</v>
      </c>
      <c r="K40">
        <v>0.22</v>
      </c>
      <c r="L40">
        <v>2.33</v>
      </c>
      <c r="M40">
        <v>2.0690000000000001E-3</v>
      </c>
      <c r="N40">
        <v>0.04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 s="1">
        <v>55</v>
      </c>
      <c r="W40">
        <v>23</v>
      </c>
      <c r="X40" s="6">
        <v>0</v>
      </c>
      <c r="Y40" s="1">
        <f t="shared" si="9"/>
        <v>55</v>
      </c>
      <c r="Z40" s="1">
        <f t="shared" si="10"/>
        <v>23</v>
      </c>
      <c r="AA40" s="2">
        <v>0</v>
      </c>
      <c r="AB40" s="1">
        <f t="shared" si="11"/>
        <v>55</v>
      </c>
      <c r="AC40" s="1">
        <f t="shared" si="12"/>
        <v>23</v>
      </c>
      <c r="AD40" s="7">
        <f t="shared" si="7"/>
        <v>108.75</v>
      </c>
      <c r="AE40" s="7"/>
      <c r="AF40" s="1">
        <f t="shared" si="8"/>
        <v>78</v>
      </c>
    </row>
    <row r="41" spans="1:32" x14ac:dyDescent="0.35">
      <c r="A41">
        <f t="shared" si="3"/>
        <v>5</v>
      </c>
      <c r="B41" t="s">
        <v>51</v>
      </c>
      <c r="C41" t="s">
        <v>23</v>
      </c>
      <c r="D41">
        <v>25</v>
      </c>
      <c r="E41" t="s">
        <v>18</v>
      </c>
      <c r="F41">
        <v>500</v>
      </c>
      <c r="G41" s="12">
        <v>215000</v>
      </c>
      <c r="H41" s="13">
        <v>1412.67</v>
      </c>
      <c r="I41" s="12">
        <v>1828</v>
      </c>
      <c r="J41">
        <v>1</v>
      </c>
      <c r="K41">
        <v>0.22</v>
      </c>
      <c r="L41">
        <v>2.33</v>
      </c>
      <c r="M41">
        <v>5.9000000000000003E-4</v>
      </c>
      <c r="N41">
        <v>0.04</v>
      </c>
      <c r="O41">
        <v>1</v>
      </c>
      <c r="P41">
        <v>0</v>
      </c>
      <c r="Q41">
        <v>0</v>
      </c>
      <c r="R41">
        <v>1</v>
      </c>
      <c r="S41" s="12">
        <v>9.1649999999999992E-5</v>
      </c>
      <c r="T41">
        <v>0</v>
      </c>
      <c r="U41" s="12">
        <v>2</v>
      </c>
      <c r="V41" s="1">
        <v>12.5</v>
      </c>
      <c r="W41">
        <v>12</v>
      </c>
      <c r="X41" s="6" t="str">
        <f t="shared" si="13"/>
        <v>0</v>
      </c>
      <c r="Y41" s="1">
        <f t="shared" si="9"/>
        <v>16.625</v>
      </c>
      <c r="Z41" s="1">
        <f t="shared" si="10"/>
        <v>13.65</v>
      </c>
      <c r="AA41" s="2">
        <v>0</v>
      </c>
      <c r="AB41" s="1">
        <f t="shared" si="11"/>
        <v>16.625</v>
      </c>
      <c r="AC41" s="1">
        <f t="shared" si="12"/>
        <v>13.65</v>
      </c>
      <c r="AD41" s="7">
        <f t="shared" si="7"/>
        <v>42.918750000000003</v>
      </c>
      <c r="AE41" s="7"/>
      <c r="AF41" s="1">
        <f t="shared" si="8"/>
        <v>30.274999999999999</v>
      </c>
    </row>
    <row r="42" spans="1:32" x14ac:dyDescent="0.35">
      <c r="A42">
        <f t="shared" si="3"/>
        <v>5</v>
      </c>
      <c r="B42" t="s">
        <v>51</v>
      </c>
      <c r="C42" t="s">
        <v>24</v>
      </c>
      <c r="D42">
        <v>25</v>
      </c>
      <c r="E42" t="s">
        <v>18</v>
      </c>
      <c r="F42">
        <v>500</v>
      </c>
      <c r="G42" s="12">
        <v>215000</v>
      </c>
      <c r="H42" s="13">
        <v>1412.67</v>
      </c>
      <c r="I42" s="12">
        <v>1828</v>
      </c>
      <c r="J42">
        <v>1</v>
      </c>
      <c r="K42">
        <v>0.22</v>
      </c>
      <c r="L42">
        <v>2.33</v>
      </c>
      <c r="M42">
        <v>1.9399999999999999E-3</v>
      </c>
      <c r="N42">
        <v>9.9999999999999992E-2</v>
      </c>
      <c r="O42">
        <v>1</v>
      </c>
      <c r="P42">
        <v>0</v>
      </c>
      <c r="Q42">
        <v>0</v>
      </c>
      <c r="R42">
        <v>1</v>
      </c>
      <c r="S42" s="12">
        <v>9.1649999999999992E-5</v>
      </c>
      <c r="T42">
        <v>0</v>
      </c>
      <c r="U42" s="12">
        <v>2</v>
      </c>
      <c r="V42" s="1">
        <v>82.5</v>
      </c>
      <c r="W42">
        <v>33</v>
      </c>
      <c r="X42" s="11">
        <v>-0.1</v>
      </c>
      <c r="Y42" s="1">
        <f t="shared" si="9"/>
        <v>74.25</v>
      </c>
      <c r="Z42" s="1">
        <f t="shared" si="10"/>
        <v>29.7</v>
      </c>
      <c r="AA42" s="2">
        <v>0</v>
      </c>
      <c r="AB42" s="1">
        <f t="shared" si="11"/>
        <v>74.25</v>
      </c>
      <c r="AC42" s="1">
        <f t="shared" si="12"/>
        <v>29.7</v>
      </c>
      <c r="AD42" s="7">
        <f t="shared" si="7"/>
        <v>144.78750000000002</v>
      </c>
      <c r="AE42" s="7"/>
      <c r="AF42" s="1">
        <f t="shared" si="8"/>
        <v>103.95</v>
      </c>
    </row>
    <row r="43" spans="1:32" x14ac:dyDescent="0.35">
      <c r="A43">
        <f t="shared" si="3"/>
        <v>5</v>
      </c>
      <c r="B43" t="s">
        <v>51</v>
      </c>
      <c r="C43" t="s">
        <v>25</v>
      </c>
      <c r="D43">
        <v>25</v>
      </c>
      <c r="E43" t="s">
        <v>18</v>
      </c>
      <c r="F43">
        <v>500</v>
      </c>
      <c r="G43" s="12">
        <v>215000</v>
      </c>
      <c r="H43" s="13">
        <v>1412.67</v>
      </c>
      <c r="I43" s="12">
        <v>1828</v>
      </c>
      <c r="J43">
        <v>1</v>
      </c>
      <c r="K43">
        <v>0.22</v>
      </c>
      <c r="L43">
        <v>2.33</v>
      </c>
      <c r="M43">
        <v>9.0000000000000008E-4</v>
      </c>
      <c r="N43">
        <v>0.04</v>
      </c>
      <c r="O43">
        <v>1</v>
      </c>
      <c r="P43">
        <v>0</v>
      </c>
      <c r="Q43">
        <v>0</v>
      </c>
      <c r="R43">
        <v>1</v>
      </c>
      <c r="S43" s="12">
        <v>9.1649999999999992E-5</v>
      </c>
      <c r="T43">
        <v>0</v>
      </c>
      <c r="U43" s="12">
        <v>2</v>
      </c>
      <c r="V43" s="1">
        <v>38</v>
      </c>
      <c r="W43">
        <v>18</v>
      </c>
      <c r="X43" s="6" t="str">
        <f t="shared" si="13"/>
        <v>0</v>
      </c>
      <c r="Y43" s="1">
        <f t="shared" si="9"/>
        <v>42.125</v>
      </c>
      <c r="Z43" s="1">
        <f t="shared" si="10"/>
        <v>19.649999999999999</v>
      </c>
      <c r="AA43" s="2">
        <v>0</v>
      </c>
      <c r="AB43" s="1">
        <f t="shared" si="11"/>
        <v>42.125</v>
      </c>
      <c r="AC43" s="1">
        <f t="shared" si="12"/>
        <v>19.649999999999999</v>
      </c>
      <c r="AD43" s="7">
        <f t="shared" si="7"/>
        <v>86.34375</v>
      </c>
      <c r="AE43" s="7"/>
      <c r="AF43" s="1">
        <f t="shared" si="8"/>
        <v>61.774999999999999</v>
      </c>
    </row>
    <row r="44" spans="1:32" x14ac:dyDescent="0.35">
      <c r="A44">
        <f t="shared" si="3"/>
        <v>5</v>
      </c>
      <c r="B44" t="s">
        <v>51</v>
      </c>
      <c r="C44" t="s">
        <v>26</v>
      </c>
      <c r="D44">
        <v>25</v>
      </c>
      <c r="E44" t="s">
        <v>18</v>
      </c>
      <c r="F44">
        <v>500</v>
      </c>
      <c r="G44" s="12">
        <v>215000</v>
      </c>
      <c r="H44" s="13">
        <v>1412.67</v>
      </c>
      <c r="I44" s="12">
        <v>1828</v>
      </c>
      <c r="J44">
        <v>1</v>
      </c>
      <c r="K44">
        <v>0.22</v>
      </c>
      <c r="L44">
        <v>2.33</v>
      </c>
      <c r="M44">
        <v>1.9399999999999999E-3</v>
      </c>
      <c r="N44">
        <v>0.04</v>
      </c>
      <c r="O44">
        <v>1</v>
      </c>
      <c r="P44">
        <v>0</v>
      </c>
      <c r="Q44">
        <v>0</v>
      </c>
      <c r="R44">
        <v>1</v>
      </c>
      <c r="S44" s="12">
        <v>9.1649999999999992E-5</v>
      </c>
      <c r="T44">
        <v>0</v>
      </c>
      <c r="U44" s="12">
        <v>4</v>
      </c>
      <c r="V44" s="1">
        <v>108.5</v>
      </c>
      <c r="W44">
        <v>39</v>
      </c>
      <c r="X44" s="6">
        <v>0</v>
      </c>
      <c r="Y44" s="1">
        <f t="shared" si="9"/>
        <v>108.5</v>
      </c>
      <c r="Z44" s="1">
        <f t="shared" si="10"/>
        <v>39</v>
      </c>
      <c r="AA44" s="2">
        <v>0</v>
      </c>
      <c r="AB44" s="1">
        <f t="shared" si="11"/>
        <v>108.5</v>
      </c>
      <c r="AC44" s="1">
        <f t="shared" si="12"/>
        <v>39</v>
      </c>
      <c r="AD44" s="7">
        <f t="shared" si="7"/>
        <v>204.97500000000002</v>
      </c>
      <c r="AE44" s="7"/>
      <c r="AF44" s="1">
        <f t="shared" si="8"/>
        <v>147.5</v>
      </c>
    </row>
    <row r="45" spans="1:32" x14ac:dyDescent="0.35">
      <c r="A45">
        <f t="shared" si="3"/>
        <v>5</v>
      </c>
      <c r="B45" t="s">
        <v>51</v>
      </c>
      <c r="C45" t="s">
        <v>27</v>
      </c>
      <c r="D45">
        <v>25</v>
      </c>
      <c r="E45" t="s">
        <v>18</v>
      </c>
      <c r="F45">
        <v>500</v>
      </c>
      <c r="G45" s="12">
        <v>215000</v>
      </c>
      <c r="H45" s="13">
        <v>1412.67</v>
      </c>
      <c r="I45" s="12">
        <v>1828</v>
      </c>
      <c r="J45">
        <v>1</v>
      </c>
      <c r="K45">
        <v>0.22</v>
      </c>
      <c r="L45">
        <v>2.33</v>
      </c>
      <c r="M45">
        <v>5.9900000000000003E-4</v>
      </c>
      <c r="N45">
        <v>0.04</v>
      </c>
      <c r="O45">
        <v>1</v>
      </c>
      <c r="P45">
        <v>0</v>
      </c>
      <c r="Q45">
        <v>0</v>
      </c>
      <c r="R45">
        <v>1</v>
      </c>
      <c r="S45" s="12">
        <v>9.1649999999999992E-5</v>
      </c>
      <c r="T45">
        <v>0</v>
      </c>
      <c r="U45" s="12">
        <v>2</v>
      </c>
      <c r="V45" s="1">
        <v>35</v>
      </c>
      <c r="W45">
        <v>18</v>
      </c>
      <c r="X45" s="6" t="str">
        <f t="shared" si="13"/>
        <v>0</v>
      </c>
      <c r="Y45" s="1">
        <f t="shared" si="9"/>
        <v>35</v>
      </c>
      <c r="Z45" s="1">
        <f t="shared" si="10"/>
        <v>18</v>
      </c>
      <c r="AA45" s="2">
        <v>0</v>
      </c>
      <c r="AB45" s="1">
        <f t="shared" si="11"/>
        <v>35</v>
      </c>
      <c r="AC45" s="1">
        <f t="shared" si="12"/>
        <v>18</v>
      </c>
      <c r="AD45" s="7">
        <f t="shared" si="7"/>
        <v>74.25</v>
      </c>
      <c r="AE45" s="7"/>
      <c r="AF45" s="1">
        <f t="shared" si="8"/>
        <v>53</v>
      </c>
    </row>
    <row r="46" spans="1:32" x14ac:dyDescent="0.35">
      <c r="A46">
        <f t="shared" si="3"/>
        <v>5</v>
      </c>
      <c r="B46" t="s">
        <v>51</v>
      </c>
      <c r="C46" t="s">
        <v>28</v>
      </c>
      <c r="D46">
        <v>25</v>
      </c>
      <c r="E46" t="s">
        <v>18</v>
      </c>
      <c r="F46">
        <v>500</v>
      </c>
      <c r="G46" s="12">
        <v>215000</v>
      </c>
      <c r="H46" s="13">
        <v>1412.67</v>
      </c>
      <c r="I46" s="12">
        <v>1828</v>
      </c>
      <c r="J46">
        <v>1</v>
      </c>
      <c r="K46">
        <v>0.22</v>
      </c>
      <c r="L46">
        <v>2.33</v>
      </c>
      <c r="M46">
        <v>1.9399999999999999E-3</v>
      </c>
      <c r="N46">
        <v>0.04</v>
      </c>
      <c r="O46">
        <v>1</v>
      </c>
      <c r="P46">
        <v>0</v>
      </c>
      <c r="Q46">
        <v>0</v>
      </c>
      <c r="R46">
        <v>1</v>
      </c>
      <c r="S46" s="12">
        <v>9.1649999999999992E-5</v>
      </c>
      <c r="T46">
        <v>0</v>
      </c>
      <c r="U46" s="12">
        <v>4</v>
      </c>
      <c r="V46" s="1">
        <v>95</v>
      </c>
      <c r="W46">
        <v>35</v>
      </c>
      <c r="X46" s="6">
        <v>0</v>
      </c>
      <c r="Y46" s="1">
        <f t="shared" si="9"/>
        <v>95</v>
      </c>
      <c r="Z46" s="1">
        <f t="shared" si="10"/>
        <v>35</v>
      </c>
      <c r="AA46" s="2">
        <v>0</v>
      </c>
      <c r="AB46" s="1">
        <f t="shared" si="11"/>
        <v>95</v>
      </c>
      <c r="AC46" s="1">
        <f t="shared" si="12"/>
        <v>35</v>
      </c>
      <c r="AD46" s="7">
        <f t="shared" si="7"/>
        <v>180.75</v>
      </c>
      <c r="AE46" s="7"/>
      <c r="AF46" s="1">
        <f t="shared" si="8"/>
        <v>130</v>
      </c>
    </row>
    <row r="47" spans="1:32" x14ac:dyDescent="0.35">
      <c r="A47">
        <f t="shared" si="3"/>
        <v>5</v>
      </c>
      <c r="B47" t="s">
        <v>51</v>
      </c>
      <c r="C47" t="s">
        <v>29</v>
      </c>
      <c r="D47">
        <v>25</v>
      </c>
      <c r="E47" t="s">
        <v>18</v>
      </c>
      <c r="F47">
        <v>500</v>
      </c>
      <c r="G47" s="12">
        <v>215000</v>
      </c>
      <c r="H47" s="13">
        <v>1412.67</v>
      </c>
      <c r="I47" s="12">
        <v>1828</v>
      </c>
      <c r="J47">
        <v>1</v>
      </c>
      <c r="K47">
        <v>0.22</v>
      </c>
      <c r="L47">
        <v>2.33</v>
      </c>
      <c r="M47">
        <v>9.0000000000000008E-4</v>
      </c>
      <c r="N47">
        <v>0.04</v>
      </c>
      <c r="O47">
        <v>1</v>
      </c>
      <c r="P47">
        <v>0</v>
      </c>
      <c r="Q47">
        <v>0</v>
      </c>
      <c r="R47">
        <v>1</v>
      </c>
      <c r="S47" s="12">
        <v>9.1649999999999992E-5</v>
      </c>
      <c r="T47">
        <v>0</v>
      </c>
      <c r="U47" s="12">
        <v>2</v>
      </c>
      <c r="V47" s="1">
        <v>27</v>
      </c>
      <c r="W47">
        <v>13</v>
      </c>
      <c r="X47" s="6" t="str">
        <f t="shared" si="13"/>
        <v>0</v>
      </c>
      <c r="Y47" s="1">
        <f t="shared" si="9"/>
        <v>27</v>
      </c>
      <c r="Z47" s="1">
        <f t="shared" si="10"/>
        <v>13</v>
      </c>
      <c r="AA47" s="2">
        <v>0</v>
      </c>
      <c r="AB47" s="1">
        <f t="shared" si="11"/>
        <v>27</v>
      </c>
      <c r="AC47" s="1">
        <f t="shared" si="12"/>
        <v>13</v>
      </c>
      <c r="AD47" s="7">
        <f t="shared" si="7"/>
        <v>55.95</v>
      </c>
      <c r="AE47" s="7"/>
      <c r="AF47" s="1">
        <f t="shared" si="8"/>
        <v>40</v>
      </c>
    </row>
    <row r="48" spans="1:32" x14ac:dyDescent="0.35">
      <c r="A48">
        <f t="shared" si="3"/>
        <v>5</v>
      </c>
      <c r="B48" t="s">
        <v>51</v>
      </c>
      <c r="D48" s="3">
        <v>25</v>
      </c>
      <c r="E48" s="3" t="s">
        <v>18</v>
      </c>
      <c r="F48" s="3">
        <v>500</v>
      </c>
      <c r="G48" s="4">
        <v>220000</v>
      </c>
      <c r="H48" s="3">
        <v>1576</v>
      </c>
      <c r="I48" s="3">
        <v>1870</v>
      </c>
      <c r="J48" s="3">
        <v>1</v>
      </c>
      <c r="K48" s="3">
        <v>0.2</v>
      </c>
      <c r="L48" s="3">
        <v>2.2000000000000002</v>
      </c>
      <c r="M48" s="3">
        <v>1.0000000000000001E-5</v>
      </c>
      <c r="N48" s="3">
        <v>0.03</v>
      </c>
      <c r="O48" s="3">
        <v>1</v>
      </c>
      <c r="P48" s="3">
        <v>0</v>
      </c>
      <c r="Q48" s="3">
        <v>0</v>
      </c>
      <c r="R48" s="3">
        <v>1</v>
      </c>
      <c r="S48" s="3">
        <v>0</v>
      </c>
      <c r="T48" s="3">
        <v>0</v>
      </c>
      <c r="U48" s="3">
        <v>0</v>
      </c>
      <c r="V48" s="5"/>
      <c r="W48" s="5"/>
      <c r="X48" s="6">
        <v>0</v>
      </c>
      <c r="Y48" s="1">
        <f t="shared" si="9"/>
        <v>0</v>
      </c>
      <c r="Z48" s="1">
        <f t="shared" si="10"/>
        <v>0</v>
      </c>
      <c r="AA48" s="2">
        <v>0</v>
      </c>
      <c r="AB48" s="1">
        <f t="shared" si="11"/>
        <v>0</v>
      </c>
      <c r="AC48" s="1">
        <f t="shared" si="12"/>
        <v>0</v>
      </c>
      <c r="AD48" s="7">
        <v>0</v>
      </c>
      <c r="AE48" s="7"/>
      <c r="AF48" s="1">
        <f t="shared" si="8"/>
        <v>0</v>
      </c>
    </row>
    <row r="49" spans="1:32" x14ac:dyDescent="0.35">
      <c r="A49">
        <f t="shared" si="3"/>
        <v>6</v>
      </c>
      <c r="B49" t="s">
        <v>52</v>
      </c>
      <c r="C49" t="s">
        <v>19</v>
      </c>
      <c r="D49">
        <v>25</v>
      </c>
      <c r="E49" t="s">
        <v>18</v>
      </c>
      <c r="F49">
        <v>500</v>
      </c>
      <c r="G49" s="12">
        <v>215000</v>
      </c>
      <c r="H49" s="13">
        <v>1412.67</v>
      </c>
      <c r="I49" s="12">
        <v>1828</v>
      </c>
      <c r="J49">
        <v>1</v>
      </c>
      <c r="K49">
        <v>0.25</v>
      </c>
      <c r="L49">
        <v>2.6</v>
      </c>
      <c r="M49">
        <v>3.3280000000000001E-4</v>
      </c>
      <c r="N49">
        <v>0.04</v>
      </c>
      <c r="O49">
        <v>1</v>
      </c>
      <c r="P49">
        <v>0</v>
      </c>
      <c r="Q49">
        <v>0</v>
      </c>
      <c r="R49">
        <v>1</v>
      </c>
      <c r="S49" s="12">
        <v>9.1649999999999992E-5</v>
      </c>
      <c r="T49">
        <v>0</v>
      </c>
      <c r="U49" s="12">
        <v>5</v>
      </c>
      <c r="V49" s="1">
        <v>36</v>
      </c>
      <c r="W49">
        <v>13</v>
      </c>
      <c r="X49" s="6" t="str">
        <f t="shared" si="13"/>
        <v>0</v>
      </c>
      <c r="Y49" s="1">
        <f t="shared" si="9"/>
        <v>28.65</v>
      </c>
      <c r="Z49" s="1">
        <f t="shared" si="10"/>
        <v>10.62</v>
      </c>
      <c r="AA49" s="2">
        <v>0</v>
      </c>
      <c r="AB49" s="1">
        <f t="shared" si="11"/>
        <v>28.65</v>
      </c>
      <c r="AC49" s="1">
        <f t="shared" si="12"/>
        <v>10.62</v>
      </c>
      <c r="AD49" s="7">
        <f t="shared" si="7"/>
        <v>54.607500000000002</v>
      </c>
      <c r="AE49" s="7"/>
      <c r="AF49" s="1">
        <f t="shared" si="8"/>
        <v>39.269999999999996</v>
      </c>
    </row>
    <row r="50" spans="1:32" x14ac:dyDescent="0.35">
      <c r="A50">
        <f t="shared" si="3"/>
        <v>6</v>
      </c>
      <c r="B50" t="s">
        <v>52</v>
      </c>
      <c r="C50" t="s">
        <v>20</v>
      </c>
      <c r="D50">
        <v>25</v>
      </c>
      <c r="E50" t="s">
        <v>18</v>
      </c>
      <c r="F50">
        <v>500</v>
      </c>
      <c r="G50" s="12">
        <v>215000</v>
      </c>
      <c r="H50" s="13">
        <v>1412.67</v>
      </c>
      <c r="I50" s="12">
        <v>1828</v>
      </c>
      <c r="J50">
        <v>1</v>
      </c>
      <c r="K50">
        <v>0.25</v>
      </c>
      <c r="L50">
        <v>2.6</v>
      </c>
      <c r="M50">
        <v>2.1000000000000003E-3</v>
      </c>
      <c r="N50">
        <v>6.9999999999999993E-2</v>
      </c>
      <c r="O50">
        <v>1</v>
      </c>
      <c r="P50">
        <v>0</v>
      </c>
      <c r="Q50">
        <v>0</v>
      </c>
      <c r="R50">
        <v>1</v>
      </c>
      <c r="S50" s="12">
        <v>9.1649999999999992E-5</v>
      </c>
      <c r="T50">
        <v>0</v>
      </c>
      <c r="U50" s="12">
        <v>2</v>
      </c>
      <c r="V50" s="1">
        <v>105</v>
      </c>
      <c r="W50">
        <v>34</v>
      </c>
      <c r="X50" s="11">
        <v>0.14000000000000001</v>
      </c>
      <c r="Y50" s="1">
        <f t="shared" si="9"/>
        <v>119.7</v>
      </c>
      <c r="Z50" s="1">
        <f t="shared" si="10"/>
        <v>38.76</v>
      </c>
      <c r="AA50" s="2">
        <v>0</v>
      </c>
      <c r="AB50" s="1">
        <f t="shared" si="11"/>
        <v>119.7</v>
      </c>
      <c r="AC50" s="1">
        <f t="shared" si="12"/>
        <v>38.76</v>
      </c>
      <c r="AD50" s="7">
        <f t="shared" si="7"/>
        <v>219.73500000000001</v>
      </c>
      <c r="AE50" s="7"/>
      <c r="AF50" s="1">
        <f t="shared" si="8"/>
        <v>158.46</v>
      </c>
    </row>
    <row r="51" spans="1:32" x14ac:dyDescent="0.35">
      <c r="A51">
        <f t="shared" si="3"/>
        <v>6</v>
      </c>
      <c r="B51" t="s">
        <v>52</v>
      </c>
      <c r="C51" t="s">
        <v>23</v>
      </c>
      <c r="D51">
        <v>25</v>
      </c>
      <c r="E51" t="s">
        <v>18</v>
      </c>
      <c r="F51">
        <v>500</v>
      </c>
      <c r="G51" s="12">
        <v>215000</v>
      </c>
      <c r="H51" s="13">
        <v>1412.67</v>
      </c>
      <c r="I51" s="12">
        <v>1828</v>
      </c>
      <c r="J51">
        <v>1</v>
      </c>
      <c r="K51">
        <v>0.25</v>
      </c>
      <c r="L51">
        <v>2.6</v>
      </c>
      <c r="M51">
        <v>3.3280000000000001E-4</v>
      </c>
      <c r="N51">
        <v>0.04</v>
      </c>
      <c r="O51">
        <v>1</v>
      </c>
      <c r="P51">
        <v>0</v>
      </c>
      <c r="Q51">
        <v>0</v>
      </c>
      <c r="R51">
        <v>1</v>
      </c>
      <c r="S51" s="12">
        <v>9.1649999999999992E-5</v>
      </c>
      <c r="T51">
        <v>0</v>
      </c>
      <c r="U51" s="12">
        <v>5</v>
      </c>
      <c r="V51" s="1">
        <v>32</v>
      </c>
      <c r="W51">
        <v>15</v>
      </c>
      <c r="X51" s="6" t="str">
        <f t="shared" si="13"/>
        <v>0</v>
      </c>
      <c r="Y51" s="1">
        <f t="shared" si="9"/>
        <v>14</v>
      </c>
      <c r="Z51" s="1">
        <f t="shared" si="10"/>
        <v>8.82</v>
      </c>
      <c r="AA51" s="2">
        <v>0</v>
      </c>
      <c r="AB51" s="1">
        <f t="shared" si="11"/>
        <v>14</v>
      </c>
      <c r="AC51" s="1">
        <f t="shared" si="12"/>
        <v>8.82</v>
      </c>
      <c r="AD51" s="7">
        <f t="shared" si="7"/>
        <v>32.130000000000003</v>
      </c>
      <c r="AE51" s="7"/>
      <c r="AF51" s="1">
        <f t="shared" si="8"/>
        <v>22.82</v>
      </c>
    </row>
    <row r="52" spans="1:32" x14ac:dyDescent="0.35">
      <c r="A52">
        <f t="shared" si="3"/>
        <v>6</v>
      </c>
      <c r="B52" t="s">
        <v>52</v>
      </c>
      <c r="C52" t="s">
        <v>24</v>
      </c>
      <c r="D52">
        <v>25</v>
      </c>
      <c r="E52" t="s">
        <v>18</v>
      </c>
      <c r="F52">
        <v>500</v>
      </c>
      <c r="G52" s="12">
        <v>215000</v>
      </c>
      <c r="H52" s="13">
        <v>1412.67</v>
      </c>
      <c r="I52" s="12">
        <v>1828</v>
      </c>
      <c r="J52">
        <v>1</v>
      </c>
      <c r="K52">
        <v>0.25</v>
      </c>
      <c r="L52">
        <v>2.6</v>
      </c>
      <c r="M52">
        <v>2.4000000000000002E-3</v>
      </c>
      <c r="N52">
        <v>6.9999999999999993E-2</v>
      </c>
      <c r="O52">
        <v>1</v>
      </c>
      <c r="P52">
        <v>0</v>
      </c>
      <c r="Q52">
        <v>0</v>
      </c>
      <c r="R52">
        <v>1</v>
      </c>
      <c r="S52" s="12">
        <v>9.1649999999999992E-5</v>
      </c>
      <c r="T52">
        <v>0</v>
      </c>
      <c r="U52" s="12">
        <v>2</v>
      </c>
      <c r="V52" s="1">
        <v>106.5</v>
      </c>
      <c r="W52">
        <v>38</v>
      </c>
      <c r="X52" s="11">
        <v>0.2</v>
      </c>
      <c r="Y52" s="1">
        <f t="shared" si="9"/>
        <v>127.8</v>
      </c>
      <c r="Z52" s="1">
        <f t="shared" si="10"/>
        <v>45.6</v>
      </c>
      <c r="AA52" s="2">
        <v>0</v>
      </c>
      <c r="AB52" s="1">
        <f t="shared" si="11"/>
        <v>127.8</v>
      </c>
      <c r="AC52" s="1">
        <f t="shared" si="12"/>
        <v>45.6</v>
      </c>
      <c r="AD52" s="7">
        <f t="shared" si="7"/>
        <v>240.93</v>
      </c>
      <c r="AE52" s="7"/>
      <c r="AF52" s="1">
        <f t="shared" si="8"/>
        <v>173.4</v>
      </c>
    </row>
    <row r="53" spans="1:32" x14ac:dyDescent="0.35">
      <c r="A53">
        <f t="shared" si="3"/>
        <v>6</v>
      </c>
      <c r="B53" t="s">
        <v>52</v>
      </c>
      <c r="C53" t="s">
        <v>25</v>
      </c>
      <c r="D53">
        <v>25</v>
      </c>
      <c r="E53" t="s">
        <v>18</v>
      </c>
      <c r="F53">
        <v>500</v>
      </c>
      <c r="G53" s="12">
        <v>215000</v>
      </c>
      <c r="H53" s="13">
        <v>1412.67</v>
      </c>
      <c r="I53" s="12">
        <v>1828</v>
      </c>
      <c r="J53">
        <v>1</v>
      </c>
      <c r="K53">
        <v>0.25</v>
      </c>
      <c r="L53">
        <v>2.6</v>
      </c>
      <c r="M53">
        <v>3.3280000000000001E-4</v>
      </c>
      <c r="N53">
        <v>0.04</v>
      </c>
      <c r="O53">
        <v>1</v>
      </c>
      <c r="P53">
        <v>0</v>
      </c>
      <c r="Q53">
        <v>0</v>
      </c>
      <c r="R53">
        <v>1</v>
      </c>
      <c r="S53" s="12">
        <v>9.1649999999999992E-5</v>
      </c>
      <c r="T53">
        <v>0</v>
      </c>
      <c r="U53" s="12">
        <v>5</v>
      </c>
      <c r="V53" s="1">
        <v>38</v>
      </c>
      <c r="W53">
        <v>17</v>
      </c>
      <c r="X53" s="6" t="str">
        <f t="shared" si="13"/>
        <v>0</v>
      </c>
      <c r="Y53" s="1">
        <f t="shared" si="9"/>
        <v>27.35</v>
      </c>
      <c r="Z53" s="1">
        <f t="shared" si="10"/>
        <v>13.2</v>
      </c>
      <c r="AA53" s="2">
        <v>0</v>
      </c>
      <c r="AB53" s="1">
        <f t="shared" si="11"/>
        <v>27.35</v>
      </c>
      <c r="AC53" s="1">
        <f t="shared" si="12"/>
        <v>13.2</v>
      </c>
      <c r="AD53" s="7">
        <f t="shared" si="7"/>
        <v>56.722500000000004</v>
      </c>
      <c r="AE53" s="7"/>
      <c r="AF53" s="1">
        <f t="shared" si="8"/>
        <v>40.549999999999997</v>
      </c>
    </row>
    <row r="54" spans="1:32" x14ac:dyDescent="0.35">
      <c r="A54">
        <f t="shared" si="3"/>
        <v>6</v>
      </c>
      <c r="B54" t="s">
        <v>52</v>
      </c>
      <c r="C54" t="s">
        <v>26</v>
      </c>
      <c r="D54">
        <v>25</v>
      </c>
      <c r="E54" t="s">
        <v>18</v>
      </c>
      <c r="F54">
        <v>500</v>
      </c>
      <c r="G54" s="12">
        <v>215000</v>
      </c>
      <c r="H54" s="13">
        <v>1412.67</v>
      </c>
      <c r="I54" s="12">
        <v>1828</v>
      </c>
      <c r="J54">
        <v>1</v>
      </c>
      <c r="K54">
        <v>0.25</v>
      </c>
      <c r="L54">
        <v>2.6</v>
      </c>
      <c r="M54">
        <v>2.1000000000000003E-3</v>
      </c>
      <c r="N54">
        <v>8.4999999999999992E-2</v>
      </c>
      <c r="O54">
        <v>1</v>
      </c>
      <c r="P54">
        <v>0</v>
      </c>
      <c r="Q54">
        <v>0</v>
      </c>
      <c r="R54">
        <v>1</v>
      </c>
      <c r="S54" s="12">
        <v>9.1649999999999992E-5</v>
      </c>
      <c r="T54">
        <v>0</v>
      </c>
      <c r="U54" s="12">
        <v>4</v>
      </c>
      <c r="V54" s="1">
        <v>118.5</v>
      </c>
      <c r="W54">
        <v>42.5</v>
      </c>
      <c r="X54" s="6">
        <v>0</v>
      </c>
      <c r="Y54" s="1">
        <f t="shared" si="9"/>
        <v>118.5</v>
      </c>
      <c r="Z54" s="1">
        <f t="shared" si="10"/>
        <v>42.5</v>
      </c>
      <c r="AA54" s="2">
        <v>0</v>
      </c>
      <c r="AB54" s="1">
        <f t="shared" si="11"/>
        <v>118.5</v>
      </c>
      <c r="AC54" s="1">
        <f t="shared" si="12"/>
        <v>42.5</v>
      </c>
      <c r="AD54" s="7">
        <f t="shared" si="7"/>
        <v>223.72500000000002</v>
      </c>
      <c r="AE54" s="7"/>
      <c r="AF54" s="1">
        <f t="shared" si="8"/>
        <v>161</v>
      </c>
    </row>
    <row r="55" spans="1:32" x14ac:dyDescent="0.35">
      <c r="A55">
        <f t="shared" si="3"/>
        <v>6</v>
      </c>
      <c r="B55" t="s">
        <v>52</v>
      </c>
      <c r="C55" t="s">
        <v>27</v>
      </c>
      <c r="D55">
        <v>25</v>
      </c>
      <c r="E55" t="s">
        <v>18</v>
      </c>
      <c r="F55">
        <v>500</v>
      </c>
      <c r="G55" s="12">
        <v>215000</v>
      </c>
      <c r="H55" s="13">
        <v>1412.67</v>
      </c>
      <c r="I55" s="12">
        <v>1828</v>
      </c>
      <c r="J55">
        <v>1</v>
      </c>
      <c r="K55">
        <v>0.25</v>
      </c>
      <c r="L55">
        <v>2.6</v>
      </c>
      <c r="M55">
        <v>3.3280000000000001E-4</v>
      </c>
      <c r="N55">
        <v>0.04</v>
      </c>
      <c r="O55">
        <v>1</v>
      </c>
      <c r="P55">
        <v>0</v>
      </c>
      <c r="Q55">
        <v>0</v>
      </c>
      <c r="R55">
        <v>1</v>
      </c>
      <c r="S55" s="12">
        <v>9.1649999999999992E-5</v>
      </c>
      <c r="T55">
        <v>0</v>
      </c>
      <c r="U55" s="12">
        <v>5</v>
      </c>
      <c r="V55" s="1">
        <v>41</v>
      </c>
      <c r="W55">
        <v>18</v>
      </c>
      <c r="X55" s="6" t="str">
        <f t="shared" si="13"/>
        <v>0</v>
      </c>
      <c r="Y55" s="1">
        <f t="shared" si="9"/>
        <v>41</v>
      </c>
      <c r="Z55" s="1">
        <f t="shared" si="10"/>
        <v>18</v>
      </c>
      <c r="AA55" s="2">
        <v>0</v>
      </c>
      <c r="AB55" s="1">
        <f t="shared" si="11"/>
        <v>41</v>
      </c>
      <c r="AC55" s="1">
        <f t="shared" si="12"/>
        <v>18</v>
      </c>
      <c r="AD55" s="7">
        <f t="shared" si="7"/>
        <v>82.35</v>
      </c>
      <c r="AE55" s="7"/>
      <c r="AF55" s="1">
        <f t="shared" si="8"/>
        <v>59</v>
      </c>
    </row>
    <row r="56" spans="1:32" x14ac:dyDescent="0.35">
      <c r="A56">
        <f t="shared" si="3"/>
        <v>6</v>
      </c>
      <c r="B56" t="s">
        <v>52</v>
      </c>
      <c r="C56" t="s">
        <v>28</v>
      </c>
      <c r="D56">
        <v>25</v>
      </c>
      <c r="E56" t="s">
        <v>18</v>
      </c>
      <c r="F56">
        <v>500</v>
      </c>
      <c r="G56" s="12">
        <v>215000</v>
      </c>
      <c r="H56" s="13">
        <v>1412.67</v>
      </c>
      <c r="I56" s="12">
        <v>1828</v>
      </c>
      <c r="J56">
        <v>1</v>
      </c>
      <c r="K56">
        <v>0.25</v>
      </c>
      <c r="L56">
        <v>2.6</v>
      </c>
      <c r="M56">
        <v>2.1000000000000003E-3</v>
      </c>
      <c r="N56">
        <v>6.9999999999999993E-2</v>
      </c>
      <c r="O56">
        <v>1</v>
      </c>
      <c r="P56">
        <v>0</v>
      </c>
      <c r="Q56">
        <v>0</v>
      </c>
      <c r="R56">
        <v>1</v>
      </c>
      <c r="S56" s="12">
        <v>9.1649999999999992E-5</v>
      </c>
      <c r="T56">
        <v>0</v>
      </c>
      <c r="U56" s="12">
        <v>4</v>
      </c>
      <c r="V56" s="1">
        <v>118.5</v>
      </c>
      <c r="W56">
        <v>42.5</v>
      </c>
      <c r="X56" s="6">
        <v>0</v>
      </c>
      <c r="Y56" s="1">
        <f t="shared" si="9"/>
        <v>118.5</v>
      </c>
      <c r="Z56" s="1">
        <f t="shared" si="10"/>
        <v>42.5</v>
      </c>
      <c r="AA56" s="2">
        <v>0</v>
      </c>
      <c r="AB56" s="1">
        <f t="shared" si="11"/>
        <v>118.5</v>
      </c>
      <c r="AC56" s="1">
        <f t="shared" si="12"/>
        <v>42.5</v>
      </c>
      <c r="AD56" s="7">
        <f t="shared" si="7"/>
        <v>223.72500000000002</v>
      </c>
      <c r="AE56" s="7"/>
      <c r="AF56" s="1">
        <f t="shared" si="8"/>
        <v>161</v>
      </c>
    </row>
    <row r="57" spans="1:32" x14ac:dyDescent="0.35">
      <c r="A57">
        <f t="shared" si="3"/>
        <v>6</v>
      </c>
      <c r="B57" t="s">
        <v>52</v>
      </c>
      <c r="C57" t="s">
        <v>29</v>
      </c>
      <c r="D57">
        <v>25</v>
      </c>
      <c r="E57" t="s">
        <v>18</v>
      </c>
      <c r="F57">
        <v>500</v>
      </c>
      <c r="G57" s="12">
        <v>215000</v>
      </c>
      <c r="H57" s="13">
        <v>1412.67</v>
      </c>
      <c r="I57" s="12">
        <v>1828</v>
      </c>
      <c r="J57">
        <v>1</v>
      </c>
      <c r="K57">
        <v>0.25</v>
      </c>
      <c r="L57">
        <v>2.6</v>
      </c>
      <c r="M57">
        <v>3.3280000000000001E-4</v>
      </c>
      <c r="N57">
        <v>0.04</v>
      </c>
      <c r="O57">
        <v>1</v>
      </c>
      <c r="P57">
        <v>0</v>
      </c>
      <c r="Q57">
        <v>0</v>
      </c>
      <c r="R57">
        <v>1</v>
      </c>
      <c r="S57" s="12">
        <v>9.1649999999999992E-5</v>
      </c>
      <c r="T57">
        <v>0</v>
      </c>
      <c r="U57" s="12">
        <v>5</v>
      </c>
      <c r="V57" s="1">
        <v>41</v>
      </c>
      <c r="W57">
        <v>18</v>
      </c>
      <c r="X57" s="6" t="str">
        <f t="shared" si="13"/>
        <v>0</v>
      </c>
      <c r="Y57" s="1">
        <f t="shared" si="9"/>
        <v>35.075000000000003</v>
      </c>
      <c r="Z57" s="1">
        <f t="shared" si="10"/>
        <v>16.024999999999999</v>
      </c>
      <c r="AA57" s="2">
        <v>0</v>
      </c>
      <c r="AB57" s="1">
        <f t="shared" si="11"/>
        <v>35.075000000000003</v>
      </c>
      <c r="AC57" s="1">
        <f t="shared" si="12"/>
        <v>16.024999999999999</v>
      </c>
      <c r="AD57" s="7">
        <f t="shared" si="7"/>
        <v>71.388750000000002</v>
      </c>
      <c r="AE57" s="7"/>
      <c r="AF57" s="1">
        <f t="shared" si="8"/>
        <v>51.1</v>
      </c>
    </row>
    <row r="58" spans="1:32" x14ac:dyDescent="0.35">
      <c r="A58">
        <f t="shared" si="3"/>
        <v>6</v>
      </c>
      <c r="B58" t="s">
        <v>52</v>
      </c>
      <c r="C58" t="s">
        <v>30</v>
      </c>
      <c r="D58">
        <v>25</v>
      </c>
      <c r="E58" t="s">
        <v>18</v>
      </c>
      <c r="F58">
        <v>500</v>
      </c>
      <c r="G58" s="12">
        <v>215000</v>
      </c>
      <c r="H58" s="13">
        <v>1412.67</v>
      </c>
      <c r="I58" s="12">
        <v>1828</v>
      </c>
      <c r="J58">
        <v>1</v>
      </c>
      <c r="K58">
        <v>0.25</v>
      </c>
      <c r="L58">
        <v>2.6</v>
      </c>
      <c r="M58">
        <v>2.4000000000000002E-3</v>
      </c>
      <c r="N58">
        <v>6.9999999999999993E-2</v>
      </c>
      <c r="O58">
        <v>1</v>
      </c>
      <c r="P58">
        <v>0</v>
      </c>
      <c r="Q58">
        <v>0</v>
      </c>
      <c r="R58">
        <v>1</v>
      </c>
      <c r="S58" s="12">
        <v>9.1649999999999992E-5</v>
      </c>
      <c r="T58">
        <v>0</v>
      </c>
      <c r="U58" s="12">
        <v>2</v>
      </c>
      <c r="V58" s="1">
        <v>118.5</v>
      </c>
      <c r="W58">
        <v>39.5</v>
      </c>
      <c r="X58" s="11">
        <v>0.1</v>
      </c>
      <c r="Y58" s="1">
        <f t="shared" si="9"/>
        <v>130.35</v>
      </c>
      <c r="Z58" s="1">
        <f t="shared" si="10"/>
        <v>43.45</v>
      </c>
      <c r="AA58" s="2">
        <v>0</v>
      </c>
      <c r="AB58" s="1">
        <f t="shared" si="11"/>
        <v>130.35</v>
      </c>
      <c r="AC58" s="1">
        <f t="shared" si="12"/>
        <v>43.45</v>
      </c>
      <c r="AD58" s="7">
        <f t="shared" si="7"/>
        <v>241.14750000000001</v>
      </c>
      <c r="AE58" s="7"/>
      <c r="AF58" s="1">
        <f t="shared" si="8"/>
        <v>173.8</v>
      </c>
    </row>
    <row r="59" spans="1:32" x14ac:dyDescent="0.35">
      <c r="A59">
        <f t="shared" si="3"/>
        <v>6</v>
      </c>
      <c r="B59" t="s">
        <v>52</v>
      </c>
      <c r="C59" t="s">
        <v>31</v>
      </c>
      <c r="D59">
        <v>25</v>
      </c>
      <c r="E59" t="s">
        <v>18</v>
      </c>
      <c r="F59">
        <v>500</v>
      </c>
      <c r="G59" s="12">
        <v>215000</v>
      </c>
      <c r="H59" s="13">
        <v>1412.67</v>
      </c>
      <c r="I59" s="12">
        <v>1828</v>
      </c>
      <c r="J59">
        <v>1</v>
      </c>
      <c r="K59">
        <v>0.25</v>
      </c>
      <c r="L59">
        <v>2.6</v>
      </c>
      <c r="M59">
        <v>3.3280000000000001E-4</v>
      </c>
      <c r="N59">
        <v>0.04</v>
      </c>
      <c r="O59">
        <v>1</v>
      </c>
      <c r="P59">
        <v>0</v>
      </c>
      <c r="Q59">
        <v>0</v>
      </c>
      <c r="R59">
        <v>1</v>
      </c>
      <c r="S59" s="12">
        <v>9.1649999999999992E-5</v>
      </c>
      <c r="T59">
        <v>0</v>
      </c>
      <c r="U59" s="12">
        <v>5</v>
      </c>
      <c r="V59" s="1">
        <v>32.9</v>
      </c>
      <c r="W59">
        <v>13</v>
      </c>
      <c r="X59" s="6" t="str">
        <f t="shared" si="13"/>
        <v>0</v>
      </c>
      <c r="Y59" s="1">
        <f t="shared" si="9"/>
        <v>26.974999999999998</v>
      </c>
      <c r="Z59" s="1">
        <f t="shared" si="10"/>
        <v>11.025</v>
      </c>
      <c r="AA59" s="2">
        <v>0</v>
      </c>
      <c r="AB59" s="1">
        <f t="shared" si="11"/>
        <v>26.974999999999998</v>
      </c>
      <c r="AC59" s="1">
        <f t="shared" si="12"/>
        <v>11.025</v>
      </c>
      <c r="AD59" s="7">
        <f t="shared" si="7"/>
        <v>52.953749999999999</v>
      </c>
      <c r="AE59" s="7"/>
      <c r="AF59" s="1">
        <f t="shared" si="8"/>
        <v>38</v>
      </c>
    </row>
    <row r="60" spans="1:32" x14ac:dyDescent="0.35">
      <c r="A60">
        <f t="shared" si="3"/>
        <v>6</v>
      </c>
      <c r="B60" t="s">
        <v>52</v>
      </c>
      <c r="C60" t="s">
        <v>45</v>
      </c>
      <c r="D60">
        <v>25</v>
      </c>
      <c r="E60" t="s">
        <v>18</v>
      </c>
      <c r="F60">
        <v>500</v>
      </c>
      <c r="G60" s="12">
        <v>215000</v>
      </c>
      <c r="H60" s="13">
        <v>1412.67</v>
      </c>
      <c r="I60" s="12">
        <v>1828</v>
      </c>
      <c r="J60">
        <v>1</v>
      </c>
      <c r="K60">
        <v>0.25</v>
      </c>
      <c r="L60">
        <v>2.6</v>
      </c>
      <c r="M60">
        <v>1.3338E-3</v>
      </c>
      <c r="N60">
        <v>6.9999999999999993E-2</v>
      </c>
      <c r="O60">
        <v>1</v>
      </c>
      <c r="P60">
        <v>0</v>
      </c>
      <c r="Q60">
        <v>0</v>
      </c>
      <c r="R60">
        <v>1</v>
      </c>
      <c r="S60">
        <v>0</v>
      </c>
      <c r="T60">
        <v>0</v>
      </c>
      <c r="U60">
        <v>1</v>
      </c>
      <c r="V60" s="1">
        <v>55</v>
      </c>
      <c r="W60">
        <v>21</v>
      </c>
      <c r="X60" s="6">
        <v>0</v>
      </c>
      <c r="Y60" s="1">
        <f t="shared" si="9"/>
        <v>55</v>
      </c>
      <c r="Z60" s="1">
        <f t="shared" si="10"/>
        <v>21</v>
      </c>
      <c r="AA60" s="2">
        <v>0</v>
      </c>
      <c r="AB60" s="1">
        <f t="shared" si="11"/>
        <v>55</v>
      </c>
      <c r="AC60" s="1">
        <f t="shared" si="12"/>
        <v>21</v>
      </c>
      <c r="AD60" s="7">
        <f t="shared" si="7"/>
        <v>105.75</v>
      </c>
      <c r="AE60" s="7"/>
      <c r="AF60" s="1">
        <f t="shared" si="8"/>
        <v>76</v>
      </c>
    </row>
    <row r="61" spans="1:32" x14ac:dyDescent="0.35">
      <c r="A61">
        <f t="shared" ref="A61:A88" si="14">IF(B61=B60,A60,A60+1)</f>
        <v>6</v>
      </c>
      <c r="B61" t="s">
        <v>52</v>
      </c>
      <c r="D61" s="3">
        <v>25</v>
      </c>
      <c r="E61" s="3" t="s">
        <v>18</v>
      </c>
      <c r="F61" s="3">
        <v>500</v>
      </c>
      <c r="G61" s="4">
        <v>220000</v>
      </c>
      <c r="H61" s="3">
        <v>1576</v>
      </c>
      <c r="I61" s="3">
        <v>1870</v>
      </c>
      <c r="J61" s="3">
        <v>1</v>
      </c>
      <c r="K61" s="3">
        <v>0.2</v>
      </c>
      <c r="L61" s="3">
        <v>2.2000000000000002</v>
      </c>
      <c r="M61" s="3">
        <v>1.0000000000000001E-5</v>
      </c>
      <c r="N61" s="3">
        <v>0.03</v>
      </c>
      <c r="O61" s="3">
        <v>1</v>
      </c>
      <c r="P61" s="3">
        <v>0</v>
      </c>
      <c r="Q61" s="3">
        <v>0</v>
      </c>
      <c r="R61" s="3">
        <v>1</v>
      </c>
      <c r="S61" s="3">
        <v>0</v>
      </c>
      <c r="T61" s="3">
        <v>0</v>
      </c>
      <c r="U61" s="3">
        <v>0</v>
      </c>
      <c r="V61" s="5"/>
      <c r="W61" s="5"/>
      <c r="X61" s="6">
        <v>0</v>
      </c>
      <c r="Y61" s="1">
        <f>IFERROR(IF(ISNUMBER(SEARCH("Appui",C61)),V61+X61*V61,IF(A60&lt;A61,V61-X63*V63/2,IF(A61&lt;A63,V61-(X60*V60)/2,V61-(X63*V63+X60*V60)/2))),0)</f>
        <v>0</v>
      </c>
      <c r="Z61" s="1">
        <f>IFERROR(IF(ISNUMBER(SEARCH("Appui",C61)),W61+X61*W61,IF(A60&lt;A61,W61-X63*W63/2,IF(A61&lt;A63,W61-(X60*W60)/2,W61-(X63*W63+X60*W60)/2))),0)</f>
        <v>0</v>
      </c>
      <c r="AA61" s="2">
        <v>0</v>
      </c>
      <c r="AB61" s="1">
        <f t="shared" ref="AB61:AB74" si="15">Y61*(1-AA61)</f>
        <v>0</v>
      </c>
      <c r="AC61" s="1">
        <f t="shared" ref="AC61:AC74" si="16">Y61*AA61 + Z61</f>
        <v>0</v>
      </c>
      <c r="AD61" s="7">
        <v>0</v>
      </c>
      <c r="AE61" s="7"/>
      <c r="AF61" s="1">
        <f t="shared" ref="AF61:AF74" si="17">AB61+AC61</f>
        <v>0</v>
      </c>
    </row>
    <row r="62" spans="1:32" x14ac:dyDescent="0.35">
      <c r="A62">
        <f t="shared" ref="A62" si="18">IF(B62=B61,A61,A61+1)</f>
        <v>6</v>
      </c>
      <c r="B62" t="s">
        <v>52</v>
      </c>
      <c r="D62" s="3">
        <v>25</v>
      </c>
      <c r="E62" s="3" t="s">
        <v>18</v>
      </c>
      <c r="F62" s="3">
        <v>500</v>
      </c>
      <c r="G62" s="4">
        <v>220000</v>
      </c>
      <c r="H62" s="3">
        <v>1576</v>
      </c>
      <c r="I62" s="3">
        <v>1870</v>
      </c>
      <c r="J62" s="3">
        <v>1</v>
      </c>
      <c r="K62" s="3">
        <v>0.2</v>
      </c>
      <c r="L62" s="3">
        <v>2.2000000000000002</v>
      </c>
      <c r="M62" s="3">
        <v>1.0000000000000001E-5</v>
      </c>
      <c r="N62" s="3">
        <v>0.03</v>
      </c>
      <c r="O62" s="3">
        <v>1</v>
      </c>
      <c r="P62" s="3">
        <v>0</v>
      </c>
      <c r="Q62" s="3">
        <v>0</v>
      </c>
      <c r="R62" s="3">
        <v>1</v>
      </c>
      <c r="S62" s="3">
        <v>0</v>
      </c>
      <c r="T62" s="3">
        <v>0</v>
      </c>
      <c r="U62" s="3">
        <v>0</v>
      </c>
      <c r="V62" s="5"/>
      <c r="W62" s="5"/>
      <c r="X62" s="6">
        <v>0</v>
      </c>
      <c r="Y62" s="1">
        <f>IFERROR(IF(ISNUMBER(SEARCH("Appui",C62)),V62+X62*V62,IF(A61&lt;A62,V62-X64*V64/2,IF(A62&lt;A64,V62-(X61*V61)/2,V62-(X64*V64+X61*V61)/2))),0)</f>
        <v>0</v>
      </c>
      <c r="Z62" s="1">
        <f>IFERROR(IF(ISNUMBER(SEARCH("Appui",C62)),W62+X62*W62,IF(A61&lt;A62,W62-X64*W64/2,IF(A62&lt;A64,W62-(X61*W61)/2,W62-(X64*W64+X61*W61)/2))),0)</f>
        <v>0</v>
      </c>
      <c r="AA62" s="2">
        <v>0</v>
      </c>
      <c r="AB62" s="1">
        <f t="shared" ref="AB62" si="19">Y62*(1-AA62)</f>
        <v>0</v>
      </c>
      <c r="AC62" s="1">
        <f t="shared" ref="AC62" si="20">Y62*AA62 + Z62</f>
        <v>0</v>
      </c>
      <c r="AD62" s="7">
        <v>0</v>
      </c>
      <c r="AE62" s="7"/>
      <c r="AF62" s="1">
        <f t="shared" ref="AF62" si="21">AB62+AC62</f>
        <v>0</v>
      </c>
    </row>
    <row r="63" spans="1:32" x14ac:dyDescent="0.35">
      <c r="A63">
        <f>IF(B63=B61,A61,A61+1)</f>
        <v>7</v>
      </c>
      <c r="B63" t="s">
        <v>54</v>
      </c>
      <c r="C63" t="s">
        <v>19</v>
      </c>
      <c r="D63">
        <v>25</v>
      </c>
      <c r="E63" t="s">
        <v>18</v>
      </c>
      <c r="F63">
        <v>500</v>
      </c>
      <c r="G63" s="12">
        <v>215000</v>
      </c>
      <c r="H63" s="13">
        <v>1412.67</v>
      </c>
      <c r="I63" s="12">
        <v>1828</v>
      </c>
      <c r="J63">
        <v>1</v>
      </c>
      <c r="K63">
        <v>0.25</v>
      </c>
      <c r="L63">
        <v>2.6</v>
      </c>
      <c r="M63">
        <v>3.3280000000000001E-4</v>
      </c>
      <c r="N63">
        <v>0.04</v>
      </c>
      <c r="O63">
        <v>1</v>
      </c>
      <c r="P63">
        <v>0</v>
      </c>
      <c r="Q63">
        <v>0</v>
      </c>
      <c r="R63">
        <v>1</v>
      </c>
      <c r="S63" s="12">
        <v>9.1649999999999992E-5</v>
      </c>
      <c r="T63">
        <v>0</v>
      </c>
      <c r="U63" s="12">
        <v>5</v>
      </c>
      <c r="V63" s="1">
        <v>36</v>
      </c>
      <c r="W63">
        <v>13</v>
      </c>
      <c r="X63" s="6" t="str">
        <f t="shared" ref="X63:X73" si="22">IF(ISNUMBER(SEARCH("Appui",#REF!)),0,"0")</f>
        <v>0</v>
      </c>
      <c r="Y63" s="1">
        <f>IFERROR(IF(ISNUMBER(SEARCH("Appui",C63)),V63+X63*V63,IF(A61&lt;A63,V63-X64*V64/2,IF(A63&lt;A64,V63-(X61*V61)/2,V63-(X64*V64+X61*V61)/2))),0)</f>
        <v>28.65</v>
      </c>
      <c r="Z63" s="1">
        <f>IFERROR(IF(ISNUMBER(SEARCH("Appui",C63)),W63+X63*W63,IF(A61&lt;A63,W63-X64*W64/2,IF(A63&lt;A64,W63-(X61*W61)/2,W63-(X64*W64+X61*W61)/2))),0)</f>
        <v>10.62</v>
      </c>
      <c r="AA63" s="2">
        <v>0</v>
      </c>
      <c r="AB63" s="1">
        <f t="shared" si="15"/>
        <v>28.65</v>
      </c>
      <c r="AC63" s="1">
        <f t="shared" si="16"/>
        <v>10.62</v>
      </c>
      <c r="AD63" s="7">
        <f t="shared" ref="AD63:AD74" si="23">1.35*Y63+1.5*Z63</f>
        <v>54.607500000000002</v>
      </c>
      <c r="AE63" s="7"/>
      <c r="AF63" s="1">
        <f t="shared" si="17"/>
        <v>39.269999999999996</v>
      </c>
    </row>
    <row r="64" spans="1:32" x14ac:dyDescent="0.35">
      <c r="A64">
        <f t="shared" si="14"/>
        <v>7</v>
      </c>
      <c r="B64" t="s">
        <v>54</v>
      </c>
      <c r="C64" t="s">
        <v>20</v>
      </c>
      <c r="D64">
        <v>25</v>
      </c>
      <c r="E64" t="s">
        <v>18</v>
      </c>
      <c r="F64">
        <v>500</v>
      </c>
      <c r="G64" s="12">
        <v>215000</v>
      </c>
      <c r="H64" s="13">
        <v>1412.67</v>
      </c>
      <c r="I64" s="12">
        <v>1828</v>
      </c>
      <c r="J64">
        <v>1</v>
      </c>
      <c r="K64" s="10">
        <f>0.25+0.21</f>
        <v>0.45999999999999996</v>
      </c>
      <c r="L64" s="10">
        <v>1.4</v>
      </c>
      <c r="M64">
        <v>2.1000000000000003E-3</v>
      </c>
      <c r="N64">
        <v>6.9999999999999993E-2</v>
      </c>
      <c r="O64">
        <v>1</v>
      </c>
      <c r="P64">
        <v>0</v>
      </c>
      <c r="Q64">
        <v>0</v>
      </c>
      <c r="R64">
        <v>1</v>
      </c>
      <c r="S64" s="12">
        <v>9.1649999999999992E-5</v>
      </c>
      <c r="T64">
        <v>0</v>
      </c>
      <c r="U64" s="12">
        <v>2</v>
      </c>
      <c r="V64" s="1">
        <v>105</v>
      </c>
      <c r="W64">
        <v>34</v>
      </c>
      <c r="X64" s="11">
        <v>0.14000000000000001</v>
      </c>
      <c r="Y64" s="1">
        <f t="shared" ref="Y64:Y74" si="24">IFERROR(IF(ISNUMBER(SEARCH("Appui",C64)),V64+X64*V64,IF(A63&lt;A64,V64-X65*V65/2,IF(A64&lt;A65,V64-(X63*V63)/2,V64-(X65*V65+X63*V63)/2))),0)</f>
        <v>119.7</v>
      </c>
      <c r="Z64" s="1">
        <f t="shared" ref="Z64:Z74" si="25">IFERROR(IF(ISNUMBER(SEARCH("Appui",C64)),W64+X64*W64,IF(A63&lt;A64,W64-X65*W65/2,IF(A64&lt;A65,W64-(X63*W63)/2,W64-(X65*W65+X63*W63)/2))),0)</f>
        <v>38.76</v>
      </c>
      <c r="AA64" s="2">
        <v>0</v>
      </c>
      <c r="AB64" s="1">
        <f t="shared" si="15"/>
        <v>119.7</v>
      </c>
      <c r="AC64" s="1">
        <f t="shared" si="16"/>
        <v>38.76</v>
      </c>
      <c r="AD64" s="7">
        <f t="shared" si="23"/>
        <v>219.73500000000001</v>
      </c>
      <c r="AE64" s="7"/>
      <c r="AF64" s="1">
        <f t="shared" si="17"/>
        <v>158.46</v>
      </c>
    </row>
    <row r="65" spans="1:32" x14ac:dyDescent="0.35">
      <c r="A65">
        <f t="shared" si="14"/>
        <v>7</v>
      </c>
      <c r="B65" t="s">
        <v>54</v>
      </c>
      <c r="C65" t="s">
        <v>23</v>
      </c>
      <c r="D65">
        <v>25</v>
      </c>
      <c r="E65" t="s">
        <v>18</v>
      </c>
      <c r="F65">
        <v>500</v>
      </c>
      <c r="G65" s="12">
        <v>215000</v>
      </c>
      <c r="H65" s="13">
        <v>1412.67</v>
      </c>
      <c r="I65" s="12">
        <v>1828</v>
      </c>
      <c r="J65">
        <v>1</v>
      </c>
      <c r="K65">
        <v>0.25</v>
      </c>
      <c r="L65">
        <v>2.6</v>
      </c>
      <c r="M65">
        <v>3.3280000000000001E-4</v>
      </c>
      <c r="N65">
        <v>0.04</v>
      </c>
      <c r="O65">
        <v>1</v>
      </c>
      <c r="P65">
        <v>0</v>
      </c>
      <c r="Q65">
        <v>0</v>
      </c>
      <c r="R65">
        <v>1</v>
      </c>
      <c r="S65" s="12">
        <v>9.1649999999999992E-5</v>
      </c>
      <c r="T65">
        <v>0</v>
      </c>
      <c r="U65" s="12">
        <v>5</v>
      </c>
      <c r="V65" s="1">
        <v>32</v>
      </c>
      <c r="W65">
        <v>15</v>
      </c>
      <c r="X65" s="6" t="str">
        <f t="shared" si="22"/>
        <v>0</v>
      </c>
      <c r="Y65" s="1">
        <f t="shared" si="24"/>
        <v>14</v>
      </c>
      <c r="Z65" s="1">
        <f t="shared" si="25"/>
        <v>8.82</v>
      </c>
      <c r="AA65" s="2">
        <v>0</v>
      </c>
      <c r="AB65" s="1">
        <f t="shared" si="15"/>
        <v>14</v>
      </c>
      <c r="AC65" s="1">
        <f t="shared" si="16"/>
        <v>8.82</v>
      </c>
      <c r="AD65" s="7">
        <f t="shared" si="23"/>
        <v>32.130000000000003</v>
      </c>
      <c r="AE65" s="7"/>
      <c r="AF65" s="1">
        <f t="shared" si="17"/>
        <v>22.82</v>
      </c>
    </row>
    <row r="66" spans="1:32" x14ac:dyDescent="0.35">
      <c r="A66">
        <f t="shared" si="14"/>
        <v>7</v>
      </c>
      <c r="B66" t="s">
        <v>54</v>
      </c>
      <c r="C66" t="s">
        <v>24</v>
      </c>
      <c r="D66">
        <v>25</v>
      </c>
      <c r="E66" t="s">
        <v>18</v>
      </c>
      <c r="F66">
        <v>500</v>
      </c>
      <c r="G66" s="12">
        <v>215000</v>
      </c>
      <c r="H66" s="13">
        <v>1412.67</v>
      </c>
      <c r="I66" s="12">
        <v>1828</v>
      </c>
      <c r="J66">
        <v>1</v>
      </c>
      <c r="K66" s="10">
        <f>0.25+0.21</f>
        <v>0.45999999999999996</v>
      </c>
      <c r="L66" s="10">
        <v>1.4</v>
      </c>
      <c r="M66">
        <v>2.4000000000000002E-3</v>
      </c>
      <c r="N66">
        <v>6.9999999999999993E-2</v>
      </c>
      <c r="O66">
        <v>1</v>
      </c>
      <c r="P66">
        <v>0</v>
      </c>
      <c r="Q66">
        <v>0</v>
      </c>
      <c r="R66">
        <v>1</v>
      </c>
      <c r="S66" s="12">
        <v>9.1649999999999992E-5</v>
      </c>
      <c r="T66">
        <v>0</v>
      </c>
      <c r="U66" s="12">
        <v>2</v>
      </c>
      <c r="V66" s="1">
        <v>106.5</v>
      </c>
      <c r="W66">
        <v>38</v>
      </c>
      <c r="X66" s="11">
        <v>0.2</v>
      </c>
      <c r="Y66" s="1">
        <f t="shared" si="24"/>
        <v>127.8</v>
      </c>
      <c r="Z66" s="1">
        <f t="shared" si="25"/>
        <v>45.6</v>
      </c>
      <c r="AA66" s="2">
        <v>0</v>
      </c>
      <c r="AB66" s="1">
        <f t="shared" si="15"/>
        <v>127.8</v>
      </c>
      <c r="AC66" s="1">
        <f t="shared" si="16"/>
        <v>45.6</v>
      </c>
      <c r="AD66" s="7">
        <f t="shared" si="23"/>
        <v>240.93</v>
      </c>
      <c r="AE66" s="7"/>
      <c r="AF66" s="1">
        <f t="shared" si="17"/>
        <v>173.4</v>
      </c>
    </row>
    <row r="67" spans="1:32" x14ac:dyDescent="0.35">
      <c r="A67">
        <f t="shared" si="14"/>
        <v>7</v>
      </c>
      <c r="B67" t="s">
        <v>54</v>
      </c>
      <c r="C67" t="s">
        <v>25</v>
      </c>
      <c r="D67">
        <v>25</v>
      </c>
      <c r="E67" t="s">
        <v>18</v>
      </c>
      <c r="F67">
        <v>500</v>
      </c>
      <c r="G67" s="12">
        <v>215000</v>
      </c>
      <c r="H67" s="13">
        <v>1412.67</v>
      </c>
      <c r="I67" s="12">
        <v>1828</v>
      </c>
      <c r="J67">
        <v>1</v>
      </c>
      <c r="K67">
        <v>0.25</v>
      </c>
      <c r="L67">
        <v>2.6</v>
      </c>
      <c r="M67">
        <v>3.3280000000000001E-4</v>
      </c>
      <c r="N67">
        <v>0.04</v>
      </c>
      <c r="O67">
        <v>1</v>
      </c>
      <c r="P67">
        <v>0</v>
      </c>
      <c r="Q67">
        <v>0</v>
      </c>
      <c r="R67">
        <v>1</v>
      </c>
      <c r="S67" s="12">
        <v>9.1649999999999992E-5</v>
      </c>
      <c r="T67">
        <v>0</v>
      </c>
      <c r="U67" s="12">
        <v>5</v>
      </c>
      <c r="V67" s="1">
        <v>38</v>
      </c>
      <c r="W67">
        <v>17</v>
      </c>
      <c r="X67" s="6" t="str">
        <f t="shared" si="22"/>
        <v>0</v>
      </c>
      <c r="Y67" s="1">
        <f t="shared" si="24"/>
        <v>18.462499999999999</v>
      </c>
      <c r="Z67" s="1">
        <f t="shared" si="25"/>
        <v>10.012499999999999</v>
      </c>
      <c r="AA67" s="2">
        <v>0</v>
      </c>
      <c r="AB67" s="1">
        <f t="shared" si="15"/>
        <v>18.462499999999999</v>
      </c>
      <c r="AC67" s="1">
        <f t="shared" si="16"/>
        <v>10.012499999999999</v>
      </c>
      <c r="AD67" s="7">
        <f t="shared" si="23"/>
        <v>39.943125000000002</v>
      </c>
      <c r="AE67" s="7"/>
      <c r="AF67" s="1">
        <f t="shared" si="17"/>
        <v>28.474999999999998</v>
      </c>
    </row>
    <row r="68" spans="1:32" x14ac:dyDescent="0.35">
      <c r="A68">
        <f t="shared" si="14"/>
        <v>7</v>
      </c>
      <c r="B68" t="s">
        <v>54</v>
      </c>
      <c r="C68" t="s">
        <v>26</v>
      </c>
      <c r="D68">
        <v>25</v>
      </c>
      <c r="E68" t="s">
        <v>18</v>
      </c>
      <c r="F68">
        <v>500</v>
      </c>
      <c r="G68" s="12">
        <v>215000</v>
      </c>
      <c r="H68" s="13">
        <v>1412.67</v>
      </c>
      <c r="I68" s="12">
        <v>1828</v>
      </c>
      <c r="J68">
        <v>1</v>
      </c>
      <c r="K68" s="10">
        <f>0.25+0.21</f>
        <v>0.45999999999999996</v>
      </c>
      <c r="L68" s="10">
        <v>1.75</v>
      </c>
      <c r="M68">
        <v>2.1000000000000003E-3</v>
      </c>
      <c r="N68">
        <v>8.4999999999999992E-2</v>
      </c>
      <c r="O68">
        <v>1</v>
      </c>
      <c r="P68">
        <v>0</v>
      </c>
      <c r="Q68">
        <v>0</v>
      </c>
      <c r="R68">
        <v>1</v>
      </c>
      <c r="S68" s="12">
        <v>9.1649999999999992E-5</v>
      </c>
      <c r="T68">
        <v>0</v>
      </c>
      <c r="U68" s="12">
        <v>4</v>
      </c>
      <c r="V68" s="1">
        <v>118.5</v>
      </c>
      <c r="W68">
        <v>42.5</v>
      </c>
      <c r="X68" s="11">
        <v>0.15</v>
      </c>
      <c r="Y68" s="1">
        <f t="shared" si="24"/>
        <v>136.27500000000001</v>
      </c>
      <c r="Z68" s="1">
        <f t="shared" si="25"/>
        <v>48.875</v>
      </c>
      <c r="AA68" s="2">
        <v>0</v>
      </c>
      <c r="AB68" s="1">
        <f t="shared" si="15"/>
        <v>136.27500000000001</v>
      </c>
      <c r="AC68" s="1">
        <f t="shared" si="16"/>
        <v>48.875</v>
      </c>
      <c r="AD68" s="7">
        <f t="shared" si="23"/>
        <v>257.28375000000005</v>
      </c>
      <c r="AE68" s="7"/>
      <c r="AF68" s="1">
        <f t="shared" si="17"/>
        <v>185.15</v>
      </c>
    </row>
    <row r="69" spans="1:32" x14ac:dyDescent="0.35">
      <c r="A69">
        <f t="shared" si="14"/>
        <v>7</v>
      </c>
      <c r="B69" t="s">
        <v>54</v>
      </c>
      <c r="C69" t="s">
        <v>27</v>
      </c>
      <c r="D69">
        <v>25</v>
      </c>
      <c r="E69" t="s">
        <v>18</v>
      </c>
      <c r="F69">
        <v>500</v>
      </c>
      <c r="G69" s="12">
        <v>215000</v>
      </c>
      <c r="H69" s="13">
        <v>1412.67</v>
      </c>
      <c r="I69" s="12">
        <v>1828</v>
      </c>
      <c r="J69">
        <v>1</v>
      </c>
      <c r="K69">
        <v>0.25</v>
      </c>
      <c r="L69">
        <v>2.6</v>
      </c>
      <c r="M69">
        <v>3.3280000000000001E-4</v>
      </c>
      <c r="N69">
        <v>0.04</v>
      </c>
      <c r="O69">
        <v>1</v>
      </c>
      <c r="P69">
        <v>0</v>
      </c>
      <c r="Q69">
        <v>0</v>
      </c>
      <c r="R69">
        <v>1</v>
      </c>
      <c r="S69" s="12">
        <v>9.1649999999999992E-5</v>
      </c>
      <c r="T69">
        <v>0</v>
      </c>
      <c r="U69" s="12">
        <v>5</v>
      </c>
      <c r="V69" s="1">
        <v>41</v>
      </c>
      <c r="W69">
        <v>18</v>
      </c>
      <c r="X69" s="6" t="str">
        <f t="shared" si="22"/>
        <v>0</v>
      </c>
      <c r="Y69" s="1">
        <f t="shared" si="24"/>
        <v>23.225000000000001</v>
      </c>
      <c r="Z69" s="1">
        <f t="shared" si="25"/>
        <v>11.625</v>
      </c>
      <c r="AA69" s="2">
        <v>0</v>
      </c>
      <c r="AB69" s="1">
        <f t="shared" si="15"/>
        <v>23.225000000000001</v>
      </c>
      <c r="AC69" s="1">
        <f t="shared" si="16"/>
        <v>11.625</v>
      </c>
      <c r="AD69" s="7">
        <f t="shared" si="23"/>
        <v>48.791250000000005</v>
      </c>
      <c r="AE69" s="7"/>
      <c r="AF69" s="1">
        <f t="shared" si="17"/>
        <v>34.85</v>
      </c>
    </row>
    <row r="70" spans="1:32" x14ac:dyDescent="0.35">
      <c r="A70">
        <f t="shared" si="14"/>
        <v>7</v>
      </c>
      <c r="B70" t="s">
        <v>54</v>
      </c>
      <c r="C70" t="s">
        <v>28</v>
      </c>
      <c r="D70">
        <v>25</v>
      </c>
      <c r="E70" t="s">
        <v>18</v>
      </c>
      <c r="F70">
        <v>500</v>
      </c>
      <c r="G70" s="12">
        <v>215000</v>
      </c>
      <c r="H70" s="13">
        <v>1412.67</v>
      </c>
      <c r="I70" s="12">
        <v>1828</v>
      </c>
      <c r="J70">
        <v>1</v>
      </c>
      <c r="K70" s="10">
        <f>0.25+0.21</f>
        <v>0.45999999999999996</v>
      </c>
      <c r="L70" s="10">
        <v>1.75</v>
      </c>
      <c r="M70">
        <v>2.1000000000000003E-3</v>
      </c>
      <c r="N70">
        <v>6.9999999999999993E-2</v>
      </c>
      <c r="O70">
        <v>1</v>
      </c>
      <c r="P70">
        <v>0</v>
      </c>
      <c r="Q70">
        <v>0</v>
      </c>
      <c r="R70">
        <v>1</v>
      </c>
      <c r="S70" s="12">
        <v>9.1649999999999992E-5</v>
      </c>
      <c r="T70">
        <v>0</v>
      </c>
      <c r="U70" s="12">
        <v>4</v>
      </c>
      <c r="V70" s="1">
        <v>118.5</v>
      </c>
      <c r="W70">
        <v>42.5</v>
      </c>
      <c r="X70" s="11">
        <v>0.15</v>
      </c>
      <c r="Y70" s="1">
        <f t="shared" si="24"/>
        <v>136.27500000000001</v>
      </c>
      <c r="Z70" s="1">
        <f t="shared" si="25"/>
        <v>48.875</v>
      </c>
      <c r="AA70" s="2">
        <v>0</v>
      </c>
      <c r="AB70" s="1">
        <f t="shared" si="15"/>
        <v>136.27500000000001</v>
      </c>
      <c r="AC70" s="1">
        <f t="shared" si="16"/>
        <v>48.875</v>
      </c>
      <c r="AD70" s="7">
        <f t="shared" si="23"/>
        <v>257.28375000000005</v>
      </c>
      <c r="AE70" s="7"/>
      <c r="AF70" s="1">
        <f t="shared" si="17"/>
        <v>185.15</v>
      </c>
    </row>
    <row r="71" spans="1:32" x14ac:dyDescent="0.35">
      <c r="A71">
        <f t="shared" si="14"/>
        <v>7</v>
      </c>
      <c r="B71" t="s">
        <v>54</v>
      </c>
      <c r="C71" t="s">
        <v>29</v>
      </c>
      <c r="D71">
        <v>25</v>
      </c>
      <c r="E71" t="s">
        <v>18</v>
      </c>
      <c r="F71">
        <v>500</v>
      </c>
      <c r="G71" s="12">
        <v>215000</v>
      </c>
      <c r="H71" s="13">
        <v>1412.67</v>
      </c>
      <c r="I71" s="12">
        <v>1828</v>
      </c>
      <c r="J71">
        <v>1</v>
      </c>
      <c r="K71">
        <v>0.25</v>
      </c>
      <c r="L71">
        <v>2.6</v>
      </c>
      <c r="M71">
        <v>3.3280000000000001E-4</v>
      </c>
      <c r="N71">
        <v>0.04</v>
      </c>
      <c r="O71">
        <v>1</v>
      </c>
      <c r="P71">
        <v>0</v>
      </c>
      <c r="Q71">
        <v>0</v>
      </c>
      <c r="R71">
        <v>1</v>
      </c>
      <c r="S71" s="12">
        <v>9.1649999999999992E-5</v>
      </c>
      <c r="T71">
        <v>0</v>
      </c>
      <c r="U71" s="12">
        <v>5</v>
      </c>
      <c r="V71" s="1">
        <v>41</v>
      </c>
      <c r="W71">
        <v>18</v>
      </c>
      <c r="X71" s="6" t="str">
        <f t="shared" si="22"/>
        <v>0</v>
      </c>
      <c r="Y71" s="1">
        <f t="shared" si="24"/>
        <v>23.225000000000001</v>
      </c>
      <c r="Z71" s="1">
        <f t="shared" si="25"/>
        <v>11.85</v>
      </c>
      <c r="AA71" s="2">
        <v>0</v>
      </c>
      <c r="AB71" s="1">
        <f t="shared" si="15"/>
        <v>23.225000000000001</v>
      </c>
      <c r="AC71" s="1">
        <f t="shared" si="16"/>
        <v>11.85</v>
      </c>
      <c r="AD71" s="7">
        <f t="shared" si="23"/>
        <v>49.128750000000004</v>
      </c>
      <c r="AE71" s="7"/>
      <c r="AF71" s="1">
        <f t="shared" si="17"/>
        <v>35.075000000000003</v>
      </c>
    </row>
    <row r="72" spans="1:32" x14ac:dyDescent="0.35">
      <c r="A72">
        <f t="shared" si="14"/>
        <v>7</v>
      </c>
      <c r="B72" t="s">
        <v>54</v>
      </c>
      <c r="C72" t="s">
        <v>30</v>
      </c>
      <c r="D72">
        <v>25</v>
      </c>
      <c r="E72" t="s">
        <v>18</v>
      </c>
      <c r="F72">
        <v>500</v>
      </c>
      <c r="G72" s="12">
        <v>215000</v>
      </c>
      <c r="H72" s="13">
        <v>1412.67</v>
      </c>
      <c r="I72" s="12">
        <v>1828</v>
      </c>
      <c r="J72">
        <v>1</v>
      </c>
      <c r="K72" s="10">
        <f>0.25+0.21</f>
        <v>0.45999999999999996</v>
      </c>
      <c r="L72" s="10">
        <v>1.4</v>
      </c>
      <c r="M72">
        <v>2.4000000000000002E-3</v>
      </c>
      <c r="N72">
        <v>6.9999999999999993E-2</v>
      </c>
      <c r="O72">
        <v>1</v>
      </c>
      <c r="P72">
        <v>0</v>
      </c>
      <c r="Q72">
        <v>0</v>
      </c>
      <c r="R72">
        <v>1</v>
      </c>
      <c r="S72" s="12">
        <v>9.1649999999999992E-5</v>
      </c>
      <c r="T72">
        <v>0</v>
      </c>
      <c r="U72" s="12">
        <v>2</v>
      </c>
      <c r="V72" s="1">
        <v>118.5</v>
      </c>
      <c r="W72">
        <v>39.5</v>
      </c>
      <c r="X72" s="11">
        <v>0.15</v>
      </c>
      <c r="Y72" s="1">
        <f t="shared" si="24"/>
        <v>136.27500000000001</v>
      </c>
      <c r="Z72" s="1">
        <f t="shared" si="25"/>
        <v>45.424999999999997</v>
      </c>
      <c r="AA72" s="2">
        <v>0</v>
      </c>
      <c r="AB72" s="1">
        <f t="shared" si="15"/>
        <v>136.27500000000001</v>
      </c>
      <c r="AC72" s="1">
        <f t="shared" si="16"/>
        <v>45.424999999999997</v>
      </c>
      <c r="AD72" s="7">
        <f t="shared" si="23"/>
        <v>252.10875000000001</v>
      </c>
      <c r="AE72" s="7"/>
      <c r="AF72" s="1">
        <f t="shared" si="17"/>
        <v>181.7</v>
      </c>
    </row>
    <row r="73" spans="1:32" x14ac:dyDescent="0.35">
      <c r="A73">
        <f t="shared" si="14"/>
        <v>7</v>
      </c>
      <c r="B73" t="s">
        <v>54</v>
      </c>
      <c r="C73" t="s">
        <v>31</v>
      </c>
      <c r="D73">
        <v>25</v>
      </c>
      <c r="E73" t="s">
        <v>18</v>
      </c>
      <c r="F73">
        <v>500</v>
      </c>
      <c r="G73" s="12">
        <v>215000</v>
      </c>
      <c r="H73" s="13">
        <v>1412.67</v>
      </c>
      <c r="I73" s="12">
        <v>1828</v>
      </c>
      <c r="J73">
        <v>1</v>
      </c>
      <c r="K73">
        <v>0.25</v>
      </c>
      <c r="L73">
        <v>2.6</v>
      </c>
      <c r="M73">
        <v>3.3280000000000001E-4</v>
      </c>
      <c r="N73">
        <v>0.04</v>
      </c>
      <c r="O73">
        <v>1</v>
      </c>
      <c r="P73">
        <v>0</v>
      </c>
      <c r="Q73">
        <v>0</v>
      </c>
      <c r="R73">
        <v>1</v>
      </c>
      <c r="S73" s="12">
        <v>9.1649999999999992E-5</v>
      </c>
      <c r="T73">
        <v>0</v>
      </c>
      <c r="U73" s="12">
        <v>5</v>
      </c>
      <c r="V73" s="1">
        <v>32.9</v>
      </c>
      <c r="W73">
        <v>13</v>
      </c>
      <c r="X73" s="6" t="str">
        <f t="shared" si="22"/>
        <v>0</v>
      </c>
      <c r="Y73" s="1">
        <f t="shared" si="24"/>
        <v>24.012499999999999</v>
      </c>
      <c r="Z73" s="1">
        <f t="shared" si="25"/>
        <v>10.0375</v>
      </c>
      <c r="AA73" s="2">
        <v>0</v>
      </c>
      <c r="AB73" s="1">
        <f t="shared" si="15"/>
        <v>24.012499999999999</v>
      </c>
      <c r="AC73" s="1">
        <f t="shared" si="16"/>
        <v>10.0375</v>
      </c>
      <c r="AD73" s="7">
        <f t="shared" si="23"/>
        <v>47.473125000000003</v>
      </c>
      <c r="AE73" s="7"/>
      <c r="AF73" s="1">
        <f t="shared" si="17"/>
        <v>34.049999999999997</v>
      </c>
    </row>
    <row r="74" spans="1:32" x14ac:dyDescent="0.35">
      <c r="A74">
        <f t="shared" si="14"/>
        <v>7</v>
      </c>
      <c r="B74" t="s">
        <v>54</v>
      </c>
      <c r="C74" t="s">
        <v>45</v>
      </c>
      <c r="D74">
        <v>25</v>
      </c>
      <c r="E74" t="s">
        <v>18</v>
      </c>
      <c r="F74">
        <v>500</v>
      </c>
      <c r="G74" s="12">
        <v>215000</v>
      </c>
      <c r="H74" s="13">
        <v>1412.67</v>
      </c>
      <c r="I74" s="12">
        <v>1828</v>
      </c>
      <c r="J74">
        <v>1</v>
      </c>
      <c r="K74">
        <v>0.25</v>
      </c>
      <c r="L74">
        <v>2.6</v>
      </c>
      <c r="M74">
        <v>1.3338E-3</v>
      </c>
      <c r="N74">
        <v>6.9999999999999993E-2</v>
      </c>
      <c r="O74">
        <v>1</v>
      </c>
      <c r="P74">
        <v>0</v>
      </c>
      <c r="Q74">
        <v>0</v>
      </c>
      <c r="R74">
        <v>1</v>
      </c>
      <c r="S74">
        <v>0</v>
      </c>
      <c r="T74">
        <v>0</v>
      </c>
      <c r="U74">
        <v>1</v>
      </c>
      <c r="V74" s="1">
        <v>55</v>
      </c>
      <c r="W74">
        <v>21</v>
      </c>
      <c r="X74" s="6">
        <v>0</v>
      </c>
      <c r="Y74" s="1">
        <f t="shared" si="24"/>
        <v>55</v>
      </c>
      <c r="Z74" s="1">
        <f t="shared" si="25"/>
        <v>21</v>
      </c>
      <c r="AA74" s="2">
        <v>0</v>
      </c>
      <c r="AB74" s="1">
        <f t="shared" si="15"/>
        <v>55</v>
      </c>
      <c r="AC74" s="1">
        <f t="shared" si="16"/>
        <v>21</v>
      </c>
      <c r="AD74" s="7">
        <f t="shared" si="23"/>
        <v>105.75</v>
      </c>
      <c r="AE74" s="7"/>
      <c r="AF74" s="1">
        <f t="shared" si="17"/>
        <v>76</v>
      </c>
    </row>
    <row r="75" spans="1:32" x14ac:dyDescent="0.35">
      <c r="A75">
        <f t="shared" ref="A75" si="26">IF(B75=B74,A74,A74+1)</f>
        <v>8</v>
      </c>
      <c r="B75" t="s">
        <v>52</v>
      </c>
      <c r="D75" s="3">
        <v>25</v>
      </c>
      <c r="E75" s="3" t="s">
        <v>18</v>
      </c>
      <c r="F75" s="3">
        <v>500</v>
      </c>
      <c r="G75" s="4">
        <v>220000</v>
      </c>
      <c r="H75" s="3">
        <v>1576</v>
      </c>
      <c r="I75" s="3">
        <v>1870</v>
      </c>
      <c r="J75" s="3">
        <v>1</v>
      </c>
      <c r="K75" s="3">
        <v>0.2</v>
      </c>
      <c r="L75" s="3">
        <v>2.2000000000000002</v>
      </c>
      <c r="M75" s="3">
        <v>1.0000000000000001E-5</v>
      </c>
      <c r="N75" s="3">
        <v>0.03</v>
      </c>
      <c r="O75" s="3">
        <v>1</v>
      </c>
      <c r="P75" s="3">
        <v>0</v>
      </c>
      <c r="Q75" s="3">
        <v>0</v>
      </c>
      <c r="R75" s="3">
        <v>1</v>
      </c>
      <c r="S75" s="3">
        <v>0</v>
      </c>
      <c r="T75" s="3">
        <v>0</v>
      </c>
      <c r="U75" s="3">
        <v>0</v>
      </c>
      <c r="V75" s="5"/>
      <c r="W75" s="5"/>
      <c r="X75" s="6">
        <v>0</v>
      </c>
      <c r="Y75" s="1">
        <f t="shared" ref="Y75" si="27">IFERROR(IF(ISNUMBER(SEARCH("Appui",C75)),V75+X75*V75,IF(A74&lt;A75,V75-X76*V76/2,IF(A75&lt;A76,V75-(X74*V74)/2,V75-(X76*V76+X74*V74)/2))),0)</f>
        <v>0</v>
      </c>
      <c r="Z75" s="1">
        <f t="shared" ref="Z75" si="28">IFERROR(IF(ISNUMBER(SEARCH("Appui",C75)),W75+X75*W75,IF(A74&lt;A75,W75-X76*W76/2,IF(A75&lt;A76,W75-(X74*W74)/2,W75-(X76*W76+X74*W74)/2))),0)</f>
        <v>0</v>
      </c>
      <c r="AA75" s="2">
        <v>0</v>
      </c>
      <c r="AB75" s="1">
        <f t="shared" ref="AB75:AB87" si="29">Y75*(1-AA75)</f>
        <v>0</v>
      </c>
      <c r="AC75" s="1">
        <f t="shared" ref="AC75:AC87" si="30">Y75*AA75 + Z75</f>
        <v>0</v>
      </c>
      <c r="AD75" s="7">
        <v>0</v>
      </c>
      <c r="AE75" s="7"/>
      <c r="AF75" s="1">
        <f t="shared" ref="AF75:AF87" si="31">AB75+AC75</f>
        <v>0</v>
      </c>
    </row>
    <row r="76" spans="1:32" x14ac:dyDescent="0.35">
      <c r="V76" s="8"/>
      <c r="W76" s="8"/>
      <c r="X76" s="6"/>
      <c r="Y76" s="8"/>
      <c r="Z76" s="8"/>
      <c r="AA76" s="9"/>
      <c r="AB76" s="8"/>
      <c r="AC76" s="8"/>
      <c r="AD76" s="8"/>
      <c r="AE76" s="8"/>
      <c r="AF76" s="8"/>
    </row>
    <row r="77" spans="1:32" x14ac:dyDescent="0.35">
      <c r="V77" s="8"/>
      <c r="W77" s="8"/>
      <c r="X77" s="6"/>
      <c r="Y77" s="8"/>
      <c r="Z77" s="8"/>
      <c r="AB77" s="8"/>
      <c r="AC77" s="8"/>
      <c r="AD77" s="8"/>
      <c r="AE77" s="8"/>
      <c r="AF77" s="8"/>
    </row>
    <row r="78" spans="1:32" x14ac:dyDescent="0.35">
      <c r="V78" s="8"/>
      <c r="W78" s="8"/>
      <c r="X78" s="6"/>
      <c r="Y78" s="8"/>
      <c r="Z78" s="8"/>
      <c r="AB78" s="8"/>
      <c r="AC78" s="8"/>
      <c r="AD78" s="8"/>
      <c r="AE78" s="8"/>
      <c r="AF78" s="8"/>
    </row>
    <row r="79" spans="1:32" x14ac:dyDescent="0.35">
      <c r="V79" s="8"/>
      <c r="W79" s="8"/>
      <c r="X79" s="6"/>
      <c r="Y79" s="8"/>
      <c r="Z79" s="8"/>
      <c r="AB79" s="8"/>
      <c r="AC79" s="8"/>
      <c r="AD79" s="8"/>
      <c r="AE79" s="8"/>
      <c r="AF79" s="8"/>
    </row>
    <row r="80" spans="1:32" x14ac:dyDescent="0.35">
      <c r="X80" s="6"/>
      <c r="Y80" s="8"/>
      <c r="Z80" s="8"/>
      <c r="AB80" s="8"/>
      <c r="AC80" s="8"/>
      <c r="AD80" s="8"/>
      <c r="AE80" s="8"/>
      <c r="AF80" s="8"/>
    </row>
    <row r="81" spans="25:32" x14ac:dyDescent="0.35">
      <c r="Y81" s="8"/>
      <c r="Z81" s="8"/>
      <c r="AB81" s="8"/>
      <c r="AC81" s="8"/>
      <c r="AD81" s="8"/>
      <c r="AE81" s="8"/>
      <c r="AF81" s="8"/>
    </row>
  </sheetData>
  <phoneticPr fontId="18" type="noConversion"/>
  <conditionalFormatting sqref="X3:X80">
    <cfRule type="expression" dxfId="0" priority="1">
      <formula>$A3="Travée"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2025-12-15T13:57:44Z</dcterms:modified>
</cp:coreProperties>
</file>