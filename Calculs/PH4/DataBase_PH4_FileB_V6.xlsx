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PH4/"/>
    </mc:Choice>
  </mc:AlternateContent>
  <xr:revisionPtr revIDLastSave="29" documentId="13_ncr:1_{BB20A420-F846-45C2-97F3-4DF1545A9061}" xr6:coauthVersionLast="47" xr6:coauthVersionMax="47" xr10:uidLastSave="{845D18AD-4FA1-4DBA-9CA0-14AE2CE77940}"/>
  <bookViews>
    <workbookView xWindow="-105" yWindow="0" windowWidth="19410" windowHeight="20985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X7" i="1"/>
  <c r="X9" i="1"/>
  <c r="X11" i="1"/>
  <c r="X13" i="1"/>
  <c r="X15" i="1"/>
  <c r="X17" i="1"/>
  <c r="X19" i="1"/>
  <c r="X21" i="1"/>
  <c r="X23" i="1"/>
  <c r="X25" i="1"/>
  <c r="X27" i="1"/>
  <c r="X29" i="1"/>
  <c r="X31" i="1"/>
  <c r="X33" i="1"/>
  <c r="X35" i="1"/>
  <c r="X37" i="1"/>
  <c r="X39" i="1"/>
  <c r="X41" i="1"/>
  <c r="X43" i="1"/>
  <c r="X45" i="1"/>
  <c r="X47" i="1"/>
  <c r="X49" i="1"/>
  <c r="X51" i="1"/>
  <c r="X53" i="1"/>
  <c r="X55" i="1"/>
  <c r="X57" i="1"/>
  <c r="X59" i="1"/>
  <c r="AB3" i="1" l="1"/>
  <c r="AD4" i="1"/>
  <c r="AB4" i="1"/>
  <c r="AB5" i="1"/>
  <c r="AC5" i="1"/>
  <c r="AD5" i="1"/>
  <c r="AF5" i="1"/>
  <c r="AB6" i="1"/>
  <c r="AC6" i="1"/>
  <c r="AD6" i="1"/>
  <c r="AB7" i="1"/>
  <c r="AB8" i="1"/>
  <c r="AF8" i="1" s="1"/>
  <c r="AC8" i="1"/>
  <c r="AD8" i="1"/>
  <c r="AB9" i="1"/>
  <c r="AC9" i="1"/>
  <c r="AD9" i="1"/>
  <c r="AF9" i="1"/>
  <c r="AB10" i="1"/>
  <c r="AC10" i="1"/>
  <c r="AD10" i="1"/>
  <c r="AB11" i="1"/>
  <c r="AB12" i="1"/>
  <c r="AB13" i="1"/>
  <c r="AF13" i="1" s="1"/>
  <c r="AC13" i="1"/>
  <c r="AD13" i="1"/>
  <c r="AB14" i="1"/>
  <c r="AC14" i="1"/>
  <c r="AD14" i="1"/>
  <c r="AB15" i="1"/>
  <c r="AB16" i="1"/>
  <c r="AC16" i="1"/>
  <c r="AD16" i="1"/>
  <c r="AB17" i="1"/>
  <c r="AC17" i="1"/>
  <c r="AF17" i="1" s="1"/>
  <c r="AD17" i="1"/>
  <c r="AB19" i="1"/>
  <c r="AC19" i="1"/>
  <c r="AD19" i="1"/>
  <c r="AB20" i="1"/>
  <c r="AB21" i="1"/>
  <c r="AC21" i="1"/>
  <c r="AD21" i="1"/>
  <c r="AF21" i="1"/>
  <c r="AB22" i="1"/>
  <c r="AC22" i="1"/>
  <c r="AD22" i="1"/>
  <c r="AB23" i="1"/>
  <c r="AC23" i="1"/>
  <c r="AD23" i="1"/>
  <c r="AB24" i="1"/>
  <c r="AB25" i="1"/>
  <c r="AC25" i="1"/>
  <c r="AD25" i="1"/>
  <c r="AF25" i="1"/>
  <c r="AC26" i="1"/>
  <c r="AB26" i="1"/>
  <c r="AD26" i="1"/>
  <c r="AB27" i="1"/>
  <c r="AC27" i="1"/>
  <c r="AD27" i="1"/>
  <c r="AB29" i="1"/>
  <c r="AB30" i="1"/>
  <c r="AC30" i="1"/>
  <c r="AD30" i="1"/>
  <c r="AF30" i="1"/>
  <c r="AB31" i="1"/>
  <c r="AC31" i="1"/>
  <c r="AD31" i="1"/>
  <c r="AB32" i="1"/>
  <c r="AC32" i="1"/>
  <c r="AD32" i="1"/>
  <c r="AB33" i="1"/>
  <c r="AB34" i="1"/>
  <c r="AC34" i="1"/>
  <c r="AD34" i="1"/>
  <c r="AF34" i="1"/>
  <c r="AB35" i="1"/>
  <c r="AC35" i="1"/>
  <c r="AD35" i="1"/>
  <c r="AB36" i="1"/>
  <c r="AC36" i="1"/>
  <c r="AD36" i="1"/>
  <c r="AB37" i="1"/>
  <c r="AB39" i="1"/>
  <c r="AC39" i="1"/>
  <c r="AD39" i="1"/>
  <c r="AF39" i="1"/>
  <c r="AB40" i="1"/>
  <c r="AC40" i="1"/>
  <c r="AD40" i="1"/>
  <c r="AB41" i="1"/>
  <c r="AC41" i="1"/>
  <c r="AD41" i="1"/>
  <c r="AB42" i="1"/>
  <c r="AB43" i="1"/>
  <c r="AF43" i="1" s="1"/>
  <c r="AC43" i="1"/>
  <c r="AD43" i="1"/>
  <c r="AB44" i="1"/>
  <c r="AC44" i="1"/>
  <c r="AF44" i="1" s="1"/>
  <c r="AD44" i="1"/>
  <c r="AB45" i="1"/>
  <c r="AC45" i="1"/>
  <c r="AD45" i="1"/>
  <c r="AB46" i="1"/>
  <c r="AB47" i="1"/>
  <c r="AC47" i="1"/>
  <c r="AD47" i="1"/>
  <c r="AB49" i="1"/>
  <c r="AC49" i="1"/>
  <c r="AD49" i="1"/>
  <c r="AB50" i="1"/>
  <c r="AC50" i="1"/>
  <c r="AD50" i="1"/>
  <c r="AB51" i="1"/>
  <c r="AB52" i="1"/>
  <c r="AC52" i="1"/>
  <c r="AD52" i="1"/>
  <c r="AB53" i="1"/>
  <c r="AC53" i="1"/>
  <c r="AD53" i="1"/>
  <c r="AB54" i="1"/>
  <c r="AC54" i="1"/>
  <c r="AD54" i="1"/>
  <c r="AB55" i="1"/>
  <c r="AB56" i="1"/>
  <c r="AC56" i="1"/>
  <c r="AD56" i="1"/>
  <c r="AB57" i="1"/>
  <c r="AC57" i="1"/>
  <c r="AD57" i="1"/>
  <c r="AB58" i="1"/>
  <c r="AC58" i="1"/>
  <c r="AD58" i="1"/>
  <c r="AB59" i="1"/>
  <c r="AB60" i="1"/>
  <c r="AC60" i="1"/>
  <c r="AD60" i="1"/>
  <c r="X5" i="1"/>
  <c r="X3" i="1"/>
  <c r="AF53" i="1" l="1"/>
  <c r="AF47" i="1"/>
  <c r="AF52" i="1"/>
  <c r="AF56" i="1"/>
  <c r="AF60" i="1"/>
  <c r="AF16" i="1"/>
  <c r="AF22" i="1"/>
  <c r="AF31" i="1"/>
  <c r="AF35" i="1"/>
  <c r="AF49" i="1"/>
  <c r="AF57" i="1"/>
  <c r="AF32" i="1"/>
  <c r="AF40" i="1"/>
  <c r="AF41" i="1"/>
  <c r="AF23" i="1"/>
  <c r="AF14" i="1"/>
  <c r="AF10" i="1"/>
  <c r="AF19" i="1"/>
  <c r="AF54" i="1"/>
  <c r="AF36" i="1"/>
  <c r="AF26" i="1"/>
  <c r="AF50" i="1"/>
  <c r="AF27" i="1"/>
  <c r="AF45" i="1"/>
  <c r="AF6" i="1"/>
  <c r="AF58" i="1"/>
  <c r="AC12" i="1"/>
  <c r="AF12" i="1" s="1"/>
  <c r="AD51" i="1"/>
  <c r="AD37" i="1"/>
  <c r="AD29" i="1"/>
  <c r="AD24" i="1"/>
  <c r="AD15" i="1"/>
  <c r="AD7" i="1"/>
  <c r="AD3" i="1"/>
  <c r="AD55" i="1"/>
  <c r="AD46" i="1"/>
  <c r="AD33" i="1"/>
  <c r="AD20" i="1"/>
  <c r="AC59" i="1"/>
  <c r="AF59" i="1" s="1"/>
  <c r="AC55" i="1"/>
  <c r="AF55" i="1" s="1"/>
  <c r="AC51" i="1"/>
  <c r="AF51" i="1" s="1"/>
  <c r="AC46" i="1"/>
  <c r="AF46" i="1" s="1"/>
  <c r="AC42" i="1"/>
  <c r="AF42" i="1" s="1"/>
  <c r="AC37" i="1"/>
  <c r="AF37" i="1" s="1"/>
  <c r="AC33" i="1"/>
  <c r="AF33" i="1" s="1"/>
  <c r="AC29" i="1"/>
  <c r="AF29" i="1" s="1"/>
  <c r="AC24" i="1"/>
  <c r="AF24" i="1" s="1"/>
  <c r="AC20" i="1"/>
  <c r="AF20" i="1" s="1"/>
  <c r="AC15" i="1"/>
  <c r="AF15" i="1" s="1"/>
  <c r="AC11" i="1"/>
  <c r="AF11" i="1" s="1"/>
  <c r="AC7" i="1"/>
  <c r="AF7" i="1" s="1"/>
  <c r="AC3" i="1"/>
  <c r="AF3" i="1" s="1"/>
  <c r="AD12" i="1"/>
  <c r="AC4" i="1"/>
  <c r="AF4" i="1" s="1"/>
  <c r="AD59" i="1"/>
  <c r="AD42" i="1"/>
  <c r="AD11" i="1"/>
  <c r="A3" i="1"/>
  <c r="Y2" i="1" s="1"/>
  <c r="AB2" i="1" l="1"/>
  <c r="Z2" i="1"/>
  <c r="AC2" i="1" s="1"/>
  <c r="AF2" i="1" s="1"/>
  <c r="AD2" i="1" l="1"/>
  <c r="A4" i="1" l="1"/>
</calcChain>
</file>

<file path=xl/sharedStrings.xml><?xml version="1.0" encoding="utf-8"?>
<sst xmlns="http://schemas.openxmlformats.org/spreadsheetml/2006/main" count="204" uniqueCount="54">
  <si>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</si>
  <si>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</si>
  <si>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</si>
  <si>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</si>
  <si>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</si>
  <si>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</si>
  <si>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</si>
  <si>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</si>
  <si>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</si>
  <si>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</si>
  <si>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</si>
  <si>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</si>
  <si>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</si>
  <si>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</si>
  <si>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</si>
  <si>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</si>
  <si>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</si>
  <si>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</si>
  <si>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</si>
  <si>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</si>
  <si>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</si>
  <si>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</si>
  <si>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</si>
  <si>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</si>
  <si>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</si>
  <si>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</si>
  <si>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</si>
  <si>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</si>
  <si>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</si>
  <si>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</si>
  <si>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</si>
  <si>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</si>
  <si>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</si>
  <si>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</si>
  <si>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</si>
  <si>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</si>
  <si>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</si>
  <si>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</si>
  <si>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</si>
  <si>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</si>
  <si>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</si>
  <si>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Mg+g'_Elas</t>
  </si>
  <si>
    <t>Mq_Elas</t>
  </si>
  <si>
    <t>Redis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</si>
  <si>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</si>
  <si>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</si>
  <si>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</si>
  <si>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</si>
  <si>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</si>
  <si>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</si>
  <si>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</si>
  <si>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</si>
  <si>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</si>
  <si>
    <t>File B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</si>
</sst>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9" fontId="0" fillId="0" borderId="0" xfId="42" applyFon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80"/>
  <sheetViews>
    <sheetView tabSelected="1" zoomScale="85" zoomScaleNormal="85" workbookViewId="0">
      <pane xSplit="3" topLeftCell="P1" activePane="topRight" state="frozen"/>
      <selection pane="topRight" activeCell="AA3" sqref="AA3:AA17"/>
    </sheetView>
  </sheetViews>
  <sheetFormatPr baseColWidth="10" defaultRowHeight="15" x14ac:dyDescent="0.25"/>
  <sheetData>
    <row r="1" spans="1:43" x14ac:dyDescent="0.25">
      <c r="A1" t="s">
        <v>40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41</v>
      </c>
      <c r="W1" t="s">
        <v>42</v>
      </c>
      <c r="X1" t="s">
        <v>43</v>
      </c>
      <c r="Y1" t="s">
        <v>37</v>
      </c>
      <c r="Z1" t="s">
        <v>38</v>
      </c>
      <c r="AA1" t="s">
        <v>39</v>
      </c>
      <c r="AB1" t="s">
        <v>34</v>
      </c>
      <c r="AC1" t="s">
        <v>36</v>
      </c>
      <c r="AD1" t="s">
        <v>32</v>
      </c>
      <c r="AE1" t="s">
        <v>35</v>
      </c>
      <c r="AF1" t="s">
        <v>33</v>
      </c>
    </row>
    <row r="2" spans="1:43" x14ac:dyDescent="0.25">
      <c r="A2">
        <v>1</v>
      </c>
      <c r="B2" t="s">
        <v>53</v>
      </c>
      <c r="D2" s="4">
        <v>25</v>
      </c>
      <c r="E2" s="4" t="s">
        <v>18</v>
      </c>
      <c r="F2" s="4">
        <v>500</v>
      </c>
      <c r="G2" s="5">
        <v>220000</v>
      </c>
      <c r="H2" s="4">
        <v>1576</v>
      </c>
      <c r="I2" s="4">
        <v>1870</v>
      </c>
      <c r="J2" s="4">
        <v>1</v>
      </c>
      <c r="K2" s="4">
        <v>0.2</v>
      </c>
      <c r="L2" s="4">
        <v>2.2000000000000002</v>
      </c>
      <c r="M2" s="4">
        <v>1.0000000000000001E-5</v>
      </c>
      <c r="N2" s="4">
        <v>0.03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6">
        <v>0</v>
      </c>
      <c r="W2" s="6">
        <v>0</v>
      </c>
      <c r="X2" s="4"/>
      <c r="Y2" s="9">
        <f t="shared" ref="Y2" si="0">IFERROR(IF(ISNUMBER(SEARCH("Appui",C2)),V2+X2*V2,IF(A1&lt;A2,V2-X3*V3/2,IF(A2&lt;A3,V2-(X1*V1)/2,V2-(X3*V3+X1*V1)/2))),0)</f>
        <v>0</v>
      </c>
      <c r="Z2" s="9">
        <f t="shared" ref="Z2" si="1">IFERROR(IF(ISNUMBER(SEARCH("Appui",C2)),W2+X2*W2,IF(A1&lt;A2,W2-X3*W3/2,IF(A2&lt;A3,W2-(X1*W1)/2,W2-(X3*W3+X1*W1)/2))),0)</f>
        <v>0</v>
      </c>
      <c r="AA2" s="3">
        <v>0</v>
      </c>
      <c r="AB2" s="9">
        <f t="shared" ref="AB2" si="2">Y2*(1-AA2)</f>
        <v>0</v>
      </c>
      <c r="AC2" s="9">
        <f t="shared" ref="AC2" si="3">Y2*AA2 + Z2</f>
        <v>0</v>
      </c>
      <c r="AD2" s="8">
        <f t="shared" ref="AD2" si="4">1.35*Y2+1.5*Z2</f>
        <v>0</v>
      </c>
      <c r="AE2" s="8"/>
      <c r="AF2" s="9">
        <f t="shared" ref="AF2" si="5">AB2+AC2</f>
        <v>0</v>
      </c>
      <c r="AP2" s="2"/>
      <c r="AQ2" s="2"/>
    </row>
    <row r="3" spans="1:43" x14ac:dyDescent="0.25">
      <c r="A3">
        <f t="shared" ref="A3:A60" si="6">IF(B3=B2,A2,A2+1)</f>
        <v>2</v>
      </c>
      <c r="B3" t="s">
        <v>44</v>
      </c>
      <c r="C3" t="s">
        <v>19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0.25</v>
      </c>
      <c r="L3">
        <v>2.6</v>
      </c>
      <c r="M3">
        <v>3.3280000000000001E-4</v>
      </c>
      <c r="N3">
        <v>0.04</v>
      </c>
      <c r="O3">
        <v>1</v>
      </c>
      <c r="P3">
        <v>0</v>
      </c>
      <c r="Q3">
        <v>0</v>
      </c>
      <c r="R3">
        <v>1</v>
      </c>
      <c r="S3">
        <v>2.9099999999999999E-5</v>
      </c>
      <c r="T3">
        <v>0</v>
      </c>
      <c r="U3">
        <v>7</v>
      </c>
      <c r="V3" s="2">
        <v>26</v>
      </c>
      <c r="W3" s="2">
        <v>10</v>
      </c>
      <c r="X3" s="7" t="str">
        <f t="shared" ref="X3" si="7">IF(ISNUMBER(SEARCH("Appui",#REF!)),0,"0")</f>
        <v>0</v>
      </c>
      <c r="Y3" s="9">
        <v>26</v>
      </c>
      <c r="Z3" s="9">
        <v>10</v>
      </c>
      <c r="AA3" s="3">
        <v>0.5</v>
      </c>
      <c r="AB3" s="9">
        <f t="shared" ref="AB3:AB60" si="8">Y3*(1-AA3)</f>
        <v>13</v>
      </c>
      <c r="AC3" s="9">
        <f t="shared" ref="AC3:AC60" si="9">Y3*AA3 + Z3</f>
        <v>23</v>
      </c>
      <c r="AD3" s="8">
        <f t="shared" ref="AD3:AD60" si="10">1.35*Y3+1.5*Z3</f>
        <v>50.1</v>
      </c>
      <c r="AE3" s="8"/>
      <c r="AF3" s="9">
        <f t="shared" ref="AF3:AF60" si="11">AB3+AC3</f>
        <v>36</v>
      </c>
      <c r="AP3" s="2"/>
      <c r="AQ3" s="2"/>
    </row>
    <row r="4" spans="1:43" x14ac:dyDescent="0.25">
      <c r="A4">
        <f t="shared" si="6"/>
        <v>2</v>
      </c>
      <c r="B4" t="s">
        <v>44</v>
      </c>
      <c r="C4" t="s">
        <v>20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0.25</v>
      </c>
      <c r="L4">
        <v>2.6</v>
      </c>
      <c r="M4">
        <v>1.3338E-3</v>
      </c>
      <c r="N4">
        <v>9.9999999999999992E-2</v>
      </c>
      <c r="O4">
        <v>1</v>
      </c>
      <c r="P4">
        <v>6.1578924137931036E-4</v>
      </c>
      <c r="Q4">
        <v>0.04</v>
      </c>
      <c r="R4">
        <v>1</v>
      </c>
      <c r="S4">
        <v>0</v>
      </c>
      <c r="T4">
        <v>0</v>
      </c>
      <c r="U4">
        <v>0</v>
      </c>
      <c r="V4" s="2">
        <v>90</v>
      </c>
      <c r="W4" s="2">
        <v>30</v>
      </c>
      <c r="X4" s="7">
        <v>0</v>
      </c>
      <c r="Y4" s="9">
        <v>90</v>
      </c>
      <c r="Z4" s="9">
        <v>30</v>
      </c>
      <c r="AA4" s="3">
        <v>0.5</v>
      </c>
      <c r="AB4" s="9">
        <f t="shared" si="8"/>
        <v>45</v>
      </c>
      <c r="AC4" s="9">
        <f t="shared" si="9"/>
        <v>75</v>
      </c>
      <c r="AD4" s="8">
        <f t="shared" si="10"/>
        <v>166.5</v>
      </c>
      <c r="AE4" s="8"/>
      <c r="AF4" s="9">
        <f t="shared" si="11"/>
        <v>120</v>
      </c>
      <c r="AP4" s="2"/>
      <c r="AQ4" s="2"/>
    </row>
    <row r="5" spans="1:43" x14ac:dyDescent="0.25">
      <c r="A5">
        <f t="shared" si="6"/>
        <v>2</v>
      </c>
      <c r="B5" t="s">
        <v>44</v>
      </c>
      <c r="C5" t="s">
        <v>23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0.25</v>
      </c>
      <c r="L5">
        <v>2.6</v>
      </c>
      <c r="M5">
        <v>3.3280000000000001E-4</v>
      </c>
      <c r="N5">
        <v>0.04</v>
      </c>
      <c r="O5">
        <v>1</v>
      </c>
      <c r="P5">
        <v>0</v>
      </c>
      <c r="Q5">
        <v>0</v>
      </c>
      <c r="R5">
        <v>1</v>
      </c>
      <c r="S5">
        <v>2.9099999999999999E-5</v>
      </c>
      <c r="T5">
        <v>0</v>
      </c>
      <c r="U5">
        <v>15</v>
      </c>
      <c r="V5" s="2">
        <v>37</v>
      </c>
      <c r="W5" s="2">
        <v>15</v>
      </c>
      <c r="X5" s="7" t="str">
        <f t="shared" ref="X5:X59" si="12">IF(ISNUMBER(SEARCH("Appui",#REF!)),0,"0")</f>
        <v>0</v>
      </c>
      <c r="Y5" s="9">
        <v>37</v>
      </c>
      <c r="Z5" s="9">
        <v>15</v>
      </c>
      <c r="AA5" s="3">
        <v>0.5</v>
      </c>
      <c r="AB5" s="9">
        <f t="shared" si="8"/>
        <v>18.5</v>
      </c>
      <c r="AC5" s="9">
        <f t="shared" si="9"/>
        <v>33.5</v>
      </c>
      <c r="AD5" s="8">
        <f t="shared" si="10"/>
        <v>72.45</v>
      </c>
      <c r="AE5" s="8"/>
      <c r="AF5" s="9">
        <f t="shared" si="11"/>
        <v>52</v>
      </c>
      <c r="AP5" s="2"/>
      <c r="AQ5" s="2"/>
    </row>
    <row r="6" spans="1:43" x14ac:dyDescent="0.25">
      <c r="A6">
        <f t="shared" si="6"/>
        <v>2</v>
      </c>
      <c r="B6" t="s">
        <v>44</v>
      </c>
      <c r="C6" t="s">
        <v>24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0.25</v>
      </c>
      <c r="L6">
        <v>2.6</v>
      </c>
      <c r="M6">
        <v>1.3338E-3</v>
      </c>
      <c r="N6">
        <v>6.9999999999999993E-2</v>
      </c>
      <c r="O6">
        <v>1</v>
      </c>
      <c r="P6">
        <v>6.1578924137931036E-4</v>
      </c>
      <c r="Q6">
        <v>0.04</v>
      </c>
      <c r="R6">
        <v>1</v>
      </c>
      <c r="S6">
        <v>0</v>
      </c>
      <c r="T6">
        <v>0</v>
      </c>
      <c r="U6">
        <v>0</v>
      </c>
      <c r="V6" s="2">
        <v>114</v>
      </c>
      <c r="W6" s="2">
        <v>40.5</v>
      </c>
      <c r="X6" s="7">
        <v>0</v>
      </c>
      <c r="Y6" s="9">
        <v>114</v>
      </c>
      <c r="Z6" s="9">
        <v>40.5</v>
      </c>
      <c r="AA6" s="3">
        <v>0.5</v>
      </c>
      <c r="AB6" s="9">
        <f t="shared" si="8"/>
        <v>57</v>
      </c>
      <c r="AC6" s="9">
        <f t="shared" si="9"/>
        <v>97.5</v>
      </c>
      <c r="AD6" s="8">
        <f t="shared" si="10"/>
        <v>214.65</v>
      </c>
      <c r="AE6" s="8"/>
      <c r="AF6" s="9">
        <f t="shared" si="11"/>
        <v>154.5</v>
      </c>
      <c r="AP6" s="2"/>
      <c r="AQ6" s="2"/>
    </row>
    <row r="7" spans="1:43" x14ac:dyDescent="0.25">
      <c r="A7">
        <f t="shared" si="6"/>
        <v>2</v>
      </c>
      <c r="B7" t="s">
        <v>44</v>
      </c>
      <c r="C7" t="s">
        <v>25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0.25</v>
      </c>
      <c r="L7">
        <v>2.6</v>
      </c>
      <c r="M7">
        <v>3.3280000000000001E-4</v>
      </c>
      <c r="N7">
        <v>0.04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>
        <v>15</v>
      </c>
      <c r="V7" s="2">
        <v>37</v>
      </c>
      <c r="W7">
        <v>17</v>
      </c>
      <c r="X7" s="7" t="str">
        <f t="shared" si="12"/>
        <v>0</v>
      </c>
      <c r="Y7" s="9">
        <v>37</v>
      </c>
      <c r="Z7" s="9">
        <v>17</v>
      </c>
      <c r="AA7" s="3">
        <v>0.5</v>
      </c>
      <c r="AB7" s="9">
        <f t="shared" si="8"/>
        <v>18.5</v>
      </c>
      <c r="AC7" s="9">
        <f t="shared" si="9"/>
        <v>35.5</v>
      </c>
      <c r="AD7" s="8">
        <f t="shared" si="10"/>
        <v>75.45</v>
      </c>
      <c r="AE7" s="8"/>
      <c r="AF7" s="9">
        <f t="shared" si="11"/>
        <v>54</v>
      </c>
      <c r="AP7" s="2"/>
      <c r="AQ7" s="2"/>
    </row>
    <row r="8" spans="1:43" x14ac:dyDescent="0.25">
      <c r="A8">
        <f t="shared" si="6"/>
        <v>2</v>
      </c>
      <c r="B8" t="s">
        <v>44</v>
      </c>
      <c r="C8" t="s">
        <v>26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0.25</v>
      </c>
      <c r="L8">
        <v>2.6</v>
      </c>
      <c r="M8">
        <v>1.0009999999999999E-3</v>
      </c>
      <c r="N8">
        <v>6.9999999999999993E-2</v>
      </c>
      <c r="O8">
        <v>1</v>
      </c>
      <c r="P8">
        <v>9.2368386206896549E-4</v>
      </c>
      <c r="Q8">
        <v>0.04</v>
      </c>
      <c r="R8">
        <v>1</v>
      </c>
      <c r="S8">
        <v>0</v>
      </c>
      <c r="T8">
        <v>0</v>
      </c>
      <c r="U8">
        <v>0</v>
      </c>
      <c r="V8" s="2">
        <v>119</v>
      </c>
      <c r="W8" s="2">
        <v>43</v>
      </c>
      <c r="X8" s="7">
        <v>0</v>
      </c>
      <c r="Y8" s="9">
        <v>119</v>
      </c>
      <c r="Z8" s="9">
        <v>43</v>
      </c>
      <c r="AA8" s="3">
        <v>0.5</v>
      </c>
      <c r="AB8" s="9">
        <f t="shared" si="8"/>
        <v>59.5</v>
      </c>
      <c r="AC8" s="9">
        <f t="shared" si="9"/>
        <v>102.5</v>
      </c>
      <c r="AD8" s="8">
        <f t="shared" si="10"/>
        <v>225.15</v>
      </c>
      <c r="AE8" s="8"/>
      <c r="AF8" s="9">
        <f t="shared" si="11"/>
        <v>162</v>
      </c>
      <c r="AP8" s="2"/>
      <c r="AQ8" s="2"/>
    </row>
    <row r="9" spans="1:43" x14ac:dyDescent="0.25">
      <c r="A9">
        <f t="shared" si="6"/>
        <v>2</v>
      </c>
      <c r="B9" t="s">
        <v>44</v>
      </c>
      <c r="C9" t="s">
        <v>27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0.25</v>
      </c>
      <c r="L9">
        <v>2.6</v>
      </c>
      <c r="M9">
        <v>3.3280000000000001E-4</v>
      </c>
      <c r="N9">
        <v>0.04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15</v>
      </c>
      <c r="V9" s="2">
        <v>41</v>
      </c>
      <c r="W9">
        <v>18</v>
      </c>
      <c r="X9" s="7" t="str">
        <f t="shared" si="12"/>
        <v>0</v>
      </c>
      <c r="Y9" s="9">
        <v>41</v>
      </c>
      <c r="Z9" s="9">
        <v>18</v>
      </c>
      <c r="AA9" s="3">
        <v>0.5</v>
      </c>
      <c r="AB9" s="9">
        <f t="shared" si="8"/>
        <v>20.5</v>
      </c>
      <c r="AC9" s="9">
        <f t="shared" si="9"/>
        <v>38.5</v>
      </c>
      <c r="AD9" s="8">
        <f t="shared" si="10"/>
        <v>82.35</v>
      </c>
      <c r="AE9" s="8"/>
      <c r="AF9" s="9">
        <f t="shared" si="11"/>
        <v>59</v>
      </c>
      <c r="AP9" s="2"/>
    </row>
    <row r="10" spans="1:43" x14ac:dyDescent="0.25">
      <c r="A10">
        <f t="shared" si="6"/>
        <v>2</v>
      </c>
      <c r="B10" t="s">
        <v>44</v>
      </c>
      <c r="C10" t="s">
        <v>28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0.25</v>
      </c>
      <c r="L10">
        <v>2.6</v>
      </c>
      <c r="M10">
        <v>1.3338E-3</v>
      </c>
      <c r="N10">
        <v>6.9999999999999993E-2</v>
      </c>
      <c r="O10">
        <v>1</v>
      </c>
      <c r="P10">
        <v>9.2368386206896549E-4</v>
      </c>
      <c r="Q10">
        <v>0.04</v>
      </c>
      <c r="R10">
        <v>1</v>
      </c>
      <c r="S10">
        <v>0</v>
      </c>
      <c r="T10">
        <v>0</v>
      </c>
      <c r="U10">
        <v>0</v>
      </c>
      <c r="V10" s="2">
        <v>122.5</v>
      </c>
      <c r="W10" s="2">
        <v>36</v>
      </c>
      <c r="X10" s="7">
        <v>0</v>
      </c>
      <c r="Y10" s="9">
        <v>122.5</v>
      </c>
      <c r="Z10" s="9">
        <v>36</v>
      </c>
      <c r="AA10" s="3">
        <v>0.5</v>
      </c>
      <c r="AB10" s="9">
        <f t="shared" si="8"/>
        <v>61.25</v>
      </c>
      <c r="AC10" s="9">
        <f t="shared" si="9"/>
        <v>97.25</v>
      </c>
      <c r="AD10" s="8">
        <f t="shared" si="10"/>
        <v>219.375</v>
      </c>
      <c r="AE10" s="8"/>
      <c r="AF10" s="9">
        <f t="shared" si="11"/>
        <v>158.5</v>
      </c>
      <c r="AP10" s="2"/>
      <c r="AQ10" s="2"/>
    </row>
    <row r="11" spans="1:43" x14ac:dyDescent="0.25">
      <c r="A11">
        <f t="shared" si="6"/>
        <v>2</v>
      </c>
      <c r="B11" t="s">
        <v>44</v>
      </c>
      <c r="C11" t="s">
        <v>29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0.25</v>
      </c>
      <c r="L11">
        <v>2.6</v>
      </c>
      <c r="M11">
        <v>3.3280000000000001E-4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>
        <v>15</v>
      </c>
      <c r="V11" s="2">
        <v>41</v>
      </c>
      <c r="W11" s="2">
        <v>12</v>
      </c>
      <c r="X11" s="7" t="str">
        <f t="shared" si="12"/>
        <v>0</v>
      </c>
      <c r="Y11" s="9">
        <v>41</v>
      </c>
      <c r="Z11" s="9">
        <v>12</v>
      </c>
      <c r="AA11" s="3">
        <v>0.5</v>
      </c>
      <c r="AB11" s="9">
        <f t="shared" si="8"/>
        <v>20.5</v>
      </c>
      <c r="AC11" s="9">
        <f t="shared" si="9"/>
        <v>32.5</v>
      </c>
      <c r="AD11" s="8">
        <f t="shared" si="10"/>
        <v>73.349999999999994</v>
      </c>
      <c r="AE11" s="8"/>
      <c r="AF11" s="9">
        <f t="shared" si="11"/>
        <v>53</v>
      </c>
      <c r="AP11" s="2"/>
    </row>
    <row r="12" spans="1:43" x14ac:dyDescent="0.25">
      <c r="A12">
        <f t="shared" si="6"/>
        <v>2</v>
      </c>
      <c r="B12" t="s">
        <v>44</v>
      </c>
      <c r="C12" t="s">
        <v>30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0.25</v>
      </c>
      <c r="L12">
        <v>2.6</v>
      </c>
      <c r="M12">
        <v>1.3338E-3</v>
      </c>
      <c r="N12">
        <v>6.9999999999999993E-2</v>
      </c>
      <c r="O12">
        <v>1</v>
      </c>
      <c r="P12">
        <v>9.2368386206896549E-4</v>
      </c>
      <c r="Q12">
        <v>0.04</v>
      </c>
      <c r="R12">
        <v>1</v>
      </c>
      <c r="S12">
        <v>0</v>
      </c>
      <c r="T12">
        <v>0</v>
      </c>
      <c r="U12">
        <v>0</v>
      </c>
      <c r="V12" s="2">
        <v>129</v>
      </c>
      <c r="W12">
        <v>37.5</v>
      </c>
      <c r="X12" s="7">
        <v>0</v>
      </c>
      <c r="Y12" s="9">
        <v>129</v>
      </c>
      <c r="Z12" s="9">
        <v>37.5</v>
      </c>
      <c r="AA12" s="3">
        <v>0.5</v>
      </c>
      <c r="AB12" s="9">
        <f t="shared" si="8"/>
        <v>64.5</v>
      </c>
      <c r="AC12" s="9">
        <f t="shared" si="9"/>
        <v>102</v>
      </c>
      <c r="AD12" s="8">
        <f t="shared" si="10"/>
        <v>230.4</v>
      </c>
      <c r="AE12" s="8"/>
      <c r="AF12" s="9">
        <f t="shared" si="11"/>
        <v>166.5</v>
      </c>
      <c r="AP12" s="2"/>
      <c r="AQ12" s="2"/>
    </row>
    <row r="13" spans="1:43" x14ac:dyDescent="0.25">
      <c r="A13">
        <f t="shared" si="6"/>
        <v>2</v>
      </c>
      <c r="B13" t="s">
        <v>44</v>
      </c>
      <c r="C13" t="s">
        <v>31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0.25</v>
      </c>
      <c r="L13">
        <v>2.6</v>
      </c>
      <c r="M13">
        <v>3.3280000000000001E-4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2.9099999999999999E-5</v>
      </c>
      <c r="T13">
        <v>0</v>
      </c>
      <c r="U13">
        <v>15</v>
      </c>
      <c r="V13" s="2">
        <v>42</v>
      </c>
      <c r="W13" s="2">
        <v>18</v>
      </c>
      <c r="X13" s="7" t="str">
        <f t="shared" si="12"/>
        <v>0</v>
      </c>
      <c r="Y13" s="9">
        <v>42</v>
      </c>
      <c r="Z13" s="9">
        <v>18</v>
      </c>
      <c r="AA13" s="3">
        <v>0.5</v>
      </c>
      <c r="AB13" s="9">
        <f t="shared" si="8"/>
        <v>21</v>
      </c>
      <c r="AC13" s="9">
        <f t="shared" si="9"/>
        <v>39</v>
      </c>
      <c r="AD13" s="8">
        <f t="shared" si="10"/>
        <v>83.7</v>
      </c>
      <c r="AE13" s="8"/>
      <c r="AF13" s="9">
        <f t="shared" si="11"/>
        <v>60</v>
      </c>
      <c r="AP13" s="2"/>
      <c r="AQ13" s="2"/>
    </row>
    <row r="14" spans="1:43" x14ac:dyDescent="0.25">
      <c r="A14">
        <f t="shared" si="6"/>
        <v>2</v>
      </c>
      <c r="B14" t="s">
        <v>44</v>
      </c>
      <c r="C14" t="s">
        <v>45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0.25</v>
      </c>
      <c r="L14">
        <v>2.6</v>
      </c>
      <c r="M14">
        <v>2.1000000000000003E-3</v>
      </c>
      <c r="N14">
        <v>9.5000000000000001E-2</v>
      </c>
      <c r="O14">
        <v>1</v>
      </c>
      <c r="P14">
        <v>1.206E-3</v>
      </c>
      <c r="Q14">
        <v>0.04</v>
      </c>
      <c r="R14">
        <v>1</v>
      </c>
      <c r="S14">
        <v>0</v>
      </c>
      <c r="T14">
        <v>0</v>
      </c>
      <c r="U14">
        <v>0</v>
      </c>
      <c r="V14" s="2">
        <v>115</v>
      </c>
      <c r="W14" s="2">
        <v>40.5</v>
      </c>
      <c r="X14" s="7">
        <v>0</v>
      </c>
      <c r="Y14" s="9">
        <v>115</v>
      </c>
      <c r="Z14" s="9">
        <v>40.5</v>
      </c>
      <c r="AA14" s="3">
        <v>0.5</v>
      </c>
      <c r="AB14" s="9">
        <f t="shared" si="8"/>
        <v>57.5</v>
      </c>
      <c r="AC14" s="9">
        <f t="shared" si="9"/>
        <v>98</v>
      </c>
      <c r="AD14" s="8">
        <f t="shared" si="10"/>
        <v>216</v>
      </c>
      <c r="AE14" s="8"/>
      <c r="AF14" s="9">
        <f t="shared" si="11"/>
        <v>155.5</v>
      </c>
      <c r="AP14" s="2"/>
    </row>
    <row r="15" spans="1:43" x14ac:dyDescent="0.25">
      <c r="A15">
        <f t="shared" si="6"/>
        <v>2</v>
      </c>
      <c r="B15" t="s">
        <v>44</v>
      </c>
      <c r="C15" t="s">
        <v>46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0.25</v>
      </c>
      <c r="L15">
        <v>2.6</v>
      </c>
      <c r="M15">
        <v>1E-3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>
        <v>10</v>
      </c>
      <c r="V15" s="2">
        <v>33.6</v>
      </c>
      <c r="W15" s="2">
        <v>15</v>
      </c>
      <c r="X15" s="7" t="str">
        <f t="shared" si="12"/>
        <v>0</v>
      </c>
      <c r="Y15" s="9">
        <v>33.6</v>
      </c>
      <c r="Z15" s="9">
        <v>15</v>
      </c>
      <c r="AA15" s="3">
        <v>0.5</v>
      </c>
      <c r="AB15" s="9">
        <f t="shared" si="8"/>
        <v>16.8</v>
      </c>
      <c r="AC15" s="9">
        <f t="shared" si="9"/>
        <v>31.8</v>
      </c>
      <c r="AD15" s="8">
        <f t="shared" si="10"/>
        <v>67.860000000000014</v>
      </c>
      <c r="AE15" s="8"/>
      <c r="AF15" s="9">
        <f t="shared" si="11"/>
        <v>48.6</v>
      </c>
      <c r="AP15" s="2"/>
      <c r="AQ15" s="2"/>
    </row>
    <row r="16" spans="1:43" x14ac:dyDescent="0.25">
      <c r="A16">
        <f t="shared" si="6"/>
        <v>2</v>
      </c>
      <c r="B16" t="s">
        <v>44</v>
      </c>
      <c r="C16" t="s">
        <v>47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0.25</v>
      </c>
      <c r="L16">
        <v>2.6</v>
      </c>
      <c r="M16">
        <v>1.1000000000000001E-3</v>
      </c>
      <c r="N16">
        <v>6.9999999999999993E-2</v>
      </c>
      <c r="O16">
        <v>1</v>
      </c>
      <c r="P16">
        <v>3.0789462068965518E-4</v>
      </c>
      <c r="Q16">
        <v>0.04</v>
      </c>
      <c r="R16">
        <v>1</v>
      </c>
      <c r="S16">
        <v>0</v>
      </c>
      <c r="T16">
        <v>0</v>
      </c>
      <c r="U16">
        <v>0</v>
      </c>
      <c r="V16" s="2">
        <v>112.5</v>
      </c>
      <c r="W16" s="2">
        <v>37.5</v>
      </c>
      <c r="X16" s="7">
        <v>0</v>
      </c>
      <c r="Y16" s="9">
        <v>112.5</v>
      </c>
      <c r="Z16" s="9">
        <v>37.5</v>
      </c>
      <c r="AA16" s="3">
        <v>0.5</v>
      </c>
      <c r="AB16" s="9">
        <f t="shared" si="8"/>
        <v>56.25</v>
      </c>
      <c r="AC16" s="9">
        <f t="shared" si="9"/>
        <v>93.75</v>
      </c>
      <c r="AD16" s="8">
        <f t="shared" si="10"/>
        <v>208.125</v>
      </c>
      <c r="AE16" s="8"/>
      <c r="AF16" s="9">
        <f t="shared" si="11"/>
        <v>150</v>
      </c>
      <c r="AP16" s="2"/>
      <c r="AQ16" s="2"/>
    </row>
    <row r="17" spans="1:43" x14ac:dyDescent="0.25">
      <c r="A17">
        <f t="shared" si="6"/>
        <v>2</v>
      </c>
      <c r="B17" t="s">
        <v>44</v>
      </c>
      <c r="C17" t="s">
        <v>48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0.25</v>
      </c>
      <c r="L17">
        <v>2.6</v>
      </c>
      <c r="M17">
        <v>1E-3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>
        <v>5</v>
      </c>
      <c r="V17" s="2">
        <v>44</v>
      </c>
      <c r="W17">
        <v>16</v>
      </c>
      <c r="X17" s="7" t="str">
        <f t="shared" si="12"/>
        <v>0</v>
      </c>
      <c r="Y17" s="9">
        <v>44</v>
      </c>
      <c r="Z17" s="9">
        <v>16</v>
      </c>
      <c r="AA17" s="3">
        <v>0.5</v>
      </c>
      <c r="AB17" s="9">
        <f t="shared" si="8"/>
        <v>22</v>
      </c>
      <c r="AC17" s="9">
        <f t="shared" si="9"/>
        <v>38</v>
      </c>
      <c r="AD17" s="8">
        <f t="shared" si="10"/>
        <v>83.4</v>
      </c>
      <c r="AE17" s="8"/>
      <c r="AF17" s="9">
        <f t="shared" si="11"/>
        <v>60</v>
      </c>
      <c r="AP17" s="2"/>
      <c r="AQ17" s="2"/>
    </row>
    <row r="18" spans="1:43" x14ac:dyDescent="0.25">
      <c r="A18">
        <f t="shared" si="6"/>
        <v>2</v>
      </c>
      <c r="B18" t="s">
        <v>44</v>
      </c>
      <c r="D18" s="4">
        <v>25</v>
      </c>
      <c r="E18" s="4" t="s">
        <v>18</v>
      </c>
      <c r="F18" s="4">
        <v>500</v>
      </c>
      <c r="G18" s="5">
        <v>220000</v>
      </c>
      <c r="H18" s="4">
        <v>1576</v>
      </c>
      <c r="I18" s="4">
        <v>1870</v>
      </c>
      <c r="J18" s="4">
        <v>1</v>
      </c>
      <c r="K18" s="4">
        <v>0.2</v>
      </c>
      <c r="L18" s="4">
        <v>2.2000000000000002</v>
      </c>
      <c r="M18" s="4">
        <v>1.0000000000000001E-5</v>
      </c>
      <c r="N18" s="4">
        <v>0.03</v>
      </c>
      <c r="O18" s="4">
        <v>1</v>
      </c>
      <c r="P18" s="4">
        <v>0</v>
      </c>
      <c r="Q18" s="4">
        <v>0</v>
      </c>
      <c r="R18" s="4">
        <v>1</v>
      </c>
      <c r="S18" s="4">
        <v>0</v>
      </c>
      <c r="T18" s="4">
        <v>0</v>
      </c>
      <c r="U18" s="4">
        <v>0</v>
      </c>
      <c r="V18" s="6"/>
      <c r="W18" s="6"/>
      <c r="X18" s="7">
        <v>0</v>
      </c>
      <c r="Y18" s="9"/>
      <c r="Z18" s="9"/>
      <c r="AA18" s="3"/>
      <c r="AB18" s="9"/>
      <c r="AC18" s="9"/>
      <c r="AD18" s="8"/>
      <c r="AE18" s="8"/>
      <c r="AF18" s="9"/>
      <c r="AP18" s="2"/>
      <c r="AQ18" s="2"/>
    </row>
    <row r="19" spans="1:43" x14ac:dyDescent="0.25">
      <c r="A19">
        <f t="shared" si="6"/>
        <v>3</v>
      </c>
      <c r="B19" t="s">
        <v>49</v>
      </c>
      <c r="C19" t="s">
        <v>19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0.22</v>
      </c>
      <c r="L19">
        <v>2.33</v>
      </c>
      <c r="M19">
        <v>7.4800000000000008E-4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2.9099999999999999E-5</v>
      </c>
      <c r="T19">
        <v>0</v>
      </c>
      <c r="U19">
        <v>5</v>
      </c>
      <c r="V19" s="2">
        <v>40</v>
      </c>
      <c r="W19">
        <v>15</v>
      </c>
      <c r="X19" s="7" t="str">
        <f t="shared" si="12"/>
        <v>0</v>
      </c>
      <c r="Y19" s="9"/>
      <c r="Z19" s="9"/>
      <c r="AA19" s="3">
        <v>0</v>
      </c>
      <c r="AB19" s="9">
        <f t="shared" si="8"/>
        <v>0</v>
      </c>
      <c r="AC19" s="9">
        <f t="shared" si="9"/>
        <v>0</v>
      </c>
      <c r="AD19" s="8">
        <f t="shared" si="10"/>
        <v>0</v>
      </c>
      <c r="AE19" s="8"/>
      <c r="AF19" s="9">
        <f t="shared" si="11"/>
        <v>0</v>
      </c>
      <c r="AP19" s="2"/>
      <c r="AQ19" s="2"/>
    </row>
    <row r="20" spans="1:43" x14ac:dyDescent="0.25">
      <c r="A20">
        <f t="shared" si="6"/>
        <v>3</v>
      </c>
      <c r="B20" t="s">
        <v>49</v>
      </c>
      <c r="C20" t="s">
        <v>20</v>
      </c>
      <c r="D20">
        <v>25</v>
      </c>
      <c r="E20" t="s">
        <v>18</v>
      </c>
      <c r="F20">
        <v>500</v>
      </c>
      <c r="G20" s="1">
        <v>220000</v>
      </c>
      <c r="H20">
        <v>1576</v>
      </c>
      <c r="I20">
        <v>1870</v>
      </c>
      <c r="J20">
        <v>1</v>
      </c>
      <c r="K20">
        <v>0.22</v>
      </c>
      <c r="L20">
        <v>2.33</v>
      </c>
      <c r="M20">
        <v>2.0690000000000001E-3</v>
      </c>
      <c r="N20">
        <v>0.04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s="2">
        <v>79</v>
      </c>
      <c r="W20">
        <v>30</v>
      </c>
      <c r="X20" s="7">
        <v>0</v>
      </c>
      <c r="Y20" s="9">
        <v>40</v>
      </c>
      <c r="Z20" s="9">
        <v>15</v>
      </c>
      <c r="AA20" s="3">
        <v>0</v>
      </c>
      <c r="AB20" s="9">
        <f t="shared" si="8"/>
        <v>40</v>
      </c>
      <c r="AC20" s="9">
        <f t="shared" si="9"/>
        <v>15</v>
      </c>
      <c r="AD20" s="8">
        <f t="shared" si="10"/>
        <v>76.5</v>
      </c>
      <c r="AE20" s="8"/>
      <c r="AF20" s="9">
        <f t="shared" si="11"/>
        <v>55</v>
      </c>
      <c r="AP20" s="2"/>
    </row>
    <row r="21" spans="1:43" x14ac:dyDescent="0.25">
      <c r="A21">
        <f t="shared" si="6"/>
        <v>3</v>
      </c>
      <c r="B21" t="s">
        <v>49</v>
      </c>
      <c r="C21" t="s">
        <v>23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0.22</v>
      </c>
      <c r="L21">
        <v>2.33</v>
      </c>
      <c r="M21">
        <v>7.4800000000000008E-4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2.9099999999999999E-5</v>
      </c>
      <c r="T21">
        <v>0</v>
      </c>
      <c r="U21">
        <v>5</v>
      </c>
      <c r="V21" s="2">
        <v>8.5</v>
      </c>
      <c r="W21">
        <v>12</v>
      </c>
      <c r="X21" s="7" t="str">
        <f t="shared" si="12"/>
        <v>0</v>
      </c>
      <c r="Y21" s="9">
        <v>79</v>
      </c>
      <c r="Z21" s="9">
        <v>30</v>
      </c>
      <c r="AA21" s="3">
        <v>0</v>
      </c>
      <c r="AB21" s="9">
        <f t="shared" si="8"/>
        <v>79</v>
      </c>
      <c r="AC21" s="9">
        <f t="shared" si="9"/>
        <v>30</v>
      </c>
      <c r="AD21" s="8">
        <f t="shared" si="10"/>
        <v>151.65</v>
      </c>
      <c r="AE21" s="8"/>
      <c r="AF21" s="9">
        <f t="shared" si="11"/>
        <v>109</v>
      </c>
      <c r="AP21" s="2"/>
    </row>
    <row r="22" spans="1:43" x14ac:dyDescent="0.25">
      <c r="A22">
        <f t="shared" si="6"/>
        <v>3</v>
      </c>
      <c r="B22" t="s">
        <v>49</v>
      </c>
      <c r="C22" t="s">
        <v>24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0.22</v>
      </c>
      <c r="L22">
        <v>2.33</v>
      </c>
      <c r="M22">
        <v>1.9399999999999999E-3</v>
      </c>
      <c r="N22">
        <v>8.4999999999999992E-2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 s="2">
        <v>81</v>
      </c>
      <c r="W22">
        <v>33</v>
      </c>
      <c r="X22" s="7">
        <v>0</v>
      </c>
      <c r="Y22" s="9">
        <v>8.5</v>
      </c>
      <c r="Z22" s="9">
        <v>12</v>
      </c>
      <c r="AA22" s="3">
        <v>0</v>
      </c>
      <c r="AB22" s="9">
        <f t="shared" si="8"/>
        <v>8.5</v>
      </c>
      <c r="AC22" s="9">
        <f t="shared" si="9"/>
        <v>12</v>
      </c>
      <c r="AD22" s="8">
        <f t="shared" si="10"/>
        <v>29.475000000000001</v>
      </c>
      <c r="AE22" s="8"/>
      <c r="AF22" s="9">
        <f t="shared" si="11"/>
        <v>20.5</v>
      </c>
      <c r="AP22" s="2"/>
    </row>
    <row r="23" spans="1:43" x14ac:dyDescent="0.25">
      <c r="A23">
        <f t="shared" si="6"/>
        <v>3</v>
      </c>
      <c r="B23" t="s">
        <v>49</v>
      </c>
      <c r="C23" t="s">
        <v>25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0.22</v>
      </c>
      <c r="L23">
        <v>2.33</v>
      </c>
      <c r="M23">
        <v>1.0460000000000001E-3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5</v>
      </c>
      <c r="V23" s="2">
        <v>40</v>
      </c>
      <c r="W23">
        <v>19</v>
      </c>
      <c r="X23" s="7" t="str">
        <f t="shared" si="12"/>
        <v>0</v>
      </c>
      <c r="Y23" s="9">
        <v>81</v>
      </c>
      <c r="Z23" s="9">
        <v>33</v>
      </c>
      <c r="AA23" s="3">
        <v>0</v>
      </c>
      <c r="AB23" s="9">
        <f t="shared" si="8"/>
        <v>81</v>
      </c>
      <c r="AC23" s="9">
        <f t="shared" si="9"/>
        <v>33</v>
      </c>
      <c r="AD23" s="8">
        <f t="shared" si="10"/>
        <v>158.85000000000002</v>
      </c>
      <c r="AE23" s="8"/>
      <c r="AF23" s="9">
        <f t="shared" si="11"/>
        <v>114</v>
      </c>
      <c r="AP23" s="2"/>
    </row>
    <row r="24" spans="1:43" x14ac:dyDescent="0.25">
      <c r="A24">
        <f t="shared" si="6"/>
        <v>3</v>
      </c>
      <c r="B24" t="s">
        <v>49</v>
      </c>
      <c r="C24" t="s">
        <v>26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0.22</v>
      </c>
      <c r="L24">
        <v>2.33</v>
      </c>
      <c r="M24">
        <v>1.9399999999999999E-3</v>
      </c>
      <c r="N24">
        <v>0.04</v>
      </c>
      <c r="O24">
        <v>1</v>
      </c>
      <c r="P24">
        <v>0</v>
      </c>
      <c r="Q24">
        <v>0</v>
      </c>
      <c r="R24">
        <v>1</v>
      </c>
      <c r="S24">
        <v>2.9099999999999999E-5</v>
      </c>
      <c r="T24">
        <v>0</v>
      </c>
      <c r="U24">
        <v>10</v>
      </c>
      <c r="V24" s="2">
        <v>115</v>
      </c>
      <c r="W24">
        <v>41</v>
      </c>
      <c r="X24" s="7">
        <v>0</v>
      </c>
      <c r="Y24" s="9">
        <v>40</v>
      </c>
      <c r="Z24" s="9">
        <v>19</v>
      </c>
      <c r="AA24" s="3">
        <v>0</v>
      </c>
      <c r="AB24" s="9">
        <f t="shared" si="8"/>
        <v>40</v>
      </c>
      <c r="AC24" s="9">
        <f t="shared" si="9"/>
        <v>19</v>
      </c>
      <c r="AD24" s="8">
        <f t="shared" si="10"/>
        <v>82.5</v>
      </c>
      <c r="AE24" s="8"/>
      <c r="AF24" s="9">
        <f t="shared" si="11"/>
        <v>59</v>
      </c>
      <c r="AP24" s="2"/>
    </row>
    <row r="25" spans="1:43" x14ac:dyDescent="0.25">
      <c r="A25">
        <f t="shared" si="6"/>
        <v>3</v>
      </c>
      <c r="B25" t="s">
        <v>49</v>
      </c>
      <c r="C25" t="s">
        <v>27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0.22</v>
      </c>
      <c r="L25">
        <v>2.33</v>
      </c>
      <c r="M25">
        <v>7.4800000000000008E-4</v>
      </c>
      <c r="N25">
        <v>0.04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5</v>
      </c>
      <c r="V25" s="2">
        <v>36</v>
      </c>
      <c r="W25">
        <v>18</v>
      </c>
      <c r="X25" s="7" t="str">
        <f t="shared" si="12"/>
        <v>0</v>
      </c>
      <c r="Y25" s="9">
        <v>115</v>
      </c>
      <c r="Z25" s="9">
        <v>41</v>
      </c>
      <c r="AA25" s="3">
        <v>0</v>
      </c>
      <c r="AB25" s="9">
        <f t="shared" si="8"/>
        <v>115</v>
      </c>
      <c r="AC25" s="9">
        <f t="shared" si="9"/>
        <v>41</v>
      </c>
      <c r="AD25" s="8">
        <f t="shared" si="10"/>
        <v>216.75</v>
      </c>
      <c r="AE25" s="8"/>
      <c r="AF25" s="9">
        <f t="shared" si="11"/>
        <v>156</v>
      </c>
      <c r="AP25" s="2"/>
    </row>
    <row r="26" spans="1:43" x14ac:dyDescent="0.25">
      <c r="A26">
        <f t="shared" si="6"/>
        <v>3</v>
      </c>
      <c r="B26" t="s">
        <v>49</v>
      </c>
      <c r="C26" t="s">
        <v>28</v>
      </c>
      <c r="D26">
        <v>25</v>
      </c>
      <c r="E26" t="s">
        <v>18</v>
      </c>
      <c r="F26">
        <v>500</v>
      </c>
      <c r="G26" s="1">
        <v>220000</v>
      </c>
      <c r="H26">
        <v>1576</v>
      </c>
      <c r="I26">
        <v>1870</v>
      </c>
      <c r="J26">
        <v>1</v>
      </c>
      <c r="K26">
        <v>0.22</v>
      </c>
      <c r="L26">
        <v>2.33</v>
      </c>
      <c r="M26">
        <v>1.9399999999999999E-3</v>
      </c>
      <c r="N26">
        <v>0.04</v>
      </c>
      <c r="O26">
        <v>1</v>
      </c>
      <c r="P26">
        <v>0</v>
      </c>
      <c r="Q26">
        <v>0</v>
      </c>
      <c r="R26">
        <v>1</v>
      </c>
      <c r="S26">
        <v>2.9099999999999999E-5</v>
      </c>
      <c r="T26">
        <v>0</v>
      </c>
      <c r="U26">
        <v>10</v>
      </c>
      <c r="V26" s="2">
        <v>100</v>
      </c>
      <c r="W26">
        <v>37.5</v>
      </c>
      <c r="X26" s="7">
        <v>0</v>
      </c>
      <c r="Y26" s="9">
        <v>36</v>
      </c>
      <c r="Z26" s="9">
        <v>18</v>
      </c>
      <c r="AA26" s="3">
        <v>0</v>
      </c>
      <c r="AB26" s="9">
        <f t="shared" si="8"/>
        <v>36</v>
      </c>
      <c r="AC26" s="9">
        <f t="shared" si="9"/>
        <v>18</v>
      </c>
      <c r="AD26" s="8">
        <f t="shared" si="10"/>
        <v>75.599999999999994</v>
      </c>
      <c r="AE26" s="8"/>
      <c r="AF26" s="9">
        <f t="shared" si="11"/>
        <v>54</v>
      </c>
      <c r="AP26" s="2"/>
    </row>
    <row r="27" spans="1:43" x14ac:dyDescent="0.25">
      <c r="A27">
        <f t="shared" si="6"/>
        <v>3</v>
      </c>
      <c r="B27" t="s">
        <v>49</v>
      </c>
      <c r="C27" t="s">
        <v>29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0.22</v>
      </c>
      <c r="L27">
        <v>2.33</v>
      </c>
      <c r="M27">
        <v>1.0460000000000001E-3</v>
      </c>
      <c r="N27">
        <v>0.04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>
        <v>5</v>
      </c>
      <c r="V27" s="2">
        <v>31</v>
      </c>
      <c r="W27">
        <v>15</v>
      </c>
      <c r="X27" s="7" t="str">
        <f t="shared" si="12"/>
        <v>0</v>
      </c>
      <c r="Y27" s="9">
        <v>100</v>
      </c>
      <c r="Z27" s="9">
        <v>37.5</v>
      </c>
      <c r="AA27" s="3">
        <v>0</v>
      </c>
      <c r="AB27" s="9">
        <f t="shared" si="8"/>
        <v>100</v>
      </c>
      <c r="AC27" s="9">
        <f t="shared" si="9"/>
        <v>37.5</v>
      </c>
      <c r="AD27" s="8">
        <f t="shared" si="10"/>
        <v>191.25</v>
      </c>
      <c r="AE27" s="8"/>
      <c r="AF27" s="9">
        <f t="shared" si="11"/>
        <v>137.5</v>
      </c>
      <c r="AP27" s="2"/>
    </row>
    <row r="28" spans="1:43" x14ac:dyDescent="0.25">
      <c r="A28">
        <f t="shared" si="6"/>
        <v>3</v>
      </c>
      <c r="B28" t="s">
        <v>49</v>
      </c>
      <c r="D28" s="4">
        <v>25</v>
      </c>
      <c r="E28" s="4" t="s">
        <v>18</v>
      </c>
      <c r="F28" s="4">
        <v>500</v>
      </c>
      <c r="G28" s="5">
        <v>220000</v>
      </c>
      <c r="H28" s="4">
        <v>1576</v>
      </c>
      <c r="I28" s="4">
        <v>1870</v>
      </c>
      <c r="J28" s="4">
        <v>1</v>
      </c>
      <c r="K28" s="4">
        <v>0.2</v>
      </c>
      <c r="L28" s="4">
        <v>2.2000000000000002</v>
      </c>
      <c r="M28" s="4">
        <v>1.0000000000000001E-5</v>
      </c>
      <c r="N28" s="4">
        <v>0.03</v>
      </c>
      <c r="O28" s="4">
        <v>1</v>
      </c>
      <c r="P28" s="4">
        <v>0</v>
      </c>
      <c r="Q28" s="4">
        <v>0</v>
      </c>
      <c r="R28" s="4">
        <v>1</v>
      </c>
      <c r="S28" s="4">
        <v>0</v>
      </c>
      <c r="T28" s="4">
        <v>0</v>
      </c>
      <c r="U28" s="4">
        <v>0</v>
      </c>
      <c r="V28" s="6"/>
      <c r="W28" s="6"/>
      <c r="X28" s="7">
        <v>0</v>
      </c>
      <c r="Y28" s="9"/>
      <c r="Z28" s="9"/>
      <c r="AA28" s="3"/>
      <c r="AB28" s="9"/>
      <c r="AC28" s="9"/>
      <c r="AD28" s="8"/>
      <c r="AE28" s="8"/>
      <c r="AF28" s="9"/>
      <c r="AP28" s="2"/>
    </row>
    <row r="29" spans="1:43" x14ac:dyDescent="0.25">
      <c r="A29">
        <f t="shared" si="6"/>
        <v>4</v>
      </c>
      <c r="B29" t="s">
        <v>50</v>
      </c>
      <c r="C29" t="s">
        <v>19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0.25</v>
      </c>
      <c r="L29">
        <v>2.33</v>
      </c>
      <c r="M29">
        <v>5.9000000000000003E-4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 s="2">
        <v>24</v>
      </c>
      <c r="W29">
        <v>10</v>
      </c>
      <c r="X29" s="7" t="str">
        <f t="shared" si="12"/>
        <v>0</v>
      </c>
      <c r="Y29" s="9">
        <v>31</v>
      </c>
      <c r="Z29" s="9">
        <v>15</v>
      </c>
      <c r="AA29" s="3">
        <v>0</v>
      </c>
      <c r="AB29" s="9">
        <f t="shared" si="8"/>
        <v>31</v>
      </c>
      <c r="AC29" s="9">
        <f t="shared" si="9"/>
        <v>15</v>
      </c>
      <c r="AD29" s="8">
        <f t="shared" si="10"/>
        <v>64.349999999999994</v>
      </c>
      <c r="AE29" s="8"/>
      <c r="AF29" s="9">
        <f t="shared" si="11"/>
        <v>46</v>
      </c>
    </row>
    <row r="30" spans="1:43" x14ac:dyDescent="0.25">
      <c r="A30">
        <f t="shared" si="6"/>
        <v>4</v>
      </c>
      <c r="B30" t="s">
        <v>50</v>
      </c>
      <c r="C30" t="s">
        <v>20</v>
      </c>
      <c r="D30">
        <v>25</v>
      </c>
      <c r="E30" t="s">
        <v>18</v>
      </c>
      <c r="F30">
        <v>500</v>
      </c>
      <c r="G30" s="1">
        <v>220000</v>
      </c>
      <c r="H30">
        <v>1576</v>
      </c>
      <c r="I30">
        <v>1870</v>
      </c>
      <c r="J30">
        <v>1</v>
      </c>
      <c r="K30">
        <v>0.25</v>
      </c>
      <c r="L30">
        <v>2.33</v>
      </c>
      <c r="M30">
        <v>2.0690000000000001E-3</v>
      </c>
      <c r="N30">
        <v>6.9999999999999993E-2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 s="2">
        <v>32.5</v>
      </c>
      <c r="W30">
        <v>18.5</v>
      </c>
      <c r="X30" s="7">
        <v>0</v>
      </c>
      <c r="Y30" s="9"/>
      <c r="Z30" s="9"/>
      <c r="AA30" s="3">
        <v>0</v>
      </c>
      <c r="AB30" s="9">
        <f t="shared" si="8"/>
        <v>0</v>
      </c>
      <c r="AC30" s="9">
        <f t="shared" si="9"/>
        <v>0</v>
      </c>
      <c r="AD30" s="8">
        <f t="shared" si="10"/>
        <v>0</v>
      </c>
      <c r="AE30" s="8"/>
      <c r="AF30" s="9">
        <f t="shared" si="11"/>
        <v>0</v>
      </c>
    </row>
    <row r="31" spans="1:43" x14ac:dyDescent="0.25">
      <c r="A31">
        <f t="shared" si="6"/>
        <v>4</v>
      </c>
      <c r="B31" t="s">
        <v>50</v>
      </c>
      <c r="C31" t="s">
        <v>23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0.25</v>
      </c>
      <c r="L31">
        <v>2.33</v>
      </c>
      <c r="M31">
        <v>5.9000000000000003E-4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 s="2">
        <v>0</v>
      </c>
      <c r="W31">
        <v>8</v>
      </c>
      <c r="X31" s="7" t="str">
        <f t="shared" si="12"/>
        <v>0</v>
      </c>
      <c r="Y31" s="9">
        <v>24</v>
      </c>
      <c r="Z31" s="9">
        <v>10</v>
      </c>
      <c r="AA31" s="3">
        <v>0</v>
      </c>
      <c r="AB31" s="9">
        <f t="shared" si="8"/>
        <v>24</v>
      </c>
      <c r="AC31" s="9">
        <f t="shared" si="9"/>
        <v>10</v>
      </c>
      <c r="AD31" s="8">
        <f t="shared" si="10"/>
        <v>47.400000000000006</v>
      </c>
      <c r="AE31" s="8"/>
      <c r="AF31" s="9">
        <f t="shared" si="11"/>
        <v>34</v>
      </c>
    </row>
    <row r="32" spans="1:43" x14ac:dyDescent="0.25">
      <c r="A32">
        <f t="shared" si="6"/>
        <v>4</v>
      </c>
      <c r="B32" t="s">
        <v>50</v>
      </c>
      <c r="C32" t="s">
        <v>24</v>
      </c>
      <c r="D32">
        <v>25</v>
      </c>
      <c r="E32" t="s">
        <v>18</v>
      </c>
      <c r="F32">
        <v>500</v>
      </c>
      <c r="G32" s="1">
        <v>220000</v>
      </c>
      <c r="H32">
        <v>1576</v>
      </c>
      <c r="I32">
        <v>1870</v>
      </c>
      <c r="J32">
        <v>1</v>
      </c>
      <c r="K32">
        <v>0.25</v>
      </c>
      <c r="L32">
        <v>2.33</v>
      </c>
      <c r="M32">
        <v>1.9399999999999999E-3</v>
      </c>
      <c r="N32">
        <v>9.9999999999999992E-2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 s="2">
        <v>32.5</v>
      </c>
      <c r="W32">
        <v>20</v>
      </c>
      <c r="X32" s="7">
        <v>0</v>
      </c>
      <c r="Y32" s="9">
        <v>32.5</v>
      </c>
      <c r="Z32" s="9">
        <v>18.5</v>
      </c>
      <c r="AA32" s="3">
        <v>0</v>
      </c>
      <c r="AB32" s="9">
        <f t="shared" si="8"/>
        <v>32.5</v>
      </c>
      <c r="AC32" s="9">
        <f t="shared" si="9"/>
        <v>18.5</v>
      </c>
      <c r="AD32" s="8">
        <f t="shared" si="10"/>
        <v>71.625</v>
      </c>
      <c r="AE32" s="8"/>
      <c r="AF32" s="9">
        <f t="shared" si="11"/>
        <v>51</v>
      </c>
    </row>
    <row r="33" spans="1:32" x14ac:dyDescent="0.25">
      <c r="A33">
        <f t="shared" si="6"/>
        <v>4</v>
      </c>
      <c r="B33" t="s">
        <v>50</v>
      </c>
      <c r="C33" t="s">
        <v>25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0.25</v>
      </c>
      <c r="L33">
        <v>2.33</v>
      </c>
      <c r="M33">
        <v>9.0000000000000008E-4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 s="2">
        <v>28</v>
      </c>
      <c r="W33">
        <v>15</v>
      </c>
      <c r="X33" s="7" t="str">
        <f t="shared" si="12"/>
        <v>0</v>
      </c>
      <c r="Y33" s="9">
        <v>0</v>
      </c>
      <c r="Z33" s="9">
        <v>8</v>
      </c>
      <c r="AA33" s="3">
        <v>0</v>
      </c>
      <c r="AB33" s="9">
        <f t="shared" si="8"/>
        <v>0</v>
      </c>
      <c r="AC33" s="9">
        <f t="shared" si="9"/>
        <v>8</v>
      </c>
      <c r="AD33" s="8">
        <f t="shared" si="10"/>
        <v>12</v>
      </c>
      <c r="AE33" s="8"/>
      <c r="AF33" s="9">
        <f t="shared" si="11"/>
        <v>8</v>
      </c>
    </row>
    <row r="34" spans="1:32" x14ac:dyDescent="0.25">
      <c r="A34">
        <f t="shared" si="6"/>
        <v>4</v>
      </c>
      <c r="B34" t="s">
        <v>50</v>
      </c>
      <c r="C34" t="s">
        <v>26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0.25</v>
      </c>
      <c r="L34">
        <v>2.33</v>
      </c>
      <c r="M34">
        <v>1.9399999999999999E-3</v>
      </c>
      <c r="N34">
        <v>6.9999999999999993E-2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 s="2">
        <v>53</v>
      </c>
      <c r="W34">
        <v>21.5</v>
      </c>
      <c r="X34" s="7">
        <v>0</v>
      </c>
      <c r="Y34" s="9">
        <v>32.5</v>
      </c>
      <c r="Z34" s="9">
        <v>20</v>
      </c>
      <c r="AA34" s="3">
        <v>0</v>
      </c>
      <c r="AB34" s="9">
        <f t="shared" si="8"/>
        <v>32.5</v>
      </c>
      <c r="AC34" s="9">
        <f t="shared" si="9"/>
        <v>20</v>
      </c>
      <c r="AD34" s="8">
        <f t="shared" si="10"/>
        <v>73.875</v>
      </c>
      <c r="AE34" s="8"/>
      <c r="AF34" s="9">
        <f t="shared" si="11"/>
        <v>52.5</v>
      </c>
    </row>
    <row r="35" spans="1:32" x14ac:dyDescent="0.25">
      <c r="A35">
        <f t="shared" si="6"/>
        <v>4</v>
      </c>
      <c r="B35" t="s">
        <v>50</v>
      </c>
      <c r="C35" t="s">
        <v>27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0.25</v>
      </c>
      <c r="L35">
        <v>2.33</v>
      </c>
      <c r="M35">
        <v>5.9900000000000003E-4</v>
      </c>
      <c r="N35">
        <v>0.04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 s="2">
        <v>24</v>
      </c>
      <c r="W35">
        <v>14</v>
      </c>
      <c r="X35" s="7" t="str">
        <f t="shared" si="12"/>
        <v>0</v>
      </c>
      <c r="Y35" s="9">
        <v>28</v>
      </c>
      <c r="Z35" s="9">
        <v>15</v>
      </c>
      <c r="AA35" s="3">
        <v>0</v>
      </c>
      <c r="AB35" s="9">
        <f t="shared" si="8"/>
        <v>28</v>
      </c>
      <c r="AC35" s="9">
        <f t="shared" si="9"/>
        <v>15</v>
      </c>
      <c r="AD35" s="8">
        <f t="shared" si="10"/>
        <v>60.300000000000004</v>
      </c>
      <c r="AE35" s="8"/>
      <c r="AF35" s="9">
        <f t="shared" si="11"/>
        <v>43</v>
      </c>
    </row>
    <row r="36" spans="1:32" x14ac:dyDescent="0.25">
      <c r="A36">
        <f t="shared" si="6"/>
        <v>4</v>
      </c>
      <c r="B36" t="s">
        <v>50</v>
      </c>
      <c r="C36" t="s">
        <v>28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0.25</v>
      </c>
      <c r="L36">
        <v>2.33</v>
      </c>
      <c r="M36">
        <v>1.9399999999999999E-3</v>
      </c>
      <c r="N36">
        <v>6.9999999999999993E-2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 s="2">
        <v>37.5</v>
      </c>
      <c r="W36">
        <v>20</v>
      </c>
      <c r="X36" s="7">
        <v>0</v>
      </c>
      <c r="Y36" s="9">
        <v>53</v>
      </c>
      <c r="Z36" s="9">
        <v>21.5</v>
      </c>
      <c r="AA36" s="3">
        <v>0</v>
      </c>
      <c r="AB36" s="9">
        <f t="shared" si="8"/>
        <v>53</v>
      </c>
      <c r="AC36" s="9">
        <f t="shared" si="9"/>
        <v>21.5</v>
      </c>
      <c r="AD36" s="8">
        <f t="shared" si="10"/>
        <v>103.80000000000001</v>
      </c>
      <c r="AE36" s="8"/>
      <c r="AF36" s="9">
        <f t="shared" si="11"/>
        <v>74.5</v>
      </c>
    </row>
    <row r="37" spans="1:32" x14ac:dyDescent="0.25">
      <c r="A37">
        <f t="shared" si="6"/>
        <v>4</v>
      </c>
      <c r="B37" t="s">
        <v>50</v>
      </c>
      <c r="C37" t="s">
        <v>29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0.25</v>
      </c>
      <c r="L37">
        <v>2.33</v>
      </c>
      <c r="M37">
        <v>9.0000000000000008E-4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 s="2">
        <v>17</v>
      </c>
      <c r="W37">
        <v>10</v>
      </c>
      <c r="X37" s="7" t="str">
        <f t="shared" si="12"/>
        <v>0</v>
      </c>
      <c r="Y37" s="9">
        <v>24</v>
      </c>
      <c r="Z37" s="9">
        <v>14</v>
      </c>
      <c r="AA37" s="3">
        <v>0</v>
      </c>
      <c r="AB37" s="9">
        <f t="shared" si="8"/>
        <v>24</v>
      </c>
      <c r="AC37" s="9">
        <f t="shared" si="9"/>
        <v>14</v>
      </c>
      <c r="AD37" s="8">
        <f t="shared" si="10"/>
        <v>53.400000000000006</v>
      </c>
      <c r="AE37" s="8"/>
      <c r="AF37" s="9">
        <f t="shared" si="11"/>
        <v>38</v>
      </c>
    </row>
    <row r="38" spans="1:32" x14ac:dyDescent="0.25">
      <c r="A38">
        <f t="shared" si="6"/>
        <v>4</v>
      </c>
      <c r="B38" t="s">
        <v>50</v>
      </c>
      <c r="D38" s="4">
        <v>25</v>
      </c>
      <c r="E38" s="4" t="s">
        <v>18</v>
      </c>
      <c r="F38" s="4">
        <v>500</v>
      </c>
      <c r="G38" s="5">
        <v>220000</v>
      </c>
      <c r="H38" s="4">
        <v>1576</v>
      </c>
      <c r="I38" s="4">
        <v>1870</v>
      </c>
      <c r="J38" s="4">
        <v>1</v>
      </c>
      <c r="K38" s="4">
        <v>0.2</v>
      </c>
      <c r="L38" s="4">
        <v>2.2000000000000002</v>
      </c>
      <c r="M38" s="4">
        <v>1.0000000000000001E-5</v>
      </c>
      <c r="N38" s="4">
        <v>0.03</v>
      </c>
      <c r="O38" s="4">
        <v>1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0</v>
      </c>
      <c r="V38" s="6"/>
      <c r="W38" s="6"/>
      <c r="X38" s="7">
        <v>0</v>
      </c>
      <c r="Y38" s="9"/>
      <c r="Z38" s="9"/>
      <c r="AA38" s="3"/>
      <c r="AB38" s="9"/>
      <c r="AC38" s="9"/>
      <c r="AD38" s="8"/>
      <c r="AE38" s="8"/>
      <c r="AF38" s="9"/>
    </row>
    <row r="39" spans="1:32" x14ac:dyDescent="0.25">
      <c r="A39">
        <f t="shared" si="6"/>
        <v>5</v>
      </c>
      <c r="B39" t="s">
        <v>51</v>
      </c>
      <c r="C39" t="s">
        <v>19</v>
      </c>
      <c r="D39">
        <v>25</v>
      </c>
      <c r="E39" t="s">
        <v>18</v>
      </c>
      <c r="F39">
        <v>500</v>
      </c>
      <c r="G39" s="1">
        <v>220000</v>
      </c>
      <c r="H39">
        <v>1576</v>
      </c>
      <c r="I39">
        <v>1870</v>
      </c>
      <c r="J39">
        <v>1</v>
      </c>
      <c r="K39">
        <v>0.22</v>
      </c>
      <c r="L39">
        <v>2.33</v>
      </c>
      <c r="M39">
        <v>5.9000000000000003E-4</v>
      </c>
      <c r="N39">
        <v>0.04</v>
      </c>
      <c r="O39">
        <v>1</v>
      </c>
      <c r="P39">
        <v>0</v>
      </c>
      <c r="Q39">
        <v>0</v>
      </c>
      <c r="R39">
        <v>1</v>
      </c>
      <c r="S39">
        <v>2.9099999999999999E-5</v>
      </c>
      <c r="T39">
        <v>0</v>
      </c>
      <c r="U39">
        <v>5</v>
      </c>
      <c r="V39" s="2">
        <v>25</v>
      </c>
      <c r="W39">
        <v>10</v>
      </c>
      <c r="X39" s="7" t="str">
        <f t="shared" si="12"/>
        <v>0</v>
      </c>
      <c r="Y39" s="9">
        <v>37.5</v>
      </c>
      <c r="Z39" s="9">
        <v>20</v>
      </c>
      <c r="AA39" s="3">
        <v>0</v>
      </c>
      <c r="AB39" s="9">
        <f t="shared" si="8"/>
        <v>37.5</v>
      </c>
      <c r="AC39" s="9">
        <f t="shared" si="9"/>
        <v>20</v>
      </c>
      <c r="AD39" s="8">
        <f t="shared" si="10"/>
        <v>80.625</v>
      </c>
      <c r="AE39" s="8"/>
      <c r="AF39" s="9">
        <f t="shared" si="11"/>
        <v>57.5</v>
      </c>
    </row>
    <row r="40" spans="1:32" x14ac:dyDescent="0.25">
      <c r="A40">
        <f t="shared" si="6"/>
        <v>5</v>
      </c>
      <c r="B40" t="s">
        <v>51</v>
      </c>
      <c r="C40" t="s">
        <v>20</v>
      </c>
      <c r="D40">
        <v>25</v>
      </c>
      <c r="E40" t="s">
        <v>18</v>
      </c>
      <c r="F40">
        <v>500</v>
      </c>
      <c r="G40" s="1">
        <v>220000</v>
      </c>
      <c r="H40">
        <v>1576</v>
      </c>
      <c r="I40">
        <v>1870</v>
      </c>
      <c r="J40">
        <v>1</v>
      </c>
      <c r="K40">
        <v>0.22</v>
      </c>
      <c r="L40">
        <v>2.33</v>
      </c>
      <c r="M40">
        <v>2.0690000000000001E-3</v>
      </c>
      <c r="N40">
        <v>0.04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 s="2">
        <v>55</v>
      </c>
      <c r="W40">
        <v>23</v>
      </c>
      <c r="X40" s="7">
        <v>0</v>
      </c>
      <c r="Y40" s="9">
        <v>17</v>
      </c>
      <c r="Z40" s="9">
        <v>10</v>
      </c>
      <c r="AA40" s="3">
        <v>0</v>
      </c>
      <c r="AB40" s="9">
        <f t="shared" si="8"/>
        <v>17</v>
      </c>
      <c r="AC40" s="9">
        <f t="shared" si="9"/>
        <v>10</v>
      </c>
      <c r="AD40" s="8">
        <f t="shared" si="10"/>
        <v>37.950000000000003</v>
      </c>
      <c r="AE40" s="8"/>
      <c r="AF40" s="9">
        <f t="shared" si="11"/>
        <v>27</v>
      </c>
    </row>
    <row r="41" spans="1:32" x14ac:dyDescent="0.25">
      <c r="A41">
        <f t="shared" si="6"/>
        <v>5</v>
      </c>
      <c r="B41" t="s">
        <v>51</v>
      </c>
      <c r="C41" t="s">
        <v>23</v>
      </c>
      <c r="D41">
        <v>25</v>
      </c>
      <c r="E41" t="s">
        <v>18</v>
      </c>
      <c r="F41">
        <v>500</v>
      </c>
      <c r="G41" s="1">
        <v>220000</v>
      </c>
      <c r="H41">
        <v>1576</v>
      </c>
      <c r="I41">
        <v>1870</v>
      </c>
      <c r="J41">
        <v>1</v>
      </c>
      <c r="K41">
        <v>0.22</v>
      </c>
      <c r="L41">
        <v>2.33</v>
      </c>
      <c r="M41">
        <v>5.9000000000000003E-4</v>
      </c>
      <c r="N41">
        <v>0.04</v>
      </c>
      <c r="O41">
        <v>1</v>
      </c>
      <c r="P41">
        <v>0</v>
      </c>
      <c r="Q41">
        <v>0</v>
      </c>
      <c r="R41">
        <v>1</v>
      </c>
      <c r="S41">
        <v>2.9099999999999999E-5</v>
      </c>
      <c r="T41">
        <v>0</v>
      </c>
      <c r="U41">
        <v>5</v>
      </c>
      <c r="V41" s="2">
        <v>12.5</v>
      </c>
      <c r="W41">
        <v>12</v>
      </c>
      <c r="X41" s="7" t="str">
        <f t="shared" si="12"/>
        <v>0</v>
      </c>
      <c r="Y41" s="9"/>
      <c r="Z41" s="9"/>
      <c r="AA41" s="3">
        <v>0</v>
      </c>
      <c r="AB41" s="9">
        <f t="shared" si="8"/>
        <v>0</v>
      </c>
      <c r="AC41" s="9">
        <f t="shared" si="9"/>
        <v>0</v>
      </c>
      <c r="AD41" s="8">
        <f t="shared" si="10"/>
        <v>0</v>
      </c>
      <c r="AE41" s="8"/>
      <c r="AF41" s="9">
        <f t="shared" si="11"/>
        <v>0</v>
      </c>
    </row>
    <row r="42" spans="1:32" x14ac:dyDescent="0.25">
      <c r="A42">
        <f t="shared" si="6"/>
        <v>5</v>
      </c>
      <c r="B42" t="s">
        <v>51</v>
      </c>
      <c r="C42" t="s">
        <v>24</v>
      </c>
      <c r="D42">
        <v>25</v>
      </c>
      <c r="E42" t="s">
        <v>18</v>
      </c>
      <c r="F42">
        <v>500</v>
      </c>
      <c r="G42" s="1">
        <v>220000</v>
      </c>
      <c r="H42">
        <v>1576</v>
      </c>
      <c r="I42">
        <v>1870</v>
      </c>
      <c r="J42">
        <v>1</v>
      </c>
      <c r="K42">
        <v>0.22</v>
      </c>
      <c r="L42">
        <v>2.33</v>
      </c>
      <c r="M42">
        <v>1.9399999999999999E-3</v>
      </c>
      <c r="N42">
        <v>9.9999999999999992E-2</v>
      </c>
      <c r="O42">
        <v>1</v>
      </c>
      <c r="P42">
        <v>0</v>
      </c>
      <c r="Q42">
        <v>0</v>
      </c>
      <c r="R42">
        <v>1</v>
      </c>
      <c r="S42">
        <v>2.9099999999999999E-5</v>
      </c>
      <c r="T42">
        <v>0</v>
      </c>
      <c r="U42">
        <v>5</v>
      </c>
      <c r="V42" s="2">
        <v>82.5</v>
      </c>
      <c r="W42">
        <v>33</v>
      </c>
      <c r="X42" s="7">
        <v>0</v>
      </c>
      <c r="Y42" s="9">
        <v>25</v>
      </c>
      <c r="Z42" s="9">
        <v>10</v>
      </c>
      <c r="AA42" s="3">
        <v>0</v>
      </c>
      <c r="AB42" s="9">
        <f t="shared" si="8"/>
        <v>25</v>
      </c>
      <c r="AC42" s="9">
        <f t="shared" si="9"/>
        <v>10</v>
      </c>
      <c r="AD42" s="8">
        <f t="shared" si="10"/>
        <v>48.75</v>
      </c>
      <c r="AE42" s="8"/>
      <c r="AF42" s="9">
        <f t="shared" si="11"/>
        <v>35</v>
      </c>
    </row>
    <row r="43" spans="1:32" x14ac:dyDescent="0.25">
      <c r="A43">
        <f t="shared" si="6"/>
        <v>5</v>
      </c>
      <c r="B43" t="s">
        <v>51</v>
      </c>
      <c r="C43" t="s">
        <v>25</v>
      </c>
      <c r="D43">
        <v>25</v>
      </c>
      <c r="E43" t="s">
        <v>18</v>
      </c>
      <c r="F43">
        <v>500</v>
      </c>
      <c r="G43" s="1">
        <v>220000</v>
      </c>
      <c r="H43">
        <v>1576</v>
      </c>
      <c r="I43">
        <v>1870</v>
      </c>
      <c r="J43">
        <v>1</v>
      </c>
      <c r="K43">
        <v>0.22</v>
      </c>
      <c r="L43">
        <v>2.33</v>
      </c>
      <c r="M43">
        <v>9.0000000000000008E-4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2.9099999999999999E-5</v>
      </c>
      <c r="T43">
        <v>0</v>
      </c>
      <c r="U43">
        <v>5</v>
      </c>
      <c r="V43" s="2">
        <v>38</v>
      </c>
      <c r="W43">
        <v>18</v>
      </c>
      <c r="X43" s="7" t="str">
        <f t="shared" si="12"/>
        <v>0</v>
      </c>
      <c r="Y43" s="9">
        <v>55</v>
      </c>
      <c r="Z43" s="9">
        <v>23</v>
      </c>
      <c r="AA43" s="3">
        <v>0</v>
      </c>
      <c r="AB43" s="9">
        <f t="shared" si="8"/>
        <v>55</v>
      </c>
      <c r="AC43" s="9">
        <f t="shared" si="9"/>
        <v>23</v>
      </c>
      <c r="AD43" s="8">
        <f t="shared" si="10"/>
        <v>108.75</v>
      </c>
      <c r="AE43" s="8"/>
      <c r="AF43" s="9">
        <f t="shared" si="11"/>
        <v>78</v>
      </c>
    </row>
    <row r="44" spans="1:32" x14ac:dyDescent="0.25">
      <c r="A44">
        <f t="shared" si="6"/>
        <v>5</v>
      </c>
      <c r="B44" t="s">
        <v>51</v>
      </c>
      <c r="C44" t="s">
        <v>26</v>
      </c>
      <c r="D44">
        <v>25</v>
      </c>
      <c r="E44" t="s">
        <v>18</v>
      </c>
      <c r="F44">
        <v>500</v>
      </c>
      <c r="G44" s="1">
        <v>220000</v>
      </c>
      <c r="H44">
        <v>1576</v>
      </c>
      <c r="I44">
        <v>1870</v>
      </c>
      <c r="J44">
        <v>1</v>
      </c>
      <c r="K44">
        <v>0.22</v>
      </c>
      <c r="L44">
        <v>2.33</v>
      </c>
      <c r="M44">
        <v>1.9399999999999999E-3</v>
      </c>
      <c r="N44">
        <v>0.04</v>
      </c>
      <c r="O44">
        <v>1</v>
      </c>
      <c r="P44">
        <v>0</v>
      </c>
      <c r="Q44">
        <v>0</v>
      </c>
      <c r="R44">
        <v>1</v>
      </c>
      <c r="S44">
        <v>2.9099999999999999E-5</v>
      </c>
      <c r="T44">
        <v>0</v>
      </c>
      <c r="U44">
        <v>10</v>
      </c>
      <c r="V44" s="2">
        <v>108.5</v>
      </c>
      <c r="W44">
        <v>39</v>
      </c>
      <c r="X44" s="7">
        <v>0</v>
      </c>
      <c r="Y44" s="9">
        <v>12.5</v>
      </c>
      <c r="Z44" s="9">
        <v>12</v>
      </c>
      <c r="AA44" s="3">
        <v>0</v>
      </c>
      <c r="AB44" s="9">
        <f t="shared" si="8"/>
        <v>12.5</v>
      </c>
      <c r="AC44" s="9">
        <f t="shared" si="9"/>
        <v>12</v>
      </c>
      <c r="AD44" s="8">
        <f t="shared" si="10"/>
        <v>34.875</v>
      </c>
      <c r="AE44" s="8"/>
      <c r="AF44" s="9">
        <f t="shared" si="11"/>
        <v>24.5</v>
      </c>
    </row>
    <row r="45" spans="1:32" x14ac:dyDescent="0.25">
      <c r="A45">
        <f t="shared" si="6"/>
        <v>5</v>
      </c>
      <c r="B45" t="s">
        <v>51</v>
      </c>
      <c r="C45" t="s">
        <v>27</v>
      </c>
      <c r="D45">
        <v>25</v>
      </c>
      <c r="E45" t="s">
        <v>18</v>
      </c>
      <c r="F45">
        <v>500</v>
      </c>
      <c r="G45" s="1">
        <v>220000</v>
      </c>
      <c r="H45">
        <v>1576</v>
      </c>
      <c r="I45">
        <v>1870</v>
      </c>
      <c r="J45">
        <v>1</v>
      </c>
      <c r="K45">
        <v>0.22</v>
      </c>
      <c r="L45">
        <v>2.33</v>
      </c>
      <c r="M45">
        <v>5.9900000000000003E-4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2.9099999999999999E-5</v>
      </c>
      <c r="T45">
        <v>0</v>
      </c>
      <c r="U45">
        <v>5</v>
      </c>
      <c r="V45" s="2">
        <v>35</v>
      </c>
      <c r="W45">
        <v>18</v>
      </c>
      <c r="X45" s="7" t="str">
        <f t="shared" si="12"/>
        <v>0</v>
      </c>
      <c r="Y45" s="9">
        <v>82.5</v>
      </c>
      <c r="Z45" s="9">
        <v>33</v>
      </c>
      <c r="AA45" s="3">
        <v>0</v>
      </c>
      <c r="AB45" s="9">
        <f t="shared" si="8"/>
        <v>82.5</v>
      </c>
      <c r="AC45" s="9">
        <f t="shared" si="9"/>
        <v>33</v>
      </c>
      <c r="AD45" s="8">
        <f t="shared" si="10"/>
        <v>160.875</v>
      </c>
      <c r="AE45" s="8"/>
      <c r="AF45" s="9">
        <f t="shared" si="11"/>
        <v>115.5</v>
      </c>
    </row>
    <row r="46" spans="1:32" x14ac:dyDescent="0.25">
      <c r="A46">
        <f t="shared" si="6"/>
        <v>5</v>
      </c>
      <c r="B46" t="s">
        <v>51</v>
      </c>
      <c r="C46" t="s">
        <v>28</v>
      </c>
      <c r="D46">
        <v>25</v>
      </c>
      <c r="E46" t="s">
        <v>18</v>
      </c>
      <c r="F46">
        <v>500</v>
      </c>
      <c r="G46" s="1">
        <v>220000</v>
      </c>
      <c r="H46">
        <v>1576</v>
      </c>
      <c r="I46">
        <v>1870</v>
      </c>
      <c r="J46">
        <v>1</v>
      </c>
      <c r="K46">
        <v>0.22</v>
      </c>
      <c r="L46">
        <v>2.33</v>
      </c>
      <c r="M46">
        <v>1.9399999999999999E-3</v>
      </c>
      <c r="N46">
        <v>0.04</v>
      </c>
      <c r="O46">
        <v>1</v>
      </c>
      <c r="P46">
        <v>0</v>
      </c>
      <c r="Q46">
        <v>0</v>
      </c>
      <c r="R46">
        <v>1</v>
      </c>
      <c r="S46">
        <v>2.9099999999999999E-5</v>
      </c>
      <c r="T46">
        <v>0</v>
      </c>
      <c r="U46">
        <v>10</v>
      </c>
      <c r="V46" s="2">
        <v>95</v>
      </c>
      <c r="W46">
        <v>35</v>
      </c>
      <c r="X46" s="7">
        <v>0</v>
      </c>
      <c r="Y46" s="9">
        <v>38</v>
      </c>
      <c r="Z46" s="9">
        <v>18</v>
      </c>
      <c r="AA46" s="3">
        <v>0</v>
      </c>
      <c r="AB46" s="9">
        <f t="shared" si="8"/>
        <v>38</v>
      </c>
      <c r="AC46" s="9">
        <f t="shared" si="9"/>
        <v>18</v>
      </c>
      <c r="AD46" s="8">
        <f t="shared" si="10"/>
        <v>78.300000000000011</v>
      </c>
      <c r="AE46" s="8"/>
      <c r="AF46" s="9">
        <f t="shared" si="11"/>
        <v>56</v>
      </c>
    </row>
    <row r="47" spans="1:32" x14ac:dyDescent="0.25">
      <c r="A47">
        <f t="shared" si="6"/>
        <v>5</v>
      </c>
      <c r="B47" t="s">
        <v>51</v>
      </c>
      <c r="C47" t="s">
        <v>29</v>
      </c>
      <c r="D47">
        <v>25</v>
      </c>
      <c r="E47" t="s">
        <v>18</v>
      </c>
      <c r="F47">
        <v>500</v>
      </c>
      <c r="G47" s="1">
        <v>220000</v>
      </c>
      <c r="H47">
        <v>1576</v>
      </c>
      <c r="I47">
        <v>1870</v>
      </c>
      <c r="J47">
        <v>1</v>
      </c>
      <c r="K47">
        <v>0.22</v>
      </c>
      <c r="L47">
        <v>2.33</v>
      </c>
      <c r="M47">
        <v>9.0000000000000008E-4</v>
      </c>
      <c r="N47">
        <v>0.04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>
        <v>5</v>
      </c>
      <c r="V47" s="2">
        <v>27</v>
      </c>
      <c r="W47">
        <v>13</v>
      </c>
      <c r="X47" s="7" t="str">
        <f t="shared" si="12"/>
        <v>0</v>
      </c>
      <c r="Y47" s="9">
        <v>108.5</v>
      </c>
      <c r="Z47" s="9">
        <v>39</v>
      </c>
      <c r="AA47" s="3">
        <v>0</v>
      </c>
      <c r="AB47" s="9">
        <f t="shared" si="8"/>
        <v>108.5</v>
      </c>
      <c r="AC47" s="9">
        <f t="shared" si="9"/>
        <v>39</v>
      </c>
      <c r="AD47" s="8">
        <f t="shared" si="10"/>
        <v>204.97500000000002</v>
      </c>
      <c r="AE47" s="8"/>
      <c r="AF47" s="9">
        <f t="shared" si="11"/>
        <v>147.5</v>
      </c>
    </row>
    <row r="48" spans="1:32" x14ac:dyDescent="0.25">
      <c r="A48">
        <f t="shared" si="6"/>
        <v>5</v>
      </c>
      <c r="B48" t="s">
        <v>51</v>
      </c>
      <c r="D48" s="4">
        <v>25</v>
      </c>
      <c r="E48" s="4" t="s">
        <v>18</v>
      </c>
      <c r="F48" s="4">
        <v>500</v>
      </c>
      <c r="G48" s="5">
        <v>220000</v>
      </c>
      <c r="H48" s="4">
        <v>1576</v>
      </c>
      <c r="I48" s="4">
        <v>1870</v>
      </c>
      <c r="J48" s="4">
        <v>1</v>
      </c>
      <c r="K48" s="4">
        <v>0.2</v>
      </c>
      <c r="L48" s="4">
        <v>2.2000000000000002</v>
      </c>
      <c r="M48" s="4">
        <v>1.0000000000000001E-5</v>
      </c>
      <c r="N48" s="4">
        <v>0.03</v>
      </c>
      <c r="O48" s="4">
        <v>1</v>
      </c>
      <c r="P48" s="4">
        <v>0</v>
      </c>
      <c r="Q48" s="4">
        <v>0</v>
      </c>
      <c r="R48" s="4">
        <v>1</v>
      </c>
      <c r="S48" s="4">
        <v>0</v>
      </c>
      <c r="T48" s="4">
        <v>0</v>
      </c>
      <c r="U48" s="4">
        <v>0</v>
      </c>
      <c r="V48" s="6"/>
      <c r="W48" s="6"/>
      <c r="X48" s="7">
        <v>0</v>
      </c>
      <c r="Y48" s="9"/>
      <c r="Z48" s="9"/>
      <c r="AA48" s="3"/>
      <c r="AB48" s="9"/>
      <c r="AC48" s="9"/>
      <c r="AD48" s="8"/>
      <c r="AE48" s="8"/>
      <c r="AF48" s="9"/>
    </row>
    <row r="49" spans="1:32" x14ac:dyDescent="0.25">
      <c r="A49">
        <f t="shared" si="6"/>
        <v>6</v>
      </c>
      <c r="B49" t="s">
        <v>52</v>
      </c>
      <c r="C49" t="s">
        <v>19</v>
      </c>
      <c r="D49">
        <v>25</v>
      </c>
      <c r="E49" t="s">
        <v>18</v>
      </c>
      <c r="F49">
        <v>500</v>
      </c>
      <c r="G49" s="1">
        <v>220000</v>
      </c>
      <c r="H49">
        <v>1576</v>
      </c>
      <c r="I49">
        <v>1870</v>
      </c>
      <c r="J49">
        <v>1</v>
      </c>
      <c r="K49">
        <v>0.25</v>
      </c>
      <c r="L49">
        <v>2.6</v>
      </c>
      <c r="M49">
        <v>3.3280000000000001E-4</v>
      </c>
      <c r="N49">
        <v>0.04</v>
      </c>
      <c r="O49">
        <v>1</v>
      </c>
      <c r="P49">
        <v>0</v>
      </c>
      <c r="Q49">
        <v>0</v>
      </c>
      <c r="R49">
        <v>1</v>
      </c>
      <c r="S49">
        <v>2.9099999999999999E-5</v>
      </c>
      <c r="T49">
        <v>0</v>
      </c>
      <c r="U49">
        <v>15</v>
      </c>
      <c r="V49" s="2">
        <v>36</v>
      </c>
      <c r="W49">
        <v>13</v>
      </c>
      <c r="X49" s="7" t="str">
        <f t="shared" si="12"/>
        <v>0</v>
      </c>
      <c r="Y49" s="9">
        <v>35</v>
      </c>
      <c r="Z49" s="9">
        <v>18</v>
      </c>
      <c r="AA49" s="3">
        <v>0</v>
      </c>
      <c r="AB49" s="9">
        <f t="shared" si="8"/>
        <v>35</v>
      </c>
      <c r="AC49" s="9">
        <f t="shared" si="9"/>
        <v>18</v>
      </c>
      <c r="AD49" s="8">
        <f t="shared" si="10"/>
        <v>74.25</v>
      </c>
      <c r="AE49" s="8"/>
      <c r="AF49" s="9">
        <f t="shared" si="11"/>
        <v>53</v>
      </c>
    </row>
    <row r="50" spans="1:32" x14ac:dyDescent="0.25">
      <c r="A50">
        <f t="shared" si="6"/>
        <v>6</v>
      </c>
      <c r="B50" t="s">
        <v>52</v>
      </c>
      <c r="C50" t="s">
        <v>20</v>
      </c>
      <c r="D50">
        <v>25</v>
      </c>
      <c r="E50" t="s">
        <v>18</v>
      </c>
      <c r="F50">
        <v>500</v>
      </c>
      <c r="G50" s="1">
        <v>220000</v>
      </c>
      <c r="H50">
        <v>1576</v>
      </c>
      <c r="I50">
        <v>1870</v>
      </c>
      <c r="J50">
        <v>1</v>
      </c>
      <c r="K50">
        <v>0.25</v>
      </c>
      <c r="L50">
        <v>2.6</v>
      </c>
      <c r="M50">
        <v>2.1000000000000003E-3</v>
      </c>
      <c r="N50">
        <v>6.9999999999999993E-2</v>
      </c>
      <c r="O50">
        <v>1</v>
      </c>
      <c r="P50">
        <v>0</v>
      </c>
      <c r="Q50">
        <v>0</v>
      </c>
      <c r="R50">
        <v>1</v>
      </c>
      <c r="S50">
        <v>2.9099999999999999E-5</v>
      </c>
      <c r="T50">
        <v>0</v>
      </c>
      <c r="U50">
        <v>5</v>
      </c>
      <c r="V50" s="2">
        <v>105</v>
      </c>
      <c r="W50">
        <v>34</v>
      </c>
      <c r="X50" s="7">
        <v>0</v>
      </c>
      <c r="Y50" s="9">
        <v>95</v>
      </c>
      <c r="Z50" s="9">
        <v>35</v>
      </c>
      <c r="AA50" s="3">
        <v>0</v>
      </c>
      <c r="AB50" s="9">
        <f t="shared" si="8"/>
        <v>95</v>
      </c>
      <c r="AC50" s="9">
        <f t="shared" si="9"/>
        <v>35</v>
      </c>
      <c r="AD50" s="8">
        <f t="shared" si="10"/>
        <v>180.75</v>
      </c>
      <c r="AE50" s="8"/>
      <c r="AF50" s="9">
        <f t="shared" si="11"/>
        <v>130</v>
      </c>
    </row>
    <row r="51" spans="1:32" x14ac:dyDescent="0.25">
      <c r="A51">
        <f t="shared" si="6"/>
        <v>6</v>
      </c>
      <c r="B51" t="s">
        <v>52</v>
      </c>
      <c r="C51" t="s">
        <v>23</v>
      </c>
      <c r="D51">
        <v>25</v>
      </c>
      <c r="E51" t="s">
        <v>18</v>
      </c>
      <c r="F51">
        <v>500</v>
      </c>
      <c r="G51" s="1">
        <v>220000</v>
      </c>
      <c r="H51">
        <v>1576</v>
      </c>
      <c r="I51">
        <v>1870</v>
      </c>
      <c r="J51">
        <v>1</v>
      </c>
      <c r="K51">
        <v>0.25</v>
      </c>
      <c r="L51">
        <v>2.6</v>
      </c>
      <c r="M51">
        <v>3.3280000000000001E-4</v>
      </c>
      <c r="N51">
        <v>0.04</v>
      </c>
      <c r="O51">
        <v>1</v>
      </c>
      <c r="P51">
        <v>0</v>
      </c>
      <c r="Q51">
        <v>0</v>
      </c>
      <c r="R51">
        <v>1</v>
      </c>
      <c r="S51">
        <v>2.9099999999999999E-5</v>
      </c>
      <c r="T51">
        <v>0</v>
      </c>
      <c r="U51">
        <v>15</v>
      </c>
      <c r="V51" s="2">
        <v>32</v>
      </c>
      <c r="W51">
        <v>15</v>
      </c>
      <c r="X51" s="7" t="str">
        <f t="shared" si="12"/>
        <v>0</v>
      </c>
      <c r="Y51" s="9">
        <v>27</v>
      </c>
      <c r="Z51" s="9">
        <v>13</v>
      </c>
      <c r="AA51" s="3">
        <v>0</v>
      </c>
      <c r="AB51" s="9">
        <f t="shared" si="8"/>
        <v>27</v>
      </c>
      <c r="AC51" s="9">
        <f t="shared" si="9"/>
        <v>13</v>
      </c>
      <c r="AD51" s="8">
        <f t="shared" si="10"/>
        <v>55.95</v>
      </c>
      <c r="AE51" s="8"/>
      <c r="AF51" s="9">
        <f t="shared" si="11"/>
        <v>40</v>
      </c>
    </row>
    <row r="52" spans="1:32" x14ac:dyDescent="0.25">
      <c r="A52">
        <f t="shared" si="6"/>
        <v>6</v>
      </c>
      <c r="B52" t="s">
        <v>52</v>
      </c>
      <c r="C52" t="s">
        <v>24</v>
      </c>
      <c r="D52">
        <v>25</v>
      </c>
      <c r="E52" t="s">
        <v>18</v>
      </c>
      <c r="F52">
        <v>500</v>
      </c>
      <c r="G52" s="1">
        <v>220000</v>
      </c>
      <c r="H52">
        <v>1576</v>
      </c>
      <c r="I52">
        <v>1870</v>
      </c>
      <c r="J52">
        <v>1</v>
      </c>
      <c r="K52">
        <v>0.25</v>
      </c>
      <c r="L52">
        <v>2.6</v>
      </c>
      <c r="M52">
        <v>2.4000000000000002E-3</v>
      </c>
      <c r="N52">
        <v>6.9999999999999993E-2</v>
      </c>
      <c r="O52">
        <v>1</v>
      </c>
      <c r="P52">
        <v>0</v>
      </c>
      <c r="Q52">
        <v>0</v>
      </c>
      <c r="R52">
        <v>1</v>
      </c>
      <c r="S52">
        <v>2.9099999999999999E-5</v>
      </c>
      <c r="T52">
        <v>0</v>
      </c>
      <c r="U52">
        <v>5</v>
      </c>
      <c r="V52" s="2">
        <v>106.5</v>
      </c>
      <c r="W52">
        <v>38</v>
      </c>
      <c r="X52" s="7">
        <v>0</v>
      </c>
      <c r="Y52" s="9"/>
      <c r="Z52" s="9"/>
      <c r="AA52" s="3">
        <v>0</v>
      </c>
      <c r="AB52" s="9">
        <f t="shared" si="8"/>
        <v>0</v>
      </c>
      <c r="AC52" s="9">
        <f t="shared" si="9"/>
        <v>0</v>
      </c>
      <c r="AD52" s="8">
        <f t="shared" si="10"/>
        <v>0</v>
      </c>
      <c r="AE52" s="8"/>
      <c r="AF52" s="9">
        <f t="shared" si="11"/>
        <v>0</v>
      </c>
    </row>
    <row r="53" spans="1:32" x14ac:dyDescent="0.25">
      <c r="A53">
        <f t="shared" si="6"/>
        <v>6</v>
      </c>
      <c r="B53" t="s">
        <v>52</v>
      </c>
      <c r="C53" t="s">
        <v>25</v>
      </c>
      <c r="D53">
        <v>25</v>
      </c>
      <c r="E53" t="s">
        <v>18</v>
      </c>
      <c r="F53">
        <v>500</v>
      </c>
      <c r="G53" s="1">
        <v>220000</v>
      </c>
      <c r="H53">
        <v>1576</v>
      </c>
      <c r="I53">
        <v>1870</v>
      </c>
      <c r="J53">
        <v>1</v>
      </c>
      <c r="K53">
        <v>0.25</v>
      </c>
      <c r="L53">
        <v>2.6</v>
      </c>
      <c r="M53">
        <v>3.3280000000000001E-4</v>
      </c>
      <c r="N53">
        <v>0.04</v>
      </c>
      <c r="O53">
        <v>1</v>
      </c>
      <c r="P53">
        <v>0</v>
      </c>
      <c r="Q53">
        <v>0</v>
      </c>
      <c r="R53">
        <v>1</v>
      </c>
      <c r="S53">
        <v>2.9099999999999999E-5</v>
      </c>
      <c r="T53">
        <v>0</v>
      </c>
      <c r="U53">
        <v>15</v>
      </c>
      <c r="V53" s="2">
        <v>38</v>
      </c>
      <c r="W53">
        <v>17</v>
      </c>
      <c r="X53" s="7" t="str">
        <f t="shared" si="12"/>
        <v>0</v>
      </c>
      <c r="Y53" s="9">
        <v>36</v>
      </c>
      <c r="Z53" s="9">
        <v>13</v>
      </c>
      <c r="AA53" s="3">
        <v>0</v>
      </c>
      <c r="AB53" s="9">
        <f t="shared" si="8"/>
        <v>36</v>
      </c>
      <c r="AC53" s="9">
        <f t="shared" si="9"/>
        <v>13</v>
      </c>
      <c r="AD53" s="8">
        <f t="shared" si="10"/>
        <v>68.099999999999994</v>
      </c>
      <c r="AE53" s="8"/>
      <c r="AF53" s="9">
        <f t="shared" si="11"/>
        <v>49</v>
      </c>
    </row>
    <row r="54" spans="1:32" x14ac:dyDescent="0.25">
      <c r="A54">
        <f t="shared" si="6"/>
        <v>6</v>
      </c>
      <c r="B54" t="s">
        <v>52</v>
      </c>
      <c r="C54" t="s">
        <v>26</v>
      </c>
      <c r="D54">
        <v>25</v>
      </c>
      <c r="E54" t="s">
        <v>18</v>
      </c>
      <c r="F54">
        <v>500</v>
      </c>
      <c r="G54" s="1">
        <v>220000</v>
      </c>
      <c r="H54">
        <v>1576</v>
      </c>
      <c r="I54">
        <v>1870</v>
      </c>
      <c r="J54">
        <v>1</v>
      </c>
      <c r="K54">
        <v>0.25</v>
      </c>
      <c r="L54">
        <v>2.6</v>
      </c>
      <c r="M54">
        <v>2.1000000000000003E-3</v>
      </c>
      <c r="N54">
        <v>8.4999999999999992E-2</v>
      </c>
      <c r="O54">
        <v>1</v>
      </c>
      <c r="P54">
        <v>0</v>
      </c>
      <c r="Q54">
        <v>0</v>
      </c>
      <c r="R54">
        <v>1</v>
      </c>
      <c r="S54">
        <v>2.9099999999999999E-5</v>
      </c>
      <c r="T54">
        <v>0</v>
      </c>
      <c r="U54">
        <v>10</v>
      </c>
      <c r="V54" s="2">
        <v>118.5</v>
      </c>
      <c r="W54">
        <v>42.5</v>
      </c>
      <c r="X54" s="7">
        <v>0</v>
      </c>
      <c r="Y54" s="9">
        <v>105</v>
      </c>
      <c r="Z54" s="9">
        <v>34</v>
      </c>
      <c r="AA54" s="3">
        <v>0</v>
      </c>
      <c r="AB54" s="9">
        <f t="shared" si="8"/>
        <v>105</v>
      </c>
      <c r="AC54" s="9">
        <f t="shared" si="9"/>
        <v>34</v>
      </c>
      <c r="AD54" s="8">
        <f t="shared" si="10"/>
        <v>192.75</v>
      </c>
      <c r="AE54" s="8"/>
      <c r="AF54" s="9">
        <f t="shared" si="11"/>
        <v>139</v>
      </c>
    </row>
    <row r="55" spans="1:32" x14ac:dyDescent="0.25">
      <c r="A55">
        <f t="shared" si="6"/>
        <v>6</v>
      </c>
      <c r="B55" t="s">
        <v>52</v>
      </c>
      <c r="C55" t="s">
        <v>27</v>
      </c>
      <c r="D55">
        <v>25</v>
      </c>
      <c r="E55" t="s">
        <v>18</v>
      </c>
      <c r="F55">
        <v>500</v>
      </c>
      <c r="G55" s="1">
        <v>220000</v>
      </c>
      <c r="H55">
        <v>1576</v>
      </c>
      <c r="I55">
        <v>1870</v>
      </c>
      <c r="J55">
        <v>1</v>
      </c>
      <c r="K55">
        <v>0.25</v>
      </c>
      <c r="L55">
        <v>2.6</v>
      </c>
      <c r="M55">
        <v>3.3280000000000001E-4</v>
      </c>
      <c r="N55">
        <v>0.04</v>
      </c>
      <c r="O55">
        <v>1</v>
      </c>
      <c r="P55">
        <v>0</v>
      </c>
      <c r="Q55">
        <v>0</v>
      </c>
      <c r="R55">
        <v>1</v>
      </c>
      <c r="S55">
        <v>2.9099999999999999E-5</v>
      </c>
      <c r="T55">
        <v>0</v>
      </c>
      <c r="U55">
        <v>15</v>
      </c>
      <c r="V55" s="2">
        <v>41</v>
      </c>
      <c r="W55">
        <v>18</v>
      </c>
      <c r="X55" s="7" t="str">
        <f t="shared" si="12"/>
        <v>0</v>
      </c>
      <c r="Y55" s="9">
        <v>32</v>
      </c>
      <c r="Z55" s="9">
        <v>15</v>
      </c>
      <c r="AA55" s="3">
        <v>0</v>
      </c>
      <c r="AB55" s="9">
        <f t="shared" si="8"/>
        <v>32</v>
      </c>
      <c r="AC55" s="9">
        <f t="shared" si="9"/>
        <v>15</v>
      </c>
      <c r="AD55" s="8">
        <f t="shared" si="10"/>
        <v>65.7</v>
      </c>
      <c r="AE55" s="8"/>
      <c r="AF55" s="9">
        <f t="shared" si="11"/>
        <v>47</v>
      </c>
    </row>
    <row r="56" spans="1:32" x14ac:dyDescent="0.25">
      <c r="A56">
        <f t="shared" si="6"/>
        <v>6</v>
      </c>
      <c r="B56" t="s">
        <v>52</v>
      </c>
      <c r="C56" t="s">
        <v>28</v>
      </c>
      <c r="D56">
        <v>25</v>
      </c>
      <c r="E56" t="s">
        <v>18</v>
      </c>
      <c r="F56">
        <v>500</v>
      </c>
      <c r="G56" s="1">
        <v>220000</v>
      </c>
      <c r="H56">
        <v>1576</v>
      </c>
      <c r="I56">
        <v>1870</v>
      </c>
      <c r="J56">
        <v>1</v>
      </c>
      <c r="K56">
        <v>0.25</v>
      </c>
      <c r="L56">
        <v>2.6</v>
      </c>
      <c r="M56">
        <v>2.1000000000000003E-3</v>
      </c>
      <c r="N56">
        <v>6.9999999999999993E-2</v>
      </c>
      <c r="O56">
        <v>1</v>
      </c>
      <c r="P56">
        <v>0</v>
      </c>
      <c r="Q56">
        <v>0</v>
      </c>
      <c r="R56">
        <v>1</v>
      </c>
      <c r="S56">
        <v>2.9099999999999999E-5</v>
      </c>
      <c r="T56">
        <v>0</v>
      </c>
      <c r="U56">
        <v>10</v>
      </c>
      <c r="V56" s="2">
        <v>118.5</v>
      </c>
      <c r="W56">
        <v>42.5</v>
      </c>
      <c r="X56" s="7">
        <v>0</v>
      </c>
      <c r="Y56" s="9">
        <v>106.5</v>
      </c>
      <c r="Z56" s="9">
        <v>38</v>
      </c>
      <c r="AA56" s="3">
        <v>0</v>
      </c>
      <c r="AB56" s="9">
        <f t="shared" si="8"/>
        <v>106.5</v>
      </c>
      <c r="AC56" s="9">
        <f t="shared" si="9"/>
        <v>38</v>
      </c>
      <c r="AD56" s="8">
        <f t="shared" si="10"/>
        <v>200.77500000000001</v>
      </c>
      <c r="AE56" s="8"/>
      <c r="AF56" s="9">
        <f t="shared" si="11"/>
        <v>144.5</v>
      </c>
    </row>
    <row r="57" spans="1:32" x14ac:dyDescent="0.25">
      <c r="A57">
        <f t="shared" si="6"/>
        <v>6</v>
      </c>
      <c r="B57" t="s">
        <v>52</v>
      </c>
      <c r="C57" t="s">
        <v>29</v>
      </c>
      <c r="D57">
        <v>25</v>
      </c>
      <c r="E57" t="s">
        <v>18</v>
      </c>
      <c r="F57">
        <v>500</v>
      </c>
      <c r="G57" s="1">
        <v>220000</v>
      </c>
      <c r="H57">
        <v>1576</v>
      </c>
      <c r="I57">
        <v>1870</v>
      </c>
      <c r="J57">
        <v>1</v>
      </c>
      <c r="K57">
        <v>0.25</v>
      </c>
      <c r="L57">
        <v>2.6</v>
      </c>
      <c r="M57">
        <v>3.3280000000000001E-4</v>
      </c>
      <c r="N57">
        <v>0.04</v>
      </c>
      <c r="O57">
        <v>1</v>
      </c>
      <c r="P57">
        <v>0</v>
      </c>
      <c r="Q57">
        <v>0</v>
      </c>
      <c r="R57">
        <v>1</v>
      </c>
      <c r="S57">
        <v>2.9099999999999999E-5</v>
      </c>
      <c r="T57">
        <v>0</v>
      </c>
      <c r="U57">
        <v>15</v>
      </c>
      <c r="V57" s="2">
        <v>41</v>
      </c>
      <c r="W57">
        <v>18</v>
      </c>
      <c r="X57" s="7" t="str">
        <f t="shared" si="12"/>
        <v>0</v>
      </c>
      <c r="Y57" s="9">
        <v>38</v>
      </c>
      <c r="Z57" s="9">
        <v>17</v>
      </c>
      <c r="AA57" s="3">
        <v>0</v>
      </c>
      <c r="AB57" s="9">
        <f t="shared" si="8"/>
        <v>38</v>
      </c>
      <c r="AC57" s="9">
        <f t="shared" si="9"/>
        <v>17</v>
      </c>
      <c r="AD57" s="8">
        <f t="shared" si="10"/>
        <v>76.800000000000011</v>
      </c>
      <c r="AE57" s="8"/>
      <c r="AF57" s="9">
        <f t="shared" si="11"/>
        <v>55</v>
      </c>
    </row>
    <row r="58" spans="1:32" x14ac:dyDescent="0.25">
      <c r="A58">
        <f t="shared" si="6"/>
        <v>6</v>
      </c>
      <c r="B58" t="s">
        <v>52</v>
      </c>
      <c r="C58" t="s">
        <v>30</v>
      </c>
      <c r="D58">
        <v>25</v>
      </c>
      <c r="E58" t="s">
        <v>18</v>
      </c>
      <c r="F58">
        <v>500</v>
      </c>
      <c r="G58" s="1">
        <v>220000</v>
      </c>
      <c r="H58">
        <v>1576</v>
      </c>
      <c r="I58">
        <v>1870</v>
      </c>
      <c r="J58">
        <v>1</v>
      </c>
      <c r="K58">
        <v>0.25</v>
      </c>
      <c r="L58">
        <v>2.6</v>
      </c>
      <c r="M58">
        <v>2.4000000000000002E-3</v>
      </c>
      <c r="N58">
        <v>6.9999999999999993E-2</v>
      </c>
      <c r="O58">
        <v>1</v>
      </c>
      <c r="P58">
        <v>0</v>
      </c>
      <c r="Q58">
        <v>0</v>
      </c>
      <c r="R58">
        <v>1</v>
      </c>
      <c r="S58">
        <v>2.9099999999999999E-5</v>
      </c>
      <c r="T58">
        <v>0</v>
      </c>
      <c r="U58">
        <v>5</v>
      </c>
      <c r="V58" s="2">
        <v>118.5</v>
      </c>
      <c r="W58">
        <v>42.5</v>
      </c>
      <c r="X58" s="7">
        <v>0</v>
      </c>
      <c r="Y58" s="9">
        <v>118.5</v>
      </c>
      <c r="Z58" s="9">
        <v>42.5</v>
      </c>
      <c r="AA58" s="3">
        <v>0</v>
      </c>
      <c r="AB58" s="9">
        <f t="shared" si="8"/>
        <v>118.5</v>
      </c>
      <c r="AC58" s="9">
        <f t="shared" si="9"/>
        <v>42.5</v>
      </c>
      <c r="AD58" s="8">
        <f t="shared" si="10"/>
        <v>223.72500000000002</v>
      </c>
      <c r="AE58" s="8"/>
      <c r="AF58" s="9">
        <f t="shared" si="11"/>
        <v>161</v>
      </c>
    </row>
    <row r="59" spans="1:32" x14ac:dyDescent="0.25">
      <c r="A59">
        <f t="shared" si="6"/>
        <v>6</v>
      </c>
      <c r="B59" t="s">
        <v>52</v>
      </c>
      <c r="C59" t="s">
        <v>31</v>
      </c>
      <c r="D59">
        <v>25</v>
      </c>
      <c r="E59" t="s">
        <v>18</v>
      </c>
      <c r="F59">
        <v>500</v>
      </c>
      <c r="G59" s="1">
        <v>220000</v>
      </c>
      <c r="H59">
        <v>1576</v>
      </c>
      <c r="I59">
        <v>1870</v>
      </c>
      <c r="J59">
        <v>1</v>
      </c>
      <c r="K59">
        <v>0.25</v>
      </c>
      <c r="L59">
        <v>2.6</v>
      </c>
      <c r="M59">
        <v>3.3280000000000001E-4</v>
      </c>
      <c r="N59">
        <v>0.04</v>
      </c>
      <c r="O59">
        <v>1</v>
      </c>
      <c r="P59">
        <v>0</v>
      </c>
      <c r="Q59">
        <v>0</v>
      </c>
      <c r="R59">
        <v>1</v>
      </c>
      <c r="S59">
        <v>2.9099999999999999E-5</v>
      </c>
      <c r="T59">
        <v>0</v>
      </c>
      <c r="U59">
        <v>15</v>
      </c>
      <c r="V59" s="2">
        <v>41</v>
      </c>
      <c r="W59">
        <v>18</v>
      </c>
      <c r="X59" s="7" t="str">
        <f t="shared" si="12"/>
        <v>0</v>
      </c>
      <c r="Y59" s="9">
        <v>41</v>
      </c>
      <c r="Z59" s="9">
        <v>18</v>
      </c>
      <c r="AA59" s="3">
        <v>0</v>
      </c>
      <c r="AB59" s="9">
        <f t="shared" si="8"/>
        <v>41</v>
      </c>
      <c r="AC59" s="9">
        <f t="shared" si="9"/>
        <v>18</v>
      </c>
      <c r="AD59" s="8">
        <f t="shared" si="10"/>
        <v>82.35</v>
      </c>
      <c r="AE59" s="8"/>
      <c r="AF59" s="9">
        <f t="shared" si="11"/>
        <v>59</v>
      </c>
    </row>
    <row r="60" spans="1:32" x14ac:dyDescent="0.25">
      <c r="A60">
        <f t="shared" si="6"/>
        <v>6</v>
      </c>
      <c r="B60" t="s">
        <v>52</v>
      </c>
      <c r="C60" t="s">
        <v>45</v>
      </c>
      <c r="D60">
        <v>25</v>
      </c>
      <c r="E60" t="s">
        <v>18</v>
      </c>
      <c r="F60">
        <v>500</v>
      </c>
      <c r="G60" s="1">
        <v>220000</v>
      </c>
      <c r="H60">
        <v>1576</v>
      </c>
      <c r="I60">
        <v>1870</v>
      </c>
      <c r="J60">
        <v>1</v>
      </c>
      <c r="K60">
        <v>0.25</v>
      </c>
      <c r="L60">
        <v>2.6</v>
      </c>
      <c r="M60">
        <v>1.3338E-3</v>
      </c>
      <c r="N60">
        <v>6.9999999999999993E-2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 s="2">
        <v>118.5</v>
      </c>
      <c r="W60">
        <v>42.5</v>
      </c>
      <c r="X60" s="7">
        <v>0</v>
      </c>
      <c r="Y60" s="9">
        <v>118.5</v>
      </c>
      <c r="Z60" s="9">
        <v>42.5</v>
      </c>
      <c r="AA60" s="3">
        <v>0</v>
      </c>
      <c r="AB60" s="9">
        <f t="shared" si="8"/>
        <v>118.5</v>
      </c>
      <c r="AC60" s="9">
        <f t="shared" si="9"/>
        <v>42.5</v>
      </c>
      <c r="AD60" s="8">
        <f t="shared" si="10"/>
        <v>223.72500000000002</v>
      </c>
      <c r="AE60" s="8"/>
      <c r="AF60" s="9">
        <f t="shared" si="11"/>
        <v>161</v>
      </c>
    </row>
    <row r="61" spans="1:32" x14ac:dyDescent="0.25">
      <c r="X61" s="7"/>
      <c r="Y61" s="9"/>
      <c r="Z61" s="9"/>
      <c r="AA61" s="3"/>
      <c r="AB61" s="9"/>
      <c r="AC61" s="9"/>
      <c r="AD61" s="8"/>
      <c r="AE61" s="8"/>
      <c r="AF61" s="9"/>
    </row>
    <row r="62" spans="1:32" x14ac:dyDescent="0.25">
      <c r="X62" s="7"/>
      <c r="Y62" s="9"/>
      <c r="Z62" s="9"/>
      <c r="AA62" s="3"/>
      <c r="AB62" s="9"/>
      <c r="AC62" s="9"/>
      <c r="AD62" s="8"/>
      <c r="AE62" s="8"/>
      <c r="AF62" s="9"/>
    </row>
    <row r="63" spans="1:32" x14ac:dyDescent="0.25">
      <c r="X63" s="7"/>
      <c r="Y63" s="9"/>
      <c r="Z63" s="9"/>
      <c r="AA63" s="3"/>
      <c r="AB63" s="9"/>
      <c r="AC63" s="9"/>
      <c r="AD63" s="8"/>
      <c r="AE63" s="8"/>
      <c r="AF63" s="9"/>
    </row>
    <row r="64" spans="1:32" x14ac:dyDescent="0.25">
      <c r="X64" s="7"/>
      <c r="Y64" s="9"/>
      <c r="Z64" s="9"/>
      <c r="AA64" s="3"/>
      <c r="AB64" s="9"/>
      <c r="AC64" s="9"/>
      <c r="AD64" s="8"/>
      <c r="AE64" s="8"/>
      <c r="AF64" s="9"/>
    </row>
    <row r="65" spans="7:32" x14ac:dyDescent="0.25">
      <c r="V65" s="9"/>
      <c r="W65" s="9"/>
      <c r="X65" s="7"/>
      <c r="Y65" s="9"/>
      <c r="Z65" s="9"/>
      <c r="AA65" s="10"/>
      <c r="AB65" s="9"/>
      <c r="AC65" s="9"/>
      <c r="AD65" s="9"/>
      <c r="AE65" s="9"/>
      <c r="AF65" s="9"/>
    </row>
    <row r="66" spans="7:32" x14ac:dyDescent="0.25">
      <c r="V66" s="9"/>
      <c r="W66" s="9"/>
      <c r="X66" s="7"/>
      <c r="Y66" s="9"/>
      <c r="Z66" s="9"/>
      <c r="AA66" s="10"/>
      <c r="AB66" s="9"/>
      <c r="AC66" s="9"/>
      <c r="AD66" s="9"/>
      <c r="AE66" s="9"/>
      <c r="AF66" s="9"/>
    </row>
    <row r="67" spans="7:32" x14ac:dyDescent="0.25">
      <c r="V67" s="9"/>
      <c r="W67" s="9"/>
      <c r="X67" s="7"/>
      <c r="Y67" s="9"/>
      <c r="Z67" s="9"/>
      <c r="AA67" s="10"/>
      <c r="AB67" s="9"/>
      <c r="AC67" s="9"/>
      <c r="AD67" s="9"/>
      <c r="AE67" s="9"/>
      <c r="AF67" s="9"/>
    </row>
    <row r="68" spans="7:32" x14ac:dyDescent="0.25">
      <c r="G68" s="1"/>
      <c r="V68" s="2"/>
      <c r="W68" s="2"/>
      <c r="Y68" s="9"/>
      <c r="Z68" s="9"/>
      <c r="AA68" s="10"/>
      <c r="AB68" s="9"/>
      <c r="AC68" s="9"/>
      <c r="AD68" s="9"/>
      <c r="AE68" s="9"/>
      <c r="AF68" s="9"/>
    </row>
    <row r="69" spans="7:32" x14ac:dyDescent="0.25">
      <c r="V69" s="9"/>
      <c r="W69" s="9"/>
      <c r="X69" s="7"/>
      <c r="Y69" s="9"/>
      <c r="Z69" s="9"/>
      <c r="AA69" s="10"/>
      <c r="AB69" s="9"/>
      <c r="AC69" s="9"/>
      <c r="AD69" s="9"/>
      <c r="AE69" s="9"/>
      <c r="AF69" s="9"/>
    </row>
    <row r="70" spans="7:32" x14ac:dyDescent="0.25">
      <c r="V70" s="9"/>
      <c r="W70" s="9"/>
      <c r="X70" s="7"/>
      <c r="Y70" s="9"/>
      <c r="Z70" s="9"/>
      <c r="AA70" s="10"/>
      <c r="AB70" s="9"/>
      <c r="AC70" s="9"/>
      <c r="AD70" s="9"/>
      <c r="AE70" s="9"/>
      <c r="AF70" s="9"/>
    </row>
    <row r="71" spans="7:32" x14ac:dyDescent="0.25">
      <c r="G71" s="1"/>
      <c r="V71" s="2"/>
      <c r="W71" s="2"/>
      <c r="Y71" s="9"/>
      <c r="Z71" s="9"/>
      <c r="AA71" s="10"/>
      <c r="AB71" s="9"/>
      <c r="AC71" s="9"/>
      <c r="AD71" s="9"/>
      <c r="AE71" s="9"/>
      <c r="AF71" s="9"/>
    </row>
    <row r="72" spans="7:32" x14ac:dyDescent="0.25">
      <c r="G72" s="1"/>
      <c r="V72" s="2"/>
      <c r="W72" s="2"/>
      <c r="Y72" s="9"/>
      <c r="Z72" s="9"/>
      <c r="AA72" s="10"/>
      <c r="AB72" s="9"/>
      <c r="AC72" s="9"/>
      <c r="AD72" s="9"/>
      <c r="AE72" s="9"/>
      <c r="AF72" s="9"/>
    </row>
    <row r="73" spans="7:32" x14ac:dyDescent="0.25">
      <c r="V73" s="9"/>
      <c r="W73" s="9"/>
      <c r="X73" s="7"/>
      <c r="Y73" s="9"/>
      <c r="Z73" s="9"/>
      <c r="AA73" s="10"/>
      <c r="AB73" s="9"/>
      <c r="AC73" s="9"/>
      <c r="AD73" s="9"/>
      <c r="AE73" s="9"/>
      <c r="AF73" s="9"/>
    </row>
    <row r="74" spans="7:32" x14ac:dyDescent="0.25">
      <c r="V74" s="9"/>
      <c r="W74" s="9"/>
      <c r="X74" s="7"/>
      <c r="Y74" s="9"/>
      <c r="Z74" s="9"/>
      <c r="AA74" s="10"/>
      <c r="AB74" s="9"/>
      <c r="AC74" s="9"/>
      <c r="AD74" s="9"/>
      <c r="AE74" s="9"/>
      <c r="AF74" s="9"/>
    </row>
    <row r="75" spans="7:32" x14ac:dyDescent="0.25">
      <c r="V75" s="9"/>
      <c r="W75" s="9"/>
      <c r="X75" s="7"/>
      <c r="Y75" s="9"/>
      <c r="Z75" s="9"/>
      <c r="AA75" s="10"/>
      <c r="AB75" s="9"/>
      <c r="AC75" s="9"/>
      <c r="AD75" s="9"/>
      <c r="AE75" s="9"/>
      <c r="AF75" s="9"/>
    </row>
    <row r="76" spans="7:32" x14ac:dyDescent="0.25">
      <c r="V76" s="9"/>
      <c r="W76" s="9"/>
      <c r="X76" s="7"/>
      <c r="Y76" s="9"/>
      <c r="Z76" s="9"/>
      <c r="AB76" s="9"/>
      <c r="AC76" s="9"/>
      <c r="AD76" s="9"/>
      <c r="AE76" s="9"/>
      <c r="AF76" s="9"/>
    </row>
    <row r="77" spans="7:32" x14ac:dyDescent="0.25">
      <c r="V77" s="9"/>
      <c r="W77" s="9"/>
      <c r="X77" s="7"/>
      <c r="Y77" s="9"/>
      <c r="Z77" s="9"/>
      <c r="AB77" s="9"/>
      <c r="AC77" s="9"/>
      <c r="AD77" s="9"/>
      <c r="AE77" s="9"/>
      <c r="AF77" s="9"/>
    </row>
    <row r="78" spans="7:32" x14ac:dyDescent="0.25">
      <c r="V78" s="9"/>
      <c r="W78" s="9"/>
      <c r="X78" s="7"/>
      <c r="Y78" s="9"/>
      <c r="Z78" s="9"/>
      <c r="AB78" s="9"/>
      <c r="AC78" s="9"/>
      <c r="AD78" s="9"/>
      <c r="AE78" s="9"/>
      <c r="AF78" s="9"/>
    </row>
    <row r="79" spans="7:32" x14ac:dyDescent="0.25">
      <c r="X79" s="7"/>
      <c r="Y79" s="9"/>
      <c r="Z79" s="9"/>
      <c r="AB79" s="9"/>
      <c r="AC79" s="9"/>
      <c r="AD79" s="9"/>
      <c r="AE79" s="9"/>
      <c r="AF79" s="9"/>
    </row>
    <row r="80" spans="7:32" x14ac:dyDescent="0.25">
      <c r="Y80" s="9"/>
      <c r="Z80" s="9"/>
      <c r="AB80" s="9"/>
      <c r="AC80" s="9"/>
      <c r="AD80" s="9"/>
      <c r="AE80" s="9"/>
      <c r="AF80" s="9"/>
    </row>
  </sheetData>
  <phoneticPr fontId="18" type="noConversion"/>
  <conditionalFormatting sqref="X3:X67">
    <cfRule type="expression" dxfId="1" priority="1">
      <formula>$A3="Travée"</formula>
    </cfRule>
  </conditionalFormatting>
  <conditionalFormatting sqref="X69:X70 X73:X79">
    <cfRule type="expression" dxfId="0" priority="2">
      <formula>$A69="Travée"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MOUTET</cp:lastModifiedBy>
  <dcterms:created xsi:type="dcterms:W3CDTF">2025-10-29T09:04:54Z</dcterms:created>
  <dcterms:modified xsi:type="dcterms:W3CDTF">2025-12-05T16:13:28Z</dcterms:modified>
</cp:coreProperties>
</file>