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0D6B0997-7165-40B2-849F-3DE01DD3B29D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5" i="1" l="1"/>
  <c r="AB35" i="1" s="1"/>
  <c r="Y35" i="1"/>
  <c r="X36" i="1"/>
  <c r="AB36" i="1" s="1"/>
  <c r="Y36" i="1"/>
  <c r="X37" i="1"/>
  <c r="AB37" i="1" s="1"/>
  <c r="Y37" i="1"/>
  <c r="X29" i="1"/>
  <c r="Y29" i="1"/>
  <c r="X30" i="1"/>
  <c r="Y30" i="1"/>
  <c r="X31" i="1"/>
  <c r="Y31" i="1"/>
  <c r="X32" i="1"/>
  <c r="Y32" i="1"/>
  <c r="X33" i="1"/>
  <c r="Y33" i="1"/>
  <c r="X34" i="1"/>
  <c r="Y34" i="1"/>
  <c r="Y2" i="1"/>
  <c r="X2" i="1"/>
  <c r="AB2" i="1" s="1"/>
  <c r="Y28" i="1"/>
  <c r="X25" i="1"/>
  <c r="X21" i="1"/>
  <c r="Y20" i="1"/>
  <c r="X17" i="1"/>
  <c r="X18" i="1"/>
  <c r="Y18" i="1"/>
  <c r="X19" i="1"/>
  <c r="Y19" i="1"/>
  <c r="X20" i="1"/>
  <c r="X22" i="1"/>
  <c r="Y22" i="1"/>
  <c r="X23" i="1"/>
  <c r="Y23" i="1"/>
  <c r="X24" i="1"/>
  <c r="Y24" i="1"/>
  <c r="X26" i="1"/>
  <c r="Y26" i="1"/>
  <c r="X27" i="1"/>
  <c r="Y27" i="1"/>
  <c r="X28" i="1"/>
  <c r="AB34" i="1" l="1"/>
  <c r="AB32" i="1"/>
  <c r="AB33" i="1"/>
  <c r="AB30" i="1"/>
  <c r="AB31" i="1"/>
  <c r="AB29" i="1"/>
  <c r="AB23" i="1"/>
  <c r="AB22" i="1"/>
  <c r="AB24" i="1"/>
  <c r="AB26" i="1"/>
  <c r="AB18" i="1"/>
  <c r="Y25" i="1"/>
  <c r="AB25" i="1" s="1"/>
  <c r="Y17" i="1"/>
  <c r="AB17" i="1" s="1"/>
  <c r="AB27" i="1"/>
  <c r="AB20" i="1"/>
  <c r="AB19" i="1"/>
  <c r="Y21" i="1"/>
  <c r="AB21" i="1" s="1"/>
  <c r="AB28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X14" i="1"/>
  <c r="Y14" i="1"/>
  <c r="X15" i="1"/>
  <c r="Y15" i="1"/>
  <c r="X16" i="1"/>
  <c r="Y16" i="1"/>
  <c r="AB4" i="1" l="1"/>
  <c r="AB16" i="1"/>
  <c r="AB7" i="1"/>
  <c r="AB13" i="1"/>
  <c r="AB11" i="1"/>
  <c r="AB8" i="1"/>
  <c r="AB9" i="1"/>
  <c r="AB14" i="1"/>
  <c r="AB10" i="1"/>
  <c r="AB3" i="1"/>
  <c r="AB15" i="1"/>
  <c r="AB6" i="1"/>
  <c r="AB5" i="1"/>
</calcChain>
</file>

<file path=xl/sharedStrings.xml><?xml version="1.0" encoding="utf-8"?>
<sst xmlns="http://schemas.openxmlformats.org/spreadsheetml/2006/main" count="136" uniqueCount="42">
  <si>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</si>
  <si>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</si>
  <si>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</si>
  <si>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</si>
  <si>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</si>
  <si>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</si>
  <si>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</si>
  <si>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</si>
  <si>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</si>
  <si>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</si>
  <si>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</si>
  <si>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</si>
  <si>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</si>
  <si>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</si>
  <si>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</si>
  <si>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</si>
  <si>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</si>
  <si>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</si>
  <si>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</si>
  <si>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</si>
  <si>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</si>
  <si>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</si>
  <si>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</si>
  <si>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</si>
  <si>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</si>
  <si>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</si>
  <si>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</si>
  <si>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</si>
  <si>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</si>
  <si>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</si>
  <si>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</si>
  <si>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</si>
  <si>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</si>
  <si>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</si>
  <si>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</si>
  <si>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</si>
  <si>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</si>
  <si>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</si>
  <si>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B' - 1</t>
  </si>
  <si>
    <t>File B' - 2</t>
  </si>
  <si>
    <t>File B' - 3</t>
  </si>
  <si>
    <t>File B'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</si>
</sst>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38"/>
  <sheetViews>
    <sheetView tabSelected="1" zoomScale="55" zoomScaleNormal="55" workbookViewId="0">
      <pane xSplit="2" topLeftCell="C1" activePane="topRight" state="frozen"/>
      <selection pane="topRight" activeCell="A31" activeCellId="2" sqref="A11:XFD11 A21:XFD21 A31:XFD31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35</v>
      </c>
      <c r="V1" t="s">
        <v>36</v>
      </c>
      <c r="W1" t="s">
        <v>37</v>
      </c>
      <c r="X1" t="s">
        <v>32</v>
      </c>
      <c r="Y1" t="s">
        <v>34</v>
      </c>
      <c r="Z1" t="s">
        <v>30</v>
      </c>
      <c r="AA1" t="s">
        <v>33</v>
      </c>
      <c r="AB1" t="s">
        <v>31</v>
      </c>
    </row>
    <row r="2" spans="1:39" x14ac:dyDescent="0.35">
      <c r="A2" t="s">
        <v>38</v>
      </c>
      <c r="B2" t="s">
        <v>19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0.23500000000000001</v>
      </c>
      <c r="K2">
        <v>4</v>
      </c>
      <c r="L2">
        <v>5.1200000000000009E-4</v>
      </c>
      <c r="M2">
        <v>0.04</v>
      </c>
      <c r="N2">
        <v>1</v>
      </c>
      <c r="O2">
        <v>0</v>
      </c>
      <c r="P2">
        <v>0</v>
      </c>
      <c r="Q2">
        <v>1</v>
      </c>
      <c r="R2">
        <v>2.9099999999999999E-5</v>
      </c>
      <c r="T2">
        <v>7</v>
      </c>
      <c r="U2" s="2">
        <v>56.256</v>
      </c>
      <c r="V2" s="2">
        <v>17.088000000000001</v>
      </c>
      <c r="W2" s="3">
        <v>0</v>
      </c>
      <c r="X2" s="2">
        <f>U2*(1-W2)</f>
        <v>56.256</v>
      </c>
      <c r="Y2" s="2">
        <f>U2*W2 + V2</f>
        <v>17.088000000000001</v>
      </c>
      <c r="Z2" s="4">
        <v>96</v>
      </c>
      <c r="AA2" s="4"/>
      <c r="AB2" s="2">
        <f>X2+Y2</f>
        <v>73.343999999999994</v>
      </c>
      <c r="AL2" s="2"/>
      <c r="AM2" s="2"/>
    </row>
    <row r="3" spans="1:39" x14ac:dyDescent="0.35">
      <c r="A3" t="s">
        <v>38</v>
      </c>
      <c r="B3" t="s">
        <v>20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0.23500000000000001</v>
      </c>
      <c r="K3">
        <v>4</v>
      </c>
      <c r="L3">
        <v>1.0060000000000002E-3</v>
      </c>
      <c r="M3">
        <v>5.5E-2</v>
      </c>
      <c r="N3">
        <v>1</v>
      </c>
      <c r="O3">
        <v>0</v>
      </c>
      <c r="P3">
        <v>0</v>
      </c>
      <c r="Q3">
        <v>1</v>
      </c>
      <c r="R3">
        <v>0</v>
      </c>
      <c r="T3">
        <v>0</v>
      </c>
      <c r="U3" s="2">
        <v>0.64460000000000006</v>
      </c>
      <c r="V3" s="2">
        <v>0.1958</v>
      </c>
      <c r="W3" s="3">
        <v>0</v>
      </c>
      <c r="X3" s="2">
        <f t="shared" ref="X3:X16" si="0">U3*(1-W3)</f>
        <v>0.64460000000000006</v>
      </c>
      <c r="Y3" s="2">
        <f t="shared" ref="Y3:Y16" si="1">U3*W3 + V3</f>
        <v>0.1958</v>
      </c>
      <c r="Z3" s="4">
        <v>1.1000000000000001</v>
      </c>
      <c r="AA3" s="4"/>
      <c r="AB3">
        <f t="shared" ref="AB3:AB16" si="2">X3+Y3</f>
        <v>0.84040000000000004</v>
      </c>
      <c r="AL3" s="2"/>
      <c r="AM3" s="2"/>
    </row>
    <row r="4" spans="1:39" x14ac:dyDescent="0.35">
      <c r="A4" t="s">
        <v>38</v>
      </c>
      <c r="B4" t="s">
        <v>23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0.23500000000000001</v>
      </c>
      <c r="K4">
        <v>4</v>
      </c>
      <c r="L4">
        <v>2.052E-3</v>
      </c>
      <c r="M4">
        <v>0.04</v>
      </c>
      <c r="N4">
        <v>1</v>
      </c>
      <c r="O4">
        <v>0</v>
      </c>
      <c r="P4">
        <v>0</v>
      </c>
      <c r="Q4">
        <v>1</v>
      </c>
      <c r="R4">
        <v>0</v>
      </c>
      <c r="T4">
        <v>0</v>
      </c>
      <c r="U4" s="2">
        <v>29.253119999999999</v>
      </c>
      <c r="V4" s="2">
        <v>8.8857599999999994</v>
      </c>
      <c r="W4" s="3">
        <v>0</v>
      </c>
      <c r="X4" s="2">
        <f t="shared" si="0"/>
        <v>29.253119999999999</v>
      </c>
      <c r="Y4" s="2">
        <f t="shared" si="1"/>
        <v>8.8857599999999994</v>
      </c>
      <c r="Z4" s="4">
        <v>49.92</v>
      </c>
      <c r="AA4" s="4"/>
      <c r="AB4">
        <f t="shared" si="2"/>
        <v>38.13888</v>
      </c>
      <c r="AL4" s="2"/>
      <c r="AM4" s="2"/>
    </row>
    <row r="5" spans="1:39" x14ac:dyDescent="0.35">
      <c r="A5" t="s">
        <v>38</v>
      </c>
      <c r="B5" t="s">
        <v>24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0.23500000000000001</v>
      </c>
      <c r="K5">
        <v>4</v>
      </c>
      <c r="L5">
        <v>1.0060000000000002E-3</v>
      </c>
      <c r="M5">
        <v>5.5E-2</v>
      </c>
      <c r="N5">
        <v>1</v>
      </c>
      <c r="O5">
        <v>0</v>
      </c>
      <c r="P5">
        <v>0</v>
      </c>
      <c r="Q5">
        <v>1</v>
      </c>
      <c r="R5">
        <v>0</v>
      </c>
      <c r="T5">
        <v>0</v>
      </c>
      <c r="U5" s="2">
        <v>30.296199999999999</v>
      </c>
      <c r="V5" s="2">
        <v>9.2026000000000003</v>
      </c>
      <c r="W5" s="3">
        <v>0</v>
      </c>
      <c r="X5" s="2">
        <f t="shared" si="0"/>
        <v>30.296199999999999</v>
      </c>
      <c r="Y5" s="2">
        <f t="shared" si="1"/>
        <v>9.2026000000000003</v>
      </c>
      <c r="Z5" s="4">
        <v>51.7</v>
      </c>
      <c r="AA5" s="4"/>
      <c r="AB5">
        <f t="shared" si="2"/>
        <v>39.498800000000003</v>
      </c>
      <c r="AL5" s="2"/>
      <c r="AM5" s="2"/>
    </row>
    <row r="6" spans="1:39" x14ac:dyDescent="0.35">
      <c r="A6" t="s">
        <v>38</v>
      </c>
      <c r="B6" t="s">
        <v>25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0.23500000000000001</v>
      </c>
      <c r="K6">
        <v>4.4000000000000004</v>
      </c>
      <c r="L6">
        <v>2.2572E-3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T6">
        <v>0</v>
      </c>
      <c r="U6" s="2">
        <v>78.758399999999995</v>
      </c>
      <c r="V6">
        <v>23.923200000000001</v>
      </c>
      <c r="W6" s="3">
        <v>0</v>
      </c>
      <c r="X6" s="2">
        <f t="shared" si="0"/>
        <v>78.758399999999995</v>
      </c>
      <c r="Y6" s="2">
        <f t="shared" si="1"/>
        <v>23.923200000000001</v>
      </c>
      <c r="Z6" s="4">
        <v>134.4</v>
      </c>
      <c r="AA6" s="4"/>
      <c r="AB6">
        <f t="shared" si="2"/>
        <v>102.6816</v>
      </c>
      <c r="AL6" s="2"/>
    </row>
    <row r="7" spans="1:39" x14ac:dyDescent="0.35">
      <c r="A7" t="s">
        <v>38</v>
      </c>
      <c r="B7" t="s">
        <v>26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0.23500000000000001</v>
      </c>
      <c r="K7">
        <v>4.4000000000000004</v>
      </c>
      <c r="L7">
        <v>1.0060000000000002E-3</v>
      </c>
      <c r="M7">
        <v>5.5E-2</v>
      </c>
      <c r="N7">
        <v>1</v>
      </c>
      <c r="O7">
        <v>0</v>
      </c>
      <c r="P7">
        <v>0</v>
      </c>
      <c r="Q7">
        <v>1</v>
      </c>
      <c r="R7">
        <v>0</v>
      </c>
      <c r="T7">
        <v>0</v>
      </c>
      <c r="U7" s="2">
        <v>50.923400000000001</v>
      </c>
      <c r="V7" s="2">
        <v>15.4682</v>
      </c>
      <c r="W7" s="3">
        <v>0</v>
      </c>
      <c r="X7" s="2">
        <f t="shared" si="0"/>
        <v>50.923400000000001</v>
      </c>
      <c r="Y7" s="2">
        <f t="shared" si="1"/>
        <v>15.4682</v>
      </c>
      <c r="Z7" s="4">
        <v>86.9</v>
      </c>
      <c r="AA7" s="4"/>
      <c r="AB7">
        <f t="shared" si="2"/>
        <v>66.391599999999997</v>
      </c>
      <c r="AL7" s="2"/>
      <c r="AM7" s="2"/>
    </row>
    <row r="8" spans="1:39" x14ac:dyDescent="0.35">
      <c r="A8" t="s">
        <v>38</v>
      </c>
      <c r="B8" t="s">
        <v>27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0.23500000000000001</v>
      </c>
      <c r="K8">
        <v>4.4000000000000004</v>
      </c>
      <c r="L8">
        <v>2.2572E-3</v>
      </c>
      <c r="M8">
        <v>0.04</v>
      </c>
      <c r="N8">
        <v>1</v>
      </c>
      <c r="O8">
        <v>0</v>
      </c>
      <c r="P8">
        <v>0</v>
      </c>
      <c r="Q8">
        <v>1</v>
      </c>
      <c r="R8">
        <v>0</v>
      </c>
      <c r="T8">
        <v>0</v>
      </c>
      <c r="U8" s="2">
        <v>76.508160000000004</v>
      </c>
      <c r="V8">
        <v>23.23968</v>
      </c>
      <c r="W8" s="3">
        <v>0</v>
      </c>
      <c r="X8" s="2">
        <f t="shared" si="0"/>
        <v>76.508160000000004</v>
      </c>
      <c r="Y8" s="2">
        <f t="shared" si="1"/>
        <v>23.23968</v>
      </c>
      <c r="Z8" s="4">
        <v>130.56</v>
      </c>
      <c r="AA8" s="4"/>
      <c r="AB8">
        <f t="shared" si="2"/>
        <v>99.747839999999997</v>
      </c>
      <c r="AL8" s="2"/>
    </row>
    <row r="9" spans="1:39" x14ac:dyDescent="0.35">
      <c r="A9" t="s">
        <v>38</v>
      </c>
      <c r="B9" t="s">
        <v>28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0.23500000000000001</v>
      </c>
      <c r="K9">
        <v>5</v>
      </c>
      <c r="L9">
        <v>1.0060000000000002E-3</v>
      </c>
      <c r="M9">
        <v>5.5E-2</v>
      </c>
      <c r="N9">
        <v>1</v>
      </c>
      <c r="O9">
        <v>0</v>
      </c>
      <c r="P9">
        <v>0</v>
      </c>
      <c r="Q9">
        <v>1</v>
      </c>
      <c r="R9">
        <v>0</v>
      </c>
      <c r="T9">
        <v>0</v>
      </c>
      <c r="U9" s="2">
        <v>33.519199999999998</v>
      </c>
      <c r="V9" s="2">
        <v>10.1816</v>
      </c>
      <c r="W9" s="3">
        <v>0</v>
      </c>
      <c r="X9" s="2">
        <f t="shared" si="0"/>
        <v>33.519199999999998</v>
      </c>
      <c r="Y9" s="2">
        <f t="shared" si="1"/>
        <v>10.1816</v>
      </c>
      <c r="Z9" s="4">
        <v>57.2</v>
      </c>
      <c r="AA9" s="4"/>
      <c r="AB9">
        <f t="shared" si="2"/>
        <v>43.700800000000001</v>
      </c>
      <c r="AL9" s="2"/>
      <c r="AM9" s="2"/>
    </row>
    <row r="10" spans="1:39" x14ac:dyDescent="0.35">
      <c r="A10" t="s">
        <v>38</v>
      </c>
      <c r="B10" t="s">
        <v>29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0.23500000000000001</v>
      </c>
      <c r="K10">
        <v>5</v>
      </c>
      <c r="L10">
        <v>2.565E-3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0</v>
      </c>
      <c r="T10">
        <v>0</v>
      </c>
      <c r="U10" s="2">
        <v>82.508800000000008</v>
      </c>
      <c r="V10" s="2">
        <v>25.0624</v>
      </c>
      <c r="W10" s="3">
        <v>0</v>
      </c>
      <c r="X10" s="2">
        <f t="shared" si="0"/>
        <v>82.508800000000008</v>
      </c>
      <c r="Y10" s="2">
        <f t="shared" si="1"/>
        <v>25.0624</v>
      </c>
      <c r="Z10" s="4">
        <v>140.80000000000001</v>
      </c>
      <c r="AA10" s="4"/>
      <c r="AB10">
        <f t="shared" si="2"/>
        <v>107.5712</v>
      </c>
      <c r="AL10" s="2"/>
      <c r="AM10" s="2"/>
    </row>
    <row r="11" spans="1:39" x14ac:dyDescent="0.35">
      <c r="A11" t="s">
        <v>39</v>
      </c>
      <c r="B11" t="s">
        <v>19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0.23500000000000001</v>
      </c>
      <c r="K11">
        <v>2</v>
      </c>
      <c r="L11">
        <v>5.1400000000000003E-4</v>
      </c>
      <c r="M11">
        <v>0.04</v>
      </c>
      <c r="N11">
        <v>1</v>
      </c>
      <c r="O11">
        <v>0</v>
      </c>
      <c r="P11">
        <v>0</v>
      </c>
      <c r="Q11">
        <v>1</v>
      </c>
      <c r="R11">
        <v>2.9099999999999999E-5</v>
      </c>
      <c r="T11">
        <v>5</v>
      </c>
      <c r="U11" s="2">
        <v>42.754560000000005</v>
      </c>
      <c r="V11" s="2">
        <v>12.986880000000001</v>
      </c>
      <c r="W11" s="3">
        <v>0</v>
      </c>
      <c r="X11" s="2">
        <f t="shared" si="0"/>
        <v>42.754560000000005</v>
      </c>
      <c r="Y11" s="2">
        <f t="shared" si="1"/>
        <v>12.986880000000001</v>
      </c>
      <c r="Z11" s="4">
        <v>72.960000000000008</v>
      </c>
      <c r="AA11" s="4"/>
      <c r="AB11">
        <f t="shared" si="2"/>
        <v>55.741440000000004</v>
      </c>
      <c r="AL11" s="2"/>
      <c r="AM11" s="2"/>
    </row>
    <row r="12" spans="1:39" x14ac:dyDescent="0.35">
      <c r="A12" t="s">
        <v>39</v>
      </c>
      <c r="B12" t="s">
        <v>20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0.23500000000000001</v>
      </c>
      <c r="K12">
        <v>2</v>
      </c>
      <c r="L12">
        <v>1.0060000000000002E-3</v>
      </c>
      <c r="M12">
        <v>5.5E-2</v>
      </c>
      <c r="N12">
        <v>1</v>
      </c>
      <c r="O12">
        <v>0</v>
      </c>
      <c r="P12">
        <v>0</v>
      </c>
      <c r="Q12">
        <v>1</v>
      </c>
      <c r="R12">
        <v>0</v>
      </c>
      <c r="T12">
        <v>0</v>
      </c>
      <c r="U12" s="2">
        <v>30.296199999999999</v>
      </c>
      <c r="V12" s="2">
        <v>9.2026000000000003</v>
      </c>
      <c r="W12" s="3">
        <v>0</v>
      </c>
      <c r="X12" s="2">
        <f t="shared" si="0"/>
        <v>30.296199999999999</v>
      </c>
      <c r="Y12" s="2">
        <f t="shared" si="1"/>
        <v>9.2026000000000003</v>
      </c>
      <c r="Z12" s="4">
        <v>51.7</v>
      </c>
      <c r="AA12" s="4"/>
      <c r="AB12">
        <f t="shared" si="2"/>
        <v>39.498800000000003</v>
      </c>
      <c r="AL12" s="2"/>
    </row>
    <row r="13" spans="1:39" x14ac:dyDescent="0.35">
      <c r="A13" t="s">
        <v>39</v>
      </c>
      <c r="B13" t="s">
        <v>23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0.23500000000000001</v>
      </c>
      <c r="K13">
        <v>2</v>
      </c>
      <c r="L13">
        <v>1.0280000000000001E-3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T13">
        <v>0</v>
      </c>
      <c r="U13" s="2">
        <v>0.75007999999999997</v>
      </c>
      <c r="V13">
        <v>0.22783999999999999</v>
      </c>
      <c r="W13" s="3">
        <v>0</v>
      </c>
      <c r="X13" s="2">
        <f t="shared" si="0"/>
        <v>0.75007999999999997</v>
      </c>
      <c r="Y13" s="2">
        <f t="shared" si="1"/>
        <v>0.22783999999999999</v>
      </c>
      <c r="Z13" s="4">
        <v>1.28</v>
      </c>
      <c r="AA13" s="4"/>
      <c r="AB13">
        <f t="shared" si="2"/>
        <v>0.9779199999999999</v>
      </c>
      <c r="AL13" s="2"/>
    </row>
    <row r="14" spans="1:39" x14ac:dyDescent="0.35">
      <c r="A14" t="s">
        <v>39</v>
      </c>
      <c r="B14" t="s">
        <v>24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0.23500000000000001</v>
      </c>
      <c r="K14">
        <v>2</v>
      </c>
      <c r="L14">
        <v>1.01E-3</v>
      </c>
      <c r="M14">
        <v>5.5E-2</v>
      </c>
      <c r="N14">
        <v>1</v>
      </c>
      <c r="O14">
        <v>0</v>
      </c>
      <c r="P14">
        <v>0</v>
      </c>
      <c r="Q14">
        <v>1</v>
      </c>
      <c r="R14">
        <v>0</v>
      </c>
      <c r="T14">
        <v>0</v>
      </c>
      <c r="U14" s="2">
        <v>36.742199999999997</v>
      </c>
      <c r="V14">
        <v>11.160600000000001</v>
      </c>
      <c r="W14" s="3">
        <v>0</v>
      </c>
      <c r="X14" s="2">
        <f t="shared" si="0"/>
        <v>36.742199999999997</v>
      </c>
      <c r="Y14" s="2">
        <f t="shared" si="1"/>
        <v>11.160600000000001</v>
      </c>
      <c r="Z14" s="4">
        <v>62.7</v>
      </c>
      <c r="AA14" s="4"/>
      <c r="AB14">
        <f t="shared" si="2"/>
        <v>47.902799999999999</v>
      </c>
      <c r="AL14" s="2"/>
    </row>
    <row r="15" spans="1:39" x14ac:dyDescent="0.35">
      <c r="A15" t="s">
        <v>39</v>
      </c>
      <c r="B15" t="s">
        <v>25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0.23500000000000001</v>
      </c>
      <c r="K15">
        <v>2</v>
      </c>
      <c r="L15">
        <v>7.7000000000000007E-4</v>
      </c>
      <c r="M15">
        <v>0.04</v>
      </c>
      <c r="N15">
        <v>1</v>
      </c>
      <c r="O15">
        <v>0</v>
      </c>
      <c r="P15">
        <v>0</v>
      </c>
      <c r="Q15">
        <v>1</v>
      </c>
      <c r="R15">
        <v>0</v>
      </c>
      <c r="T15">
        <v>0</v>
      </c>
      <c r="U15" s="2">
        <v>41.254400000000004</v>
      </c>
      <c r="V15">
        <v>12.5312</v>
      </c>
      <c r="W15" s="3">
        <v>0</v>
      </c>
      <c r="X15" s="2">
        <f t="shared" si="0"/>
        <v>41.254400000000004</v>
      </c>
      <c r="Y15" s="2">
        <f t="shared" si="1"/>
        <v>12.5312</v>
      </c>
      <c r="Z15" s="4">
        <v>70.400000000000006</v>
      </c>
      <c r="AA15" s="4"/>
      <c r="AB15">
        <f t="shared" si="2"/>
        <v>53.785600000000002</v>
      </c>
      <c r="AL15" s="2"/>
    </row>
    <row r="16" spans="1:39" x14ac:dyDescent="0.35">
      <c r="A16" t="s">
        <v>39</v>
      </c>
      <c r="B16" t="s">
        <v>26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0.23500000000000001</v>
      </c>
      <c r="K16">
        <v>2</v>
      </c>
      <c r="L16">
        <v>1.01E-3</v>
      </c>
      <c r="M16">
        <v>5.5E-2</v>
      </c>
      <c r="N16">
        <v>1</v>
      </c>
      <c r="O16">
        <v>0</v>
      </c>
      <c r="P16">
        <v>0</v>
      </c>
      <c r="Q16">
        <v>1</v>
      </c>
      <c r="R16">
        <v>2.9099999999999999E-5</v>
      </c>
      <c r="T16">
        <v>5</v>
      </c>
      <c r="U16" s="2">
        <v>52.212600000000002</v>
      </c>
      <c r="V16">
        <v>15.8598</v>
      </c>
      <c r="W16" s="3">
        <v>0</v>
      </c>
      <c r="X16" s="2">
        <f t="shared" si="0"/>
        <v>52.212600000000002</v>
      </c>
      <c r="Y16" s="2">
        <f t="shared" si="1"/>
        <v>15.8598</v>
      </c>
      <c r="Z16" s="4">
        <v>89.100000000000009</v>
      </c>
      <c r="AA16" s="4"/>
      <c r="AB16">
        <f t="shared" si="2"/>
        <v>68.072400000000002</v>
      </c>
      <c r="AL16" s="2"/>
    </row>
    <row r="17" spans="1:28" x14ac:dyDescent="0.35">
      <c r="A17" t="s">
        <v>39</v>
      </c>
      <c r="B17" t="s">
        <v>27</v>
      </c>
      <c r="C17">
        <v>25</v>
      </c>
      <c r="D17" t="s">
        <v>18</v>
      </c>
      <c r="E17">
        <v>500</v>
      </c>
      <c r="F17">
        <v>220000</v>
      </c>
      <c r="G17">
        <v>1576</v>
      </c>
      <c r="H17">
        <v>1870</v>
      </c>
      <c r="I17">
        <v>1</v>
      </c>
      <c r="J17">
        <v>0.23500000000000001</v>
      </c>
      <c r="K17">
        <v>1.5</v>
      </c>
      <c r="L17">
        <v>3.86E-4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2.9099999999999999E-5</v>
      </c>
      <c r="T17">
        <v>5</v>
      </c>
      <c r="U17" s="2">
        <v>32.253439999999998</v>
      </c>
      <c r="V17">
        <v>9.7971199999999996</v>
      </c>
      <c r="W17" s="5">
        <v>0</v>
      </c>
      <c r="X17" s="2">
        <f t="shared" ref="X17:X28" si="3">U17*(1-W17)</f>
        <v>32.253439999999998</v>
      </c>
      <c r="Y17" s="2">
        <f t="shared" ref="Y17:Y28" si="4">U17*W17 + V17</f>
        <v>9.7971199999999996</v>
      </c>
      <c r="Z17" s="4">
        <v>55.04</v>
      </c>
      <c r="AA17" s="4"/>
      <c r="AB17">
        <f t="shared" ref="AB17:AB37" si="5">X17+Y17</f>
        <v>42.050559999999997</v>
      </c>
    </row>
    <row r="18" spans="1:28" x14ac:dyDescent="0.35">
      <c r="A18" t="s">
        <v>39</v>
      </c>
      <c r="B18" t="s">
        <v>28</v>
      </c>
      <c r="C18">
        <v>25</v>
      </c>
      <c r="D18" t="s">
        <v>18</v>
      </c>
      <c r="E18">
        <v>500</v>
      </c>
      <c r="F18">
        <v>220000</v>
      </c>
      <c r="G18">
        <v>1576</v>
      </c>
      <c r="H18">
        <v>1870</v>
      </c>
      <c r="I18">
        <v>1</v>
      </c>
      <c r="J18">
        <v>0.23500000000000001</v>
      </c>
      <c r="K18">
        <v>1.5</v>
      </c>
      <c r="L18">
        <v>7.5450000000000007E-4</v>
      </c>
      <c r="M18">
        <v>5.5E-2</v>
      </c>
      <c r="N18">
        <v>1</v>
      </c>
      <c r="O18">
        <v>0</v>
      </c>
      <c r="P18">
        <v>0</v>
      </c>
      <c r="Q18">
        <v>1</v>
      </c>
      <c r="R18">
        <v>0</v>
      </c>
      <c r="T18">
        <v>0</v>
      </c>
      <c r="U18" s="2">
        <v>38.675999999999995</v>
      </c>
      <c r="V18">
        <v>11.747999999999999</v>
      </c>
      <c r="W18" s="5">
        <v>0</v>
      </c>
      <c r="X18" s="2">
        <f t="shared" si="3"/>
        <v>38.675999999999995</v>
      </c>
      <c r="Y18" s="2">
        <f t="shared" si="4"/>
        <v>11.747999999999999</v>
      </c>
      <c r="Z18" s="4">
        <v>66</v>
      </c>
      <c r="AA18" s="4"/>
      <c r="AB18">
        <f t="shared" si="5"/>
        <v>50.423999999999992</v>
      </c>
    </row>
    <row r="19" spans="1:28" x14ac:dyDescent="0.35">
      <c r="A19" t="s">
        <v>39</v>
      </c>
      <c r="B19" t="s">
        <v>29</v>
      </c>
      <c r="C19">
        <v>25</v>
      </c>
      <c r="D19" t="s">
        <v>18</v>
      </c>
      <c r="E19">
        <v>500</v>
      </c>
      <c r="F19">
        <v>220000</v>
      </c>
      <c r="G19">
        <v>1576</v>
      </c>
      <c r="H19">
        <v>1870</v>
      </c>
      <c r="I19">
        <v>1</v>
      </c>
      <c r="J19">
        <v>0.23500000000000001</v>
      </c>
      <c r="K19">
        <v>1.5</v>
      </c>
      <c r="L19">
        <v>5.7750000000000011E-4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T19">
        <v>0</v>
      </c>
      <c r="U19">
        <v>21.752319999999997</v>
      </c>
      <c r="V19">
        <v>6.607359999999999</v>
      </c>
      <c r="W19" s="5">
        <v>0</v>
      </c>
      <c r="X19" s="2">
        <f t="shared" si="3"/>
        <v>21.752319999999997</v>
      </c>
      <c r="Y19" s="2">
        <f t="shared" si="4"/>
        <v>6.607359999999999</v>
      </c>
      <c r="Z19" s="4">
        <v>37.119999999999997</v>
      </c>
      <c r="AA19" s="4"/>
      <c r="AB19">
        <f t="shared" si="5"/>
        <v>28.359679999999997</v>
      </c>
    </row>
    <row r="20" spans="1:28" x14ac:dyDescent="0.35">
      <c r="A20" t="s">
        <v>40</v>
      </c>
      <c r="B20" t="s">
        <v>19</v>
      </c>
      <c r="C20">
        <v>25</v>
      </c>
      <c r="D20" t="s">
        <v>18</v>
      </c>
      <c r="E20">
        <v>500</v>
      </c>
      <c r="F20">
        <v>220000</v>
      </c>
      <c r="G20">
        <v>1576</v>
      </c>
      <c r="H20">
        <v>1870</v>
      </c>
      <c r="I20">
        <v>1</v>
      </c>
      <c r="J20">
        <v>0.23500000000000001</v>
      </c>
      <c r="K20">
        <v>2.5</v>
      </c>
      <c r="L20">
        <v>6.4250000000000006E-4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T20">
        <v>0</v>
      </c>
      <c r="U20">
        <v>34.503680000000003</v>
      </c>
      <c r="V20">
        <v>10.480639999999999</v>
      </c>
      <c r="W20" s="5">
        <v>0</v>
      </c>
      <c r="X20" s="2">
        <f t="shared" si="3"/>
        <v>34.503680000000003</v>
      </c>
      <c r="Y20" s="2">
        <f t="shared" si="4"/>
        <v>10.480639999999999</v>
      </c>
      <c r="Z20" s="4">
        <v>58.88</v>
      </c>
      <c r="AA20" s="4"/>
      <c r="AB20">
        <f t="shared" si="5"/>
        <v>44.984320000000004</v>
      </c>
    </row>
    <row r="21" spans="1:28" x14ac:dyDescent="0.35">
      <c r="A21" t="s">
        <v>40</v>
      </c>
      <c r="B21" t="s">
        <v>20</v>
      </c>
      <c r="C21">
        <v>25</v>
      </c>
      <c r="D21" t="s">
        <v>18</v>
      </c>
      <c r="E21">
        <v>500</v>
      </c>
      <c r="F21">
        <v>220000</v>
      </c>
      <c r="G21">
        <v>1576</v>
      </c>
      <c r="H21">
        <v>1870</v>
      </c>
      <c r="I21">
        <v>1</v>
      </c>
      <c r="J21">
        <v>0.23500000000000001</v>
      </c>
      <c r="K21">
        <v>2</v>
      </c>
      <c r="L21">
        <v>1.0060000000000002E-3</v>
      </c>
      <c r="M21">
        <v>5.5E-2</v>
      </c>
      <c r="N21">
        <v>1</v>
      </c>
      <c r="O21">
        <v>0</v>
      </c>
      <c r="P21">
        <v>0</v>
      </c>
      <c r="Q21">
        <v>1</v>
      </c>
      <c r="R21">
        <v>0</v>
      </c>
      <c r="T21">
        <v>0</v>
      </c>
      <c r="U21">
        <v>22.561</v>
      </c>
      <c r="V21">
        <v>6.8529999999999998</v>
      </c>
      <c r="W21" s="5">
        <v>0</v>
      </c>
      <c r="X21" s="2">
        <f t="shared" si="3"/>
        <v>22.561</v>
      </c>
      <c r="Y21" s="2">
        <f t="shared" si="4"/>
        <v>6.8529999999999998</v>
      </c>
      <c r="Z21" s="4">
        <v>38.5</v>
      </c>
      <c r="AA21" s="4"/>
      <c r="AB21">
        <f t="shared" si="5"/>
        <v>29.414000000000001</v>
      </c>
    </row>
    <row r="22" spans="1:28" x14ac:dyDescent="0.35">
      <c r="A22" t="s">
        <v>40</v>
      </c>
      <c r="B22" t="s">
        <v>23</v>
      </c>
      <c r="C22">
        <v>25</v>
      </c>
      <c r="D22" t="s">
        <v>18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0.23500000000000001</v>
      </c>
      <c r="K22">
        <v>2</v>
      </c>
      <c r="L22">
        <v>1.0300000000000001E-3</v>
      </c>
      <c r="M22">
        <v>0.04</v>
      </c>
      <c r="N22">
        <v>1</v>
      </c>
      <c r="O22">
        <v>0</v>
      </c>
      <c r="P22">
        <v>0</v>
      </c>
      <c r="Q22">
        <v>1</v>
      </c>
      <c r="R22">
        <v>0</v>
      </c>
      <c r="T22">
        <v>0</v>
      </c>
      <c r="U22">
        <v>0.75007999999999997</v>
      </c>
      <c r="V22">
        <v>0.22783999999999999</v>
      </c>
      <c r="W22" s="5">
        <v>0</v>
      </c>
      <c r="X22" s="2">
        <f t="shared" si="3"/>
        <v>0.75007999999999997</v>
      </c>
      <c r="Y22" s="2">
        <f t="shared" si="4"/>
        <v>0.22783999999999999</v>
      </c>
      <c r="Z22" s="4">
        <v>1.28</v>
      </c>
      <c r="AA22" s="4"/>
      <c r="AB22">
        <f t="shared" si="5"/>
        <v>0.9779199999999999</v>
      </c>
    </row>
    <row r="23" spans="1:28" x14ac:dyDescent="0.35">
      <c r="A23" t="s">
        <v>40</v>
      </c>
      <c r="B23" t="s">
        <v>24</v>
      </c>
      <c r="C23">
        <v>25</v>
      </c>
      <c r="D23" t="s">
        <v>18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0.23500000000000001</v>
      </c>
      <c r="K23">
        <v>2</v>
      </c>
      <c r="L23">
        <v>1.0060000000000002E-3</v>
      </c>
      <c r="M23">
        <v>5.5E-2</v>
      </c>
      <c r="N23">
        <v>1</v>
      </c>
      <c r="O23">
        <v>0</v>
      </c>
      <c r="P23">
        <v>0</v>
      </c>
      <c r="Q23">
        <v>1</v>
      </c>
      <c r="R23">
        <v>0</v>
      </c>
      <c r="T23">
        <v>0</v>
      </c>
      <c r="U23">
        <v>32.874600000000001</v>
      </c>
      <c r="V23">
        <v>9.9857999999999993</v>
      </c>
      <c r="W23" s="5">
        <v>0</v>
      </c>
      <c r="X23" s="2">
        <f t="shared" si="3"/>
        <v>32.874600000000001</v>
      </c>
      <c r="Y23" s="2">
        <f t="shared" si="4"/>
        <v>9.9857999999999993</v>
      </c>
      <c r="Z23" s="4">
        <v>56.1</v>
      </c>
      <c r="AA23" s="4"/>
      <c r="AB23">
        <f t="shared" si="5"/>
        <v>42.860399999999998</v>
      </c>
    </row>
    <row r="24" spans="1:28" x14ac:dyDescent="0.35">
      <c r="A24" t="s">
        <v>40</v>
      </c>
      <c r="B24" t="s">
        <v>25</v>
      </c>
      <c r="C24">
        <v>25</v>
      </c>
      <c r="D24" t="s">
        <v>18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0.23500000000000001</v>
      </c>
      <c r="K24">
        <v>2</v>
      </c>
      <c r="L24">
        <v>7.7000000000000007E-4</v>
      </c>
      <c r="M24">
        <v>0.04</v>
      </c>
      <c r="N24">
        <v>1</v>
      </c>
      <c r="O24">
        <v>0</v>
      </c>
      <c r="P24">
        <v>0</v>
      </c>
      <c r="Q24">
        <v>1</v>
      </c>
      <c r="R24">
        <v>2.9099999999999999E-5</v>
      </c>
      <c r="T24">
        <v>5</v>
      </c>
      <c r="U24">
        <v>42.004480000000001</v>
      </c>
      <c r="V24">
        <v>12.759040000000001</v>
      </c>
      <c r="W24" s="5">
        <v>0</v>
      </c>
      <c r="X24" s="2">
        <f t="shared" si="3"/>
        <v>42.004480000000001</v>
      </c>
      <c r="Y24" s="2">
        <f t="shared" si="4"/>
        <v>12.759040000000001</v>
      </c>
      <c r="Z24" s="4">
        <v>71.680000000000007</v>
      </c>
      <c r="AA24" s="4"/>
      <c r="AB24">
        <f t="shared" si="5"/>
        <v>54.76352</v>
      </c>
    </row>
    <row r="25" spans="1:28" x14ac:dyDescent="0.35">
      <c r="A25" t="s">
        <v>40</v>
      </c>
      <c r="B25" t="s">
        <v>26</v>
      </c>
      <c r="C25">
        <v>25</v>
      </c>
      <c r="D25" t="s">
        <v>18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0.23500000000000001</v>
      </c>
      <c r="K25">
        <v>2</v>
      </c>
      <c r="L25">
        <v>1.01E-3</v>
      </c>
      <c r="M25">
        <v>5.5E-2</v>
      </c>
      <c r="N25">
        <v>1</v>
      </c>
      <c r="O25">
        <v>0</v>
      </c>
      <c r="P25">
        <v>0</v>
      </c>
      <c r="Q25">
        <v>1</v>
      </c>
      <c r="R25">
        <v>0</v>
      </c>
      <c r="T25">
        <v>0</v>
      </c>
      <c r="U25">
        <v>50.923400000000001</v>
      </c>
      <c r="V25">
        <v>15.4682</v>
      </c>
      <c r="W25" s="5">
        <v>0</v>
      </c>
      <c r="X25" s="2">
        <f t="shared" si="3"/>
        <v>50.923400000000001</v>
      </c>
      <c r="Y25" s="2">
        <f t="shared" si="4"/>
        <v>15.4682</v>
      </c>
      <c r="Z25" s="4">
        <v>86.9</v>
      </c>
      <c r="AA25" s="4"/>
      <c r="AB25">
        <f t="shared" si="5"/>
        <v>66.391599999999997</v>
      </c>
    </row>
    <row r="26" spans="1:28" x14ac:dyDescent="0.35">
      <c r="A26" t="s">
        <v>40</v>
      </c>
      <c r="B26" t="s">
        <v>27</v>
      </c>
      <c r="C26">
        <v>25</v>
      </c>
      <c r="D26" t="s">
        <v>18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0.23500000000000001</v>
      </c>
      <c r="K26">
        <v>2</v>
      </c>
      <c r="L26">
        <v>5.1400000000000003E-4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2.9099999999999999E-5</v>
      </c>
      <c r="T26">
        <v>5</v>
      </c>
      <c r="U26">
        <v>36.003839999999997</v>
      </c>
      <c r="V26">
        <v>10.936319999999998</v>
      </c>
      <c r="W26" s="5">
        <v>0</v>
      </c>
      <c r="X26" s="2">
        <f t="shared" si="3"/>
        <v>36.003839999999997</v>
      </c>
      <c r="Y26" s="2">
        <f t="shared" si="4"/>
        <v>10.936319999999998</v>
      </c>
      <c r="Z26" s="4">
        <v>61.44</v>
      </c>
      <c r="AA26" s="4"/>
      <c r="AB26">
        <f t="shared" si="5"/>
        <v>46.940159999999992</v>
      </c>
    </row>
    <row r="27" spans="1:28" x14ac:dyDescent="0.35">
      <c r="A27" t="s">
        <v>40</v>
      </c>
      <c r="B27" t="s">
        <v>28</v>
      </c>
      <c r="C27">
        <v>25</v>
      </c>
      <c r="D27" t="s">
        <v>18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0.23500000000000001</v>
      </c>
      <c r="K27">
        <v>2</v>
      </c>
      <c r="L27">
        <v>1.01E-3</v>
      </c>
      <c r="M27">
        <v>5.5E-2</v>
      </c>
      <c r="N27">
        <v>1</v>
      </c>
      <c r="O27">
        <v>0</v>
      </c>
      <c r="P27">
        <v>0</v>
      </c>
      <c r="Q27">
        <v>1</v>
      </c>
      <c r="R27">
        <v>0</v>
      </c>
      <c r="T27">
        <v>0</v>
      </c>
      <c r="U27">
        <v>38.031399999999998</v>
      </c>
      <c r="V27">
        <v>11.552200000000001</v>
      </c>
      <c r="W27" s="5">
        <v>0</v>
      </c>
      <c r="X27" s="2">
        <f t="shared" si="3"/>
        <v>38.031399999999998</v>
      </c>
      <c r="Y27" s="2">
        <f t="shared" si="4"/>
        <v>11.552200000000001</v>
      </c>
      <c r="Z27" s="4">
        <v>64.900000000000006</v>
      </c>
      <c r="AA27" s="4"/>
      <c r="AB27">
        <f t="shared" si="5"/>
        <v>49.583599999999997</v>
      </c>
    </row>
    <row r="28" spans="1:28" x14ac:dyDescent="0.35">
      <c r="A28" t="s">
        <v>40</v>
      </c>
      <c r="B28" t="s">
        <v>29</v>
      </c>
      <c r="C28">
        <v>25</v>
      </c>
      <c r="D28" t="s">
        <v>18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0.23500000000000001</v>
      </c>
      <c r="K28">
        <v>2</v>
      </c>
      <c r="L28">
        <v>7.7000000000000007E-4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T28">
        <v>0</v>
      </c>
      <c r="U28">
        <v>21.00224</v>
      </c>
      <c r="V28">
        <v>6.3795200000000003</v>
      </c>
      <c r="W28" s="5">
        <v>0</v>
      </c>
      <c r="X28" s="2">
        <f t="shared" si="3"/>
        <v>21.00224</v>
      </c>
      <c r="Y28" s="2">
        <f t="shared" si="4"/>
        <v>6.3795200000000003</v>
      </c>
      <c r="Z28" s="4">
        <v>35.840000000000003</v>
      </c>
      <c r="AA28" s="4"/>
      <c r="AB28">
        <f t="shared" si="5"/>
        <v>27.38176</v>
      </c>
    </row>
    <row r="29" spans="1:28" x14ac:dyDescent="0.35">
      <c r="A29" t="s">
        <v>41</v>
      </c>
      <c r="B29" t="s">
        <v>19</v>
      </c>
      <c r="C29">
        <v>25</v>
      </c>
      <c r="D29" t="s">
        <v>18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0.23500000000000001</v>
      </c>
      <c r="K29">
        <v>3.5</v>
      </c>
      <c r="L29">
        <v>4.4800000000000005E-4</v>
      </c>
      <c r="M29">
        <v>0.04</v>
      </c>
      <c r="N29">
        <v>1</v>
      </c>
      <c r="O29">
        <v>0</v>
      </c>
      <c r="P29">
        <v>0</v>
      </c>
      <c r="Q29">
        <v>1</v>
      </c>
      <c r="R29">
        <v>0</v>
      </c>
      <c r="T29">
        <v>0</v>
      </c>
      <c r="U29">
        <v>3.7504</v>
      </c>
      <c r="V29">
        <v>1.1392</v>
      </c>
      <c r="W29" s="5">
        <v>0</v>
      </c>
      <c r="X29" s="2">
        <f t="shared" ref="X29:X34" si="6">U29*(1-W29)</f>
        <v>3.7504</v>
      </c>
      <c r="Y29" s="2">
        <f t="shared" ref="Y29:Y34" si="7">U29*W29 + V29</f>
        <v>1.1392</v>
      </c>
      <c r="Z29" s="4">
        <v>6.4</v>
      </c>
      <c r="AA29" s="4"/>
      <c r="AB29">
        <f t="shared" si="5"/>
        <v>4.8895999999999997</v>
      </c>
    </row>
    <row r="30" spans="1:28" x14ac:dyDescent="0.35">
      <c r="A30" t="s">
        <v>41</v>
      </c>
      <c r="B30" t="s">
        <v>20</v>
      </c>
      <c r="C30">
        <v>25</v>
      </c>
      <c r="D30" t="s">
        <v>18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0.23500000000000001</v>
      </c>
      <c r="K30">
        <v>4</v>
      </c>
      <c r="L30">
        <v>5.13E-4</v>
      </c>
      <c r="M30">
        <v>5.5E-2</v>
      </c>
      <c r="N30">
        <v>1</v>
      </c>
      <c r="O30">
        <v>0</v>
      </c>
      <c r="P30">
        <v>0</v>
      </c>
      <c r="Q30">
        <v>1</v>
      </c>
      <c r="R30">
        <v>2.9099999999999999E-5</v>
      </c>
      <c r="T30">
        <v>5</v>
      </c>
      <c r="U30">
        <v>0.64460000000000006</v>
      </c>
      <c r="V30">
        <v>0.1958</v>
      </c>
      <c r="W30" s="5">
        <v>0</v>
      </c>
      <c r="X30" s="2">
        <f t="shared" si="6"/>
        <v>0.64460000000000006</v>
      </c>
      <c r="Y30" s="2">
        <f t="shared" si="7"/>
        <v>0.1958</v>
      </c>
      <c r="Z30" s="4">
        <v>1.1000000000000001</v>
      </c>
      <c r="AA30" s="4"/>
      <c r="AB30">
        <f t="shared" si="5"/>
        <v>0.84040000000000004</v>
      </c>
    </row>
    <row r="31" spans="1:28" x14ac:dyDescent="0.35">
      <c r="A31" t="s">
        <v>41</v>
      </c>
      <c r="B31" t="s">
        <v>23</v>
      </c>
      <c r="C31">
        <v>25</v>
      </c>
      <c r="D31" t="s">
        <v>18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0.23500000000000001</v>
      </c>
      <c r="K31">
        <v>4</v>
      </c>
      <c r="L31">
        <v>1.5400000000000001E-3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T31">
        <v>0</v>
      </c>
      <c r="U31">
        <v>37.503999999999998</v>
      </c>
      <c r="V31">
        <v>11.391999999999999</v>
      </c>
      <c r="W31" s="5">
        <v>0</v>
      </c>
      <c r="X31" s="2">
        <f t="shared" si="6"/>
        <v>37.503999999999998</v>
      </c>
      <c r="Y31" s="2">
        <f t="shared" si="7"/>
        <v>11.391999999999999</v>
      </c>
      <c r="Z31" s="4">
        <v>64</v>
      </c>
      <c r="AA31" s="4"/>
      <c r="AB31">
        <f t="shared" si="5"/>
        <v>48.896000000000001</v>
      </c>
    </row>
    <row r="32" spans="1:28" x14ac:dyDescent="0.35">
      <c r="A32" t="s">
        <v>41</v>
      </c>
      <c r="B32" t="s">
        <v>24</v>
      </c>
      <c r="C32">
        <v>25</v>
      </c>
      <c r="D32" t="s">
        <v>18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0.23500000000000001</v>
      </c>
      <c r="K32">
        <v>4</v>
      </c>
      <c r="L32">
        <v>5.13E-4</v>
      </c>
      <c r="M32">
        <v>5.5E-2</v>
      </c>
      <c r="N32">
        <v>1</v>
      </c>
      <c r="O32">
        <v>0</v>
      </c>
      <c r="P32">
        <v>0</v>
      </c>
      <c r="Q32">
        <v>1</v>
      </c>
      <c r="R32">
        <v>2.9099999999999999E-5</v>
      </c>
      <c r="T32">
        <v>5</v>
      </c>
      <c r="U32">
        <v>36.0976</v>
      </c>
      <c r="V32">
        <v>10.9648</v>
      </c>
      <c r="W32" s="5">
        <v>0</v>
      </c>
      <c r="X32" s="2">
        <f t="shared" si="6"/>
        <v>36.0976</v>
      </c>
      <c r="Y32" s="2">
        <f t="shared" si="7"/>
        <v>10.9648</v>
      </c>
      <c r="Z32" s="4">
        <v>61.600000000000009</v>
      </c>
      <c r="AA32" s="4"/>
      <c r="AB32">
        <f t="shared" si="5"/>
        <v>47.062399999999997</v>
      </c>
    </row>
    <row r="33" spans="1:28" x14ac:dyDescent="0.35">
      <c r="A33" t="s">
        <v>41</v>
      </c>
      <c r="B33" t="s">
        <v>25</v>
      </c>
      <c r="C33">
        <v>25</v>
      </c>
      <c r="D33" t="s">
        <v>18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0.23500000000000001</v>
      </c>
      <c r="K33">
        <v>4</v>
      </c>
      <c r="L33">
        <v>2.052E-3</v>
      </c>
      <c r="M33">
        <v>0.04</v>
      </c>
      <c r="N33">
        <v>1</v>
      </c>
      <c r="O33">
        <v>0</v>
      </c>
      <c r="P33">
        <v>0</v>
      </c>
      <c r="Q33">
        <v>1</v>
      </c>
      <c r="R33">
        <v>0</v>
      </c>
      <c r="T33">
        <v>0</v>
      </c>
      <c r="U33">
        <v>77.258240000000001</v>
      </c>
      <c r="V33">
        <v>23.46752</v>
      </c>
      <c r="W33" s="5">
        <v>0</v>
      </c>
      <c r="X33" s="2">
        <f t="shared" si="6"/>
        <v>77.258240000000001</v>
      </c>
      <c r="Y33" s="2">
        <f t="shared" si="7"/>
        <v>23.46752</v>
      </c>
      <c r="Z33" s="4">
        <v>131.84</v>
      </c>
      <c r="AA33" s="4"/>
      <c r="AB33">
        <f t="shared" si="5"/>
        <v>100.72576000000001</v>
      </c>
    </row>
    <row r="34" spans="1:28" x14ac:dyDescent="0.35">
      <c r="A34" t="s">
        <v>41</v>
      </c>
      <c r="B34" t="s">
        <v>26</v>
      </c>
      <c r="C34">
        <v>25</v>
      </c>
      <c r="D34" t="s">
        <v>18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0.23500000000000001</v>
      </c>
      <c r="K34">
        <v>4</v>
      </c>
      <c r="L34">
        <v>5.13E-4</v>
      </c>
      <c r="M34">
        <v>5.5E-2</v>
      </c>
      <c r="N34">
        <v>1</v>
      </c>
      <c r="O34">
        <v>0</v>
      </c>
      <c r="P34">
        <v>0</v>
      </c>
      <c r="Q34">
        <v>1</v>
      </c>
      <c r="R34">
        <v>2.9099999999999999E-5</v>
      </c>
      <c r="T34">
        <v>5</v>
      </c>
      <c r="U34">
        <v>50.278800000000004</v>
      </c>
      <c r="V34">
        <v>15.272400000000001</v>
      </c>
      <c r="W34" s="5">
        <v>0</v>
      </c>
      <c r="X34" s="2">
        <f t="shared" si="6"/>
        <v>50.278800000000004</v>
      </c>
      <c r="Y34" s="2">
        <f t="shared" si="7"/>
        <v>15.272400000000001</v>
      </c>
      <c r="Z34" s="4">
        <v>85.800000000000011</v>
      </c>
      <c r="AA34" s="4"/>
      <c r="AB34">
        <f t="shared" si="5"/>
        <v>65.551200000000009</v>
      </c>
    </row>
    <row r="35" spans="1:28" x14ac:dyDescent="0.35">
      <c r="A35" t="s">
        <v>41</v>
      </c>
      <c r="B35" t="s">
        <v>27</v>
      </c>
      <c r="C35">
        <v>25</v>
      </c>
      <c r="D35" t="s">
        <v>18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0.23500000000000001</v>
      </c>
      <c r="K35">
        <v>4</v>
      </c>
      <c r="L35">
        <v>1.5400000000000001E-3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0</v>
      </c>
      <c r="T35">
        <v>0</v>
      </c>
      <c r="U35">
        <v>71.257599999999996</v>
      </c>
      <c r="V35">
        <v>21.6448</v>
      </c>
      <c r="W35" s="5">
        <v>0</v>
      </c>
      <c r="X35" s="2">
        <f t="shared" ref="X35:X37" si="8">U35*(1-W35)</f>
        <v>71.257599999999996</v>
      </c>
      <c r="Y35" s="2">
        <f t="shared" ref="Y35:Y37" si="9">U35*W35 + V35</f>
        <v>21.6448</v>
      </c>
      <c r="Z35" s="4">
        <v>121.60000000000001</v>
      </c>
      <c r="AA35" s="4"/>
      <c r="AB35">
        <f t="shared" si="5"/>
        <v>92.9024</v>
      </c>
    </row>
    <row r="36" spans="1:28" x14ac:dyDescent="0.35">
      <c r="A36" t="s">
        <v>41</v>
      </c>
      <c r="B36" t="s">
        <v>28</v>
      </c>
      <c r="C36">
        <v>25</v>
      </c>
      <c r="D36" t="s">
        <v>18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0.23500000000000001</v>
      </c>
      <c r="K36">
        <v>4</v>
      </c>
      <c r="L36">
        <v>5.13E-4</v>
      </c>
      <c r="M36">
        <v>5.5E-2</v>
      </c>
      <c r="N36">
        <v>1</v>
      </c>
      <c r="O36">
        <v>0</v>
      </c>
      <c r="P36">
        <v>0</v>
      </c>
      <c r="Q36">
        <v>1</v>
      </c>
      <c r="R36">
        <v>2.9099999999999999E-5</v>
      </c>
      <c r="T36">
        <v>5</v>
      </c>
      <c r="U36">
        <v>40.609800000000007</v>
      </c>
      <c r="V36">
        <v>12.335400000000002</v>
      </c>
      <c r="W36" s="5">
        <v>0</v>
      </c>
      <c r="X36" s="2">
        <f t="shared" si="8"/>
        <v>40.609800000000007</v>
      </c>
      <c r="Y36" s="2">
        <f t="shared" si="9"/>
        <v>12.335400000000002</v>
      </c>
      <c r="Z36" s="4">
        <v>69.300000000000011</v>
      </c>
      <c r="AA36" s="4"/>
      <c r="AB36">
        <f t="shared" si="5"/>
        <v>52.945200000000007</v>
      </c>
    </row>
    <row r="37" spans="1:28" x14ac:dyDescent="0.35">
      <c r="A37" t="s">
        <v>41</v>
      </c>
      <c r="B37" t="s">
        <v>29</v>
      </c>
      <c r="C37">
        <v>25</v>
      </c>
      <c r="D37" t="s">
        <v>18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0.23500000000000001</v>
      </c>
      <c r="K37">
        <v>4</v>
      </c>
      <c r="L37">
        <v>2.052E-3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0</v>
      </c>
      <c r="T37">
        <v>0</v>
      </c>
      <c r="U37">
        <v>61.50656</v>
      </c>
      <c r="V37">
        <v>18.682880000000001</v>
      </c>
      <c r="W37" s="5">
        <v>0</v>
      </c>
      <c r="X37" s="2">
        <f t="shared" si="8"/>
        <v>61.50656</v>
      </c>
      <c r="Y37" s="2">
        <f t="shared" si="9"/>
        <v>18.682880000000001</v>
      </c>
      <c r="Z37" s="4">
        <v>104.96000000000001</v>
      </c>
      <c r="AA37" s="4"/>
      <c r="AB37">
        <f t="shared" si="5"/>
        <v>80.189440000000005</v>
      </c>
    </row>
    <row r="38" spans="1:28" x14ac:dyDescent="0.35">
      <c r="X38" s="2"/>
      <c r="Y38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2025-11-10T16:13:12Z</dcterms:modified>
</cp:coreProperties>
</file>