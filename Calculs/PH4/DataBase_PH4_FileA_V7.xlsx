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6E2ED964-62D2-4749-8BC4-0BA4A6462B2E}" xr6:coauthVersionLast="47" xr6:coauthVersionMax="47" xr10:uidLastSave="{00000000-0000-0000-0000-000000000000}"/>
  <bookViews>
    <workbookView xWindow="38310" yWindow="40" windowWidth="1938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M41" i="1"/>
  <c r="M53" i="1"/>
  <c r="P58" i="1"/>
  <c r="P66" i="1"/>
  <c r="U65" i="1"/>
  <c r="U61" i="1"/>
  <c r="U59" i="1"/>
  <c r="U57" i="1"/>
  <c r="U54" i="1"/>
  <c r="U53" i="1"/>
  <c r="U48" i="1"/>
  <c r="U51" i="1"/>
  <c r="U49" i="1"/>
  <c r="U47" i="1"/>
  <c r="P46" i="1"/>
  <c r="U41" i="1"/>
  <c r="U42" i="1"/>
  <c r="U40" i="1"/>
  <c r="U39" i="1"/>
  <c r="U37" i="1"/>
  <c r="U36" i="1"/>
  <c r="U35" i="1"/>
  <c r="P34" i="1"/>
  <c r="U28" i="1"/>
  <c r="U30" i="1"/>
  <c r="U29" i="1"/>
  <c r="U26" i="1"/>
  <c r="U23" i="1"/>
  <c r="U24" i="1"/>
  <c r="Y65" i="1"/>
  <c r="AB65" i="1" s="1"/>
  <c r="P22" i="1"/>
  <c r="U16" i="1"/>
  <c r="U17" i="1"/>
  <c r="U18" i="1"/>
  <c r="U12" i="1"/>
  <c r="U11" i="1"/>
  <c r="U9" i="1"/>
  <c r="Y10" i="1"/>
  <c r="AB10" i="1" s="1"/>
  <c r="P10" i="1"/>
  <c r="P4" i="1"/>
  <c r="AB8" i="1"/>
  <c r="AF8" i="1" s="1"/>
  <c r="AC8" i="1"/>
  <c r="AB14" i="1"/>
  <c r="AF14" i="1" s="1"/>
  <c r="AC14" i="1"/>
  <c r="AB15" i="1"/>
  <c r="AF15" i="1" s="1"/>
  <c r="AC15" i="1"/>
  <c r="AB16" i="1"/>
  <c r="AC16" i="1"/>
  <c r="AB17" i="1"/>
  <c r="AC17" i="1"/>
  <c r="AB18" i="1"/>
  <c r="AC18" i="1"/>
  <c r="AB19" i="1"/>
  <c r="AC19" i="1"/>
  <c r="AB52" i="1"/>
  <c r="AF52" i="1" s="1"/>
  <c r="AC52" i="1"/>
  <c r="AB53" i="1"/>
  <c r="AF53" i="1" s="1"/>
  <c r="AF16" i="1"/>
  <c r="AF17" i="1"/>
  <c r="AF18" i="1"/>
  <c r="AF19" i="1"/>
  <c r="AF2" i="1"/>
  <c r="AC2" i="1"/>
  <c r="AB2" i="1"/>
  <c r="Y4" i="1"/>
  <c r="AB4" i="1" s="1"/>
  <c r="Z4" i="1"/>
  <c r="Y5" i="1"/>
  <c r="AB5" i="1" s="1"/>
  <c r="Z5" i="1"/>
  <c r="Y6" i="1"/>
  <c r="AB6" i="1" s="1"/>
  <c r="Z6" i="1"/>
  <c r="AB7" i="1"/>
  <c r="Y8" i="1"/>
  <c r="Z8" i="1"/>
  <c r="Y9" i="1"/>
  <c r="AB9" i="1" s="1"/>
  <c r="Z9" i="1"/>
  <c r="Z10" i="1"/>
  <c r="Y11" i="1"/>
  <c r="AB11" i="1" s="1"/>
  <c r="Z11" i="1"/>
  <c r="Y12" i="1"/>
  <c r="AB12" i="1" s="1"/>
  <c r="Z12" i="1"/>
  <c r="Y13" i="1"/>
  <c r="AB13" i="1" s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AB20" i="1" s="1"/>
  <c r="Z20" i="1"/>
  <c r="Y21" i="1"/>
  <c r="AB21" i="1" s="1"/>
  <c r="Z21" i="1"/>
  <c r="Y22" i="1"/>
  <c r="AB22" i="1" s="1"/>
  <c r="Z22" i="1"/>
  <c r="Y23" i="1"/>
  <c r="AB23" i="1" s="1"/>
  <c r="Z23" i="1"/>
  <c r="Y24" i="1"/>
  <c r="AB24" i="1" s="1"/>
  <c r="Z24" i="1"/>
  <c r="Y25" i="1"/>
  <c r="AB25" i="1" s="1"/>
  <c r="Z25" i="1"/>
  <c r="Y26" i="1"/>
  <c r="AB26" i="1" s="1"/>
  <c r="Z26" i="1"/>
  <c r="Y27" i="1"/>
  <c r="AB27" i="1" s="1"/>
  <c r="Z27" i="1"/>
  <c r="Y28" i="1"/>
  <c r="AB28" i="1" s="1"/>
  <c r="Z28" i="1"/>
  <c r="Y29" i="1"/>
  <c r="AB29" i="1" s="1"/>
  <c r="Z29" i="1"/>
  <c r="Y30" i="1"/>
  <c r="AB30" i="1" s="1"/>
  <c r="Z30" i="1"/>
  <c r="Y31" i="1"/>
  <c r="AB31" i="1" s="1"/>
  <c r="Z31" i="1"/>
  <c r="Y32" i="1"/>
  <c r="AB32" i="1" s="1"/>
  <c r="Z32" i="1"/>
  <c r="Y33" i="1"/>
  <c r="AB33" i="1" s="1"/>
  <c r="Z33" i="1"/>
  <c r="Y34" i="1"/>
  <c r="AB34" i="1" s="1"/>
  <c r="Z34" i="1"/>
  <c r="Y35" i="1"/>
  <c r="AB35" i="1" s="1"/>
  <c r="Z35" i="1"/>
  <c r="Y36" i="1"/>
  <c r="AB36" i="1" s="1"/>
  <c r="Z36" i="1"/>
  <c r="Y37" i="1"/>
  <c r="AB37" i="1" s="1"/>
  <c r="Z37" i="1"/>
  <c r="Y38" i="1"/>
  <c r="AB38" i="1" s="1"/>
  <c r="Z38" i="1"/>
  <c r="Y39" i="1"/>
  <c r="AB39" i="1" s="1"/>
  <c r="Z39" i="1"/>
  <c r="Y40" i="1"/>
  <c r="AB40" i="1" s="1"/>
  <c r="Z40" i="1"/>
  <c r="Y41" i="1"/>
  <c r="AB41" i="1" s="1"/>
  <c r="Z41" i="1"/>
  <c r="Y42" i="1"/>
  <c r="AB42" i="1" s="1"/>
  <c r="Z42" i="1"/>
  <c r="Y43" i="1"/>
  <c r="AC43" i="1" s="1"/>
  <c r="Z43" i="1"/>
  <c r="Y44" i="1"/>
  <c r="AB44" i="1" s="1"/>
  <c r="Z44" i="1"/>
  <c r="Y45" i="1"/>
  <c r="AB45" i="1" s="1"/>
  <c r="Z45" i="1"/>
  <c r="Y46" i="1"/>
  <c r="AB46" i="1" s="1"/>
  <c r="Z46" i="1"/>
  <c r="Y47" i="1"/>
  <c r="Z47" i="1"/>
  <c r="Y48" i="1"/>
  <c r="AB48" i="1" s="1"/>
  <c r="Z48" i="1"/>
  <c r="Y49" i="1"/>
  <c r="AB49" i="1" s="1"/>
  <c r="Z49" i="1"/>
  <c r="Y50" i="1"/>
  <c r="AB50" i="1" s="1"/>
  <c r="Z50" i="1"/>
  <c r="Y51" i="1"/>
  <c r="AB51" i="1" s="1"/>
  <c r="Z51" i="1"/>
  <c r="Y52" i="1"/>
  <c r="Z52" i="1"/>
  <c r="Y53" i="1"/>
  <c r="AC53" i="1" s="1"/>
  <c r="Z53" i="1"/>
  <c r="Y54" i="1"/>
  <c r="AB54" i="1" s="1"/>
  <c r="Z54" i="1"/>
  <c r="Y55" i="1"/>
  <c r="AB55" i="1" s="1"/>
  <c r="Z55" i="1"/>
  <c r="Y56" i="1"/>
  <c r="AB56" i="1" s="1"/>
  <c r="Z56" i="1"/>
  <c r="Y57" i="1"/>
  <c r="AB57" i="1" s="1"/>
  <c r="Z57" i="1"/>
  <c r="Y58" i="1"/>
  <c r="AB58" i="1" s="1"/>
  <c r="Z58" i="1"/>
  <c r="Y59" i="1"/>
  <c r="AB59" i="1" s="1"/>
  <c r="Z59" i="1"/>
  <c r="Y60" i="1"/>
  <c r="AB60" i="1" s="1"/>
  <c r="Z60" i="1"/>
  <c r="Y61" i="1"/>
  <c r="AB61" i="1" s="1"/>
  <c r="Z61" i="1"/>
  <c r="Y62" i="1"/>
  <c r="AB62" i="1" s="1"/>
  <c r="Z62" i="1"/>
  <c r="Y64" i="1"/>
  <c r="AB64" i="1" s="1"/>
  <c r="Z64" i="1"/>
  <c r="Z65" i="1"/>
  <c r="Y66" i="1"/>
  <c r="AB66" i="1" s="1"/>
  <c r="Z66" i="1"/>
  <c r="Y67" i="1"/>
  <c r="AB67" i="1" s="1"/>
  <c r="Z67" i="1"/>
  <c r="Z3" i="1"/>
  <c r="Y3" i="1"/>
  <c r="AC3" i="1" s="1"/>
  <c r="Z2" i="1"/>
  <c r="Y2" i="1"/>
  <c r="AB43" i="1" l="1"/>
  <c r="AF43" i="1" s="1"/>
  <c r="AC47" i="1"/>
  <c r="AC46" i="1"/>
  <c r="AF46" i="1" s="1"/>
  <c r="AB47" i="1"/>
  <c r="AF47" i="1" s="1"/>
  <c r="AC37" i="1"/>
  <c r="AF37" i="1" s="1"/>
  <c r="AC67" i="1"/>
  <c r="AF67" i="1" s="1"/>
  <c r="AC66" i="1"/>
  <c r="AF66" i="1" s="1"/>
  <c r="AC65" i="1"/>
  <c r="AF65" i="1" s="1"/>
  <c r="AC64" i="1"/>
  <c r="AF64" i="1" s="1"/>
  <c r="AF63" i="1"/>
  <c r="AC62" i="1"/>
  <c r="AF62" i="1" s="1"/>
  <c r="AC61" i="1"/>
  <c r="AF61" i="1" s="1"/>
  <c r="AC60" i="1"/>
  <c r="AF60" i="1" s="1"/>
  <c r="AC59" i="1"/>
  <c r="AF59" i="1" s="1"/>
  <c r="AC58" i="1"/>
  <c r="AF58" i="1" s="1"/>
  <c r="AC57" i="1"/>
  <c r="AF57" i="1" s="1"/>
  <c r="AF54" i="1"/>
  <c r="AF55" i="1"/>
  <c r="AC51" i="1"/>
  <c r="AF51" i="1" s="1"/>
  <c r="AC45" i="1"/>
  <c r="AF45" i="1" s="1"/>
  <c r="AC56" i="1"/>
  <c r="AF56" i="1" s="1"/>
  <c r="AC50" i="1"/>
  <c r="AF50" i="1" s="1"/>
  <c r="AC55" i="1"/>
  <c r="AC49" i="1"/>
  <c r="AF49" i="1" s="1"/>
  <c r="AC54" i="1"/>
  <c r="AC48" i="1"/>
  <c r="AF48" i="1" s="1"/>
  <c r="AF44" i="1"/>
  <c r="AC42" i="1"/>
  <c r="AF42" i="1" s="1"/>
  <c r="AC36" i="1"/>
  <c r="AF36" i="1" s="1"/>
  <c r="AC41" i="1"/>
  <c r="AF41" i="1" s="1"/>
  <c r="AC35" i="1"/>
  <c r="AF35" i="1" s="1"/>
  <c r="AC40" i="1"/>
  <c r="AF40" i="1" s="1"/>
  <c r="AC34" i="1"/>
  <c r="AF34" i="1" s="1"/>
  <c r="AC39" i="1"/>
  <c r="AF39" i="1" s="1"/>
  <c r="AC33" i="1"/>
  <c r="AF33" i="1" s="1"/>
  <c r="AC44" i="1"/>
  <c r="AC38" i="1"/>
  <c r="AF38" i="1" s="1"/>
  <c r="AC28" i="1"/>
  <c r="AF28" i="1" s="1"/>
  <c r="AC27" i="1"/>
  <c r="AF27" i="1" s="1"/>
  <c r="AC32" i="1"/>
  <c r="AF32" i="1" s="1"/>
  <c r="AC26" i="1"/>
  <c r="AF26" i="1" s="1"/>
  <c r="AC31" i="1"/>
  <c r="AF31" i="1" s="1"/>
  <c r="AC25" i="1"/>
  <c r="AF25" i="1" s="1"/>
  <c r="AC30" i="1"/>
  <c r="AF30" i="1" s="1"/>
  <c r="AC24" i="1"/>
  <c r="AF24" i="1" s="1"/>
  <c r="AC29" i="1"/>
  <c r="AF29" i="1" s="1"/>
  <c r="AC23" i="1"/>
  <c r="AF23" i="1" s="1"/>
  <c r="AC22" i="1"/>
  <c r="AF22" i="1" s="1"/>
  <c r="AC21" i="1"/>
  <c r="AF21" i="1" s="1"/>
  <c r="AC20" i="1"/>
  <c r="AF20" i="1" s="1"/>
  <c r="AC13" i="1"/>
  <c r="AF13" i="1" s="1"/>
  <c r="AC12" i="1"/>
  <c r="AF12" i="1" s="1"/>
  <c r="AC11" i="1"/>
  <c r="AF11" i="1" s="1"/>
  <c r="AC10" i="1"/>
  <c r="AF10" i="1" s="1"/>
  <c r="AC9" i="1"/>
  <c r="AF9" i="1" s="1"/>
  <c r="AC7" i="1"/>
  <c r="AF7" i="1" s="1"/>
  <c r="AC6" i="1"/>
  <c r="AF6" i="1" s="1"/>
  <c r="AC5" i="1"/>
  <c r="AF5" i="1" s="1"/>
  <c r="AB3" i="1"/>
  <c r="AF3" i="1" s="1"/>
  <c r="AC4" i="1"/>
  <c r="AF4" i="1" s="1"/>
  <c r="AD3" i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X11" i="1"/>
  <c r="X13" i="1"/>
  <c r="X15" i="1"/>
  <c r="X17" i="1"/>
  <c r="X19" i="1"/>
  <c r="A3" i="1" l="1"/>
  <c r="AD2" i="1" l="1"/>
  <c r="X5" i="1" l="1"/>
  <c r="X3" i="1"/>
  <c r="A4" i="1" l="1"/>
  <c r="A5" i="1" l="1"/>
  <c r="A6" i="1" s="1"/>
</calcChain>
</file>

<file path=xl/sharedStrings.xml><?xml version="1.0" encoding="utf-8"?>
<sst xmlns="http://schemas.openxmlformats.org/spreadsheetml/2006/main" count="254" uniqueCount="53">
  <si>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</si>
  <si>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</si>
  <si>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</si>
  <si>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</si>
  <si>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</si>
  <si>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</si>
  <si>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</si>
  <si>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</si>
  <si>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</si>
  <si>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</si>
  <si>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</si>
  <si>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</si>
  <si>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</si>
  <si>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</si>
  <si>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</si>
  <si>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</si>
  <si>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</si>
  <si>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</si>
  <si>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</si>
  <si>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</si>
  <si>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</si>
  <si>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</si>
  <si>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</si>
  <si>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</si>
  <si>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</si>
  <si>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</si>
  <si>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</si>
  <si>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</si>
  <si>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</si>
  <si>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</si>
  <si>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</si>
  <si>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</si>
  <si>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</si>
  <si>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</si>
  <si>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</si>
  <si>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</si>
  <si>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</si>
  <si>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</si>
  <si>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</si>
  <si>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</si>
  <si>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</si>
  <si>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</si>
  <si>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</si>
  <si>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</si>
  <si>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</si>
  <si>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</si>
  <si>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</si>
  <si>
    <t>F</t>
  </si>
  <si>
    <t>0</t>
  </si>
  <si>
    <t>Mg+g'_Elas</t>
  </si>
  <si>
    <t>Mq_Elas</t>
  </si>
  <si>
    <t>Redis</t>
  </si>
  <si>
    <t>File A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</si>
</sst>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33" borderId="0" xfId="0" applyNumberFormat="1" applyFill="1"/>
    <xf numFmtId="10" fontId="0" fillId="35" borderId="0" xfId="0" applyNumberFormat="1" applyFill="1"/>
    <xf numFmtId="0" fontId="0" fillId="35" borderId="0" xfId="0" applyFill="1"/>
    <xf numFmtId="164" fontId="0" fillId="35" borderId="0" xfId="0" applyNumberFormat="1" applyFill="1"/>
    <xf numFmtId="0" fontId="0" fillId="36" borderId="0" xfId="0" applyFill="1"/>
    <xf numFmtId="1" fontId="0" fillId="36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75"/>
  <sheetViews>
    <sheetView tabSelected="1" zoomScale="70" zoomScaleNormal="70" workbookViewId="0">
      <pane xSplit="3" topLeftCell="D1" activePane="topRight" state="frozen"/>
      <selection pane="topRight" activeCell="U9" sqref="U9"/>
    </sheetView>
  </sheetViews>
  <sheetFormatPr baseColWidth="10" defaultRowHeight="14.5" x14ac:dyDescent="0.35"/>
  <sheetData>
    <row r="1" spans="1:43" x14ac:dyDescent="0.35">
      <c r="A1" t="s">
        <v>47</v>
      </c>
      <c r="B1" t="s">
        <v>22</v>
      </c>
      <c r="C1" t="s">
        <v>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49</v>
      </c>
      <c r="W1" t="s">
        <v>50</v>
      </c>
      <c r="X1" t="s">
        <v>51</v>
      </c>
      <c r="Y1" t="s">
        <v>40</v>
      </c>
      <c r="Z1" t="s">
        <v>41</v>
      </c>
      <c r="AA1" t="s">
        <v>42</v>
      </c>
      <c r="AB1" t="s">
        <v>37</v>
      </c>
      <c r="AC1" t="s">
        <v>39</v>
      </c>
      <c r="AD1" t="s">
        <v>35</v>
      </c>
      <c r="AE1" t="s">
        <v>38</v>
      </c>
      <c r="AF1" t="s">
        <v>36</v>
      </c>
    </row>
    <row r="2" spans="1:43" x14ac:dyDescent="0.35">
      <c r="A2">
        <v>1</v>
      </c>
      <c r="B2" t="s">
        <v>52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 t="s">
        <v>48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8">
        <f t="shared" ref="AD2" si="0">1.35*Y2+1.5*Z2</f>
        <v>0</v>
      </c>
      <c r="AE2" s="8"/>
      <c r="AF2" s="2">
        <f>AB2+AC2</f>
        <v>0</v>
      </c>
      <c r="AP2" s="2"/>
      <c r="AQ2" s="2"/>
    </row>
    <row r="3" spans="1:43" x14ac:dyDescent="0.35">
      <c r="A3">
        <f t="shared" ref="A3:A67" si="1">IF(B3=B2,A2,A2+1)</f>
        <v>2</v>
      </c>
      <c r="B3" t="s">
        <v>19</v>
      </c>
      <c r="C3" t="s">
        <v>20</v>
      </c>
      <c r="D3">
        <v>25</v>
      </c>
      <c r="E3" t="s">
        <v>18</v>
      </c>
      <c r="F3">
        <v>500</v>
      </c>
      <c r="G3" s="14">
        <v>215000</v>
      </c>
      <c r="H3" s="15">
        <v>1412.67</v>
      </c>
      <c r="I3" s="14">
        <v>1828</v>
      </c>
      <c r="J3">
        <v>1</v>
      </c>
      <c r="K3">
        <v>0.26</v>
      </c>
      <c r="L3">
        <v>2.2000000000000002</v>
      </c>
      <c r="M3">
        <v>5.6539999999999997E-4</v>
      </c>
      <c r="N3">
        <v>0.04</v>
      </c>
      <c r="O3">
        <v>1</v>
      </c>
      <c r="P3">
        <v>0</v>
      </c>
      <c r="Q3">
        <v>0</v>
      </c>
      <c r="R3">
        <v>1</v>
      </c>
      <c r="S3" s="14">
        <v>9.1649999999999992E-5</v>
      </c>
      <c r="T3">
        <v>0</v>
      </c>
      <c r="U3" s="14">
        <v>1</v>
      </c>
      <c r="V3" s="9">
        <v>22</v>
      </c>
      <c r="W3" s="9">
        <v>9</v>
      </c>
      <c r="X3" s="7" t="str">
        <f t="shared" ref="X3" si="2">IF(ISNUMBER(SEARCH("Appui",#REF!)),0,"0")</f>
        <v>0</v>
      </c>
      <c r="Y3" s="2">
        <f t="shared" ref="Y3" si="3">IFERROR(IF(ISNUMBER(SEARCH("Appui",C3)),V3+X3*V3,IF(A2&lt;A3,V3-X4*V4/2,IF(A3&lt;A4,V3-(X2*V2)/2,V3-(X4*V4+X2*V2)/2))),0)</f>
        <v>25.75</v>
      </c>
      <c r="Z3" s="2">
        <f t="shared" ref="Z3" si="4">IFERROR(IF(ISNUMBER(SEARCH("Appui",C3)),W3+X3*W3,IF(A2&lt;A3,W3-X4*W4/2,IF(A3&lt;A4,W3-(X2*W2)/2,W3-(X4*W4+X2*W2)/2))),0)</f>
        <v>10.199999999999999</v>
      </c>
      <c r="AA3" s="3">
        <v>0.5</v>
      </c>
      <c r="AB3" s="2">
        <f t="shared" ref="AB3" si="5">Y3*(1-AA3)</f>
        <v>12.875</v>
      </c>
      <c r="AC3" s="2">
        <f>Y3*AA3 + Z3</f>
        <v>23.074999999999999</v>
      </c>
      <c r="AD3" s="8">
        <f>1.35*Y3+1.5*Z3</f>
        <v>50.0625</v>
      </c>
      <c r="AE3" s="8"/>
      <c r="AF3" s="2">
        <f>AB3+AC3</f>
        <v>35.950000000000003</v>
      </c>
      <c r="AP3" s="2"/>
      <c r="AQ3" s="2"/>
    </row>
    <row r="4" spans="1:43" x14ac:dyDescent="0.35">
      <c r="A4">
        <f t="shared" si="1"/>
        <v>2</v>
      </c>
      <c r="B4" t="s">
        <v>19</v>
      </c>
      <c r="C4" t="s">
        <v>21</v>
      </c>
      <c r="D4">
        <v>25</v>
      </c>
      <c r="E4" t="s">
        <v>18</v>
      </c>
      <c r="F4">
        <v>500</v>
      </c>
      <c r="G4" s="14">
        <v>215000</v>
      </c>
      <c r="H4" s="15">
        <v>1412.67</v>
      </c>
      <c r="I4" s="14">
        <v>1828</v>
      </c>
      <c r="J4">
        <v>1</v>
      </c>
      <c r="K4">
        <v>0.25</v>
      </c>
      <c r="L4">
        <v>2.2000000000000002</v>
      </c>
      <c r="M4">
        <v>1.1286E-3</v>
      </c>
      <c r="N4">
        <v>9.9999999999999992E-2</v>
      </c>
      <c r="O4">
        <v>1</v>
      </c>
      <c r="P4">
        <f>PI()*14^2/4*0.000001</f>
        <v>1.5393804002589983E-4</v>
      </c>
      <c r="Q4">
        <v>0.04</v>
      </c>
      <c r="R4" s="12">
        <v>4</v>
      </c>
      <c r="S4">
        <v>0</v>
      </c>
      <c r="T4">
        <v>0</v>
      </c>
      <c r="U4">
        <v>0</v>
      </c>
      <c r="V4" s="9">
        <v>75</v>
      </c>
      <c r="W4" s="9">
        <v>24</v>
      </c>
      <c r="X4" s="11">
        <v>-0.1</v>
      </c>
      <c r="Y4" s="2">
        <f t="shared" ref="Y4:Y67" si="6">IFERROR(IF(ISNUMBER(SEARCH("Appui",C4)),V4+X4*V4,IF(A3&lt;A4,V4-X5*V5/2,IF(A4&lt;A5,V4-(X3*V3)/2,V4-(X5*V5+X3*V3)/2))),0)</f>
        <v>67.5</v>
      </c>
      <c r="Z4" s="2">
        <f t="shared" ref="Z4:Z67" si="7">IFERROR(IF(ISNUMBER(SEARCH("Appui",C4)),W4+X4*W4,IF(A3&lt;A4,W4-X5*W5/2,IF(A4&lt;A5,W4-(X3*W3)/2,W4-(X5*W5+X3*W3)/2))),0)</f>
        <v>21.6</v>
      </c>
      <c r="AA4" s="3">
        <v>0.5</v>
      </c>
      <c r="AB4" s="2">
        <f t="shared" ref="AB4:AB67" si="8">Y4*(1-AA4)</f>
        <v>33.75</v>
      </c>
      <c r="AC4" s="2">
        <f t="shared" ref="AC4:AC67" si="9">Y4*AA4 + Z4</f>
        <v>55.35</v>
      </c>
      <c r="AD4" s="8">
        <f t="shared" ref="AD4:AD67" si="10">1.35*Y4+1.5*Z4</f>
        <v>123.52500000000001</v>
      </c>
      <c r="AE4" s="8"/>
      <c r="AF4" s="2">
        <f t="shared" ref="AF4:AF67" si="11">AB4+AC4</f>
        <v>89.1</v>
      </c>
      <c r="AP4" s="2"/>
      <c r="AQ4" s="2"/>
    </row>
    <row r="5" spans="1:43" x14ac:dyDescent="0.35">
      <c r="A5">
        <f t="shared" si="1"/>
        <v>2</v>
      </c>
      <c r="B5" t="s">
        <v>19</v>
      </c>
      <c r="C5" t="s">
        <v>24</v>
      </c>
      <c r="D5">
        <v>25</v>
      </c>
      <c r="E5" t="s">
        <v>18</v>
      </c>
      <c r="F5">
        <v>500</v>
      </c>
      <c r="G5" s="14">
        <v>215000</v>
      </c>
      <c r="H5" s="15">
        <v>1412.67</v>
      </c>
      <c r="I5" s="14">
        <v>1828</v>
      </c>
      <c r="J5">
        <v>1</v>
      </c>
      <c r="K5">
        <v>0.23499999999999999</v>
      </c>
      <c r="L5">
        <v>2.2000000000000002</v>
      </c>
      <c r="M5">
        <v>8.470000000000001E-4</v>
      </c>
      <c r="N5">
        <v>0.04</v>
      </c>
      <c r="O5">
        <v>1</v>
      </c>
      <c r="P5">
        <v>0</v>
      </c>
      <c r="Q5">
        <v>0</v>
      </c>
      <c r="R5">
        <v>1</v>
      </c>
      <c r="S5" s="14">
        <v>9.1649999999999992E-5</v>
      </c>
      <c r="T5">
        <v>0</v>
      </c>
      <c r="U5" s="14">
        <v>1</v>
      </c>
      <c r="V5" s="9">
        <v>23.6</v>
      </c>
      <c r="W5" s="9">
        <v>9.8000000000000007</v>
      </c>
      <c r="X5" s="7" t="str">
        <f t="shared" ref="X5" si="12">IF(ISNUMBER(SEARCH("Appui",#REF!)),0,"0")</f>
        <v>0</v>
      </c>
      <c r="Y5" s="2">
        <f t="shared" si="6"/>
        <v>33.35</v>
      </c>
      <c r="Z5" s="2">
        <f t="shared" si="7"/>
        <v>12.900000000000002</v>
      </c>
      <c r="AA5" s="3">
        <v>0.5</v>
      </c>
      <c r="AB5" s="2">
        <f t="shared" si="8"/>
        <v>16.675000000000001</v>
      </c>
      <c r="AC5" s="2">
        <f t="shared" si="9"/>
        <v>29.575000000000003</v>
      </c>
      <c r="AD5" s="8">
        <f t="shared" si="10"/>
        <v>64.372500000000002</v>
      </c>
      <c r="AE5" s="8"/>
      <c r="AF5" s="2">
        <f t="shared" si="11"/>
        <v>46.25</v>
      </c>
      <c r="AP5" s="2"/>
      <c r="AQ5" s="2"/>
    </row>
    <row r="6" spans="1:43" x14ac:dyDescent="0.35">
      <c r="A6">
        <f t="shared" si="1"/>
        <v>2</v>
      </c>
      <c r="B6" t="s">
        <v>19</v>
      </c>
      <c r="C6" t="s">
        <v>25</v>
      </c>
      <c r="D6">
        <v>25</v>
      </c>
      <c r="E6" t="s">
        <v>18</v>
      </c>
      <c r="F6">
        <v>500</v>
      </c>
      <c r="G6" s="14">
        <v>215000</v>
      </c>
      <c r="H6" s="15">
        <v>1412.67</v>
      </c>
      <c r="I6" s="14">
        <v>1828</v>
      </c>
      <c r="J6">
        <v>1</v>
      </c>
      <c r="K6">
        <v>0.22</v>
      </c>
      <c r="L6">
        <v>2.2000000000000002</v>
      </c>
      <c r="M6">
        <v>1.1286E-3</v>
      </c>
      <c r="N6">
        <v>0.04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 s="9">
        <v>60</v>
      </c>
      <c r="W6" s="9">
        <v>19</v>
      </c>
      <c r="X6" s="11">
        <v>-0.2</v>
      </c>
      <c r="Y6" s="2">
        <f t="shared" si="6"/>
        <v>48</v>
      </c>
      <c r="Z6" s="2">
        <f t="shared" si="7"/>
        <v>15.2</v>
      </c>
      <c r="AA6" s="3">
        <v>0.25</v>
      </c>
      <c r="AB6" s="2">
        <f t="shared" si="8"/>
        <v>36</v>
      </c>
      <c r="AC6" s="2">
        <f t="shared" si="9"/>
        <v>27.2</v>
      </c>
      <c r="AD6" s="8">
        <f t="shared" si="10"/>
        <v>87.600000000000009</v>
      </c>
      <c r="AE6" s="8"/>
      <c r="AF6" s="2">
        <f t="shared" si="11"/>
        <v>63.2</v>
      </c>
      <c r="AP6" s="2"/>
      <c r="AQ6" s="2"/>
    </row>
    <row r="7" spans="1:43" x14ac:dyDescent="0.35">
      <c r="A7">
        <f t="shared" si="1"/>
        <v>2</v>
      </c>
      <c r="B7" t="s">
        <v>19</v>
      </c>
      <c r="D7" s="4">
        <v>25</v>
      </c>
      <c r="E7" s="4" t="s">
        <v>18</v>
      </c>
      <c r="F7" s="4">
        <v>500</v>
      </c>
      <c r="G7" s="5">
        <v>220000</v>
      </c>
      <c r="H7" s="4">
        <v>1576</v>
      </c>
      <c r="I7" s="4">
        <v>1870</v>
      </c>
      <c r="J7" s="4">
        <v>1</v>
      </c>
      <c r="K7" s="4">
        <v>0.2</v>
      </c>
      <c r="L7" s="4">
        <v>2.2000000000000002</v>
      </c>
      <c r="M7" s="4">
        <v>1.0000000000000001E-5</v>
      </c>
      <c r="N7" s="4">
        <v>0.03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6">
        <v>0</v>
      </c>
      <c r="W7" s="6">
        <v>0</v>
      </c>
      <c r="X7" s="4" t="s">
        <v>48</v>
      </c>
      <c r="Y7" s="13">
        <v>0</v>
      </c>
      <c r="Z7" s="13">
        <v>0</v>
      </c>
      <c r="AA7" s="3">
        <v>0</v>
      </c>
      <c r="AB7" s="2">
        <f t="shared" si="8"/>
        <v>0</v>
      </c>
      <c r="AC7" s="2">
        <f t="shared" si="9"/>
        <v>0</v>
      </c>
      <c r="AD7" s="8">
        <f t="shared" si="10"/>
        <v>0</v>
      </c>
      <c r="AE7" s="8"/>
      <c r="AF7" s="2">
        <f t="shared" si="11"/>
        <v>0</v>
      </c>
      <c r="AP7" s="2"/>
      <c r="AQ7" s="2"/>
    </row>
    <row r="8" spans="1:43" x14ac:dyDescent="0.35">
      <c r="A8">
        <f t="shared" si="1"/>
        <v>2</v>
      </c>
      <c r="B8" t="s">
        <v>19</v>
      </c>
      <c r="D8" s="4">
        <v>25</v>
      </c>
      <c r="E8" s="4" t="s">
        <v>18</v>
      </c>
      <c r="F8" s="4">
        <v>500</v>
      </c>
      <c r="G8" s="5">
        <v>220000</v>
      </c>
      <c r="H8" s="4">
        <v>1576</v>
      </c>
      <c r="I8" s="4">
        <v>1870</v>
      </c>
      <c r="J8" s="4">
        <v>1</v>
      </c>
      <c r="K8" s="4">
        <v>0.2</v>
      </c>
      <c r="L8" s="4">
        <v>2.2000000000000002</v>
      </c>
      <c r="M8" s="4">
        <v>1.0000000000000001E-5</v>
      </c>
      <c r="N8" s="4">
        <v>0.03</v>
      </c>
      <c r="O8" s="4">
        <v>1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6">
        <v>0</v>
      </c>
      <c r="W8" s="6">
        <v>0</v>
      </c>
      <c r="X8" s="4" t="s">
        <v>48</v>
      </c>
      <c r="Y8" s="2">
        <f t="shared" si="6"/>
        <v>0</v>
      </c>
      <c r="Z8" s="2">
        <f t="shared" si="7"/>
        <v>0</v>
      </c>
      <c r="AA8" s="3">
        <v>0</v>
      </c>
      <c r="AB8" s="2">
        <f t="shared" si="8"/>
        <v>0</v>
      </c>
      <c r="AC8" s="2">
        <f t="shared" si="9"/>
        <v>0</v>
      </c>
      <c r="AD8" s="8">
        <f t="shared" si="10"/>
        <v>0</v>
      </c>
      <c r="AE8" s="8"/>
      <c r="AF8" s="2">
        <f t="shared" si="11"/>
        <v>0</v>
      </c>
      <c r="AP8" s="2"/>
      <c r="AQ8" s="2"/>
    </row>
    <row r="9" spans="1:43" x14ac:dyDescent="0.35">
      <c r="A9">
        <f t="shared" si="1"/>
        <v>3</v>
      </c>
      <c r="B9" t="s">
        <v>33</v>
      </c>
      <c r="C9" t="s">
        <v>20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0.26</v>
      </c>
      <c r="L9">
        <v>2.2000000000000002</v>
      </c>
      <c r="M9">
        <v>5.6539999999999997E-4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 s="12">
        <f>5-1</f>
        <v>4</v>
      </c>
      <c r="V9" s="9">
        <v>22.3</v>
      </c>
      <c r="W9" s="9">
        <v>10.3</v>
      </c>
      <c r="X9" s="7" t="s">
        <v>48</v>
      </c>
      <c r="Y9" s="2">
        <f t="shared" si="6"/>
        <v>31.55</v>
      </c>
      <c r="Z9" s="2">
        <f t="shared" si="7"/>
        <v>13.4</v>
      </c>
      <c r="AA9" s="3">
        <v>0.5</v>
      </c>
      <c r="AB9" s="2">
        <f t="shared" si="8"/>
        <v>15.775</v>
      </c>
      <c r="AC9" s="2">
        <f t="shared" si="9"/>
        <v>29.175000000000001</v>
      </c>
      <c r="AD9" s="8">
        <f t="shared" si="10"/>
        <v>62.692500000000003</v>
      </c>
      <c r="AE9" s="8"/>
      <c r="AF9" s="2">
        <f t="shared" si="11"/>
        <v>44.95</v>
      </c>
      <c r="AP9" s="2"/>
      <c r="AQ9" s="2"/>
    </row>
    <row r="10" spans="1:43" x14ac:dyDescent="0.35">
      <c r="A10">
        <f t="shared" si="1"/>
        <v>3</v>
      </c>
      <c r="B10" t="s">
        <v>33</v>
      </c>
      <c r="C10" t="s">
        <v>21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0.25</v>
      </c>
      <c r="L10">
        <v>2.2000000000000002</v>
      </c>
      <c r="M10">
        <v>1.1286E-3</v>
      </c>
      <c r="N10">
        <v>6.9999999999999993E-2</v>
      </c>
      <c r="O10">
        <v>1</v>
      </c>
      <c r="P10">
        <f>PI()*14^2/4*0.000001</f>
        <v>1.5393804002589983E-4</v>
      </c>
      <c r="Q10">
        <v>0.04</v>
      </c>
      <c r="R10" s="12">
        <v>4</v>
      </c>
      <c r="S10">
        <v>0</v>
      </c>
      <c r="T10">
        <v>0</v>
      </c>
      <c r="U10">
        <v>0</v>
      </c>
      <c r="V10" s="9">
        <v>92.5</v>
      </c>
      <c r="W10" s="9">
        <v>31</v>
      </c>
      <c r="X10" s="11">
        <v>-0.2</v>
      </c>
      <c r="Y10" s="2">
        <f>IFERROR(IF(ISNUMBER(SEARCH("Appui",C10)),V10+X10*V10,IF(A9&lt;A10,V10-X11*V11/2,IF(A10&lt;A11,V10-(X9*V9)/2,V10-(X11*V11+X9*V9)/2))),0)</f>
        <v>74</v>
      </c>
      <c r="Z10" s="2">
        <f t="shared" si="7"/>
        <v>24.8</v>
      </c>
      <c r="AA10" s="3">
        <v>0.5</v>
      </c>
      <c r="AB10" s="2">
        <f t="shared" si="8"/>
        <v>37</v>
      </c>
      <c r="AC10" s="2">
        <f t="shared" si="9"/>
        <v>61.8</v>
      </c>
      <c r="AD10" s="8">
        <f t="shared" si="10"/>
        <v>137.10000000000002</v>
      </c>
      <c r="AE10" s="8"/>
      <c r="AF10" s="2">
        <f>AB10+AC10</f>
        <v>98.8</v>
      </c>
      <c r="AP10" s="2"/>
      <c r="AQ10" s="2"/>
    </row>
    <row r="11" spans="1:43" x14ac:dyDescent="0.35">
      <c r="A11">
        <f t="shared" si="1"/>
        <v>3</v>
      </c>
      <c r="B11" t="s">
        <v>33</v>
      </c>
      <c r="C11" t="s">
        <v>24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0.23499999999999999</v>
      </c>
      <c r="L11">
        <v>2.2000000000000002</v>
      </c>
      <c r="M11">
        <v>8.470000000000001E-4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 s="12">
        <f>7-1</f>
        <v>6</v>
      </c>
      <c r="V11" s="9">
        <v>40.700000000000003</v>
      </c>
      <c r="W11" s="9">
        <v>16.100000000000001</v>
      </c>
      <c r="X11" s="7" t="str">
        <f t="shared" ref="X11" si="13">IF(ISNUMBER(SEARCH("Appui",#REF!)),0,"0")</f>
        <v>0</v>
      </c>
      <c r="Y11" s="2">
        <f t="shared" si="6"/>
        <v>51.112500000000004</v>
      </c>
      <c r="Z11" s="2">
        <f t="shared" si="7"/>
        <v>19.635000000000002</v>
      </c>
      <c r="AA11" s="3">
        <v>0.5</v>
      </c>
      <c r="AB11" s="2">
        <f t="shared" si="8"/>
        <v>25.556250000000002</v>
      </c>
      <c r="AC11" s="2">
        <f t="shared" si="9"/>
        <v>45.191250000000004</v>
      </c>
      <c r="AD11" s="8">
        <f t="shared" si="10"/>
        <v>98.454375000000013</v>
      </c>
      <c r="AE11" s="8"/>
      <c r="AF11" s="2">
        <f t="shared" si="11"/>
        <v>70.747500000000002</v>
      </c>
      <c r="AP11" s="2"/>
    </row>
    <row r="12" spans="1:43" x14ac:dyDescent="0.35">
      <c r="A12">
        <f t="shared" si="1"/>
        <v>3</v>
      </c>
      <c r="B12" t="s">
        <v>33</v>
      </c>
      <c r="C12" t="s">
        <v>25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0.22</v>
      </c>
      <c r="L12">
        <v>2.2000000000000002</v>
      </c>
      <c r="M12">
        <v>1.3297999999999999E-3</v>
      </c>
      <c r="N12">
        <v>0.04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 s="12">
        <f>5-1</f>
        <v>4</v>
      </c>
      <c r="V12" s="9">
        <v>77.5</v>
      </c>
      <c r="W12" s="9">
        <v>29</v>
      </c>
      <c r="X12" s="11">
        <v>-0.03</v>
      </c>
      <c r="Y12" s="2">
        <f t="shared" si="6"/>
        <v>75.174999999999997</v>
      </c>
      <c r="Z12" s="2">
        <f t="shared" si="7"/>
        <v>28.13</v>
      </c>
      <c r="AA12" s="3">
        <v>0.25</v>
      </c>
      <c r="AB12" s="2">
        <f t="shared" si="8"/>
        <v>56.381249999999994</v>
      </c>
      <c r="AC12" s="2">
        <f t="shared" si="9"/>
        <v>46.923749999999998</v>
      </c>
      <c r="AD12" s="8">
        <f t="shared" si="10"/>
        <v>143.68125000000001</v>
      </c>
      <c r="AE12" s="8"/>
      <c r="AF12" s="2">
        <f t="shared" si="11"/>
        <v>103.30499999999999</v>
      </c>
      <c r="AP12" s="2"/>
      <c r="AQ12" s="2"/>
    </row>
    <row r="13" spans="1:43" x14ac:dyDescent="0.35">
      <c r="A13">
        <f t="shared" si="1"/>
        <v>3</v>
      </c>
      <c r="B13" t="s">
        <v>33</v>
      </c>
      <c r="C13" t="s">
        <v>26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0.23499999999999999</v>
      </c>
      <c r="L13">
        <v>2.2000000000000002</v>
      </c>
      <c r="M13">
        <v>2.8160000000000001E-4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>
        <v>2</v>
      </c>
      <c r="V13" s="9">
        <v>4</v>
      </c>
      <c r="W13" s="9">
        <v>6.5</v>
      </c>
      <c r="X13" s="7" t="str">
        <f t="shared" ref="X13" si="14">IF(ISNUMBER(SEARCH("Appui",#REF!)),0,"0")</f>
        <v>0</v>
      </c>
      <c r="Y13" s="2">
        <f t="shared" si="6"/>
        <v>5.1624999999999996</v>
      </c>
      <c r="Z13" s="2">
        <f t="shared" si="7"/>
        <v>6.9349999999999996</v>
      </c>
      <c r="AA13" s="3">
        <v>0</v>
      </c>
      <c r="AB13" s="2">
        <f t="shared" si="8"/>
        <v>5.1624999999999996</v>
      </c>
      <c r="AC13" s="2">
        <f t="shared" si="9"/>
        <v>6.9349999999999996</v>
      </c>
      <c r="AD13" s="8">
        <f t="shared" si="10"/>
        <v>17.371874999999999</v>
      </c>
      <c r="AE13" s="8"/>
      <c r="AF13" s="2">
        <f t="shared" si="11"/>
        <v>12.0975</v>
      </c>
      <c r="AP13" s="2"/>
    </row>
    <row r="14" spans="1:43" x14ac:dyDescent="0.35">
      <c r="A14">
        <f t="shared" si="1"/>
        <v>3</v>
      </c>
      <c r="B14" t="s">
        <v>33</v>
      </c>
      <c r="C14" t="s">
        <v>27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0.25</v>
      </c>
      <c r="L14">
        <v>2.2000000000000002</v>
      </c>
      <c r="M14">
        <v>1.3297999999999999E-3</v>
      </c>
      <c r="N14">
        <v>6.9999999999999993E-2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 s="9">
        <v>20</v>
      </c>
      <c r="W14" s="9">
        <v>13</v>
      </c>
      <c r="X14" s="7">
        <v>0</v>
      </c>
      <c r="Y14" s="2">
        <f t="shared" si="6"/>
        <v>20</v>
      </c>
      <c r="Z14" s="2">
        <f t="shared" si="7"/>
        <v>13</v>
      </c>
      <c r="AA14" s="3">
        <v>0</v>
      </c>
      <c r="AB14" s="2">
        <f t="shared" si="8"/>
        <v>20</v>
      </c>
      <c r="AC14" s="2">
        <f t="shared" si="9"/>
        <v>13</v>
      </c>
      <c r="AD14" s="8">
        <f t="shared" si="10"/>
        <v>46.5</v>
      </c>
      <c r="AE14" s="8"/>
      <c r="AF14" s="2">
        <f t="shared" si="11"/>
        <v>33</v>
      </c>
      <c r="AP14" s="2"/>
      <c r="AQ14" s="2"/>
    </row>
    <row r="15" spans="1:43" x14ac:dyDescent="0.35">
      <c r="A15">
        <f t="shared" si="1"/>
        <v>3</v>
      </c>
      <c r="B15" t="s">
        <v>33</v>
      </c>
      <c r="C15" t="s">
        <v>28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0.23499999999999999</v>
      </c>
      <c r="L15">
        <v>2.2000000000000002</v>
      </c>
      <c r="M15">
        <v>2.8160000000000001E-4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 s="9">
        <v>5</v>
      </c>
      <c r="W15" s="9">
        <v>6.5</v>
      </c>
      <c r="X15" s="7" t="str">
        <f t="shared" ref="X15" si="15">IF(ISNUMBER(SEARCH("Appui",#REF!)),0,"0")</f>
        <v>0</v>
      </c>
      <c r="Y15" s="2">
        <f t="shared" si="6"/>
        <v>3.4624999999999999</v>
      </c>
      <c r="Z15" s="2">
        <f t="shared" si="7"/>
        <v>5.9</v>
      </c>
      <c r="AA15" s="3">
        <v>0</v>
      </c>
      <c r="AB15" s="2">
        <f t="shared" si="8"/>
        <v>3.4624999999999999</v>
      </c>
      <c r="AC15" s="2">
        <f t="shared" si="9"/>
        <v>5.9</v>
      </c>
      <c r="AD15" s="8">
        <f t="shared" si="10"/>
        <v>13.524375000000003</v>
      </c>
      <c r="AE15" s="8"/>
      <c r="AF15" s="2">
        <f t="shared" si="11"/>
        <v>9.3625000000000007</v>
      </c>
      <c r="AP15" s="2"/>
      <c r="AQ15" s="2"/>
    </row>
    <row r="16" spans="1:43" x14ac:dyDescent="0.35">
      <c r="A16">
        <f t="shared" si="1"/>
        <v>3</v>
      </c>
      <c r="B16" t="s">
        <v>33</v>
      </c>
      <c r="C16" t="s">
        <v>29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0.22</v>
      </c>
      <c r="L16">
        <v>2.2000000000000002</v>
      </c>
      <c r="M16">
        <v>1.3297999999999999E-3</v>
      </c>
      <c r="N16">
        <v>0.04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 s="12">
        <f t="shared" ref="U16:U18" si="16">5-1</f>
        <v>4</v>
      </c>
      <c r="V16" s="9">
        <v>61.5</v>
      </c>
      <c r="W16" s="9">
        <v>24</v>
      </c>
      <c r="X16" s="7">
        <v>0.05</v>
      </c>
      <c r="Y16" s="2">
        <f t="shared" si="6"/>
        <v>64.575000000000003</v>
      </c>
      <c r="Z16" s="2">
        <f t="shared" si="7"/>
        <v>25.2</v>
      </c>
      <c r="AA16" s="3">
        <v>0</v>
      </c>
      <c r="AB16" s="2">
        <f t="shared" si="8"/>
        <v>64.575000000000003</v>
      </c>
      <c r="AC16" s="2">
        <f t="shared" si="9"/>
        <v>25.2</v>
      </c>
      <c r="AD16" s="8">
        <f t="shared" si="10"/>
        <v>124.97625000000001</v>
      </c>
      <c r="AE16" s="8"/>
      <c r="AF16" s="2">
        <f t="shared" si="11"/>
        <v>89.775000000000006</v>
      </c>
      <c r="AP16" s="2"/>
    </row>
    <row r="17" spans="1:43" x14ac:dyDescent="0.35">
      <c r="A17">
        <f t="shared" si="1"/>
        <v>3</v>
      </c>
      <c r="B17" t="s">
        <v>33</v>
      </c>
      <c r="C17" t="s">
        <v>30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0.23499999999999999</v>
      </c>
      <c r="L17">
        <v>2.2000000000000002</v>
      </c>
      <c r="M17">
        <v>5.6539999999999997E-4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 s="12">
        <f t="shared" si="16"/>
        <v>4</v>
      </c>
      <c r="V17" s="9">
        <v>32.6</v>
      </c>
      <c r="W17" s="9">
        <v>15.5</v>
      </c>
      <c r="X17" s="7" t="str">
        <f t="shared" ref="X17" si="17">IF(ISNUMBER(SEARCH("Appui",#REF!)),0,"0")</f>
        <v>0</v>
      </c>
      <c r="Y17" s="2">
        <f t="shared" si="6"/>
        <v>28.4375</v>
      </c>
      <c r="Z17" s="2">
        <f t="shared" si="7"/>
        <v>13.984999999999999</v>
      </c>
      <c r="AA17" s="3">
        <v>0</v>
      </c>
      <c r="AB17" s="2">
        <f t="shared" si="8"/>
        <v>28.4375</v>
      </c>
      <c r="AC17" s="2">
        <f t="shared" si="9"/>
        <v>13.984999999999999</v>
      </c>
      <c r="AD17" s="8">
        <f t="shared" si="10"/>
        <v>59.368124999999999</v>
      </c>
      <c r="AE17" s="8"/>
      <c r="AF17" s="2">
        <f t="shared" si="11"/>
        <v>42.422499999999999</v>
      </c>
      <c r="AP17" s="2"/>
      <c r="AQ17" s="2"/>
    </row>
    <row r="18" spans="1:43" x14ac:dyDescent="0.35">
      <c r="A18">
        <f t="shared" si="1"/>
        <v>3</v>
      </c>
      <c r="B18" t="s">
        <v>33</v>
      </c>
      <c r="C18" t="s">
        <v>31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0.25</v>
      </c>
      <c r="L18">
        <v>2.2000000000000002</v>
      </c>
      <c r="M18">
        <v>1.89E-3</v>
      </c>
      <c r="N18">
        <v>6.9999999999999993E-2</v>
      </c>
      <c r="O18">
        <v>1</v>
      </c>
      <c r="P18">
        <v>0</v>
      </c>
      <c r="Q18">
        <v>0</v>
      </c>
      <c r="R18">
        <v>1</v>
      </c>
      <c r="S18">
        <v>2.9099999999999999E-5</v>
      </c>
      <c r="T18">
        <v>0</v>
      </c>
      <c r="U18" s="12">
        <f t="shared" si="16"/>
        <v>4</v>
      </c>
      <c r="V18" s="9">
        <v>87.5</v>
      </c>
      <c r="W18" s="9">
        <v>30.5</v>
      </c>
      <c r="X18" s="7">
        <v>0.06</v>
      </c>
      <c r="Y18" s="2">
        <f t="shared" si="6"/>
        <v>92.75</v>
      </c>
      <c r="Z18" s="2">
        <f t="shared" si="7"/>
        <v>32.33</v>
      </c>
      <c r="AA18" s="3">
        <v>0</v>
      </c>
      <c r="AB18" s="2">
        <f t="shared" si="8"/>
        <v>92.75</v>
      </c>
      <c r="AC18" s="2">
        <f t="shared" si="9"/>
        <v>32.33</v>
      </c>
      <c r="AD18" s="8">
        <f t="shared" si="10"/>
        <v>173.70750000000001</v>
      </c>
      <c r="AE18" s="8"/>
      <c r="AF18" s="2">
        <f t="shared" si="11"/>
        <v>125.08</v>
      </c>
      <c r="AP18" s="2"/>
      <c r="AQ18" s="2"/>
    </row>
    <row r="19" spans="1:43" x14ac:dyDescent="0.35">
      <c r="A19">
        <f t="shared" si="1"/>
        <v>3</v>
      </c>
      <c r="B19" t="s">
        <v>33</v>
      </c>
      <c r="C19" t="s">
        <v>32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0.26</v>
      </c>
      <c r="L19">
        <v>2.2000000000000002</v>
      </c>
      <c r="M19">
        <v>5.6539999999999997E-4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2</v>
      </c>
      <c r="V19" s="9">
        <v>25</v>
      </c>
      <c r="W19" s="9">
        <v>10</v>
      </c>
      <c r="X19" s="7" t="str">
        <f t="shared" ref="X19" si="18">IF(ISNUMBER(SEARCH("Appui",#REF!)),0,"0")</f>
        <v>0</v>
      </c>
      <c r="Y19" s="2">
        <f t="shared" si="6"/>
        <v>22.375</v>
      </c>
      <c r="Z19" s="2">
        <f t="shared" si="7"/>
        <v>9.0850000000000009</v>
      </c>
      <c r="AA19" s="3">
        <v>0</v>
      </c>
      <c r="AB19" s="2">
        <f t="shared" si="8"/>
        <v>22.375</v>
      </c>
      <c r="AC19" s="2">
        <f t="shared" si="9"/>
        <v>9.0850000000000009</v>
      </c>
      <c r="AD19" s="8">
        <f t="shared" si="10"/>
        <v>43.833750000000002</v>
      </c>
      <c r="AE19" s="8"/>
      <c r="AF19" s="2">
        <f t="shared" si="11"/>
        <v>31.46</v>
      </c>
      <c r="AP19" s="2"/>
      <c r="AQ19" s="2"/>
    </row>
    <row r="20" spans="1:43" x14ac:dyDescent="0.35">
      <c r="A20">
        <f t="shared" si="1"/>
        <v>3</v>
      </c>
      <c r="B20" t="s">
        <v>33</v>
      </c>
      <c r="D20" s="4">
        <v>25</v>
      </c>
      <c r="E20" s="4" t="s">
        <v>18</v>
      </c>
      <c r="F20" s="4">
        <v>500</v>
      </c>
      <c r="G20" s="5">
        <v>220000</v>
      </c>
      <c r="H20" s="4">
        <v>1576</v>
      </c>
      <c r="I20" s="4">
        <v>1870</v>
      </c>
      <c r="J20" s="4">
        <v>1</v>
      </c>
      <c r="K20" s="4">
        <v>0.2</v>
      </c>
      <c r="L20" s="4">
        <v>2.2000000000000002</v>
      </c>
      <c r="M20" s="4">
        <v>1.0000000000000001E-5</v>
      </c>
      <c r="N20" s="4">
        <v>0.03</v>
      </c>
      <c r="O20" s="4">
        <v>1</v>
      </c>
      <c r="P20" s="4">
        <v>0</v>
      </c>
      <c r="Q20" s="4">
        <v>0</v>
      </c>
      <c r="R20" s="4">
        <v>1</v>
      </c>
      <c r="S20" s="4">
        <v>0</v>
      </c>
      <c r="T20" s="4">
        <v>0</v>
      </c>
      <c r="U20" s="4">
        <v>0</v>
      </c>
      <c r="V20" s="6"/>
      <c r="W20" s="6"/>
      <c r="X20" s="4" t="s">
        <v>48</v>
      </c>
      <c r="Y20" s="2">
        <f t="shared" si="6"/>
        <v>0</v>
      </c>
      <c r="Z20" s="2">
        <f t="shared" si="7"/>
        <v>0</v>
      </c>
      <c r="AA20" s="3">
        <v>0</v>
      </c>
      <c r="AB20" s="2">
        <f t="shared" si="8"/>
        <v>0</v>
      </c>
      <c r="AC20" s="2">
        <f t="shared" si="9"/>
        <v>0</v>
      </c>
      <c r="AD20" s="8">
        <f t="shared" si="10"/>
        <v>0</v>
      </c>
      <c r="AE20" s="8"/>
      <c r="AF20" s="2">
        <f t="shared" si="11"/>
        <v>0</v>
      </c>
      <c r="AP20" s="2"/>
    </row>
    <row r="21" spans="1:43" x14ac:dyDescent="0.35">
      <c r="A21">
        <f t="shared" si="1"/>
        <v>4</v>
      </c>
      <c r="B21" t="s">
        <v>34</v>
      </c>
      <c r="C21" t="s">
        <v>20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0.26</v>
      </c>
      <c r="L21">
        <v>2.2000000000000002</v>
      </c>
      <c r="M21">
        <v>5.6539999999999997E-4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>
        <v>2</v>
      </c>
      <c r="V21" s="9">
        <v>20.399999999999999</v>
      </c>
      <c r="W21" s="9">
        <v>10</v>
      </c>
      <c r="X21" s="7" t="s">
        <v>48</v>
      </c>
      <c r="Y21" s="2">
        <f t="shared" si="6"/>
        <v>20.399999999999999</v>
      </c>
      <c r="Z21" s="2">
        <f t="shared" si="7"/>
        <v>10</v>
      </c>
      <c r="AA21" s="3">
        <v>0.5</v>
      </c>
      <c r="AB21" s="2">
        <f t="shared" si="8"/>
        <v>10.199999999999999</v>
      </c>
      <c r="AC21" s="2">
        <f t="shared" si="9"/>
        <v>20.2</v>
      </c>
      <c r="AD21" s="8">
        <f t="shared" si="10"/>
        <v>42.54</v>
      </c>
      <c r="AE21" s="8"/>
      <c r="AF21" s="2">
        <f t="shared" si="11"/>
        <v>30.4</v>
      </c>
      <c r="AP21" s="2"/>
    </row>
    <row r="22" spans="1:43" x14ac:dyDescent="0.35">
      <c r="A22">
        <f t="shared" si="1"/>
        <v>4</v>
      </c>
      <c r="B22" t="s">
        <v>34</v>
      </c>
      <c r="C22" t="s">
        <v>21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0.25</v>
      </c>
      <c r="L22">
        <v>2.2000000000000002</v>
      </c>
      <c r="M22">
        <v>1.1286E-3</v>
      </c>
      <c r="N22">
        <v>6.9999999999999993E-2</v>
      </c>
      <c r="O22">
        <v>1</v>
      </c>
      <c r="P22" s="12">
        <f>PI()*16^2/4*0.000001</f>
        <v>2.0106192982974675E-4</v>
      </c>
      <c r="Q22">
        <v>0.04</v>
      </c>
      <c r="R22" s="12">
        <v>4</v>
      </c>
      <c r="S22">
        <v>0</v>
      </c>
      <c r="T22">
        <v>0</v>
      </c>
      <c r="U22">
        <v>0</v>
      </c>
      <c r="V22" s="9">
        <v>97.5</v>
      </c>
      <c r="W22" s="9">
        <v>33</v>
      </c>
      <c r="X22" s="7">
        <v>0</v>
      </c>
      <c r="Y22" s="2">
        <f t="shared" si="6"/>
        <v>97.5</v>
      </c>
      <c r="Z22" s="2">
        <f t="shared" si="7"/>
        <v>33</v>
      </c>
      <c r="AA22" s="3">
        <v>0.5</v>
      </c>
      <c r="AB22" s="2">
        <f t="shared" si="8"/>
        <v>48.75</v>
      </c>
      <c r="AC22" s="2">
        <f t="shared" si="9"/>
        <v>81.75</v>
      </c>
      <c r="AD22" s="8">
        <f t="shared" si="10"/>
        <v>181.125</v>
      </c>
      <c r="AE22" s="8"/>
      <c r="AF22" s="2">
        <f t="shared" si="11"/>
        <v>130.5</v>
      </c>
      <c r="AP22" s="2"/>
    </row>
    <row r="23" spans="1:43" x14ac:dyDescent="0.35">
      <c r="A23">
        <f t="shared" si="1"/>
        <v>4</v>
      </c>
      <c r="B23" t="s">
        <v>34</v>
      </c>
      <c r="C23" t="s">
        <v>24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0.23499999999999999</v>
      </c>
      <c r="L23">
        <v>2.2000000000000002</v>
      </c>
      <c r="M23">
        <v>1.1286E-3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 s="12">
        <f>5-1</f>
        <v>4</v>
      </c>
      <c r="V23" s="9">
        <v>43.2</v>
      </c>
      <c r="W23" s="9">
        <v>16</v>
      </c>
      <c r="X23" s="7" t="s">
        <v>48</v>
      </c>
      <c r="Y23" s="2">
        <f t="shared" si="6"/>
        <v>50.95</v>
      </c>
      <c r="Z23" s="2">
        <f t="shared" si="7"/>
        <v>18.95</v>
      </c>
      <c r="AA23" s="3">
        <v>0.5</v>
      </c>
      <c r="AB23" s="2">
        <f t="shared" si="8"/>
        <v>25.475000000000001</v>
      </c>
      <c r="AC23" s="2">
        <f t="shared" si="9"/>
        <v>44.424999999999997</v>
      </c>
      <c r="AD23" s="8">
        <f t="shared" si="10"/>
        <v>97.20750000000001</v>
      </c>
      <c r="AE23" s="8"/>
      <c r="AF23" s="2">
        <f t="shared" si="11"/>
        <v>69.900000000000006</v>
      </c>
      <c r="AP23" s="2"/>
    </row>
    <row r="24" spans="1:43" x14ac:dyDescent="0.35">
      <c r="A24">
        <f t="shared" si="1"/>
        <v>4</v>
      </c>
      <c r="B24" t="s">
        <v>34</v>
      </c>
      <c r="C24" t="s">
        <v>25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0.22</v>
      </c>
      <c r="L24">
        <v>2.2000000000000002</v>
      </c>
      <c r="M24">
        <v>1.0482E-3</v>
      </c>
      <c r="N24">
        <v>8.4999999999999992E-2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 s="12">
        <f>10+2</f>
        <v>12</v>
      </c>
      <c r="V24" s="9">
        <v>77.5</v>
      </c>
      <c r="W24" s="9">
        <v>29.5</v>
      </c>
      <c r="X24" s="11">
        <v>-0.2</v>
      </c>
      <c r="Y24" s="2">
        <f t="shared" si="6"/>
        <v>62</v>
      </c>
      <c r="Z24" s="2">
        <f t="shared" si="7"/>
        <v>23.6</v>
      </c>
      <c r="AA24" s="3">
        <v>0.25</v>
      </c>
      <c r="AB24" s="2">
        <f t="shared" si="8"/>
        <v>46.5</v>
      </c>
      <c r="AC24" s="2">
        <f t="shared" si="9"/>
        <v>39.1</v>
      </c>
      <c r="AD24" s="8">
        <f t="shared" si="10"/>
        <v>119.10000000000001</v>
      </c>
      <c r="AE24" s="8"/>
      <c r="AF24" s="2">
        <f t="shared" si="11"/>
        <v>85.6</v>
      </c>
      <c r="AP24" s="2"/>
    </row>
    <row r="25" spans="1:43" x14ac:dyDescent="0.35">
      <c r="A25">
        <f t="shared" si="1"/>
        <v>4</v>
      </c>
      <c r="B25" t="s">
        <v>34</v>
      </c>
      <c r="C25" t="s">
        <v>26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0.23499999999999999</v>
      </c>
      <c r="L25">
        <v>2.2000000000000002</v>
      </c>
      <c r="M25">
        <v>2.8160000000000001E-4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2</v>
      </c>
      <c r="V25" s="9">
        <v>3</v>
      </c>
      <c r="W25" s="9">
        <v>6.5</v>
      </c>
      <c r="X25" s="7" t="s">
        <v>48</v>
      </c>
      <c r="Y25" s="2">
        <f t="shared" si="6"/>
        <v>10.75</v>
      </c>
      <c r="Z25" s="2">
        <f t="shared" si="7"/>
        <v>9.4499999999999993</v>
      </c>
      <c r="AA25" s="3">
        <v>0</v>
      </c>
      <c r="AB25" s="2">
        <f t="shared" si="8"/>
        <v>10.75</v>
      </c>
      <c r="AC25" s="2">
        <f t="shared" si="9"/>
        <v>9.4499999999999993</v>
      </c>
      <c r="AD25" s="8">
        <f t="shared" si="10"/>
        <v>28.6875</v>
      </c>
      <c r="AE25" s="8"/>
      <c r="AF25" s="2">
        <f t="shared" si="11"/>
        <v>20.2</v>
      </c>
      <c r="AP25" s="2"/>
    </row>
    <row r="26" spans="1:43" x14ac:dyDescent="0.35">
      <c r="A26">
        <f t="shared" si="1"/>
        <v>4</v>
      </c>
      <c r="B26" t="s">
        <v>34</v>
      </c>
      <c r="C26" t="s">
        <v>27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0.25</v>
      </c>
      <c r="L26">
        <v>2.2000000000000002</v>
      </c>
      <c r="M26">
        <v>9.3510000000000012E-4</v>
      </c>
      <c r="N26">
        <v>6.9999999999999993E-2</v>
      </c>
      <c r="O26">
        <v>1</v>
      </c>
      <c r="P26">
        <v>0</v>
      </c>
      <c r="Q26">
        <v>0</v>
      </c>
      <c r="R26">
        <v>1</v>
      </c>
      <c r="S26">
        <v>2.9099999999999999E-5</v>
      </c>
      <c r="T26">
        <v>0</v>
      </c>
      <c r="U26" s="12">
        <f>10+2</f>
        <v>12</v>
      </c>
      <c r="V26" s="9">
        <v>15</v>
      </c>
      <c r="W26" s="9">
        <v>13</v>
      </c>
      <c r="X26" s="7">
        <v>0</v>
      </c>
      <c r="Y26" s="2">
        <f t="shared" si="6"/>
        <v>15</v>
      </c>
      <c r="Z26" s="2">
        <f t="shared" si="7"/>
        <v>13</v>
      </c>
      <c r="AA26" s="3">
        <v>0</v>
      </c>
      <c r="AB26" s="2">
        <f t="shared" si="8"/>
        <v>15</v>
      </c>
      <c r="AC26" s="2">
        <f t="shared" si="9"/>
        <v>13</v>
      </c>
      <c r="AD26" s="8">
        <f t="shared" si="10"/>
        <v>39.75</v>
      </c>
      <c r="AE26" s="8"/>
      <c r="AF26" s="2">
        <f t="shared" si="11"/>
        <v>28</v>
      </c>
      <c r="AP26" s="2"/>
    </row>
    <row r="27" spans="1:43" x14ac:dyDescent="0.35">
      <c r="A27">
        <f t="shared" si="1"/>
        <v>4</v>
      </c>
      <c r="B27" t="s">
        <v>34</v>
      </c>
      <c r="C27" t="s">
        <v>28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0.23499999999999999</v>
      </c>
      <c r="L27">
        <v>2.2000000000000002</v>
      </c>
      <c r="M27">
        <v>2.8160000000000001E-4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2</v>
      </c>
      <c r="V27" s="9">
        <v>5</v>
      </c>
      <c r="W27" s="9">
        <v>6.5</v>
      </c>
      <c r="X27" s="7" t="s">
        <v>48</v>
      </c>
      <c r="Y27" s="2">
        <f t="shared" si="6"/>
        <v>14.6875</v>
      </c>
      <c r="Z27" s="2">
        <f t="shared" si="7"/>
        <v>10.125</v>
      </c>
      <c r="AA27" s="3">
        <v>0</v>
      </c>
      <c r="AB27" s="2">
        <f t="shared" si="8"/>
        <v>14.6875</v>
      </c>
      <c r="AC27" s="2">
        <f t="shared" si="9"/>
        <v>10.125</v>
      </c>
      <c r="AD27" s="8">
        <f t="shared" si="10"/>
        <v>35.015625</v>
      </c>
      <c r="AE27" s="8"/>
      <c r="AF27" s="2">
        <f t="shared" si="11"/>
        <v>24.8125</v>
      </c>
      <c r="AP27" s="2"/>
    </row>
    <row r="28" spans="1:43" x14ac:dyDescent="0.35">
      <c r="A28">
        <f t="shared" si="1"/>
        <v>4</v>
      </c>
      <c r="B28" t="s">
        <v>34</v>
      </c>
      <c r="C28" t="s">
        <v>29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0.22</v>
      </c>
      <c r="L28">
        <v>2.2000000000000002</v>
      </c>
      <c r="M28">
        <v>1.3297999999999999E-3</v>
      </c>
      <c r="N28">
        <v>9.9999999999999992E-2</v>
      </c>
      <c r="O28">
        <v>1</v>
      </c>
      <c r="P28">
        <v>0</v>
      </c>
      <c r="Q28">
        <v>0</v>
      </c>
      <c r="R28">
        <v>1</v>
      </c>
      <c r="S28">
        <v>2.9099999999999999E-5</v>
      </c>
      <c r="T28">
        <v>0</v>
      </c>
      <c r="U28" s="12">
        <f>5+1</f>
        <v>6</v>
      </c>
      <c r="V28" s="9">
        <v>77.5</v>
      </c>
      <c r="W28" s="9">
        <v>29</v>
      </c>
      <c r="X28" s="11">
        <v>-0.25</v>
      </c>
      <c r="Y28" s="2">
        <f t="shared" si="6"/>
        <v>58.125</v>
      </c>
      <c r="Z28" s="2">
        <f t="shared" si="7"/>
        <v>21.75</v>
      </c>
      <c r="AA28" s="3">
        <v>0</v>
      </c>
      <c r="AB28" s="2">
        <f t="shared" si="8"/>
        <v>58.125</v>
      </c>
      <c r="AC28" s="2">
        <f t="shared" si="9"/>
        <v>21.75</v>
      </c>
      <c r="AD28" s="8">
        <f t="shared" si="10"/>
        <v>111.09375</v>
      </c>
      <c r="AE28" s="8"/>
      <c r="AF28" s="2">
        <f t="shared" si="11"/>
        <v>79.875</v>
      </c>
    </row>
    <row r="29" spans="1:43" x14ac:dyDescent="0.35">
      <c r="A29">
        <f t="shared" si="1"/>
        <v>4</v>
      </c>
      <c r="B29" t="s">
        <v>34</v>
      </c>
      <c r="C29" t="s">
        <v>30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0.23499999999999999</v>
      </c>
      <c r="L29">
        <v>2.2000000000000002</v>
      </c>
      <c r="M29">
        <v>8.470000000000001E-4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 s="12">
        <f>10-2</f>
        <v>8</v>
      </c>
      <c r="V29" s="9">
        <v>41.5</v>
      </c>
      <c r="W29" s="9">
        <v>15.5</v>
      </c>
      <c r="X29" s="7" t="s">
        <v>48</v>
      </c>
      <c r="Y29" s="2">
        <f t="shared" si="6"/>
        <v>51.1875</v>
      </c>
      <c r="Z29" s="2">
        <f t="shared" si="7"/>
        <v>19.125</v>
      </c>
      <c r="AA29" s="3">
        <v>0</v>
      </c>
      <c r="AB29" s="2">
        <f t="shared" si="8"/>
        <v>51.1875</v>
      </c>
      <c r="AC29" s="2">
        <f t="shared" si="9"/>
        <v>19.125</v>
      </c>
      <c r="AD29" s="8">
        <f t="shared" si="10"/>
        <v>97.790625000000006</v>
      </c>
      <c r="AE29" s="8"/>
      <c r="AF29" s="2">
        <f t="shared" si="11"/>
        <v>70.3125</v>
      </c>
    </row>
    <row r="30" spans="1:43" x14ac:dyDescent="0.35">
      <c r="A30">
        <f t="shared" si="1"/>
        <v>4</v>
      </c>
      <c r="B30" t="s">
        <v>34</v>
      </c>
      <c r="C30" t="s">
        <v>31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0.25</v>
      </c>
      <c r="L30">
        <v>2.2000000000000002</v>
      </c>
      <c r="M30">
        <v>1.89E-3</v>
      </c>
      <c r="N30">
        <v>8.4999999999999992E-2</v>
      </c>
      <c r="O30">
        <v>1</v>
      </c>
      <c r="P30">
        <v>0</v>
      </c>
      <c r="Q30">
        <v>0</v>
      </c>
      <c r="R30">
        <v>1</v>
      </c>
      <c r="S30">
        <v>2.9099999999999999E-5</v>
      </c>
      <c r="T30">
        <v>0</v>
      </c>
      <c r="U30" s="12">
        <f>5+1</f>
        <v>6</v>
      </c>
      <c r="V30" s="9">
        <v>95</v>
      </c>
      <c r="W30" s="9">
        <v>31.5</v>
      </c>
      <c r="X30" s="7">
        <v>0</v>
      </c>
      <c r="Y30" s="2">
        <f t="shared" si="6"/>
        <v>95</v>
      </c>
      <c r="Z30" s="2">
        <f t="shared" si="7"/>
        <v>31.5</v>
      </c>
      <c r="AA30" s="3">
        <v>0</v>
      </c>
      <c r="AB30" s="2">
        <f t="shared" si="8"/>
        <v>95</v>
      </c>
      <c r="AC30" s="2">
        <f t="shared" si="9"/>
        <v>31.5</v>
      </c>
      <c r="AD30" s="8">
        <f t="shared" si="10"/>
        <v>175.5</v>
      </c>
      <c r="AE30" s="8"/>
      <c r="AF30" s="2">
        <f t="shared" si="11"/>
        <v>126.5</v>
      </c>
    </row>
    <row r="31" spans="1:43" x14ac:dyDescent="0.35">
      <c r="A31">
        <f t="shared" si="1"/>
        <v>4</v>
      </c>
      <c r="B31" t="s">
        <v>34</v>
      </c>
      <c r="C31" t="s">
        <v>32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0.26</v>
      </c>
      <c r="L31">
        <v>2.2000000000000002</v>
      </c>
      <c r="M31">
        <v>5.6539999999999997E-4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2.9099999999999999E-5</v>
      </c>
      <c r="T31">
        <v>0</v>
      </c>
      <c r="U31">
        <v>2</v>
      </c>
      <c r="V31" s="9">
        <v>21</v>
      </c>
      <c r="W31" s="9">
        <v>10</v>
      </c>
      <c r="X31" s="7" t="s">
        <v>48</v>
      </c>
      <c r="Y31" s="2">
        <f t="shared" si="6"/>
        <v>21</v>
      </c>
      <c r="Z31" s="2">
        <f t="shared" si="7"/>
        <v>10</v>
      </c>
      <c r="AA31" s="3">
        <v>0</v>
      </c>
      <c r="AB31" s="2">
        <f t="shared" si="8"/>
        <v>21</v>
      </c>
      <c r="AC31" s="2">
        <f t="shared" si="9"/>
        <v>10</v>
      </c>
      <c r="AD31" s="8">
        <f t="shared" si="10"/>
        <v>43.35</v>
      </c>
      <c r="AE31" s="8"/>
      <c r="AF31" s="2">
        <f t="shared" si="11"/>
        <v>31</v>
      </c>
    </row>
    <row r="32" spans="1:43" x14ac:dyDescent="0.35">
      <c r="A32">
        <f t="shared" si="1"/>
        <v>4</v>
      </c>
      <c r="B32" t="s">
        <v>34</v>
      </c>
      <c r="D32" s="4">
        <v>25</v>
      </c>
      <c r="E32" s="4" t="s">
        <v>18</v>
      </c>
      <c r="F32" s="4">
        <v>500</v>
      </c>
      <c r="G32" s="5">
        <v>220000</v>
      </c>
      <c r="H32" s="4">
        <v>1576</v>
      </c>
      <c r="I32" s="4">
        <v>1870</v>
      </c>
      <c r="J32" s="4">
        <v>1</v>
      </c>
      <c r="K32" s="4">
        <v>0.2</v>
      </c>
      <c r="L32" s="4">
        <v>2.2000000000000002</v>
      </c>
      <c r="M32" s="4">
        <v>1.0000000000000001E-5</v>
      </c>
      <c r="N32" s="4">
        <v>0.03</v>
      </c>
      <c r="O32" s="4">
        <v>1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6"/>
      <c r="W32" s="6"/>
      <c r="X32" s="4" t="s">
        <v>48</v>
      </c>
      <c r="Y32" s="2">
        <f t="shared" si="6"/>
        <v>0</v>
      </c>
      <c r="Z32" s="2">
        <f t="shared" si="7"/>
        <v>0</v>
      </c>
      <c r="AA32" s="3">
        <v>0</v>
      </c>
      <c r="AB32" s="2">
        <f t="shared" si="8"/>
        <v>0</v>
      </c>
      <c r="AC32" s="2">
        <f t="shared" si="9"/>
        <v>0</v>
      </c>
      <c r="AD32" s="8">
        <f t="shared" si="10"/>
        <v>0</v>
      </c>
      <c r="AE32" s="8"/>
      <c r="AF32" s="2">
        <f t="shared" si="11"/>
        <v>0</v>
      </c>
    </row>
    <row r="33" spans="1:32" x14ac:dyDescent="0.35">
      <c r="A33">
        <f t="shared" si="1"/>
        <v>5</v>
      </c>
      <c r="B33" t="s">
        <v>43</v>
      </c>
      <c r="C33" t="s">
        <v>20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0.26</v>
      </c>
      <c r="L33">
        <v>2.2000000000000002</v>
      </c>
      <c r="M33">
        <v>5.6539999999999997E-4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2.9099999999999999E-5</v>
      </c>
      <c r="T33">
        <v>0</v>
      </c>
      <c r="U33">
        <v>2</v>
      </c>
      <c r="V33" s="9">
        <v>19</v>
      </c>
      <c r="W33" s="9">
        <v>5</v>
      </c>
      <c r="X33" s="7" t="s">
        <v>48</v>
      </c>
      <c r="Y33" s="2">
        <f t="shared" si="6"/>
        <v>19</v>
      </c>
      <c r="Z33" s="2">
        <f t="shared" si="7"/>
        <v>5</v>
      </c>
      <c r="AA33" s="3">
        <v>0.5</v>
      </c>
      <c r="AB33" s="2">
        <f t="shared" si="8"/>
        <v>9.5</v>
      </c>
      <c r="AC33" s="2">
        <f t="shared" si="9"/>
        <v>14.5</v>
      </c>
      <c r="AD33" s="8">
        <f t="shared" si="10"/>
        <v>33.150000000000006</v>
      </c>
      <c r="AE33" s="8"/>
      <c r="AF33" s="2">
        <f t="shared" si="11"/>
        <v>24</v>
      </c>
    </row>
    <row r="34" spans="1:32" x14ac:dyDescent="0.35">
      <c r="A34">
        <f t="shared" si="1"/>
        <v>5</v>
      </c>
      <c r="B34" t="s">
        <v>43</v>
      </c>
      <c r="C34" t="s">
        <v>21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0.25</v>
      </c>
      <c r="L34">
        <v>2.2000000000000002</v>
      </c>
      <c r="M34">
        <v>1.1286E-3</v>
      </c>
      <c r="N34">
        <v>6.9999999999999993E-2</v>
      </c>
      <c r="O34">
        <v>1</v>
      </c>
      <c r="P34" s="12">
        <f>PI()*16^2/4*0.000001</f>
        <v>2.0106192982974675E-4</v>
      </c>
      <c r="Q34">
        <v>0.04</v>
      </c>
      <c r="R34" s="12">
        <v>4</v>
      </c>
      <c r="S34">
        <v>0</v>
      </c>
      <c r="T34">
        <v>0</v>
      </c>
      <c r="U34">
        <v>0</v>
      </c>
      <c r="V34" s="9">
        <v>105</v>
      </c>
      <c r="W34" s="9">
        <v>30</v>
      </c>
      <c r="X34" s="7">
        <v>0</v>
      </c>
      <c r="Y34" s="2">
        <f t="shared" si="6"/>
        <v>105</v>
      </c>
      <c r="Z34" s="2">
        <f t="shared" si="7"/>
        <v>30</v>
      </c>
      <c r="AA34" s="3">
        <v>0.5</v>
      </c>
      <c r="AB34" s="2">
        <f t="shared" si="8"/>
        <v>52.5</v>
      </c>
      <c r="AC34" s="2">
        <f t="shared" si="9"/>
        <v>82.5</v>
      </c>
      <c r="AD34" s="8">
        <f t="shared" si="10"/>
        <v>186.75</v>
      </c>
      <c r="AE34" s="8"/>
      <c r="AF34" s="2">
        <f t="shared" si="11"/>
        <v>135</v>
      </c>
    </row>
    <row r="35" spans="1:32" x14ac:dyDescent="0.35">
      <c r="A35">
        <f t="shared" si="1"/>
        <v>5</v>
      </c>
      <c r="B35" t="s">
        <v>43</v>
      </c>
      <c r="C35" t="s">
        <v>24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0.23499999999999999</v>
      </c>
      <c r="L35">
        <v>2.2000000000000002</v>
      </c>
      <c r="M35">
        <v>8.470000000000001E-4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2.9099999999999999E-5</v>
      </c>
      <c r="T35">
        <v>0</v>
      </c>
      <c r="U35" s="12">
        <f>7-1</f>
        <v>6</v>
      </c>
      <c r="V35" s="9">
        <v>47</v>
      </c>
      <c r="W35" s="9">
        <v>17</v>
      </c>
      <c r="X35" s="7" t="s">
        <v>48</v>
      </c>
      <c r="Y35" s="2">
        <f t="shared" si="6"/>
        <v>53.975000000000001</v>
      </c>
      <c r="Z35" s="2">
        <f t="shared" si="7"/>
        <v>19.475000000000001</v>
      </c>
      <c r="AA35" s="3">
        <v>0.5</v>
      </c>
      <c r="AB35" s="2">
        <f t="shared" si="8"/>
        <v>26.987500000000001</v>
      </c>
      <c r="AC35" s="2">
        <f t="shared" si="9"/>
        <v>46.462500000000006</v>
      </c>
      <c r="AD35" s="8">
        <f t="shared" si="10"/>
        <v>102.07875000000001</v>
      </c>
      <c r="AE35" s="8"/>
      <c r="AF35" s="2">
        <f t="shared" si="11"/>
        <v>73.45</v>
      </c>
    </row>
    <row r="36" spans="1:32" x14ac:dyDescent="0.35">
      <c r="A36">
        <f t="shared" si="1"/>
        <v>5</v>
      </c>
      <c r="B36" t="s">
        <v>43</v>
      </c>
      <c r="C36" t="s">
        <v>25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0.22</v>
      </c>
      <c r="L36">
        <v>2.2000000000000002</v>
      </c>
      <c r="M36">
        <v>1.0482E-3</v>
      </c>
      <c r="N36">
        <v>0.04</v>
      </c>
      <c r="O36">
        <v>1</v>
      </c>
      <c r="P36">
        <v>0</v>
      </c>
      <c r="Q36">
        <v>0</v>
      </c>
      <c r="R36">
        <v>1</v>
      </c>
      <c r="S36">
        <v>2.9099999999999999E-5</v>
      </c>
      <c r="T36">
        <v>0</v>
      </c>
      <c r="U36" s="12">
        <f>10+2</f>
        <v>12</v>
      </c>
      <c r="V36" s="9">
        <v>93</v>
      </c>
      <c r="W36" s="9">
        <v>33</v>
      </c>
      <c r="X36" s="11">
        <v>-0.15</v>
      </c>
      <c r="Y36" s="2">
        <f t="shared" si="6"/>
        <v>79.05</v>
      </c>
      <c r="Z36" s="2">
        <f t="shared" si="7"/>
        <v>28.05</v>
      </c>
      <c r="AA36" s="3">
        <v>0.25</v>
      </c>
      <c r="AB36" s="2">
        <f t="shared" si="8"/>
        <v>59.287499999999994</v>
      </c>
      <c r="AC36" s="2">
        <f t="shared" si="9"/>
        <v>47.8125</v>
      </c>
      <c r="AD36" s="8">
        <f t="shared" si="10"/>
        <v>148.79250000000002</v>
      </c>
      <c r="AE36" s="8"/>
      <c r="AF36" s="2">
        <f t="shared" si="11"/>
        <v>107.1</v>
      </c>
    </row>
    <row r="37" spans="1:32" x14ac:dyDescent="0.35">
      <c r="A37">
        <f t="shared" si="1"/>
        <v>5</v>
      </c>
      <c r="B37" t="s">
        <v>43</v>
      </c>
      <c r="C37" t="s">
        <v>26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0.23499999999999999</v>
      </c>
      <c r="L37">
        <v>2.2000000000000002</v>
      </c>
      <c r="M37">
        <v>2.8160000000000001E-4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2.9099999999999999E-5</v>
      </c>
      <c r="T37">
        <v>0</v>
      </c>
      <c r="U37" s="12">
        <f>7-1</f>
        <v>6</v>
      </c>
      <c r="V37" s="9">
        <v>2</v>
      </c>
      <c r="W37" s="9">
        <v>6.3</v>
      </c>
      <c r="X37" s="7" t="s">
        <v>48</v>
      </c>
      <c r="Y37" s="2">
        <f t="shared" si="6"/>
        <v>8.9749999999999996</v>
      </c>
      <c r="Z37" s="2">
        <f t="shared" si="7"/>
        <v>8.7750000000000004</v>
      </c>
      <c r="AA37" s="3">
        <v>0</v>
      </c>
      <c r="AB37" s="2">
        <f t="shared" si="8"/>
        <v>8.9749999999999996</v>
      </c>
      <c r="AC37" s="2">
        <f t="shared" si="9"/>
        <v>8.7750000000000004</v>
      </c>
      <c r="AD37" s="8">
        <f t="shared" si="10"/>
        <v>25.278750000000002</v>
      </c>
      <c r="AE37" s="8"/>
      <c r="AF37" s="2">
        <f t="shared" si="11"/>
        <v>17.75</v>
      </c>
    </row>
    <row r="38" spans="1:32" x14ac:dyDescent="0.35">
      <c r="A38">
        <f t="shared" si="1"/>
        <v>5</v>
      </c>
      <c r="B38" t="s">
        <v>43</v>
      </c>
      <c r="C38" t="s">
        <v>27</v>
      </c>
      <c r="D38">
        <v>25</v>
      </c>
      <c r="E38" t="s">
        <v>18</v>
      </c>
      <c r="F38">
        <v>500</v>
      </c>
      <c r="G38" s="1">
        <v>220000</v>
      </c>
      <c r="H38">
        <v>1576</v>
      </c>
      <c r="I38">
        <v>1870</v>
      </c>
      <c r="J38">
        <v>1</v>
      </c>
      <c r="K38">
        <v>0.25</v>
      </c>
      <c r="L38">
        <v>2.2000000000000002</v>
      </c>
      <c r="M38">
        <v>9.3510000000000012E-4</v>
      </c>
      <c r="N38">
        <v>6.9999999999999993E-2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 s="9">
        <v>25</v>
      </c>
      <c r="W38" s="9">
        <v>15</v>
      </c>
      <c r="X38" s="7">
        <v>0</v>
      </c>
      <c r="Y38" s="2">
        <f t="shared" si="6"/>
        <v>25</v>
      </c>
      <c r="Z38" s="2">
        <f t="shared" si="7"/>
        <v>15</v>
      </c>
      <c r="AA38" s="3">
        <v>0</v>
      </c>
      <c r="AB38" s="2">
        <f t="shared" si="8"/>
        <v>25</v>
      </c>
      <c r="AC38" s="2">
        <f t="shared" si="9"/>
        <v>15</v>
      </c>
      <c r="AD38" s="8">
        <f t="shared" si="10"/>
        <v>56.25</v>
      </c>
      <c r="AE38" s="8"/>
      <c r="AF38" s="2">
        <f t="shared" si="11"/>
        <v>40</v>
      </c>
    </row>
    <row r="39" spans="1:32" x14ac:dyDescent="0.35">
      <c r="A39">
        <f t="shared" si="1"/>
        <v>5</v>
      </c>
      <c r="B39" t="s">
        <v>43</v>
      </c>
      <c r="C39" t="s">
        <v>28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0.23499999999999999</v>
      </c>
      <c r="L39">
        <v>2.2000000000000002</v>
      </c>
      <c r="M39">
        <v>2.8160000000000001E-4</v>
      </c>
      <c r="N39">
        <v>0.04</v>
      </c>
      <c r="O39">
        <v>1</v>
      </c>
      <c r="P39">
        <v>0</v>
      </c>
      <c r="Q39">
        <v>0</v>
      </c>
      <c r="R39">
        <v>1</v>
      </c>
      <c r="S39">
        <v>2.9099999999999999E-5</v>
      </c>
      <c r="T39">
        <v>0</v>
      </c>
      <c r="U39" s="12">
        <f>7-1</f>
        <v>6</v>
      </c>
      <c r="V39" s="9">
        <v>4</v>
      </c>
      <c r="W39" s="9">
        <v>6.5</v>
      </c>
      <c r="X39" s="7" t="s">
        <v>48</v>
      </c>
      <c r="Y39" s="2">
        <f t="shared" si="6"/>
        <v>8.625</v>
      </c>
      <c r="Z39" s="2">
        <f t="shared" si="7"/>
        <v>8.0500000000000007</v>
      </c>
      <c r="AA39" s="3">
        <v>0</v>
      </c>
      <c r="AB39" s="2">
        <f t="shared" si="8"/>
        <v>8.625</v>
      </c>
      <c r="AC39" s="2">
        <f t="shared" si="9"/>
        <v>8.0500000000000007</v>
      </c>
      <c r="AD39" s="8">
        <f t="shared" si="10"/>
        <v>23.71875</v>
      </c>
      <c r="AE39" s="8"/>
      <c r="AF39" s="2">
        <f t="shared" si="11"/>
        <v>16.675000000000001</v>
      </c>
    </row>
    <row r="40" spans="1:32" x14ac:dyDescent="0.35">
      <c r="A40">
        <f t="shared" si="1"/>
        <v>5</v>
      </c>
      <c r="B40" t="s">
        <v>43</v>
      </c>
      <c r="C40" t="s">
        <v>29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0.22</v>
      </c>
      <c r="L40">
        <v>2.2000000000000002</v>
      </c>
      <c r="M40" s="12">
        <f>(3*1.68+6*1.131)*0.0001</f>
        <v>1.1826E-3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2.9099999999999999E-5</v>
      </c>
      <c r="T40">
        <v>0</v>
      </c>
      <c r="U40" s="12">
        <f>10+2</f>
        <v>12</v>
      </c>
      <c r="V40" s="9">
        <v>92.5</v>
      </c>
      <c r="W40" s="9">
        <v>31</v>
      </c>
      <c r="X40" s="11">
        <v>-0.1</v>
      </c>
      <c r="Y40" s="2">
        <f t="shared" si="6"/>
        <v>83.25</v>
      </c>
      <c r="Z40" s="2">
        <f t="shared" si="7"/>
        <v>27.9</v>
      </c>
      <c r="AA40" s="3">
        <v>0</v>
      </c>
      <c r="AB40" s="2">
        <f t="shared" si="8"/>
        <v>83.25</v>
      </c>
      <c r="AC40" s="2">
        <f t="shared" si="9"/>
        <v>27.9</v>
      </c>
      <c r="AD40" s="8">
        <f t="shared" si="10"/>
        <v>154.23750000000001</v>
      </c>
      <c r="AE40" s="8"/>
      <c r="AF40" s="2">
        <f t="shared" si="11"/>
        <v>111.15</v>
      </c>
    </row>
    <row r="41" spans="1:32" x14ac:dyDescent="0.35">
      <c r="A41">
        <f t="shared" si="1"/>
        <v>5</v>
      </c>
      <c r="B41" t="s">
        <v>43</v>
      </c>
      <c r="C41" t="s">
        <v>30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0.23499999999999999</v>
      </c>
      <c r="L41">
        <v>2.2000000000000002</v>
      </c>
      <c r="M41" s="12">
        <f>0.0005654+(0.3+0.2)*1.28*0.0001</f>
        <v>6.2940000000000001E-4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 s="12">
        <f>7+1</f>
        <v>8</v>
      </c>
      <c r="V41" s="9">
        <v>44</v>
      </c>
      <c r="W41" s="9">
        <v>16.100000000000001</v>
      </c>
      <c r="X41" s="7" t="s">
        <v>48</v>
      </c>
      <c r="Y41" s="2">
        <f t="shared" si="6"/>
        <v>46.125</v>
      </c>
      <c r="Z41" s="2">
        <f t="shared" si="7"/>
        <v>16.8125</v>
      </c>
      <c r="AA41" s="3">
        <v>0</v>
      </c>
      <c r="AB41" s="2">
        <f t="shared" si="8"/>
        <v>46.125</v>
      </c>
      <c r="AC41" s="2">
        <f t="shared" si="9"/>
        <v>16.8125</v>
      </c>
      <c r="AD41" s="8">
        <f t="shared" si="10"/>
        <v>87.487500000000011</v>
      </c>
      <c r="AE41" s="8"/>
      <c r="AF41" s="2">
        <f t="shared" si="11"/>
        <v>62.9375</v>
      </c>
    </row>
    <row r="42" spans="1:32" x14ac:dyDescent="0.35">
      <c r="A42">
        <f t="shared" si="1"/>
        <v>5</v>
      </c>
      <c r="B42" t="s">
        <v>43</v>
      </c>
      <c r="C42" t="s">
        <v>31</v>
      </c>
      <c r="D42">
        <v>25</v>
      </c>
      <c r="E42" t="s">
        <v>18</v>
      </c>
      <c r="F42">
        <v>500</v>
      </c>
      <c r="G42" s="1">
        <v>220000</v>
      </c>
      <c r="H42">
        <v>1576</v>
      </c>
      <c r="I42">
        <v>1870</v>
      </c>
      <c r="J42">
        <v>1</v>
      </c>
      <c r="K42">
        <v>0.25</v>
      </c>
      <c r="L42">
        <v>2.2000000000000002</v>
      </c>
      <c r="M42">
        <v>1.89E-3</v>
      </c>
      <c r="N42">
        <v>6.9999999999999993E-2</v>
      </c>
      <c r="O42">
        <v>1</v>
      </c>
      <c r="P42">
        <v>0</v>
      </c>
      <c r="Q42">
        <v>0</v>
      </c>
      <c r="R42">
        <v>1</v>
      </c>
      <c r="S42">
        <v>2.9099999999999999E-5</v>
      </c>
      <c r="T42">
        <v>0</v>
      </c>
      <c r="U42" s="12">
        <f>5+1</f>
        <v>6</v>
      </c>
      <c r="V42" s="9">
        <v>100</v>
      </c>
      <c r="W42" s="9">
        <v>33.5</v>
      </c>
      <c r="X42" s="11">
        <v>0.05</v>
      </c>
      <c r="Y42" s="2">
        <f t="shared" si="6"/>
        <v>105</v>
      </c>
      <c r="Z42" s="2">
        <f t="shared" si="7"/>
        <v>35.174999999999997</v>
      </c>
      <c r="AA42" s="3">
        <v>0</v>
      </c>
      <c r="AB42" s="2">
        <f t="shared" si="8"/>
        <v>105</v>
      </c>
      <c r="AC42" s="2">
        <f t="shared" si="9"/>
        <v>35.174999999999997</v>
      </c>
      <c r="AD42" s="8">
        <f t="shared" si="10"/>
        <v>194.51249999999999</v>
      </c>
      <c r="AE42" s="8"/>
      <c r="AF42" s="2">
        <f t="shared" si="11"/>
        <v>140.17500000000001</v>
      </c>
    </row>
    <row r="43" spans="1:32" x14ac:dyDescent="0.35">
      <c r="A43">
        <f t="shared" si="1"/>
        <v>5</v>
      </c>
      <c r="B43" t="s">
        <v>43</v>
      </c>
      <c r="C43" t="s">
        <v>32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0.26</v>
      </c>
      <c r="L43">
        <v>2.2000000000000002</v>
      </c>
      <c r="M43">
        <v>5.6539999999999997E-4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2</v>
      </c>
      <c r="V43" s="9">
        <v>20</v>
      </c>
      <c r="W43" s="9">
        <v>10</v>
      </c>
      <c r="X43" s="7" t="s">
        <v>48</v>
      </c>
      <c r="Y43" s="2">
        <f t="shared" si="6"/>
        <v>17.5</v>
      </c>
      <c r="Z43" s="2">
        <f t="shared" si="7"/>
        <v>9.1624999999999996</v>
      </c>
      <c r="AA43" s="3">
        <v>0</v>
      </c>
      <c r="AB43" s="2">
        <f t="shared" si="8"/>
        <v>17.5</v>
      </c>
      <c r="AC43" s="2">
        <f t="shared" si="9"/>
        <v>9.1624999999999996</v>
      </c>
      <c r="AD43" s="8">
        <f t="shared" si="10"/>
        <v>37.368749999999999</v>
      </c>
      <c r="AE43" s="8"/>
      <c r="AF43" s="2">
        <f t="shared" si="11"/>
        <v>26.662500000000001</v>
      </c>
    </row>
    <row r="44" spans="1:32" x14ac:dyDescent="0.35">
      <c r="A44">
        <f t="shared" si="1"/>
        <v>5</v>
      </c>
      <c r="B44" t="s">
        <v>43</v>
      </c>
      <c r="D44" s="4">
        <v>25</v>
      </c>
      <c r="E44" s="4" t="s">
        <v>18</v>
      </c>
      <c r="F44" s="4">
        <v>500</v>
      </c>
      <c r="G44" s="5">
        <v>220000</v>
      </c>
      <c r="H44" s="4">
        <v>1576</v>
      </c>
      <c r="I44" s="4">
        <v>1870</v>
      </c>
      <c r="J44" s="4">
        <v>1</v>
      </c>
      <c r="K44" s="4">
        <v>0.2</v>
      </c>
      <c r="L44" s="4">
        <v>2.2000000000000002</v>
      </c>
      <c r="M44" s="4">
        <v>1.0000000000000001E-5</v>
      </c>
      <c r="N44" s="4">
        <v>0.03</v>
      </c>
      <c r="O44" s="4">
        <v>1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6"/>
      <c r="W44" s="6"/>
      <c r="X44" s="4" t="s">
        <v>48</v>
      </c>
      <c r="Y44" s="2">
        <f t="shared" si="6"/>
        <v>0</v>
      </c>
      <c r="Z44" s="2">
        <f t="shared" si="7"/>
        <v>0</v>
      </c>
      <c r="AA44" s="3">
        <v>0</v>
      </c>
      <c r="AB44" s="2">
        <f t="shared" si="8"/>
        <v>0</v>
      </c>
      <c r="AC44" s="2">
        <f t="shared" si="9"/>
        <v>0</v>
      </c>
      <c r="AD44" s="8">
        <f t="shared" si="10"/>
        <v>0</v>
      </c>
      <c r="AE44" s="8"/>
      <c r="AF44" s="2">
        <f t="shared" si="11"/>
        <v>0</v>
      </c>
    </row>
    <row r="45" spans="1:32" x14ac:dyDescent="0.35">
      <c r="A45">
        <f t="shared" si="1"/>
        <v>6</v>
      </c>
      <c r="B45" t="s">
        <v>44</v>
      </c>
      <c r="C45" t="s">
        <v>20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0.26</v>
      </c>
      <c r="L45">
        <v>2.2000000000000002</v>
      </c>
      <c r="M45">
        <v>5.6539999999999997E-4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2</v>
      </c>
      <c r="V45" s="9">
        <v>19</v>
      </c>
      <c r="W45" s="9">
        <v>5</v>
      </c>
      <c r="X45" s="7" t="s">
        <v>48</v>
      </c>
      <c r="Y45" s="2">
        <f t="shared" si="6"/>
        <v>21.6875</v>
      </c>
      <c r="Z45" s="2">
        <f t="shared" si="7"/>
        <v>5.8125</v>
      </c>
      <c r="AA45" s="3">
        <v>0.5</v>
      </c>
      <c r="AB45" s="2">
        <f t="shared" si="8"/>
        <v>10.84375</v>
      </c>
      <c r="AC45" s="2">
        <f t="shared" si="9"/>
        <v>16.65625</v>
      </c>
      <c r="AD45" s="8">
        <f t="shared" si="10"/>
        <v>37.996875000000003</v>
      </c>
      <c r="AE45" s="8"/>
      <c r="AF45" s="2">
        <f t="shared" si="11"/>
        <v>27.5</v>
      </c>
    </row>
    <row r="46" spans="1:32" x14ac:dyDescent="0.35">
      <c r="A46">
        <f t="shared" si="1"/>
        <v>6</v>
      </c>
      <c r="B46" t="s">
        <v>44</v>
      </c>
      <c r="C46" t="s">
        <v>21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0.25</v>
      </c>
      <c r="L46">
        <v>2.2000000000000002</v>
      </c>
      <c r="M46">
        <v>1.1286E-3</v>
      </c>
      <c r="N46">
        <v>6.9999999999999993E-2</v>
      </c>
      <c r="O46">
        <v>1</v>
      </c>
      <c r="P46" s="12">
        <f>PI()*16^2/4*0.000001</f>
        <v>2.0106192982974675E-4</v>
      </c>
      <c r="Q46">
        <v>0.04</v>
      </c>
      <c r="R46" s="12">
        <v>4</v>
      </c>
      <c r="S46">
        <v>0</v>
      </c>
      <c r="T46">
        <v>0</v>
      </c>
      <c r="U46">
        <v>0</v>
      </c>
      <c r="V46" s="9">
        <v>107.5</v>
      </c>
      <c r="W46" s="9">
        <v>32.5</v>
      </c>
      <c r="X46" s="11">
        <v>-0.05</v>
      </c>
      <c r="Y46" s="2">
        <f t="shared" si="6"/>
        <v>102.125</v>
      </c>
      <c r="Z46" s="2">
        <f t="shared" si="7"/>
        <v>30.875</v>
      </c>
      <c r="AA46" s="3">
        <v>0.5</v>
      </c>
      <c r="AB46" s="2">
        <f t="shared" si="8"/>
        <v>51.0625</v>
      </c>
      <c r="AC46" s="2">
        <f t="shared" si="9"/>
        <v>81.9375</v>
      </c>
      <c r="AD46" s="8">
        <f t="shared" si="10"/>
        <v>184.18125000000001</v>
      </c>
      <c r="AE46" s="8"/>
      <c r="AF46" s="2">
        <f t="shared" si="11"/>
        <v>133</v>
      </c>
    </row>
    <row r="47" spans="1:32" x14ac:dyDescent="0.35">
      <c r="A47">
        <f t="shared" si="1"/>
        <v>6</v>
      </c>
      <c r="B47" t="s">
        <v>44</v>
      </c>
      <c r="C47" t="s">
        <v>24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0.23499999999999999</v>
      </c>
      <c r="L47">
        <v>2.2000000000000002</v>
      </c>
      <c r="M47">
        <v>8.470000000000001E-4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 s="12">
        <f>7-1</f>
        <v>6</v>
      </c>
      <c r="V47" s="9">
        <v>50.5</v>
      </c>
      <c r="W47" s="9">
        <v>18</v>
      </c>
      <c r="X47" s="7" t="s">
        <v>48</v>
      </c>
      <c r="Y47" s="2">
        <f t="shared" si="6"/>
        <v>55.5625</v>
      </c>
      <c r="Z47" s="2">
        <f t="shared" si="7"/>
        <v>19.662500000000001</v>
      </c>
      <c r="AA47" s="3">
        <v>0.5</v>
      </c>
      <c r="AB47" s="2">
        <f t="shared" si="8"/>
        <v>27.78125</v>
      </c>
      <c r="AC47" s="2">
        <f t="shared" si="9"/>
        <v>47.443750000000001</v>
      </c>
      <c r="AD47" s="8">
        <f t="shared" si="10"/>
        <v>104.50312500000001</v>
      </c>
      <c r="AE47" s="8"/>
      <c r="AF47" s="2">
        <f t="shared" si="11"/>
        <v>75.224999999999994</v>
      </c>
    </row>
    <row r="48" spans="1:32" x14ac:dyDescent="0.35">
      <c r="A48">
        <f t="shared" si="1"/>
        <v>6</v>
      </c>
      <c r="B48" t="s">
        <v>44</v>
      </c>
      <c r="C48" t="s">
        <v>25</v>
      </c>
      <c r="D48">
        <v>25</v>
      </c>
      <c r="E48" t="s">
        <v>18</v>
      </c>
      <c r="F48">
        <v>500</v>
      </c>
      <c r="G48" s="1">
        <v>220000</v>
      </c>
      <c r="H48">
        <v>1576</v>
      </c>
      <c r="I48">
        <v>1870</v>
      </c>
      <c r="J48">
        <v>1</v>
      </c>
      <c r="K48">
        <v>0.22</v>
      </c>
      <c r="L48">
        <v>2.2000000000000002</v>
      </c>
      <c r="M48">
        <v>1.2930000000000001E-3</v>
      </c>
      <c r="N48">
        <v>0.04</v>
      </c>
      <c r="O48">
        <v>1</v>
      </c>
      <c r="P48">
        <v>0</v>
      </c>
      <c r="Q48">
        <v>0</v>
      </c>
      <c r="R48">
        <v>1</v>
      </c>
      <c r="S48">
        <v>2.9099999999999999E-5</v>
      </c>
      <c r="T48">
        <v>0</v>
      </c>
      <c r="U48" s="12">
        <f>10+2</f>
        <v>12</v>
      </c>
      <c r="V48" s="9">
        <v>95</v>
      </c>
      <c r="W48" s="9">
        <v>34</v>
      </c>
      <c r="X48" s="11">
        <v>-0.05</v>
      </c>
      <c r="Y48" s="2">
        <f t="shared" si="6"/>
        <v>90.25</v>
      </c>
      <c r="Z48" s="2">
        <f t="shared" si="7"/>
        <v>32.299999999999997</v>
      </c>
      <c r="AA48" s="3">
        <v>0.25</v>
      </c>
      <c r="AB48" s="2">
        <f t="shared" si="8"/>
        <v>67.6875</v>
      </c>
      <c r="AC48" s="2">
        <f t="shared" si="9"/>
        <v>54.862499999999997</v>
      </c>
      <c r="AD48" s="8">
        <f t="shared" si="10"/>
        <v>170.28749999999999</v>
      </c>
      <c r="AE48" s="8"/>
      <c r="AF48" s="2">
        <f t="shared" si="11"/>
        <v>122.55</v>
      </c>
    </row>
    <row r="49" spans="1:32" x14ac:dyDescent="0.35">
      <c r="A49">
        <f t="shared" si="1"/>
        <v>6</v>
      </c>
      <c r="B49" t="s">
        <v>44</v>
      </c>
      <c r="C49" t="s">
        <v>26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0.23499999999999999</v>
      </c>
      <c r="L49">
        <v>2.2000000000000002</v>
      </c>
      <c r="M49">
        <v>2.8160000000000001E-4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2.9099999999999999E-5</v>
      </c>
      <c r="T49">
        <v>0</v>
      </c>
      <c r="U49" s="12">
        <f>7-1</f>
        <v>6</v>
      </c>
      <c r="V49" s="9">
        <v>0</v>
      </c>
      <c r="W49" s="9">
        <v>5</v>
      </c>
      <c r="X49" s="7" t="s">
        <v>48</v>
      </c>
      <c r="Y49" s="2">
        <f t="shared" si="6"/>
        <v>2.375</v>
      </c>
      <c r="Z49" s="2">
        <f t="shared" si="7"/>
        <v>5.85</v>
      </c>
      <c r="AA49" s="3">
        <v>0</v>
      </c>
      <c r="AB49" s="2">
        <f t="shared" si="8"/>
        <v>2.375</v>
      </c>
      <c r="AC49" s="2">
        <f t="shared" si="9"/>
        <v>5.85</v>
      </c>
      <c r="AD49" s="8">
        <f t="shared" si="10"/>
        <v>11.981249999999999</v>
      </c>
      <c r="AE49" s="8"/>
      <c r="AF49" s="2">
        <f t="shared" si="11"/>
        <v>8.2249999999999996</v>
      </c>
    </row>
    <row r="50" spans="1:32" x14ac:dyDescent="0.35">
      <c r="A50">
        <f t="shared" si="1"/>
        <v>6</v>
      </c>
      <c r="B50" t="s">
        <v>44</v>
      </c>
      <c r="C50" t="s">
        <v>27</v>
      </c>
      <c r="D50">
        <v>25</v>
      </c>
      <c r="E50" t="s">
        <v>18</v>
      </c>
      <c r="F50">
        <v>500</v>
      </c>
      <c r="G50" s="1">
        <v>220000</v>
      </c>
      <c r="H50">
        <v>1576</v>
      </c>
      <c r="I50">
        <v>1870</v>
      </c>
      <c r="J50">
        <v>1</v>
      </c>
      <c r="K50">
        <v>0.25</v>
      </c>
      <c r="L50">
        <v>2.2000000000000002</v>
      </c>
      <c r="M50">
        <v>1.2930000000000001E-3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 s="9">
        <v>15</v>
      </c>
      <c r="W50" s="9">
        <v>13</v>
      </c>
      <c r="X50" s="7">
        <v>0</v>
      </c>
      <c r="Y50" s="2">
        <f t="shared" si="6"/>
        <v>15</v>
      </c>
      <c r="Z50" s="2">
        <f t="shared" si="7"/>
        <v>13</v>
      </c>
      <c r="AA50" s="3">
        <v>0</v>
      </c>
      <c r="AB50" s="2">
        <f t="shared" si="8"/>
        <v>15</v>
      </c>
      <c r="AC50" s="2">
        <f t="shared" si="9"/>
        <v>13</v>
      </c>
      <c r="AD50" s="8">
        <f t="shared" si="10"/>
        <v>39.75</v>
      </c>
      <c r="AE50" s="8"/>
      <c r="AF50" s="2">
        <f t="shared" si="11"/>
        <v>28</v>
      </c>
    </row>
    <row r="51" spans="1:32" x14ac:dyDescent="0.35">
      <c r="A51">
        <f t="shared" si="1"/>
        <v>6</v>
      </c>
      <c r="B51" t="s">
        <v>44</v>
      </c>
      <c r="C51" t="s">
        <v>28</v>
      </c>
      <c r="D51">
        <v>25</v>
      </c>
      <c r="E51" t="s">
        <v>18</v>
      </c>
      <c r="F51">
        <v>500</v>
      </c>
      <c r="G51" s="1">
        <v>220000</v>
      </c>
      <c r="H51">
        <v>1576</v>
      </c>
      <c r="I51">
        <v>1870</v>
      </c>
      <c r="J51">
        <v>1</v>
      </c>
      <c r="K51">
        <v>0.23499999999999999</v>
      </c>
      <c r="L51">
        <v>2.2000000000000002</v>
      </c>
      <c r="M51">
        <v>2.8160000000000001E-4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>
        <v>2.9099999999999999E-5</v>
      </c>
      <c r="T51">
        <v>0</v>
      </c>
      <c r="U51" s="12">
        <f>7-1</f>
        <v>6</v>
      </c>
      <c r="V51" s="9">
        <v>5</v>
      </c>
      <c r="W51" s="9">
        <v>6</v>
      </c>
      <c r="X51" s="7" t="s">
        <v>48</v>
      </c>
      <c r="Y51" s="2">
        <f t="shared" si="6"/>
        <v>5</v>
      </c>
      <c r="Z51" s="2">
        <f t="shared" si="7"/>
        <v>6</v>
      </c>
      <c r="AA51" s="3">
        <v>0</v>
      </c>
      <c r="AB51" s="2">
        <f t="shared" si="8"/>
        <v>5</v>
      </c>
      <c r="AC51" s="2">
        <f t="shared" si="9"/>
        <v>6</v>
      </c>
      <c r="AD51" s="8">
        <f t="shared" si="10"/>
        <v>15.75</v>
      </c>
      <c r="AE51" s="8"/>
      <c r="AF51" s="2">
        <f t="shared" si="11"/>
        <v>11</v>
      </c>
    </row>
    <row r="52" spans="1:32" x14ac:dyDescent="0.35">
      <c r="A52">
        <f t="shared" si="1"/>
        <v>6</v>
      </c>
      <c r="B52" t="s">
        <v>44</v>
      </c>
      <c r="C52" t="s">
        <v>29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0.22</v>
      </c>
      <c r="L52">
        <v>2.2000000000000002</v>
      </c>
      <c r="M52">
        <v>1.2930000000000001E-3</v>
      </c>
      <c r="N52">
        <v>0.04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>
        <v>10</v>
      </c>
      <c r="V52" s="9">
        <v>82.5</v>
      </c>
      <c r="W52" s="9">
        <v>28.5</v>
      </c>
      <c r="X52" s="7">
        <v>0</v>
      </c>
      <c r="Y52" s="2">
        <f t="shared" si="6"/>
        <v>82.5</v>
      </c>
      <c r="Z52" s="2">
        <f t="shared" si="7"/>
        <v>28.5</v>
      </c>
      <c r="AA52" s="3">
        <v>0</v>
      </c>
      <c r="AB52" s="2">
        <f t="shared" si="8"/>
        <v>82.5</v>
      </c>
      <c r="AC52" s="2">
        <f t="shared" si="9"/>
        <v>28.5</v>
      </c>
      <c r="AD52" s="8">
        <f t="shared" si="10"/>
        <v>154.125</v>
      </c>
      <c r="AE52" s="8"/>
      <c r="AF52" s="2">
        <f t="shared" si="11"/>
        <v>111</v>
      </c>
    </row>
    <row r="53" spans="1:32" x14ac:dyDescent="0.35">
      <c r="A53">
        <f t="shared" si="1"/>
        <v>6</v>
      </c>
      <c r="B53" t="s">
        <v>44</v>
      </c>
      <c r="C53" t="s">
        <v>30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0.23499999999999999</v>
      </c>
      <c r="L53">
        <v>2.2000000000000002</v>
      </c>
      <c r="M53">
        <f>0.0005654</f>
        <v>5.6539999999999997E-4</v>
      </c>
      <c r="N53">
        <v>0.04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 s="12">
        <f>7+1</f>
        <v>8</v>
      </c>
      <c r="V53" s="9">
        <v>43</v>
      </c>
      <c r="W53" s="9">
        <v>15.4</v>
      </c>
      <c r="X53" s="7" t="s">
        <v>48</v>
      </c>
      <c r="Y53" s="2">
        <f t="shared" si="6"/>
        <v>43</v>
      </c>
      <c r="Z53" s="2">
        <f t="shared" si="7"/>
        <v>15.4</v>
      </c>
      <c r="AA53" s="3">
        <v>0</v>
      </c>
      <c r="AB53" s="2">
        <f t="shared" si="8"/>
        <v>43</v>
      </c>
      <c r="AC53" s="2">
        <f t="shared" si="9"/>
        <v>15.4</v>
      </c>
      <c r="AD53" s="8">
        <f t="shared" si="10"/>
        <v>81.150000000000006</v>
      </c>
      <c r="AE53" s="8"/>
      <c r="AF53" s="2">
        <f t="shared" si="11"/>
        <v>58.4</v>
      </c>
    </row>
    <row r="54" spans="1:32" x14ac:dyDescent="0.35">
      <c r="A54">
        <f t="shared" si="1"/>
        <v>6</v>
      </c>
      <c r="B54" t="s">
        <v>44</v>
      </c>
      <c r="C54" t="s">
        <v>31</v>
      </c>
      <c r="D54">
        <v>25</v>
      </c>
      <c r="E54" t="s">
        <v>18</v>
      </c>
      <c r="F54">
        <v>500</v>
      </c>
      <c r="G54" s="1">
        <v>220000</v>
      </c>
      <c r="H54">
        <v>1576</v>
      </c>
      <c r="I54">
        <v>1870</v>
      </c>
      <c r="J54">
        <v>1</v>
      </c>
      <c r="K54">
        <v>0.25</v>
      </c>
      <c r="L54">
        <v>2.2000000000000002</v>
      </c>
      <c r="M54">
        <v>2E-3</v>
      </c>
      <c r="N54">
        <v>6.9999999999999993E-2</v>
      </c>
      <c r="O54">
        <v>1</v>
      </c>
      <c r="P54">
        <v>0</v>
      </c>
      <c r="Q54">
        <v>0</v>
      </c>
      <c r="R54">
        <v>1</v>
      </c>
      <c r="S54">
        <v>2.9099999999999999E-5</v>
      </c>
      <c r="T54">
        <v>0</v>
      </c>
      <c r="U54" s="12">
        <f>5+1</f>
        <v>6</v>
      </c>
      <c r="V54" s="9">
        <v>92.5</v>
      </c>
      <c r="W54" s="9">
        <v>31</v>
      </c>
      <c r="X54" s="7">
        <v>0</v>
      </c>
      <c r="Y54" s="2">
        <f t="shared" si="6"/>
        <v>92.5</v>
      </c>
      <c r="Z54" s="2">
        <f t="shared" si="7"/>
        <v>31</v>
      </c>
      <c r="AA54" s="3">
        <v>0</v>
      </c>
      <c r="AB54" s="2">
        <f t="shared" si="8"/>
        <v>92.5</v>
      </c>
      <c r="AC54" s="2">
        <f t="shared" si="9"/>
        <v>31</v>
      </c>
      <c r="AD54" s="8">
        <f t="shared" si="10"/>
        <v>171.375</v>
      </c>
      <c r="AE54" s="8"/>
      <c r="AF54" s="2">
        <f t="shared" si="11"/>
        <v>123.5</v>
      </c>
    </row>
    <row r="55" spans="1:32" x14ac:dyDescent="0.35">
      <c r="A55">
        <f t="shared" si="1"/>
        <v>6</v>
      </c>
      <c r="B55" t="s">
        <v>44</v>
      </c>
      <c r="C55" t="s">
        <v>32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0.26</v>
      </c>
      <c r="L55">
        <v>2.2000000000000002</v>
      </c>
      <c r="M55">
        <v>5.6539999999999997E-4</v>
      </c>
      <c r="N55">
        <v>0.04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>
        <v>2</v>
      </c>
      <c r="V55" s="9">
        <v>16</v>
      </c>
      <c r="W55" s="9">
        <v>8.1999999999999993</v>
      </c>
      <c r="X55" s="7" t="s">
        <v>48</v>
      </c>
      <c r="Y55" s="2">
        <f t="shared" si="6"/>
        <v>16</v>
      </c>
      <c r="Z55" s="2">
        <f t="shared" si="7"/>
        <v>8.1999999999999993</v>
      </c>
      <c r="AA55" s="3">
        <v>0</v>
      </c>
      <c r="AB55" s="2">
        <f t="shared" si="8"/>
        <v>16</v>
      </c>
      <c r="AC55" s="2">
        <f t="shared" si="9"/>
        <v>8.1999999999999993</v>
      </c>
      <c r="AD55" s="8">
        <f t="shared" si="10"/>
        <v>33.9</v>
      </c>
      <c r="AE55" s="8"/>
      <c r="AF55" s="2">
        <f t="shared" si="11"/>
        <v>24.2</v>
      </c>
    </row>
    <row r="56" spans="1:32" x14ac:dyDescent="0.35">
      <c r="A56">
        <f t="shared" si="1"/>
        <v>6</v>
      </c>
      <c r="B56" t="s">
        <v>44</v>
      </c>
      <c r="D56" s="4">
        <v>25</v>
      </c>
      <c r="E56" s="4" t="s">
        <v>18</v>
      </c>
      <c r="F56" s="4">
        <v>500</v>
      </c>
      <c r="G56" s="5">
        <v>220000</v>
      </c>
      <c r="H56" s="4">
        <v>1576</v>
      </c>
      <c r="I56" s="4">
        <v>1870</v>
      </c>
      <c r="J56" s="4">
        <v>1</v>
      </c>
      <c r="K56" s="4">
        <v>0.2</v>
      </c>
      <c r="L56" s="4">
        <v>2.2000000000000002</v>
      </c>
      <c r="M56" s="4">
        <v>1.0000000000000001E-5</v>
      </c>
      <c r="N56" s="4">
        <v>0.03</v>
      </c>
      <c r="O56" s="4">
        <v>1</v>
      </c>
      <c r="P56" s="4">
        <v>0</v>
      </c>
      <c r="Q56" s="4">
        <v>0</v>
      </c>
      <c r="R56" s="4">
        <v>1</v>
      </c>
      <c r="S56" s="4">
        <v>0</v>
      </c>
      <c r="T56" s="4">
        <v>0</v>
      </c>
      <c r="U56" s="4">
        <v>0</v>
      </c>
      <c r="V56" s="6">
        <v>0</v>
      </c>
      <c r="W56" s="6">
        <v>0</v>
      </c>
      <c r="X56" s="4" t="s">
        <v>48</v>
      </c>
      <c r="Y56" s="2">
        <f t="shared" si="6"/>
        <v>0</v>
      </c>
      <c r="Z56" s="2">
        <f t="shared" si="7"/>
        <v>0</v>
      </c>
      <c r="AA56" s="3">
        <v>0</v>
      </c>
      <c r="AB56" s="2">
        <f t="shared" si="8"/>
        <v>0</v>
      </c>
      <c r="AC56" s="2">
        <f t="shared" si="9"/>
        <v>0</v>
      </c>
      <c r="AD56" s="8">
        <f t="shared" si="10"/>
        <v>0</v>
      </c>
      <c r="AE56" s="8"/>
      <c r="AF56" s="2">
        <f t="shared" si="11"/>
        <v>0</v>
      </c>
    </row>
    <row r="57" spans="1:32" x14ac:dyDescent="0.35">
      <c r="A57">
        <f t="shared" si="1"/>
        <v>7</v>
      </c>
      <c r="B57" t="s">
        <v>45</v>
      </c>
      <c r="C57" t="s">
        <v>20</v>
      </c>
      <c r="D57">
        <v>25</v>
      </c>
      <c r="E57" t="s">
        <v>18</v>
      </c>
      <c r="F57">
        <v>500</v>
      </c>
      <c r="G57" s="1">
        <v>220000</v>
      </c>
      <c r="H57">
        <v>1576</v>
      </c>
      <c r="I57">
        <v>1870</v>
      </c>
      <c r="J57">
        <v>1</v>
      </c>
      <c r="K57">
        <v>0.26</v>
      </c>
      <c r="L57">
        <v>2.2000000000000002</v>
      </c>
      <c r="M57">
        <v>5.6539999999999997E-4</v>
      </c>
      <c r="N57">
        <v>0.04</v>
      </c>
      <c r="O57">
        <v>1</v>
      </c>
      <c r="P57">
        <v>0</v>
      </c>
      <c r="Q57">
        <v>0</v>
      </c>
      <c r="R57">
        <v>1</v>
      </c>
      <c r="S57">
        <v>2.9099999999999999E-5</v>
      </c>
      <c r="T57">
        <v>0</v>
      </c>
      <c r="U57" s="12">
        <f t="shared" ref="U57" si="19">5-1</f>
        <v>4</v>
      </c>
      <c r="V57" s="9">
        <v>22</v>
      </c>
      <c r="W57" s="9">
        <v>10</v>
      </c>
      <c r="X57" s="7" t="s">
        <v>48</v>
      </c>
      <c r="Y57" s="2">
        <f t="shared" si="6"/>
        <v>22</v>
      </c>
      <c r="Z57" s="2">
        <f t="shared" si="7"/>
        <v>10</v>
      </c>
      <c r="AA57" s="3">
        <v>0.5</v>
      </c>
      <c r="AB57" s="2">
        <f t="shared" si="8"/>
        <v>11</v>
      </c>
      <c r="AC57" s="2">
        <f t="shared" si="9"/>
        <v>21</v>
      </c>
      <c r="AD57" s="8">
        <f t="shared" si="10"/>
        <v>44.7</v>
      </c>
      <c r="AE57" s="8"/>
      <c r="AF57" s="2">
        <f t="shared" si="11"/>
        <v>32</v>
      </c>
    </row>
    <row r="58" spans="1:32" x14ac:dyDescent="0.35">
      <c r="A58">
        <f t="shared" si="1"/>
        <v>7</v>
      </c>
      <c r="B58" t="s">
        <v>45</v>
      </c>
      <c r="C58" t="s">
        <v>21</v>
      </c>
      <c r="D58">
        <v>25</v>
      </c>
      <c r="E58" t="s">
        <v>18</v>
      </c>
      <c r="F58">
        <v>500</v>
      </c>
      <c r="G58" s="1">
        <v>220000</v>
      </c>
      <c r="H58">
        <v>1576</v>
      </c>
      <c r="I58">
        <v>1870</v>
      </c>
      <c r="J58">
        <v>1</v>
      </c>
      <c r="K58">
        <v>0.25</v>
      </c>
      <c r="L58">
        <v>2.2000000000000002</v>
      </c>
      <c r="M58">
        <v>1.8979999999999999E-3</v>
      </c>
      <c r="N58">
        <v>9.5000000000000001E-2</v>
      </c>
      <c r="O58">
        <v>1</v>
      </c>
      <c r="P58">
        <f>PI()*14^2/4*0.000001</f>
        <v>1.5393804002589983E-4</v>
      </c>
      <c r="Q58">
        <v>0.04</v>
      </c>
      <c r="R58" s="12">
        <v>4</v>
      </c>
      <c r="S58">
        <v>0</v>
      </c>
      <c r="T58">
        <v>0</v>
      </c>
      <c r="U58">
        <v>0</v>
      </c>
      <c r="V58" s="9">
        <v>90</v>
      </c>
      <c r="W58" s="9">
        <v>30</v>
      </c>
      <c r="X58" s="7">
        <v>0</v>
      </c>
      <c r="Y58" s="2">
        <f t="shared" si="6"/>
        <v>90</v>
      </c>
      <c r="Z58" s="2">
        <f t="shared" si="7"/>
        <v>30</v>
      </c>
      <c r="AA58" s="3">
        <v>0.5</v>
      </c>
      <c r="AB58" s="2">
        <f t="shared" si="8"/>
        <v>45</v>
      </c>
      <c r="AC58" s="2">
        <f t="shared" si="9"/>
        <v>75</v>
      </c>
      <c r="AD58" s="8">
        <f t="shared" si="10"/>
        <v>166.5</v>
      </c>
      <c r="AE58" s="8"/>
      <c r="AF58" s="2">
        <f t="shared" si="11"/>
        <v>120</v>
      </c>
    </row>
    <row r="59" spans="1:32" x14ac:dyDescent="0.35">
      <c r="A59">
        <f t="shared" si="1"/>
        <v>7</v>
      </c>
      <c r="B59" t="s">
        <v>45</v>
      </c>
      <c r="C59" t="s">
        <v>24</v>
      </c>
      <c r="D59">
        <v>25</v>
      </c>
      <c r="E59" t="s">
        <v>18</v>
      </c>
      <c r="F59">
        <v>500</v>
      </c>
      <c r="G59" s="1">
        <v>220000</v>
      </c>
      <c r="H59">
        <v>1576</v>
      </c>
      <c r="I59">
        <v>1870</v>
      </c>
      <c r="J59">
        <v>1</v>
      </c>
      <c r="K59">
        <v>0.23499999999999999</v>
      </c>
      <c r="L59">
        <v>2.2000000000000002</v>
      </c>
      <c r="M59">
        <v>8.470000000000001E-4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2.9099999999999999E-5</v>
      </c>
      <c r="T59">
        <v>0</v>
      </c>
      <c r="U59" s="12">
        <f t="shared" ref="U59" si="20">5-1</f>
        <v>4</v>
      </c>
      <c r="V59" s="9">
        <v>39</v>
      </c>
      <c r="W59" s="9">
        <v>14</v>
      </c>
      <c r="X59" s="7" t="s">
        <v>48</v>
      </c>
      <c r="Y59" s="2">
        <f t="shared" si="6"/>
        <v>39</v>
      </c>
      <c r="Z59" s="2">
        <f t="shared" si="7"/>
        <v>14</v>
      </c>
      <c r="AA59" s="3">
        <v>0.5</v>
      </c>
      <c r="AB59" s="2">
        <f t="shared" si="8"/>
        <v>19.5</v>
      </c>
      <c r="AC59" s="2">
        <f t="shared" si="9"/>
        <v>33.5</v>
      </c>
      <c r="AD59" s="8">
        <f t="shared" si="10"/>
        <v>73.650000000000006</v>
      </c>
      <c r="AE59" s="8"/>
      <c r="AF59" s="2">
        <f t="shared" si="11"/>
        <v>53</v>
      </c>
    </row>
    <row r="60" spans="1:32" x14ac:dyDescent="0.35">
      <c r="A60">
        <f t="shared" si="1"/>
        <v>7</v>
      </c>
      <c r="B60" t="s">
        <v>45</v>
      </c>
      <c r="D60" s="4">
        <v>25</v>
      </c>
      <c r="E60" s="4" t="s">
        <v>18</v>
      </c>
      <c r="F60" s="4">
        <v>500</v>
      </c>
      <c r="G60" s="5">
        <v>220000</v>
      </c>
      <c r="H60" s="4">
        <v>1576</v>
      </c>
      <c r="I60" s="4">
        <v>1870</v>
      </c>
      <c r="J60" s="4">
        <v>1</v>
      </c>
      <c r="K60" s="4">
        <v>0.2</v>
      </c>
      <c r="L60" s="4">
        <v>2.2000000000000002</v>
      </c>
      <c r="M60" s="4">
        <v>1.0000000000000001E-5</v>
      </c>
      <c r="N60" s="4">
        <v>0.03</v>
      </c>
      <c r="O60" s="4">
        <v>1</v>
      </c>
      <c r="P60" s="4">
        <v>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6">
        <v>0</v>
      </c>
      <c r="W60" s="6">
        <v>0</v>
      </c>
      <c r="X60" s="4" t="s">
        <v>48</v>
      </c>
      <c r="Y60" s="2">
        <f t="shared" si="6"/>
        <v>0</v>
      </c>
      <c r="Z60" s="2">
        <f t="shared" si="7"/>
        <v>0</v>
      </c>
      <c r="AA60" s="3">
        <v>0</v>
      </c>
      <c r="AB60" s="2">
        <f t="shared" si="8"/>
        <v>0</v>
      </c>
      <c r="AC60" s="2">
        <f t="shared" si="9"/>
        <v>0</v>
      </c>
      <c r="AD60" s="8">
        <f t="shared" si="10"/>
        <v>0</v>
      </c>
      <c r="AE60" s="8"/>
      <c r="AF60" s="2">
        <f t="shared" si="11"/>
        <v>0</v>
      </c>
    </row>
    <row r="61" spans="1:32" x14ac:dyDescent="0.35">
      <c r="A61">
        <f t="shared" si="1"/>
        <v>7</v>
      </c>
      <c r="B61" t="s">
        <v>45</v>
      </c>
      <c r="C61" t="s">
        <v>26</v>
      </c>
      <c r="D61">
        <v>25</v>
      </c>
      <c r="E61" t="s">
        <v>18</v>
      </c>
      <c r="F61">
        <v>500</v>
      </c>
      <c r="G61" s="1">
        <v>220000</v>
      </c>
      <c r="H61">
        <v>1576</v>
      </c>
      <c r="I61">
        <v>1870</v>
      </c>
      <c r="J61">
        <v>1</v>
      </c>
      <c r="K61">
        <v>0.23499999999999999</v>
      </c>
      <c r="L61">
        <v>2.2000000000000002</v>
      </c>
      <c r="M61">
        <v>2.8160000000000001E-4</v>
      </c>
      <c r="N61">
        <v>0.04</v>
      </c>
      <c r="O61">
        <v>1</v>
      </c>
      <c r="P61">
        <v>0</v>
      </c>
      <c r="Q61">
        <v>0</v>
      </c>
      <c r="R61">
        <v>1</v>
      </c>
      <c r="S61">
        <v>2.9099999999999999E-5</v>
      </c>
      <c r="T61">
        <v>0</v>
      </c>
      <c r="U61" s="12">
        <f>7-1</f>
        <v>6</v>
      </c>
      <c r="V61" s="9">
        <v>26.3</v>
      </c>
      <c r="W61" s="9">
        <v>9</v>
      </c>
      <c r="X61" s="7" t="s">
        <v>48</v>
      </c>
      <c r="Y61" s="2">
        <f t="shared" si="6"/>
        <v>21.4</v>
      </c>
      <c r="Z61" s="2">
        <f t="shared" si="7"/>
        <v>7.45</v>
      </c>
      <c r="AA61" s="3">
        <v>0</v>
      </c>
      <c r="AB61" s="2">
        <f t="shared" si="8"/>
        <v>21.4</v>
      </c>
      <c r="AC61" s="2">
        <f t="shared" si="9"/>
        <v>7.45</v>
      </c>
      <c r="AD61" s="8">
        <f t="shared" si="10"/>
        <v>40.064999999999998</v>
      </c>
      <c r="AE61" s="8"/>
      <c r="AF61" s="2">
        <f t="shared" si="11"/>
        <v>28.849999999999998</v>
      </c>
    </row>
    <row r="62" spans="1:32" x14ac:dyDescent="0.35">
      <c r="A62">
        <f t="shared" si="1"/>
        <v>7</v>
      </c>
      <c r="B62" t="s">
        <v>45</v>
      </c>
      <c r="C62" t="s">
        <v>25</v>
      </c>
      <c r="D62">
        <v>25</v>
      </c>
      <c r="E62" t="s">
        <v>18</v>
      </c>
      <c r="F62">
        <v>500</v>
      </c>
      <c r="G62" s="1">
        <v>220000</v>
      </c>
      <c r="H62">
        <v>1576</v>
      </c>
      <c r="I62">
        <v>1870</v>
      </c>
      <c r="J62">
        <v>1</v>
      </c>
      <c r="K62">
        <v>0.25</v>
      </c>
      <c r="L62">
        <v>2.2000000000000002</v>
      </c>
      <c r="M62">
        <v>1.1286E-3</v>
      </c>
      <c r="N62">
        <v>6.9999999999999993E-2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 s="9">
        <v>49</v>
      </c>
      <c r="W62" s="9">
        <v>15.5</v>
      </c>
      <c r="X62" s="11">
        <v>0.2</v>
      </c>
      <c r="Y62" s="2">
        <f t="shared" si="6"/>
        <v>58.8</v>
      </c>
      <c r="Z62" s="2">
        <f t="shared" si="7"/>
        <v>18.600000000000001</v>
      </c>
      <c r="AA62" s="3">
        <v>0</v>
      </c>
      <c r="AB62" s="2">
        <f t="shared" si="8"/>
        <v>58.8</v>
      </c>
      <c r="AC62" s="2">
        <f t="shared" si="9"/>
        <v>18.600000000000001</v>
      </c>
      <c r="AD62" s="8">
        <f t="shared" si="10"/>
        <v>107.28</v>
      </c>
      <c r="AE62" s="8"/>
      <c r="AF62" s="2">
        <f t="shared" si="11"/>
        <v>77.400000000000006</v>
      </c>
    </row>
    <row r="63" spans="1:32" x14ac:dyDescent="0.35">
      <c r="A63">
        <f t="shared" si="1"/>
        <v>7</v>
      </c>
      <c r="B63" t="s">
        <v>45</v>
      </c>
      <c r="D63" s="4">
        <v>25</v>
      </c>
      <c r="E63" s="4" t="s">
        <v>18</v>
      </c>
      <c r="F63" s="4">
        <v>500</v>
      </c>
      <c r="G63" s="5">
        <v>220000</v>
      </c>
      <c r="H63" s="4">
        <v>1576</v>
      </c>
      <c r="I63" s="4">
        <v>1870</v>
      </c>
      <c r="J63" s="4">
        <v>1</v>
      </c>
      <c r="K63" s="4">
        <v>0.2</v>
      </c>
      <c r="L63" s="4">
        <v>2.2000000000000002</v>
      </c>
      <c r="M63" s="4">
        <v>1.0000000000000001E-5</v>
      </c>
      <c r="N63" s="4">
        <v>0.03</v>
      </c>
      <c r="O63" s="4">
        <v>1</v>
      </c>
      <c r="P63" s="4">
        <v>0</v>
      </c>
      <c r="Q63" s="4">
        <v>0</v>
      </c>
      <c r="R63" s="4">
        <v>1</v>
      </c>
      <c r="S63" s="4">
        <v>0</v>
      </c>
      <c r="T63" s="4">
        <v>0</v>
      </c>
      <c r="U63" s="4">
        <v>0</v>
      </c>
      <c r="V63" s="6">
        <v>0</v>
      </c>
      <c r="W63" s="6">
        <v>0</v>
      </c>
      <c r="X63" s="4" t="s">
        <v>48</v>
      </c>
      <c r="Y63" s="2">
        <v>0</v>
      </c>
      <c r="Z63" s="2">
        <v>0</v>
      </c>
      <c r="AA63" s="3">
        <v>0</v>
      </c>
      <c r="AB63" s="2">
        <v>0</v>
      </c>
      <c r="AC63" s="2">
        <v>0</v>
      </c>
      <c r="AD63" s="8">
        <f t="shared" si="10"/>
        <v>0</v>
      </c>
      <c r="AE63" s="8"/>
      <c r="AF63" s="2">
        <f t="shared" si="11"/>
        <v>0</v>
      </c>
    </row>
    <row r="64" spans="1:32" x14ac:dyDescent="0.35">
      <c r="A64">
        <f t="shared" si="1"/>
        <v>7</v>
      </c>
      <c r="B64" t="s">
        <v>45</v>
      </c>
      <c r="D64" s="4">
        <v>25</v>
      </c>
      <c r="E64" s="4" t="s">
        <v>18</v>
      </c>
      <c r="F64" s="4">
        <v>500</v>
      </c>
      <c r="G64" s="5">
        <v>220000</v>
      </c>
      <c r="H64" s="4">
        <v>1576</v>
      </c>
      <c r="I64" s="4">
        <v>1870</v>
      </c>
      <c r="J64" s="4">
        <v>1</v>
      </c>
      <c r="K64" s="4">
        <v>0.2</v>
      </c>
      <c r="L64" s="4">
        <v>2.2000000000000002</v>
      </c>
      <c r="M64" s="4">
        <v>1.0000000000000001E-5</v>
      </c>
      <c r="N64" s="4">
        <v>0.03</v>
      </c>
      <c r="O64" s="4">
        <v>1</v>
      </c>
      <c r="P64" s="4">
        <v>0</v>
      </c>
      <c r="Q64" s="4">
        <v>0</v>
      </c>
      <c r="R64" s="4">
        <v>1</v>
      </c>
      <c r="S64" s="4">
        <v>0</v>
      </c>
      <c r="T64" s="4">
        <v>0</v>
      </c>
      <c r="U64" s="4">
        <v>0</v>
      </c>
      <c r="V64" s="6">
        <v>0</v>
      </c>
      <c r="W64" s="6">
        <v>0</v>
      </c>
      <c r="X64" s="4" t="s">
        <v>48</v>
      </c>
      <c r="Y64" s="2">
        <f t="shared" si="6"/>
        <v>0</v>
      </c>
      <c r="Z64" s="2">
        <f t="shared" si="7"/>
        <v>0</v>
      </c>
      <c r="AA64" s="3">
        <v>0</v>
      </c>
      <c r="AB64" s="2">
        <f t="shared" si="8"/>
        <v>0</v>
      </c>
      <c r="AC64" s="2">
        <f t="shared" si="9"/>
        <v>0</v>
      </c>
      <c r="AD64" s="8">
        <f t="shared" si="10"/>
        <v>0</v>
      </c>
      <c r="AE64" s="8"/>
      <c r="AF64" s="2">
        <f t="shared" si="11"/>
        <v>0</v>
      </c>
    </row>
    <row r="65" spans="1:32" x14ac:dyDescent="0.35">
      <c r="A65">
        <f t="shared" si="1"/>
        <v>8</v>
      </c>
      <c r="B65" t="s">
        <v>46</v>
      </c>
      <c r="C65" t="s">
        <v>20</v>
      </c>
      <c r="D65">
        <v>25</v>
      </c>
      <c r="E65" t="s">
        <v>18</v>
      </c>
      <c r="F65">
        <v>500</v>
      </c>
      <c r="G65" s="1">
        <v>220000</v>
      </c>
      <c r="H65">
        <v>1576</v>
      </c>
      <c r="I65">
        <v>1870</v>
      </c>
      <c r="J65">
        <v>1</v>
      </c>
      <c r="K65">
        <v>0.26</v>
      </c>
      <c r="L65">
        <v>2.2000000000000002</v>
      </c>
      <c r="M65">
        <v>5.6539999999999997E-4</v>
      </c>
      <c r="N65">
        <v>0.04</v>
      </c>
      <c r="O65">
        <v>1</v>
      </c>
      <c r="P65">
        <v>0</v>
      </c>
      <c r="Q65">
        <v>0</v>
      </c>
      <c r="R65">
        <v>1</v>
      </c>
      <c r="S65">
        <v>2.9099999999999999E-5</v>
      </c>
      <c r="T65">
        <v>0</v>
      </c>
      <c r="U65" s="12">
        <f t="shared" ref="U65" si="21">5-1</f>
        <v>4</v>
      </c>
      <c r="V65" s="9">
        <v>24</v>
      </c>
      <c r="W65" s="9">
        <v>10</v>
      </c>
      <c r="X65" s="7" t="s">
        <v>48</v>
      </c>
      <c r="Y65" s="2">
        <f>IFERROR(IF(ISNUMBER(SEARCH("Appui",C65)),V65+X65*V65,IF(A64&lt;A65,V65-X66*V66/2,IF(A65&lt;A66,V65-(X64*V64)/2,V65-(X66*V66+X64*V64)/2))),0)</f>
        <v>28.875</v>
      </c>
      <c r="Z65" s="2">
        <f t="shared" si="7"/>
        <v>11.3</v>
      </c>
      <c r="AA65" s="10">
        <v>0.5</v>
      </c>
      <c r="AB65" s="2">
        <f t="shared" si="8"/>
        <v>14.4375</v>
      </c>
      <c r="AC65" s="2">
        <f t="shared" si="9"/>
        <v>25.737500000000001</v>
      </c>
      <c r="AD65" s="8">
        <f t="shared" si="10"/>
        <v>55.931250000000006</v>
      </c>
      <c r="AE65" s="8"/>
      <c r="AF65" s="2">
        <f t="shared" si="11"/>
        <v>40.174999999999997</v>
      </c>
    </row>
    <row r="66" spans="1:32" x14ac:dyDescent="0.35">
      <c r="A66">
        <f t="shared" si="1"/>
        <v>8</v>
      </c>
      <c r="B66" t="s">
        <v>46</v>
      </c>
      <c r="C66" t="s">
        <v>21</v>
      </c>
      <c r="D66">
        <v>25</v>
      </c>
      <c r="E66" t="s">
        <v>18</v>
      </c>
      <c r="F66">
        <v>500</v>
      </c>
      <c r="G66" s="1">
        <v>220000</v>
      </c>
      <c r="H66">
        <v>1576</v>
      </c>
      <c r="I66">
        <v>1870</v>
      </c>
      <c r="J66">
        <v>1</v>
      </c>
      <c r="K66">
        <v>0.25</v>
      </c>
      <c r="L66">
        <v>2.2000000000000002</v>
      </c>
      <c r="M66">
        <v>9.0000000000000008E-4</v>
      </c>
      <c r="N66">
        <v>6.9999999999999993E-2</v>
      </c>
      <c r="O66">
        <v>1</v>
      </c>
      <c r="P66" s="12">
        <f>PI()*16^2/4*0.000001</f>
        <v>2.0106192982974675E-4</v>
      </c>
      <c r="Q66">
        <v>0.04</v>
      </c>
      <c r="R66" s="12">
        <v>6</v>
      </c>
      <c r="S66">
        <v>0</v>
      </c>
      <c r="T66">
        <v>0</v>
      </c>
      <c r="U66">
        <v>0</v>
      </c>
      <c r="V66" s="9">
        <v>97.5</v>
      </c>
      <c r="W66" s="9">
        <v>26</v>
      </c>
      <c r="X66" s="11">
        <v>-0.1</v>
      </c>
      <c r="Y66" s="2">
        <f t="shared" si="6"/>
        <v>87.75</v>
      </c>
      <c r="Z66" s="2">
        <f t="shared" si="7"/>
        <v>23.4</v>
      </c>
      <c r="AA66" s="10">
        <v>0.5</v>
      </c>
      <c r="AB66" s="2">
        <f t="shared" si="8"/>
        <v>43.875</v>
      </c>
      <c r="AC66" s="2">
        <f t="shared" si="9"/>
        <v>67.275000000000006</v>
      </c>
      <c r="AD66" s="8">
        <f t="shared" si="10"/>
        <v>153.5625</v>
      </c>
      <c r="AE66" s="8"/>
      <c r="AF66" s="2">
        <f t="shared" si="11"/>
        <v>111.15</v>
      </c>
    </row>
    <row r="67" spans="1:32" x14ac:dyDescent="0.35">
      <c r="A67">
        <f t="shared" si="1"/>
        <v>8</v>
      </c>
      <c r="B67" t="s">
        <v>46</v>
      </c>
      <c r="C67" t="s">
        <v>24</v>
      </c>
      <c r="D67">
        <v>25</v>
      </c>
      <c r="E67" t="s">
        <v>18</v>
      </c>
      <c r="F67">
        <v>500</v>
      </c>
      <c r="G67" s="1">
        <v>220000</v>
      </c>
      <c r="H67">
        <v>1576</v>
      </c>
      <c r="I67">
        <v>1870</v>
      </c>
      <c r="J67">
        <v>1</v>
      </c>
      <c r="K67">
        <v>0.23499999999999999</v>
      </c>
      <c r="L67">
        <v>2.2000000000000002</v>
      </c>
      <c r="M67">
        <v>8.470000000000001E-4</v>
      </c>
      <c r="N67">
        <v>0.04</v>
      </c>
      <c r="O67">
        <v>1</v>
      </c>
      <c r="P67">
        <v>0</v>
      </c>
      <c r="Q67">
        <v>0</v>
      </c>
      <c r="R67">
        <v>1</v>
      </c>
      <c r="S67">
        <v>2.9099999999999999E-5</v>
      </c>
      <c r="T67">
        <v>0</v>
      </c>
      <c r="U67">
        <v>2</v>
      </c>
      <c r="V67" s="9">
        <v>35</v>
      </c>
      <c r="W67" s="9">
        <v>13</v>
      </c>
      <c r="X67" s="7" t="s">
        <v>48</v>
      </c>
      <c r="Y67" s="2">
        <f t="shared" si="6"/>
        <v>39.875</v>
      </c>
      <c r="Z67" s="2">
        <f t="shared" si="7"/>
        <v>14.3</v>
      </c>
      <c r="AA67" s="10">
        <v>0.5</v>
      </c>
      <c r="AB67" s="2">
        <f t="shared" si="8"/>
        <v>19.9375</v>
      </c>
      <c r="AC67" s="2">
        <f t="shared" si="9"/>
        <v>34.237499999999997</v>
      </c>
      <c r="AD67" s="8">
        <f t="shared" si="10"/>
        <v>75.28125</v>
      </c>
      <c r="AE67" s="8"/>
      <c r="AF67" s="2">
        <f t="shared" si="11"/>
        <v>54.174999999999997</v>
      </c>
    </row>
    <row r="68" spans="1:32" x14ac:dyDescent="0.35">
      <c r="G68" s="1"/>
      <c r="V68" s="9"/>
      <c r="W68" s="9"/>
      <c r="X68" s="7"/>
      <c r="Y68" s="9"/>
      <c r="Z68" s="9"/>
      <c r="AA68" s="3"/>
      <c r="AB68" s="9"/>
      <c r="AC68" s="9"/>
      <c r="AD68" s="8"/>
      <c r="AE68" s="8"/>
      <c r="AF68" s="9"/>
    </row>
    <row r="69" spans="1:32" x14ac:dyDescent="0.35">
      <c r="G69" s="1"/>
      <c r="V69" s="9"/>
      <c r="W69" s="9"/>
      <c r="X69" s="7"/>
      <c r="Y69" s="9"/>
      <c r="Z69" s="9"/>
      <c r="AA69" s="3"/>
      <c r="AB69" s="9"/>
      <c r="AC69" s="9"/>
      <c r="AD69" s="8"/>
      <c r="AE69" s="8"/>
      <c r="AF69" s="9"/>
    </row>
    <row r="70" spans="1:32" x14ac:dyDescent="0.35">
      <c r="G70" s="1"/>
      <c r="V70" s="9"/>
      <c r="W70" s="9"/>
      <c r="X70" s="7"/>
      <c r="Y70" s="9"/>
      <c r="Z70" s="9"/>
      <c r="AA70" s="3"/>
      <c r="AB70" s="9"/>
      <c r="AC70" s="9"/>
      <c r="AD70" s="8"/>
      <c r="AE70" s="8"/>
      <c r="AF70" s="9"/>
    </row>
    <row r="71" spans="1:32" x14ac:dyDescent="0.35">
      <c r="V71" s="9"/>
      <c r="W71" s="9"/>
      <c r="X71" s="7"/>
      <c r="Y71" s="9"/>
      <c r="Z71" s="9"/>
      <c r="AB71" s="9"/>
      <c r="AC71" s="9"/>
      <c r="AD71" s="9"/>
      <c r="AE71" s="9"/>
      <c r="AF71" s="9"/>
    </row>
    <row r="72" spans="1:32" x14ac:dyDescent="0.35">
      <c r="V72" s="9"/>
      <c r="W72" s="9"/>
      <c r="X72" s="7"/>
      <c r="Y72" s="9"/>
      <c r="Z72" s="9"/>
      <c r="AB72" s="9"/>
      <c r="AC72" s="9"/>
      <c r="AD72" s="9"/>
      <c r="AE72" s="9"/>
      <c r="AF72" s="9"/>
    </row>
    <row r="73" spans="1:32" x14ac:dyDescent="0.35">
      <c r="V73" s="9"/>
      <c r="W73" s="9"/>
      <c r="X73" s="7"/>
      <c r="Y73" s="9"/>
      <c r="Z73" s="9"/>
      <c r="AB73" s="9"/>
      <c r="AC73" s="9"/>
      <c r="AD73" s="9"/>
      <c r="AE73" s="9"/>
      <c r="AF73" s="9"/>
    </row>
    <row r="74" spans="1:32" x14ac:dyDescent="0.35">
      <c r="X74" s="7"/>
      <c r="Y74" s="9"/>
      <c r="Z74" s="9"/>
      <c r="AB74" s="9"/>
      <c r="AC74" s="9"/>
      <c r="AD74" s="9"/>
      <c r="AE74" s="9"/>
      <c r="AF74" s="9"/>
    </row>
    <row r="75" spans="1:32" x14ac:dyDescent="0.35">
      <c r="Y75" s="9"/>
      <c r="Z75" s="9"/>
      <c r="AB75" s="9"/>
      <c r="AC75" s="9"/>
      <c r="AD75" s="9"/>
      <c r="AE75" s="9"/>
      <c r="AF75" s="9"/>
    </row>
  </sheetData>
  <phoneticPr fontId="18" type="noConversion"/>
  <conditionalFormatting sqref="X3:X6 X9:X19 X21:X31 X33:X43 X45:X55 X57:X59 X61:X62 X65:X74">
    <cfRule type="expression" dxfId="0" priority="1">
      <formula>$A3="Travée"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2025-12-12T10:18:09Z</dcterms:modified>
</cp:coreProperties>
</file>