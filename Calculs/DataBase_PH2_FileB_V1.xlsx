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183F20F1-8883-48E2-A6AE-32C242FA84CD}" xr6:coauthVersionLast="47" xr6:coauthVersionMax="47" xr10:uidLastSave="{00000000-0000-0000-0000-000000000000}"/>
  <bookViews>
    <workbookView xWindow="19300" yWindow="2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AB2" i="1" s="1"/>
  <c r="X2" i="1"/>
  <c r="Y44" i="1"/>
  <c r="X38" i="1"/>
  <c r="Y36" i="1"/>
  <c r="X32" i="1"/>
  <c r="X28" i="1"/>
  <c r="Y26" i="1"/>
  <c r="X21" i="1"/>
  <c r="X22" i="1"/>
  <c r="Y22" i="1"/>
  <c r="X23" i="1"/>
  <c r="Y23" i="1"/>
  <c r="X24" i="1"/>
  <c r="Y24" i="1"/>
  <c r="X25" i="1"/>
  <c r="Y25" i="1"/>
  <c r="X26" i="1"/>
  <c r="X27" i="1"/>
  <c r="Y27" i="1"/>
  <c r="X29" i="1"/>
  <c r="Y29" i="1"/>
  <c r="X30" i="1"/>
  <c r="Y30" i="1"/>
  <c r="X31" i="1"/>
  <c r="Y31" i="1"/>
  <c r="X33" i="1"/>
  <c r="Y33" i="1"/>
  <c r="X34" i="1"/>
  <c r="Y34" i="1"/>
  <c r="AB34" i="1" s="1"/>
  <c r="X35" i="1"/>
  <c r="Y35" i="1"/>
  <c r="X36" i="1"/>
  <c r="X37" i="1"/>
  <c r="Y37" i="1"/>
  <c r="X39" i="1"/>
  <c r="Y39" i="1"/>
  <c r="X40" i="1"/>
  <c r="Y40" i="1"/>
  <c r="X41" i="1"/>
  <c r="Y41" i="1"/>
  <c r="X42" i="1"/>
  <c r="Y42" i="1"/>
  <c r="X43" i="1"/>
  <c r="Y43" i="1"/>
  <c r="X44" i="1"/>
  <c r="X45" i="1"/>
  <c r="Y45" i="1"/>
  <c r="AB30" i="1" l="1"/>
  <c r="AB39" i="1"/>
  <c r="AB29" i="1"/>
  <c r="AB40" i="1"/>
  <c r="AB31" i="1"/>
  <c r="AB33" i="1"/>
  <c r="AB23" i="1"/>
  <c r="AB22" i="1"/>
  <c r="Y32" i="1"/>
  <c r="AB32" i="1" s="1"/>
  <c r="Y21" i="1"/>
  <c r="AB21" i="1" s="1"/>
  <c r="AB44" i="1"/>
  <c r="AB35" i="1"/>
  <c r="AB42" i="1"/>
  <c r="AB26" i="1"/>
  <c r="AB43" i="1"/>
  <c r="AB24" i="1"/>
  <c r="AB41" i="1"/>
  <c r="Y28" i="1"/>
  <c r="AB28" i="1" s="1"/>
  <c r="AB45" i="1"/>
  <c r="AB27" i="1"/>
  <c r="AB36" i="1"/>
  <c r="AB25" i="1"/>
  <c r="Y38" i="1"/>
  <c r="AB38" i="1" s="1"/>
  <c r="AB37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AB4" i="1" l="1"/>
  <c r="AB20" i="1"/>
  <c r="AB12" i="1"/>
  <c r="AB7" i="1"/>
  <c r="AB16" i="1"/>
  <c r="AB14" i="1"/>
  <c r="AB8" i="1"/>
  <c r="AB9" i="1"/>
  <c r="AB17" i="1"/>
  <c r="AB10" i="1"/>
  <c r="AB3" i="1"/>
  <c r="AB19" i="1"/>
  <c r="AB18" i="1"/>
  <c r="AB6" i="1"/>
  <c r="AB5" i="1"/>
</calcChain>
</file>

<file path=xl/sharedStrings.xml><?xml version="1.0" encoding="utf-8"?>
<sst xmlns="http://schemas.openxmlformats.org/spreadsheetml/2006/main" count="160" uniqueCount="49">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</sst>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5"/>
  <sheetViews>
    <sheetView tabSelected="1" zoomScale="55" zoomScaleNormal="55" workbookViewId="0">
      <pane xSplit="2" topLeftCell="C1" activePane="topRight" state="frozen"/>
      <selection pane="topRight" activeCell="A35" sqref="A35:XFD35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0.23</v>
      </c>
      <c r="K2">
        <v>2.6</v>
      </c>
      <c r="L2">
        <v>1.0009999999999999E-3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 s="2">
        <v>41.254400000000004</v>
      </c>
      <c r="V2" s="2">
        <v>12.5312</v>
      </c>
      <c r="W2" s="3">
        <v>0.5</v>
      </c>
      <c r="X2" s="2">
        <f>U2*(1-W2)</f>
        <v>20.627200000000002</v>
      </c>
      <c r="Y2" s="2">
        <f>U2*W2 + V2</f>
        <v>33.1584</v>
      </c>
      <c r="Z2" s="4">
        <v>70.400000000000006</v>
      </c>
      <c r="AA2" s="4"/>
      <c r="AB2" s="2">
        <f>X2+Y2</f>
        <v>53.785600000000002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0.23</v>
      </c>
      <c r="K3">
        <v>2.6</v>
      </c>
      <c r="L3">
        <v>1.3078E-3</v>
      </c>
      <c r="M3">
        <v>7.0000000000000007E-2</v>
      </c>
      <c r="N3">
        <v>1</v>
      </c>
      <c r="O3">
        <v>0</v>
      </c>
      <c r="P3">
        <v>0</v>
      </c>
      <c r="Q3">
        <v>1</v>
      </c>
      <c r="R3">
        <v>1.92E-4</v>
      </c>
      <c r="S3">
        <v>0</v>
      </c>
      <c r="T3">
        <v>1</v>
      </c>
      <c r="U3" s="2">
        <v>61.237000000000002</v>
      </c>
      <c r="V3" s="2">
        <v>18.601000000000003</v>
      </c>
      <c r="W3" s="3">
        <v>0.5</v>
      </c>
      <c r="X3" s="2">
        <f t="shared" ref="X3:X20" si="0">U3*(1-W3)</f>
        <v>30.618500000000001</v>
      </c>
      <c r="Y3" s="2">
        <f t="shared" ref="Y3:Y20" si="1">U3*W3 + V3</f>
        <v>49.219500000000004</v>
      </c>
      <c r="Z3" s="4">
        <v>104.50000000000001</v>
      </c>
      <c r="AA3" s="4"/>
      <c r="AB3">
        <f t="shared" ref="AB3:AB20" si="2">X3+Y3</f>
        <v>79.838000000000008</v>
      </c>
      <c r="AL3" s="2"/>
      <c r="AM3" s="2"/>
    </row>
    <row r="4" spans="1:39" x14ac:dyDescent="0.35">
      <c r="A4" t="s">
        <v>40</v>
      </c>
      <c r="B4" t="s">
        <v>24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</v>
      </c>
      <c r="K4">
        <v>2.6</v>
      </c>
      <c r="L4">
        <v>1.3286000000000001E-3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3.8400000000000001E-4</v>
      </c>
      <c r="S4">
        <v>0</v>
      </c>
      <c r="T4">
        <v>1</v>
      </c>
      <c r="U4" s="2">
        <v>87.021000000000001</v>
      </c>
      <c r="V4" s="2">
        <v>26.433</v>
      </c>
      <c r="W4" s="3">
        <v>0.5</v>
      </c>
      <c r="X4" s="2">
        <f t="shared" si="0"/>
        <v>43.5105</v>
      </c>
      <c r="Y4" s="2">
        <f t="shared" si="1"/>
        <v>69.9435</v>
      </c>
      <c r="Z4" s="4">
        <v>148.5</v>
      </c>
      <c r="AA4" s="4"/>
      <c r="AB4">
        <f t="shared" si="2"/>
        <v>113.45400000000001</v>
      </c>
      <c r="AL4" s="2"/>
      <c r="AM4" s="2"/>
    </row>
    <row r="5" spans="1:39" x14ac:dyDescent="0.35">
      <c r="A5" t="s">
        <v>40</v>
      </c>
      <c r="B5" t="s">
        <v>25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0.23</v>
      </c>
      <c r="K5">
        <v>2.6</v>
      </c>
      <c r="L5">
        <v>3.3280000000000001E-4</v>
      </c>
      <c r="M5">
        <v>0.03</v>
      </c>
      <c r="N5">
        <v>1</v>
      </c>
      <c r="O5">
        <v>0</v>
      </c>
      <c r="P5">
        <v>0</v>
      </c>
      <c r="Q5">
        <v>1</v>
      </c>
      <c r="R5">
        <v>2.8800000000000001E-4</v>
      </c>
      <c r="S5">
        <v>0</v>
      </c>
      <c r="T5">
        <v>1</v>
      </c>
      <c r="U5" s="2">
        <v>42.754560000000005</v>
      </c>
      <c r="V5" s="2">
        <v>12.986880000000001</v>
      </c>
      <c r="W5" s="3">
        <v>0.5</v>
      </c>
      <c r="X5" s="2">
        <f t="shared" si="0"/>
        <v>21.377280000000003</v>
      </c>
      <c r="Y5" s="2">
        <f t="shared" si="1"/>
        <v>34.364160000000005</v>
      </c>
      <c r="Z5" s="4">
        <v>72.960000000000008</v>
      </c>
      <c r="AA5" s="4"/>
      <c r="AB5">
        <f t="shared" si="2"/>
        <v>55.741440000000011</v>
      </c>
      <c r="AL5" s="2"/>
      <c r="AM5" s="2"/>
    </row>
    <row r="6" spans="1:39" x14ac:dyDescent="0.35">
      <c r="A6" t="s">
        <v>40</v>
      </c>
      <c r="B6" t="s">
        <v>26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0.23</v>
      </c>
      <c r="K6">
        <v>2.6</v>
      </c>
      <c r="L6">
        <v>2.1033000000000002E-3</v>
      </c>
      <c r="M6">
        <v>0.06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 s="2">
        <v>109.58200000000001</v>
      </c>
      <c r="V6">
        <v>33.286000000000001</v>
      </c>
      <c r="W6" s="3">
        <v>0.25</v>
      </c>
      <c r="X6" s="2">
        <f t="shared" si="0"/>
        <v>82.186500000000009</v>
      </c>
      <c r="Y6" s="2">
        <f t="shared" si="1"/>
        <v>60.6815</v>
      </c>
      <c r="Z6" s="4">
        <v>187.00000000000003</v>
      </c>
      <c r="AA6" s="4"/>
      <c r="AB6">
        <f t="shared" si="2"/>
        <v>142.86799999999999</v>
      </c>
      <c r="AL6" s="2"/>
    </row>
    <row r="7" spans="1:39" x14ac:dyDescent="0.35">
      <c r="A7" t="s">
        <v>40</v>
      </c>
      <c r="B7" t="s">
        <v>27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0.23</v>
      </c>
      <c r="K7">
        <v>2.6</v>
      </c>
      <c r="L7">
        <v>1E-3</v>
      </c>
      <c r="M7">
        <v>0.05</v>
      </c>
      <c r="N7">
        <v>1</v>
      </c>
      <c r="O7">
        <v>0</v>
      </c>
      <c r="P7">
        <v>0</v>
      </c>
      <c r="Q7">
        <v>1</v>
      </c>
      <c r="R7">
        <v>1.92E-4</v>
      </c>
      <c r="S7">
        <v>0</v>
      </c>
      <c r="T7">
        <v>1</v>
      </c>
      <c r="U7" s="2">
        <v>51.00544</v>
      </c>
      <c r="V7" s="2">
        <v>15.493120000000001</v>
      </c>
      <c r="W7" s="3">
        <v>0</v>
      </c>
      <c r="X7" s="2">
        <f t="shared" si="0"/>
        <v>51.00544</v>
      </c>
      <c r="Y7" s="2">
        <f t="shared" si="1"/>
        <v>15.493120000000001</v>
      </c>
      <c r="Z7" s="4">
        <v>87.04</v>
      </c>
      <c r="AA7" s="4"/>
      <c r="AB7">
        <f t="shared" si="2"/>
        <v>66.498559999999998</v>
      </c>
      <c r="AL7" s="2"/>
      <c r="AM7" s="2"/>
    </row>
    <row r="8" spans="1:39" x14ac:dyDescent="0.35">
      <c r="A8" t="s">
        <v>40</v>
      </c>
      <c r="B8" t="s">
        <v>28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</v>
      </c>
      <c r="K8">
        <v>2.6</v>
      </c>
      <c r="L8">
        <v>2.1000000000000003E-3</v>
      </c>
      <c r="M8">
        <v>0.06</v>
      </c>
      <c r="N8">
        <v>1</v>
      </c>
      <c r="O8">
        <v>0</v>
      </c>
      <c r="P8">
        <v>0</v>
      </c>
      <c r="Q8">
        <v>1</v>
      </c>
      <c r="R8">
        <v>1.92E-4</v>
      </c>
      <c r="S8">
        <v>0</v>
      </c>
      <c r="T8">
        <v>1</v>
      </c>
      <c r="U8" s="2">
        <v>112.80500000000001</v>
      </c>
      <c r="V8">
        <v>34.265000000000001</v>
      </c>
      <c r="W8" s="3">
        <v>0</v>
      </c>
      <c r="X8" s="2">
        <f t="shared" si="0"/>
        <v>112.80500000000001</v>
      </c>
      <c r="Y8" s="2">
        <f t="shared" si="1"/>
        <v>34.265000000000001</v>
      </c>
      <c r="Z8" s="4">
        <v>192.50000000000003</v>
      </c>
      <c r="AA8" s="4"/>
      <c r="AB8">
        <f t="shared" si="2"/>
        <v>147.07</v>
      </c>
      <c r="AL8" s="2"/>
    </row>
    <row r="9" spans="1:39" x14ac:dyDescent="0.35">
      <c r="A9" t="s">
        <v>40</v>
      </c>
      <c r="B9" t="s">
        <v>29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0.23</v>
      </c>
      <c r="K9">
        <v>2.6</v>
      </c>
      <c r="L9">
        <v>3.3E-4</v>
      </c>
      <c r="M9">
        <v>0.03</v>
      </c>
      <c r="N9">
        <v>1</v>
      </c>
      <c r="O9">
        <v>0</v>
      </c>
      <c r="P9">
        <v>0</v>
      </c>
      <c r="Q9">
        <v>1</v>
      </c>
      <c r="R9">
        <v>3.8400000000000001E-4</v>
      </c>
      <c r="S9">
        <v>0</v>
      </c>
      <c r="T9">
        <v>1</v>
      </c>
      <c r="U9" s="2">
        <v>51.00544</v>
      </c>
      <c r="V9" s="2">
        <v>15.493120000000001</v>
      </c>
      <c r="W9" s="3">
        <v>0</v>
      </c>
      <c r="X9" s="2">
        <f t="shared" si="0"/>
        <v>51.00544</v>
      </c>
      <c r="Y9" s="2">
        <f t="shared" si="1"/>
        <v>15.493120000000001</v>
      </c>
      <c r="Z9" s="4">
        <v>87.04</v>
      </c>
      <c r="AA9" s="4"/>
      <c r="AB9">
        <f t="shared" si="2"/>
        <v>66.498559999999998</v>
      </c>
      <c r="AL9" s="2"/>
      <c r="AM9" s="2"/>
    </row>
    <row r="10" spans="1:39" x14ac:dyDescent="0.35">
      <c r="A10" t="s">
        <v>40</v>
      </c>
      <c r="B10" t="s">
        <v>30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</v>
      </c>
      <c r="K10">
        <v>2.6</v>
      </c>
      <c r="L10">
        <v>2.1000000000000003E-3</v>
      </c>
      <c r="M10">
        <v>0.06</v>
      </c>
      <c r="N10">
        <v>1</v>
      </c>
      <c r="O10">
        <v>0</v>
      </c>
      <c r="P10">
        <v>0</v>
      </c>
      <c r="Q10">
        <v>1</v>
      </c>
      <c r="R10">
        <v>3.8400000000000001E-4</v>
      </c>
      <c r="S10">
        <v>0</v>
      </c>
      <c r="T10">
        <v>1</v>
      </c>
      <c r="U10" s="2">
        <v>109.58200000000001</v>
      </c>
      <c r="V10" s="2">
        <v>33.286000000000001</v>
      </c>
      <c r="W10" s="3">
        <v>0</v>
      </c>
      <c r="X10" s="2">
        <f t="shared" si="0"/>
        <v>109.58200000000001</v>
      </c>
      <c r="Y10" s="2">
        <f t="shared" si="1"/>
        <v>33.286000000000001</v>
      </c>
      <c r="Z10" s="4">
        <v>187.00000000000003</v>
      </c>
      <c r="AA10" s="4"/>
      <c r="AB10">
        <f t="shared" si="2"/>
        <v>142.86799999999999</v>
      </c>
      <c r="AL10" s="2"/>
      <c r="AM10" s="2"/>
    </row>
    <row r="11" spans="1:39" x14ac:dyDescent="0.35">
      <c r="A11" t="s">
        <v>40</v>
      </c>
      <c r="B11" t="s">
        <v>31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0.23</v>
      </c>
      <c r="K11">
        <v>2.6</v>
      </c>
      <c r="L11">
        <v>3.3E-4</v>
      </c>
      <c r="M11">
        <v>3.5000000000000003E-2</v>
      </c>
      <c r="N11">
        <v>1</v>
      </c>
      <c r="O11">
        <v>0</v>
      </c>
      <c r="P11">
        <v>0</v>
      </c>
      <c r="Q11">
        <v>1</v>
      </c>
      <c r="R11">
        <v>3.8400000000000001E-4</v>
      </c>
      <c r="S11">
        <v>0</v>
      </c>
      <c r="T11">
        <v>1</v>
      </c>
      <c r="U11" s="2">
        <v>52.505600000000001</v>
      </c>
      <c r="V11">
        <v>15.9488</v>
      </c>
      <c r="W11" s="3">
        <v>0</v>
      </c>
      <c r="X11" s="2">
        <f t="shared" si="0"/>
        <v>52.505600000000001</v>
      </c>
      <c r="Y11" s="2">
        <f t="shared" si="1"/>
        <v>15.9488</v>
      </c>
      <c r="Z11" s="4">
        <v>89.600000000000009</v>
      </c>
      <c r="AA11" s="4"/>
      <c r="AB11">
        <f t="shared" si="2"/>
        <v>68.454400000000007</v>
      </c>
      <c r="AL11" s="2"/>
    </row>
    <row r="12" spans="1:39" x14ac:dyDescent="0.35">
      <c r="A12" t="s">
        <v>40</v>
      </c>
      <c r="B12" t="s">
        <v>41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0.23</v>
      </c>
      <c r="K12">
        <v>2.6</v>
      </c>
      <c r="L12">
        <v>2.1000000000000003E-3</v>
      </c>
      <c r="M12">
        <v>0.06</v>
      </c>
      <c r="N12">
        <v>1</v>
      </c>
      <c r="O12">
        <v>0</v>
      </c>
      <c r="P12">
        <v>0</v>
      </c>
      <c r="Q12">
        <v>1</v>
      </c>
      <c r="R12">
        <v>1.92E-4</v>
      </c>
      <c r="S12">
        <v>0</v>
      </c>
      <c r="T12">
        <v>1</v>
      </c>
      <c r="U12" s="2">
        <v>109.58200000000001</v>
      </c>
      <c r="V12" s="2">
        <v>33.286000000000001</v>
      </c>
      <c r="W12" s="3">
        <v>0</v>
      </c>
      <c r="X12" s="2">
        <f t="shared" si="0"/>
        <v>109.58200000000001</v>
      </c>
      <c r="Y12" s="2">
        <f t="shared" si="1"/>
        <v>33.286000000000001</v>
      </c>
      <c r="Z12" s="4">
        <v>187.00000000000003</v>
      </c>
      <c r="AA12" s="4"/>
      <c r="AB12">
        <f t="shared" si="2"/>
        <v>142.86799999999999</v>
      </c>
      <c r="AL12" s="2"/>
      <c r="AM12" s="2"/>
    </row>
    <row r="13" spans="1:39" x14ac:dyDescent="0.35">
      <c r="A13" t="s">
        <v>40</v>
      </c>
      <c r="B13" t="s">
        <v>42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0.23</v>
      </c>
      <c r="K13">
        <v>2.6</v>
      </c>
      <c r="L13">
        <v>3.3E-4</v>
      </c>
      <c r="M13">
        <v>0.03</v>
      </c>
      <c r="N13">
        <v>1</v>
      </c>
      <c r="O13">
        <v>0</v>
      </c>
      <c r="P13">
        <v>0</v>
      </c>
      <c r="Q13">
        <v>1</v>
      </c>
      <c r="R13">
        <v>3.8400000000000001E-4</v>
      </c>
      <c r="S13">
        <v>0</v>
      </c>
      <c r="T13">
        <v>1</v>
      </c>
      <c r="U13" s="2">
        <v>41.254400000000004</v>
      </c>
      <c r="V13" s="2">
        <v>12.5312</v>
      </c>
      <c r="W13" s="3">
        <v>0.5</v>
      </c>
      <c r="X13" s="2">
        <f t="shared" si="0"/>
        <v>20.627200000000002</v>
      </c>
      <c r="Y13" s="2">
        <f t="shared" si="1"/>
        <v>33.1584</v>
      </c>
      <c r="Z13" s="4">
        <v>70.400000000000006</v>
      </c>
      <c r="AA13" s="4"/>
      <c r="AB13">
        <f t="shared" si="2"/>
        <v>53.785600000000002</v>
      </c>
      <c r="AL13" s="2"/>
      <c r="AM13" s="2"/>
    </row>
    <row r="14" spans="1:39" x14ac:dyDescent="0.35">
      <c r="A14" t="s">
        <v>40</v>
      </c>
      <c r="B14" t="s">
        <v>43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</v>
      </c>
      <c r="K14">
        <v>2.6</v>
      </c>
      <c r="L14">
        <v>1.8993E-3</v>
      </c>
      <c r="M14">
        <v>7.0000000000000007E-2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 s="2">
        <v>109.58200000000001</v>
      </c>
      <c r="V14" s="2">
        <v>33.286000000000001</v>
      </c>
      <c r="W14" s="3">
        <v>0.5</v>
      </c>
      <c r="X14" s="2">
        <f t="shared" si="0"/>
        <v>54.791000000000004</v>
      </c>
      <c r="Y14" s="2">
        <f t="shared" si="1"/>
        <v>88.076999999999998</v>
      </c>
      <c r="Z14" s="4">
        <v>187.00000000000003</v>
      </c>
      <c r="AA14" s="4"/>
      <c r="AB14">
        <f t="shared" si="2"/>
        <v>142.86799999999999</v>
      </c>
      <c r="AL14" s="2"/>
      <c r="AM14" s="2"/>
    </row>
    <row r="15" spans="1:39" x14ac:dyDescent="0.35">
      <c r="A15" t="s">
        <v>40</v>
      </c>
      <c r="B15" t="s">
        <v>44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0.23</v>
      </c>
      <c r="K15">
        <v>2.6</v>
      </c>
      <c r="L15">
        <v>1.3338E-3</v>
      </c>
      <c r="M15">
        <v>0.03</v>
      </c>
      <c r="N15">
        <v>1</v>
      </c>
      <c r="O15">
        <v>0</v>
      </c>
      <c r="P15">
        <v>0</v>
      </c>
      <c r="Q15">
        <v>1</v>
      </c>
      <c r="R15">
        <v>9.6000000000000002E-5</v>
      </c>
      <c r="S15">
        <v>0</v>
      </c>
      <c r="T15">
        <v>1</v>
      </c>
      <c r="U15" s="2">
        <v>56.256</v>
      </c>
      <c r="V15" s="2">
        <v>17.088000000000001</v>
      </c>
      <c r="W15" s="3">
        <v>0.25</v>
      </c>
      <c r="X15" s="2">
        <f t="shared" si="0"/>
        <v>42.192</v>
      </c>
      <c r="Y15" s="2">
        <f t="shared" si="1"/>
        <v>31.152000000000001</v>
      </c>
      <c r="Z15" s="4">
        <v>96</v>
      </c>
      <c r="AA15" s="4"/>
      <c r="AB15">
        <f t="shared" si="2"/>
        <v>73.343999999999994</v>
      </c>
      <c r="AL15" s="2"/>
    </row>
    <row r="16" spans="1:39" x14ac:dyDescent="0.35">
      <c r="A16" t="s">
        <v>45</v>
      </c>
      <c r="B16" t="s">
        <v>20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</v>
      </c>
      <c r="K16">
        <v>2.33</v>
      </c>
      <c r="L16">
        <v>1.1949999999999999E-3</v>
      </c>
      <c r="M16">
        <v>0.03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 s="2">
        <v>38.675999999999995</v>
      </c>
      <c r="V16">
        <v>11.747999999999999</v>
      </c>
      <c r="W16" s="3">
        <v>0</v>
      </c>
      <c r="X16" s="2">
        <f t="shared" si="0"/>
        <v>38.675999999999995</v>
      </c>
      <c r="Y16" s="2">
        <f t="shared" si="1"/>
        <v>11.747999999999999</v>
      </c>
      <c r="Z16" s="4">
        <v>66</v>
      </c>
      <c r="AA16" s="4"/>
      <c r="AB16">
        <f t="shared" si="2"/>
        <v>50.423999999999992</v>
      </c>
      <c r="AL16" s="2"/>
    </row>
    <row r="17" spans="1:38" x14ac:dyDescent="0.35">
      <c r="A17" t="s">
        <v>45</v>
      </c>
      <c r="B17" t="s">
        <v>23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</v>
      </c>
      <c r="K17">
        <v>2.33</v>
      </c>
      <c r="L17">
        <v>5.9881000000000008E-4</v>
      </c>
      <c r="M17">
        <v>0.03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 s="2">
        <v>22.502399999999998</v>
      </c>
      <c r="V17">
        <v>6.8351999999999995</v>
      </c>
      <c r="W17" s="3">
        <v>0</v>
      </c>
      <c r="X17" s="2">
        <f t="shared" si="0"/>
        <v>22.502399999999998</v>
      </c>
      <c r="Y17" s="2">
        <f t="shared" si="1"/>
        <v>6.8351999999999995</v>
      </c>
      <c r="Z17" s="4">
        <v>38.4</v>
      </c>
      <c r="AA17" s="4"/>
      <c r="AB17">
        <f t="shared" si="2"/>
        <v>29.337599999999998</v>
      </c>
      <c r="AL17" s="2"/>
    </row>
    <row r="18" spans="1:38" x14ac:dyDescent="0.35">
      <c r="A18" t="s">
        <v>45</v>
      </c>
      <c r="B18" t="s">
        <v>24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</v>
      </c>
      <c r="K18">
        <v>2.33</v>
      </c>
      <c r="L18">
        <v>1.8500000000000001E-3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87.021000000000001</v>
      </c>
      <c r="V18">
        <v>26.433</v>
      </c>
      <c r="W18" s="3">
        <v>0</v>
      </c>
      <c r="X18" s="2">
        <f t="shared" si="0"/>
        <v>87.021000000000001</v>
      </c>
      <c r="Y18" s="2">
        <f t="shared" si="1"/>
        <v>26.433</v>
      </c>
      <c r="Z18" s="4">
        <v>148.5</v>
      </c>
      <c r="AA18" s="4"/>
      <c r="AB18">
        <f t="shared" si="2"/>
        <v>113.45400000000001</v>
      </c>
      <c r="AL18" s="2"/>
    </row>
    <row r="19" spans="1:38" x14ac:dyDescent="0.35">
      <c r="A19" t="s">
        <v>45</v>
      </c>
      <c r="B19" t="s">
        <v>25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</v>
      </c>
      <c r="K19">
        <v>2.33</v>
      </c>
      <c r="L19">
        <v>8.9700000000000012E-4</v>
      </c>
      <c r="M19">
        <v>3.5000000000000003E-2</v>
      </c>
      <c r="N19">
        <v>1</v>
      </c>
      <c r="O19">
        <v>0</v>
      </c>
      <c r="P19">
        <v>0</v>
      </c>
      <c r="Q19">
        <v>1</v>
      </c>
      <c r="R19">
        <v>3.8400000000000001E-4</v>
      </c>
      <c r="S19">
        <v>0</v>
      </c>
      <c r="T19">
        <v>1</v>
      </c>
      <c r="U19" s="2">
        <v>48.755200000000002</v>
      </c>
      <c r="V19">
        <v>14.8096</v>
      </c>
      <c r="W19" s="3">
        <v>0</v>
      </c>
      <c r="X19" s="2">
        <f t="shared" si="0"/>
        <v>48.755200000000002</v>
      </c>
      <c r="Y19" s="2">
        <f t="shared" si="1"/>
        <v>14.8096</v>
      </c>
      <c r="Z19" s="4">
        <v>83.2</v>
      </c>
      <c r="AA19" s="4"/>
      <c r="AB19">
        <f t="shared" si="2"/>
        <v>63.564800000000005</v>
      </c>
      <c r="AL19" s="2"/>
    </row>
    <row r="20" spans="1:38" x14ac:dyDescent="0.35">
      <c r="A20" t="s">
        <v>45</v>
      </c>
      <c r="B20" t="s">
        <v>26</v>
      </c>
      <c r="C20">
        <v>25</v>
      </c>
      <c r="D20" t="s">
        <v>18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</v>
      </c>
      <c r="K20">
        <v>2.33</v>
      </c>
      <c r="L20">
        <v>2.0950000000000001E-3</v>
      </c>
      <c r="M20">
        <v>5.2999999999999999E-2</v>
      </c>
      <c r="N20">
        <v>1</v>
      </c>
      <c r="O20">
        <v>0</v>
      </c>
      <c r="P20">
        <v>0</v>
      </c>
      <c r="Q20">
        <v>1</v>
      </c>
      <c r="R20">
        <v>1.92E-4</v>
      </c>
      <c r="S20">
        <v>0</v>
      </c>
      <c r="T20">
        <v>1</v>
      </c>
      <c r="U20" s="2">
        <v>109.58200000000001</v>
      </c>
      <c r="V20">
        <v>33.286000000000001</v>
      </c>
      <c r="W20" s="3">
        <v>0</v>
      </c>
      <c r="X20" s="2">
        <f t="shared" si="0"/>
        <v>109.58200000000001</v>
      </c>
      <c r="Y20" s="2">
        <f t="shared" si="1"/>
        <v>33.286000000000001</v>
      </c>
      <c r="Z20" s="4">
        <v>187.00000000000003</v>
      </c>
      <c r="AA20" s="4"/>
      <c r="AB20">
        <f t="shared" si="2"/>
        <v>142.86799999999999</v>
      </c>
      <c r="AL20" s="2"/>
    </row>
    <row r="21" spans="1:38" x14ac:dyDescent="0.35">
      <c r="A21" t="s">
        <v>45</v>
      </c>
      <c r="B21" t="s">
        <v>27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</v>
      </c>
      <c r="K21">
        <v>2.33</v>
      </c>
      <c r="L21">
        <v>9.0000000000000008E-4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3.8400000000000001E-4</v>
      </c>
      <c r="S21">
        <v>0</v>
      </c>
      <c r="T21">
        <v>1</v>
      </c>
      <c r="U21" s="2">
        <v>45.004799999999996</v>
      </c>
      <c r="V21">
        <v>13.670399999999999</v>
      </c>
      <c r="W21" s="5">
        <v>0</v>
      </c>
      <c r="X21" s="2">
        <f t="shared" ref="X21:X45" si="3">U21*(1-W21)</f>
        <v>45.004799999999996</v>
      </c>
      <c r="Y21" s="2">
        <f t="shared" ref="Y21:Y45" si="4">U21*W21 + V21</f>
        <v>13.670399999999999</v>
      </c>
      <c r="Z21" s="4">
        <v>76.8</v>
      </c>
      <c r="AA21" s="4"/>
      <c r="AB21">
        <f t="shared" ref="AB21:AB45" si="5">X21+Y21</f>
        <v>58.675199999999997</v>
      </c>
    </row>
    <row r="22" spans="1:38" x14ac:dyDescent="0.35">
      <c r="A22" t="s">
        <v>45</v>
      </c>
      <c r="B22" t="s">
        <v>28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</v>
      </c>
      <c r="K22">
        <v>2.33</v>
      </c>
      <c r="L22">
        <v>2.3899999999999998E-3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 s="2">
        <v>103.136</v>
      </c>
      <c r="V22">
        <v>31.327999999999999</v>
      </c>
      <c r="W22" s="5">
        <v>0</v>
      </c>
      <c r="X22" s="2">
        <f t="shared" si="3"/>
        <v>103.136</v>
      </c>
      <c r="Y22" s="2">
        <f t="shared" si="4"/>
        <v>31.327999999999999</v>
      </c>
      <c r="Z22" s="4">
        <v>176</v>
      </c>
      <c r="AA22" s="4"/>
      <c r="AB22">
        <f t="shared" si="5"/>
        <v>134.464</v>
      </c>
    </row>
    <row r="23" spans="1:38" x14ac:dyDescent="0.35">
      <c r="A23" t="s">
        <v>45</v>
      </c>
      <c r="B23" t="s">
        <v>29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</v>
      </c>
      <c r="K23">
        <v>2.33</v>
      </c>
      <c r="L23">
        <v>9.0000000000000008E-4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1.92E-4</v>
      </c>
      <c r="S23">
        <v>0</v>
      </c>
      <c r="T23">
        <v>1</v>
      </c>
      <c r="U23">
        <v>45.004799999999996</v>
      </c>
      <c r="V23">
        <v>13.670399999999999</v>
      </c>
      <c r="W23" s="5">
        <v>0</v>
      </c>
      <c r="X23" s="2">
        <f t="shared" si="3"/>
        <v>45.004799999999996</v>
      </c>
      <c r="Y23" s="2">
        <f t="shared" si="4"/>
        <v>13.670399999999999</v>
      </c>
      <c r="Z23" s="4">
        <v>76.8</v>
      </c>
      <c r="AA23" s="4"/>
      <c r="AB23">
        <f t="shared" si="5"/>
        <v>58.675199999999997</v>
      </c>
    </row>
    <row r="24" spans="1:38" x14ac:dyDescent="0.35">
      <c r="A24" t="s">
        <v>46</v>
      </c>
      <c r="B24" t="s">
        <v>19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0.23</v>
      </c>
      <c r="K24">
        <v>2.33</v>
      </c>
      <c r="L24">
        <v>9.0000000000000008E-4</v>
      </c>
      <c r="M24">
        <v>0.03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15.0016</v>
      </c>
      <c r="V24">
        <v>4.5568</v>
      </c>
      <c r="W24" s="5">
        <v>0</v>
      </c>
      <c r="X24" s="2">
        <f t="shared" si="3"/>
        <v>15.0016</v>
      </c>
      <c r="Y24" s="2">
        <f t="shared" si="4"/>
        <v>4.5568</v>
      </c>
      <c r="Z24" s="4">
        <v>25.6</v>
      </c>
      <c r="AA24" s="4"/>
      <c r="AB24">
        <f t="shared" si="5"/>
        <v>19.558399999999999</v>
      </c>
    </row>
    <row r="25" spans="1:38" x14ac:dyDescent="0.35">
      <c r="A25" t="s">
        <v>46</v>
      </c>
      <c r="B25" t="s">
        <v>20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</v>
      </c>
      <c r="K25">
        <v>2.33</v>
      </c>
      <c r="L25">
        <v>1.2000000000000001E-3</v>
      </c>
      <c r="M25">
        <v>0.06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12.891999999999999</v>
      </c>
      <c r="V25">
        <v>3.9159999999999999</v>
      </c>
      <c r="W25" s="5">
        <v>0</v>
      </c>
      <c r="X25" s="2">
        <f t="shared" si="3"/>
        <v>12.891999999999999</v>
      </c>
      <c r="Y25" s="2">
        <f t="shared" si="4"/>
        <v>3.9159999999999999</v>
      </c>
      <c r="Z25" s="4">
        <v>22</v>
      </c>
      <c r="AA25" s="4"/>
      <c r="AB25">
        <f t="shared" si="5"/>
        <v>16.808</v>
      </c>
    </row>
    <row r="26" spans="1:38" x14ac:dyDescent="0.35">
      <c r="A26" t="s">
        <v>46</v>
      </c>
      <c r="B26" t="s">
        <v>23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0.23</v>
      </c>
      <c r="K26">
        <v>2.33</v>
      </c>
      <c r="L26">
        <v>6.0000000000000006E-4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15.0016</v>
      </c>
      <c r="V26">
        <v>4.5568</v>
      </c>
      <c r="W26" s="5">
        <v>0</v>
      </c>
      <c r="X26" s="2">
        <f t="shared" si="3"/>
        <v>15.0016</v>
      </c>
      <c r="Y26" s="2">
        <f t="shared" si="4"/>
        <v>4.5568</v>
      </c>
      <c r="Z26" s="4">
        <v>25.6</v>
      </c>
      <c r="AA26" s="4"/>
      <c r="AB26">
        <f t="shared" si="5"/>
        <v>19.558399999999999</v>
      </c>
    </row>
    <row r="27" spans="1:38" x14ac:dyDescent="0.35">
      <c r="A27" t="s">
        <v>46</v>
      </c>
      <c r="B27" t="s">
        <v>24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0.23</v>
      </c>
      <c r="K27">
        <v>2.33</v>
      </c>
      <c r="L27">
        <v>1.1720000000000001E-3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38.675999999999995</v>
      </c>
      <c r="V27">
        <v>11.747999999999999</v>
      </c>
      <c r="W27" s="5">
        <v>0</v>
      </c>
      <c r="X27" s="2">
        <f t="shared" si="3"/>
        <v>38.675999999999995</v>
      </c>
      <c r="Y27" s="2">
        <f t="shared" si="4"/>
        <v>11.747999999999999</v>
      </c>
      <c r="Z27" s="4">
        <v>66</v>
      </c>
      <c r="AA27" s="4"/>
      <c r="AB27">
        <f t="shared" si="5"/>
        <v>50.423999999999992</v>
      </c>
    </row>
    <row r="28" spans="1:38" x14ac:dyDescent="0.35">
      <c r="A28" t="s">
        <v>46</v>
      </c>
      <c r="B28" t="s">
        <v>25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0.23</v>
      </c>
      <c r="K28">
        <v>2.33</v>
      </c>
      <c r="L28">
        <v>9.0000000000000008E-4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33.753599999999999</v>
      </c>
      <c r="V28">
        <v>10.252800000000001</v>
      </c>
      <c r="W28" s="5">
        <v>0</v>
      </c>
      <c r="X28" s="2">
        <f t="shared" si="3"/>
        <v>33.753599999999999</v>
      </c>
      <c r="Y28" s="2">
        <f t="shared" si="4"/>
        <v>10.252800000000001</v>
      </c>
      <c r="Z28" s="4">
        <v>57.6</v>
      </c>
      <c r="AA28" s="4"/>
      <c r="AB28">
        <f t="shared" si="5"/>
        <v>44.006399999999999</v>
      </c>
    </row>
    <row r="29" spans="1:38" x14ac:dyDescent="0.35">
      <c r="A29" t="s">
        <v>46</v>
      </c>
      <c r="B29" t="s">
        <v>26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0.23</v>
      </c>
      <c r="K29">
        <v>2.33</v>
      </c>
      <c r="L29">
        <v>1.47E-3</v>
      </c>
      <c r="M29">
        <v>0.06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51.567999999999998</v>
      </c>
      <c r="V29">
        <v>15.664</v>
      </c>
      <c r="W29" s="5">
        <v>0</v>
      </c>
      <c r="X29" s="2">
        <f t="shared" si="3"/>
        <v>51.567999999999998</v>
      </c>
      <c r="Y29" s="2">
        <f t="shared" si="4"/>
        <v>15.664</v>
      </c>
      <c r="Z29" s="4">
        <v>88</v>
      </c>
      <c r="AA29" s="4"/>
      <c r="AB29">
        <f t="shared" si="5"/>
        <v>67.231999999999999</v>
      </c>
    </row>
    <row r="30" spans="1:38" x14ac:dyDescent="0.35">
      <c r="A30" t="s">
        <v>46</v>
      </c>
      <c r="B30" t="s">
        <v>27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</v>
      </c>
      <c r="K30">
        <v>2.33</v>
      </c>
      <c r="L30">
        <v>9.0000000000000008E-4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30.0032</v>
      </c>
      <c r="V30">
        <v>9.1135999999999999</v>
      </c>
      <c r="W30" s="5">
        <v>0</v>
      </c>
      <c r="X30" s="2">
        <f t="shared" si="3"/>
        <v>30.0032</v>
      </c>
      <c r="Y30" s="2">
        <f t="shared" si="4"/>
        <v>9.1135999999999999</v>
      </c>
      <c r="Z30" s="4">
        <v>51.2</v>
      </c>
      <c r="AA30" s="4"/>
      <c r="AB30">
        <f t="shared" si="5"/>
        <v>39.116799999999998</v>
      </c>
    </row>
    <row r="31" spans="1:38" x14ac:dyDescent="0.35">
      <c r="A31" t="s">
        <v>46</v>
      </c>
      <c r="B31" t="s">
        <v>28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0.23</v>
      </c>
      <c r="K31">
        <v>2.33</v>
      </c>
      <c r="L31">
        <v>1.47E-3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38.675999999999995</v>
      </c>
      <c r="V31">
        <v>11.747999999999999</v>
      </c>
      <c r="W31" s="5">
        <v>0</v>
      </c>
      <c r="X31" s="2">
        <f t="shared" si="3"/>
        <v>38.675999999999995</v>
      </c>
      <c r="Y31" s="2">
        <f t="shared" si="4"/>
        <v>11.747999999999999</v>
      </c>
      <c r="Z31" s="4">
        <v>66</v>
      </c>
      <c r="AA31" s="4"/>
      <c r="AB31">
        <f t="shared" si="5"/>
        <v>50.423999999999992</v>
      </c>
    </row>
    <row r="32" spans="1:38" x14ac:dyDescent="0.35">
      <c r="A32" t="s">
        <v>46</v>
      </c>
      <c r="B32" t="s">
        <v>29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</v>
      </c>
      <c r="K32">
        <v>2.33</v>
      </c>
      <c r="L32">
        <v>9.0000000000000008E-4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26.252800000000001</v>
      </c>
      <c r="V32">
        <v>7.9744000000000002</v>
      </c>
      <c r="W32" s="5">
        <v>0</v>
      </c>
      <c r="X32" s="2">
        <f t="shared" si="3"/>
        <v>26.252800000000001</v>
      </c>
      <c r="Y32" s="2">
        <f t="shared" si="4"/>
        <v>7.9744000000000002</v>
      </c>
      <c r="Z32" s="4">
        <v>44.800000000000004</v>
      </c>
      <c r="AA32" s="4"/>
      <c r="AB32">
        <f t="shared" si="5"/>
        <v>34.227200000000003</v>
      </c>
    </row>
    <row r="33" spans="1:28" x14ac:dyDescent="0.35">
      <c r="A33" t="s">
        <v>47</v>
      </c>
      <c r="B33" t="s">
        <v>19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</v>
      </c>
      <c r="K33">
        <v>2.33</v>
      </c>
      <c r="L33">
        <v>9.0000000000000008E-4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15.0016</v>
      </c>
      <c r="V33">
        <v>4.5568</v>
      </c>
      <c r="W33" s="5">
        <v>0</v>
      </c>
      <c r="X33" s="2">
        <f t="shared" si="3"/>
        <v>15.0016</v>
      </c>
      <c r="Y33" s="2">
        <f t="shared" si="4"/>
        <v>4.5568</v>
      </c>
      <c r="Z33" s="4">
        <v>25.6</v>
      </c>
      <c r="AA33" s="4"/>
      <c r="AB33">
        <f t="shared" si="5"/>
        <v>19.558399999999999</v>
      </c>
    </row>
    <row r="34" spans="1:28" x14ac:dyDescent="0.35">
      <c r="A34" t="s">
        <v>47</v>
      </c>
      <c r="B34" t="s">
        <v>20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</v>
      </c>
      <c r="K34">
        <v>2.33</v>
      </c>
      <c r="L34">
        <v>3.8999999999999999E-4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16.115000000000002</v>
      </c>
      <c r="V34">
        <v>4.8950000000000005</v>
      </c>
      <c r="W34" s="5">
        <v>0</v>
      </c>
      <c r="X34" s="2">
        <f t="shared" si="3"/>
        <v>16.115000000000002</v>
      </c>
      <c r="Y34" s="2">
        <f t="shared" si="4"/>
        <v>4.8950000000000005</v>
      </c>
      <c r="Z34" s="4">
        <v>27.500000000000004</v>
      </c>
      <c r="AA34" s="4"/>
      <c r="AB34">
        <f t="shared" si="5"/>
        <v>21.01</v>
      </c>
    </row>
    <row r="35" spans="1:28" x14ac:dyDescent="0.35">
      <c r="A35" t="s">
        <v>47</v>
      </c>
      <c r="B35" t="s">
        <v>24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</v>
      </c>
      <c r="K35">
        <v>2.33</v>
      </c>
      <c r="L35">
        <v>2.4868300000000002E-3</v>
      </c>
      <c r="M35">
        <v>0.03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96.69</v>
      </c>
      <c r="V35">
        <v>29.369999999999997</v>
      </c>
      <c r="W35" s="5">
        <v>0</v>
      </c>
      <c r="X35" s="2">
        <f t="shared" si="3"/>
        <v>96.69</v>
      </c>
      <c r="Y35" s="2">
        <f t="shared" si="4"/>
        <v>29.369999999999997</v>
      </c>
      <c r="Z35" s="4">
        <v>165</v>
      </c>
      <c r="AA35" s="4"/>
      <c r="AB35">
        <f t="shared" si="5"/>
        <v>126.06</v>
      </c>
    </row>
    <row r="36" spans="1:28" x14ac:dyDescent="0.35">
      <c r="A36" t="s">
        <v>47</v>
      </c>
      <c r="B36" t="s">
        <v>25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</v>
      </c>
      <c r="K36">
        <v>2.33</v>
      </c>
      <c r="L36">
        <v>1.495E-3</v>
      </c>
      <c r="M36">
        <v>0.03</v>
      </c>
      <c r="N36">
        <v>1</v>
      </c>
      <c r="O36">
        <v>0</v>
      </c>
      <c r="P36">
        <v>0</v>
      </c>
      <c r="Q36">
        <v>1</v>
      </c>
      <c r="R36">
        <v>1.92E-4</v>
      </c>
      <c r="S36">
        <v>0</v>
      </c>
      <c r="T36">
        <v>1</v>
      </c>
      <c r="U36">
        <v>48.755200000000002</v>
      </c>
      <c r="V36">
        <v>14.8096</v>
      </c>
      <c r="W36" s="5">
        <v>0</v>
      </c>
      <c r="X36" s="2">
        <f t="shared" si="3"/>
        <v>48.755200000000002</v>
      </c>
      <c r="Y36" s="2">
        <f t="shared" si="4"/>
        <v>14.8096</v>
      </c>
      <c r="Z36" s="4">
        <v>83.2</v>
      </c>
      <c r="AA36" s="4"/>
      <c r="AB36">
        <f t="shared" si="5"/>
        <v>63.564800000000005</v>
      </c>
    </row>
    <row r="37" spans="1:28" x14ac:dyDescent="0.35">
      <c r="A37" t="s">
        <v>47</v>
      </c>
      <c r="B37" t="s">
        <v>26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</v>
      </c>
      <c r="K37">
        <v>2.33</v>
      </c>
      <c r="L37">
        <v>2.3899999999999998E-3</v>
      </c>
      <c r="M37">
        <v>0.03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106.35900000000001</v>
      </c>
      <c r="V37">
        <v>32.307000000000002</v>
      </c>
      <c r="W37" s="5">
        <v>0</v>
      </c>
      <c r="X37" s="2">
        <f t="shared" si="3"/>
        <v>106.35900000000001</v>
      </c>
      <c r="Y37" s="2">
        <f t="shared" si="4"/>
        <v>32.307000000000002</v>
      </c>
      <c r="Z37" s="4">
        <v>181.50000000000003</v>
      </c>
      <c r="AA37" s="4"/>
      <c r="AB37">
        <f t="shared" si="5"/>
        <v>138.666</v>
      </c>
    </row>
    <row r="38" spans="1:28" x14ac:dyDescent="0.35">
      <c r="A38" t="s">
        <v>47</v>
      </c>
      <c r="B38" t="s">
        <v>27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</v>
      </c>
      <c r="K38">
        <v>2.33</v>
      </c>
      <c r="L38">
        <v>9.0000000000000008E-4</v>
      </c>
      <c r="M38">
        <v>0.03</v>
      </c>
      <c r="N38">
        <v>1</v>
      </c>
      <c r="O38">
        <v>0</v>
      </c>
      <c r="P38">
        <v>0</v>
      </c>
      <c r="Q38">
        <v>1</v>
      </c>
      <c r="R38">
        <v>1.92E-4</v>
      </c>
      <c r="S38">
        <v>0</v>
      </c>
      <c r="T38">
        <v>1</v>
      </c>
      <c r="U38">
        <v>41.254400000000004</v>
      </c>
      <c r="V38">
        <v>12.5312</v>
      </c>
      <c r="W38" s="5">
        <v>0</v>
      </c>
      <c r="X38" s="2">
        <f t="shared" si="3"/>
        <v>41.254400000000004</v>
      </c>
      <c r="Y38" s="2">
        <f t="shared" si="4"/>
        <v>12.5312</v>
      </c>
      <c r="Z38" s="4">
        <v>70.400000000000006</v>
      </c>
      <c r="AA38" s="4"/>
      <c r="AB38">
        <f t="shared" si="5"/>
        <v>53.785600000000002</v>
      </c>
    </row>
    <row r="39" spans="1:28" x14ac:dyDescent="0.35">
      <c r="A39" t="s">
        <v>47</v>
      </c>
      <c r="B39" t="s">
        <v>28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</v>
      </c>
      <c r="K39">
        <v>2.33</v>
      </c>
      <c r="L39">
        <v>2.3899999999999998E-3</v>
      </c>
      <c r="M39">
        <v>0.03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90.244</v>
      </c>
      <c r="V39">
        <v>27.411999999999999</v>
      </c>
      <c r="W39" s="5">
        <v>0</v>
      </c>
      <c r="X39" s="2">
        <f t="shared" si="3"/>
        <v>90.244</v>
      </c>
      <c r="Y39" s="2">
        <f t="shared" si="4"/>
        <v>27.411999999999999</v>
      </c>
      <c r="Z39" s="4">
        <v>154</v>
      </c>
      <c r="AA39" s="4"/>
      <c r="AB39">
        <f t="shared" si="5"/>
        <v>117.65600000000001</v>
      </c>
    </row>
    <row r="40" spans="1:28" x14ac:dyDescent="0.35">
      <c r="A40" t="s">
        <v>47</v>
      </c>
      <c r="B40" t="s">
        <v>29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</v>
      </c>
      <c r="K40">
        <v>2.33</v>
      </c>
      <c r="L40">
        <v>9.0000000000000008E-4</v>
      </c>
      <c r="M40">
        <v>0.03</v>
      </c>
      <c r="N40">
        <v>1</v>
      </c>
      <c r="O40">
        <v>0</v>
      </c>
      <c r="P40">
        <v>0</v>
      </c>
      <c r="Q40">
        <v>1</v>
      </c>
      <c r="R40">
        <v>1.92E-4</v>
      </c>
      <c r="S40">
        <v>0</v>
      </c>
      <c r="T40">
        <v>1</v>
      </c>
      <c r="U40">
        <v>37.503999999999998</v>
      </c>
      <c r="V40">
        <v>11.391999999999999</v>
      </c>
      <c r="W40" s="5">
        <v>0</v>
      </c>
      <c r="X40" s="2">
        <f t="shared" si="3"/>
        <v>37.503999999999998</v>
      </c>
      <c r="Y40" s="2">
        <f t="shared" si="4"/>
        <v>11.391999999999999</v>
      </c>
      <c r="Z40" s="4">
        <v>64</v>
      </c>
      <c r="AA40" s="4"/>
      <c r="AB40">
        <f t="shared" si="5"/>
        <v>48.896000000000001</v>
      </c>
    </row>
    <row r="41" spans="1:28" x14ac:dyDescent="0.35">
      <c r="A41" t="s">
        <v>48</v>
      </c>
      <c r="B41" t="s">
        <v>24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0.23</v>
      </c>
      <c r="K41">
        <v>2.6</v>
      </c>
      <c r="L41">
        <v>1.3338E-3</v>
      </c>
      <c r="M41">
        <v>0.06</v>
      </c>
      <c r="N41">
        <v>1</v>
      </c>
      <c r="O41">
        <v>0</v>
      </c>
      <c r="P41">
        <v>0</v>
      </c>
      <c r="Q41">
        <v>1</v>
      </c>
      <c r="R41">
        <v>3.8400000000000001E-4</v>
      </c>
      <c r="S41">
        <v>0</v>
      </c>
      <c r="T41">
        <v>1</v>
      </c>
      <c r="U41">
        <v>80.574999999999989</v>
      </c>
      <c r="V41">
        <v>24.474999999999998</v>
      </c>
      <c r="W41" s="5">
        <v>0</v>
      </c>
      <c r="X41" s="2">
        <f t="shared" si="3"/>
        <v>80.574999999999989</v>
      </c>
      <c r="Y41" s="2">
        <f t="shared" si="4"/>
        <v>24.474999999999998</v>
      </c>
      <c r="Z41" s="4">
        <v>137.5</v>
      </c>
      <c r="AA41" s="4"/>
      <c r="AB41">
        <f t="shared" si="5"/>
        <v>105.04999999999998</v>
      </c>
    </row>
    <row r="42" spans="1:28" x14ac:dyDescent="0.35">
      <c r="A42" t="s">
        <v>48</v>
      </c>
      <c r="B42" t="s">
        <v>25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0.23</v>
      </c>
      <c r="K42">
        <v>2.6</v>
      </c>
      <c r="L42">
        <v>3.3250000000000006E-4</v>
      </c>
      <c r="M42">
        <v>0.03</v>
      </c>
      <c r="N42">
        <v>1</v>
      </c>
      <c r="O42">
        <v>0</v>
      </c>
      <c r="P42">
        <v>0</v>
      </c>
      <c r="Q42">
        <v>1</v>
      </c>
      <c r="R42">
        <v>2.8800000000000001E-4</v>
      </c>
      <c r="S42">
        <v>0</v>
      </c>
      <c r="T42">
        <v>1</v>
      </c>
      <c r="U42">
        <v>46.504959999999997</v>
      </c>
      <c r="V42">
        <v>14.12608</v>
      </c>
      <c r="W42" s="5">
        <v>0</v>
      </c>
      <c r="X42" s="2">
        <f t="shared" si="3"/>
        <v>46.504959999999997</v>
      </c>
      <c r="Y42" s="2">
        <f t="shared" si="4"/>
        <v>14.12608</v>
      </c>
      <c r="Z42" s="4">
        <v>79.36</v>
      </c>
      <c r="AA42" s="4"/>
      <c r="AB42">
        <f t="shared" si="5"/>
        <v>60.631039999999999</v>
      </c>
    </row>
    <row r="43" spans="1:28" x14ac:dyDescent="0.35">
      <c r="A43" t="s">
        <v>48</v>
      </c>
      <c r="B43" t="s">
        <v>26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0.23</v>
      </c>
      <c r="K43">
        <v>2.6</v>
      </c>
      <c r="L43">
        <v>2.1030000000000003E-3</v>
      </c>
      <c r="M43">
        <v>0.06</v>
      </c>
      <c r="N43">
        <v>1</v>
      </c>
      <c r="O43">
        <v>1.2755862068965518E-3</v>
      </c>
      <c r="P43">
        <v>0.04</v>
      </c>
      <c r="Q43">
        <v>1</v>
      </c>
      <c r="R43">
        <v>0</v>
      </c>
      <c r="S43">
        <v>0</v>
      </c>
      <c r="T43">
        <v>1</v>
      </c>
      <c r="U43">
        <v>109.58200000000001</v>
      </c>
      <c r="V43">
        <v>33.286000000000001</v>
      </c>
      <c r="W43" s="5">
        <v>0</v>
      </c>
      <c r="X43" s="2">
        <f t="shared" si="3"/>
        <v>109.58200000000001</v>
      </c>
      <c r="Y43" s="2">
        <f t="shared" si="4"/>
        <v>33.286000000000001</v>
      </c>
      <c r="Z43" s="4">
        <v>187.00000000000003</v>
      </c>
      <c r="AA43" s="4"/>
      <c r="AB43">
        <f t="shared" si="5"/>
        <v>142.86799999999999</v>
      </c>
    </row>
    <row r="44" spans="1:28" x14ac:dyDescent="0.35">
      <c r="A44" t="s">
        <v>48</v>
      </c>
      <c r="B44" t="s">
        <v>27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0.23</v>
      </c>
      <c r="K44">
        <v>2.6</v>
      </c>
      <c r="L44">
        <v>6.6799999999999997E-4</v>
      </c>
      <c r="M44">
        <v>3.5000000000000003E-2</v>
      </c>
      <c r="N44">
        <v>1</v>
      </c>
      <c r="O44">
        <v>0</v>
      </c>
      <c r="P44">
        <v>0</v>
      </c>
      <c r="Q44">
        <v>1</v>
      </c>
      <c r="R44">
        <v>3.8400000000000001E-4</v>
      </c>
      <c r="S44">
        <v>0</v>
      </c>
      <c r="T44">
        <v>1</v>
      </c>
      <c r="U44">
        <v>56.256</v>
      </c>
      <c r="V44">
        <v>17.088000000000001</v>
      </c>
      <c r="W44" s="5">
        <v>0</v>
      </c>
      <c r="X44" s="2">
        <f t="shared" si="3"/>
        <v>56.256</v>
      </c>
      <c r="Y44" s="2">
        <f t="shared" si="4"/>
        <v>17.088000000000001</v>
      </c>
      <c r="Z44" s="4">
        <v>96</v>
      </c>
      <c r="AA44" s="4"/>
      <c r="AB44">
        <f t="shared" si="5"/>
        <v>73.343999999999994</v>
      </c>
    </row>
    <row r="45" spans="1:28" x14ac:dyDescent="0.35">
      <c r="A45" t="s">
        <v>48</v>
      </c>
      <c r="B45" t="s">
        <v>28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0.23</v>
      </c>
      <c r="K45">
        <v>2.6</v>
      </c>
      <c r="L45">
        <v>0</v>
      </c>
      <c r="M45">
        <v>0.06</v>
      </c>
      <c r="N45">
        <v>1</v>
      </c>
      <c r="O45">
        <v>6.2800297931034485E-4</v>
      </c>
      <c r="P45">
        <v>0.04</v>
      </c>
      <c r="Q45">
        <v>1</v>
      </c>
      <c r="R45">
        <v>3.8400000000000001E-4</v>
      </c>
      <c r="S45">
        <v>0</v>
      </c>
      <c r="T45">
        <v>1</v>
      </c>
      <c r="U45">
        <v>112.80500000000001</v>
      </c>
      <c r="V45">
        <v>34.265000000000001</v>
      </c>
      <c r="W45" s="5">
        <v>0</v>
      </c>
      <c r="X45" s="2">
        <f t="shared" si="3"/>
        <v>112.80500000000001</v>
      </c>
      <c r="Y45" s="2">
        <f t="shared" si="4"/>
        <v>34.265000000000001</v>
      </c>
      <c r="Z45" s="4">
        <v>192.50000000000003</v>
      </c>
      <c r="AA45" s="4"/>
      <c r="AB45">
        <f t="shared" si="5"/>
        <v>147.07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2025-11-07T15:12:48Z</dcterms:modified>
</cp:coreProperties>
</file>