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"/>
    </mc:Choice>
  </mc:AlternateContent>
  <xr:revisionPtr revIDLastSave="37" documentId="13_ncr:1_{67FDEBD5-4EF1-4723-A295-0FDCCD9F52F5}" xr6:coauthVersionLast="47" xr6:coauthVersionMax="47" xr10:uidLastSave="{72ECC886-0AD9-449F-B19C-FB5601798BB9}"/>
  <bookViews>
    <workbookView xWindow="19095" yWindow="0" windowWidth="19410" windowHeight="20985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" i="1" l="1"/>
  <c r="AB37" i="1"/>
  <c r="AB38" i="1"/>
  <c r="AB44" i="1"/>
  <c r="AB45" i="1"/>
  <c r="AB46" i="1"/>
  <c r="AB47" i="1"/>
  <c r="X24" i="1"/>
  <c r="AB24" i="1" s="1"/>
  <c r="Y24" i="1"/>
  <c r="X25" i="1"/>
  <c r="AB25" i="1" s="1"/>
  <c r="Y25" i="1"/>
  <c r="X26" i="1"/>
  <c r="AB26" i="1" s="1"/>
  <c r="Y26" i="1"/>
  <c r="X27" i="1"/>
  <c r="AB27" i="1" s="1"/>
  <c r="Y27" i="1"/>
  <c r="X28" i="1"/>
  <c r="AB28" i="1" s="1"/>
  <c r="Y28" i="1"/>
  <c r="X29" i="1"/>
  <c r="AB29" i="1" s="1"/>
  <c r="Y29" i="1"/>
  <c r="X30" i="1"/>
  <c r="AB30" i="1" s="1"/>
  <c r="Y30" i="1"/>
  <c r="X31" i="1"/>
  <c r="AB31" i="1" s="1"/>
  <c r="Y31" i="1"/>
  <c r="X32" i="1"/>
  <c r="Y32" i="1"/>
  <c r="X33" i="1"/>
  <c r="AB33" i="1" s="1"/>
  <c r="Y33" i="1"/>
  <c r="X34" i="1"/>
  <c r="AB34" i="1" s="1"/>
  <c r="Y34" i="1"/>
  <c r="X35" i="1"/>
  <c r="AB35" i="1" s="1"/>
  <c r="Y35" i="1"/>
  <c r="X36" i="1"/>
  <c r="AB36" i="1" s="1"/>
  <c r="Y36" i="1"/>
  <c r="X37" i="1"/>
  <c r="Y37" i="1"/>
  <c r="X38" i="1"/>
  <c r="Y38" i="1"/>
  <c r="X39" i="1"/>
  <c r="Y39" i="1"/>
  <c r="AB39" i="1" s="1"/>
  <c r="X40" i="1"/>
  <c r="AB40" i="1" s="1"/>
  <c r="Y40" i="1"/>
  <c r="X41" i="1"/>
  <c r="AB41" i="1" s="1"/>
  <c r="Y41" i="1"/>
  <c r="X42" i="1"/>
  <c r="AB42" i="1" s="1"/>
  <c r="Y42" i="1"/>
  <c r="X43" i="1"/>
  <c r="AB43" i="1" s="1"/>
  <c r="Y43" i="1"/>
  <c r="X44" i="1"/>
  <c r="Y44" i="1"/>
  <c r="X45" i="1"/>
  <c r="Y45" i="1"/>
  <c r="X46" i="1"/>
  <c r="Y46" i="1"/>
  <c r="X47" i="1"/>
  <c r="Y47" i="1"/>
  <c r="X48" i="1"/>
  <c r="AB48" i="1" s="1"/>
  <c r="Y48" i="1"/>
  <c r="X49" i="1"/>
  <c r="AB49" i="1" s="1"/>
  <c r="Y49" i="1"/>
  <c r="X50" i="1"/>
  <c r="AB50" i="1" s="1"/>
  <c r="Y50" i="1"/>
  <c r="X51" i="1"/>
  <c r="AB51" i="1" s="1"/>
  <c r="Y51" i="1"/>
  <c r="X52" i="1"/>
  <c r="AB52" i="1" s="1"/>
  <c r="Y52" i="1"/>
  <c r="X53" i="1"/>
  <c r="AB53" i="1" s="1"/>
  <c r="Y53" i="1"/>
  <c r="X54" i="1"/>
  <c r="AB54" i="1" s="1"/>
  <c r="Y54" i="1"/>
  <c r="X55" i="1"/>
  <c r="AB55" i="1" s="1"/>
  <c r="Y55" i="1"/>
  <c r="X2" i="1" l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AB13" i="1" s="1"/>
  <c r="Y13" i="1"/>
  <c r="X14" i="1"/>
  <c r="Y14" i="1"/>
  <c r="AB14" i="1" s="1"/>
  <c r="X15" i="1"/>
  <c r="Y15" i="1"/>
  <c r="X16" i="1"/>
  <c r="Y16" i="1"/>
  <c r="AB16" i="1" s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AB23" i="1" s="1"/>
  <c r="Y23" i="1"/>
  <c r="AB4" i="1" l="1"/>
  <c r="AB17" i="1"/>
  <c r="AB8" i="1"/>
  <c r="AB19" i="1"/>
  <c r="AB18" i="1"/>
  <c r="AB15" i="1"/>
  <c r="AB9" i="1"/>
  <c r="AB10" i="1"/>
  <c r="AB20" i="1"/>
  <c r="AB2" i="1"/>
  <c r="AB11" i="1"/>
  <c r="AB3" i="1"/>
  <c r="AB22" i="1"/>
  <c r="AB21" i="1"/>
  <c r="AB7" i="1"/>
  <c r="AB6" i="1"/>
</calcChain>
</file>

<file path=xl/sharedStrings.xml><?xml version="1.0" encoding="utf-8"?>
<sst xmlns="http://schemas.openxmlformats.org/spreadsheetml/2006/main" count="190" uniqueCount="47">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</sst>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5"/>
  <sheetViews>
    <sheetView tabSelected="1" zoomScale="55" zoomScaleNormal="55" workbookViewId="0">
      <pane xSplit="2" topLeftCell="G1" activePane="topRight" state="frozen"/>
      <selection pane="topRight" activeCell="G2" sqref="G2:G55"/>
    </sheetView>
  </sheetViews>
  <sheetFormatPr baseColWidth="10" defaultRowHeight="15" x14ac:dyDescent="0.25"/>
  <sheetData>
    <row r="1" spans="1:39" x14ac:dyDescent="0.2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40</v>
      </c>
      <c r="V1" t="s">
        <v>41</v>
      </c>
      <c r="W1" t="s">
        <v>42</v>
      </c>
      <c r="X1" t="s">
        <v>37</v>
      </c>
      <c r="Y1" t="s">
        <v>39</v>
      </c>
      <c r="Z1" t="s">
        <v>35</v>
      </c>
      <c r="AA1" t="s">
        <v>38</v>
      </c>
      <c r="AB1" t="s">
        <v>36</v>
      </c>
    </row>
    <row r="2" spans="1:39" x14ac:dyDescent="0.25">
      <c r="A2" t="s">
        <v>19</v>
      </c>
      <c r="B2" t="s">
        <v>21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0.23</v>
      </c>
      <c r="K2">
        <v>2.2000000000000002</v>
      </c>
      <c r="L2">
        <v>9.3499999999999996E-4</v>
      </c>
      <c r="M2">
        <v>0.06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 s="2">
        <v>48.344999999999999</v>
      </c>
      <c r="V2" s="2">
        <v>14.684999999999999</v>
      </c>
      <c r="W2" s="3">
        <v>0</v>
      </c>
      <c r="X2" s="2">
        <f t="shared" ref="X2:X23" si="0">U2*(1-W2)</f>
        <v>48.344999999999999</v>
      </c>
      <c r="Y2" s="2">
        <f t="shared" ref="Y2:Y23" si="1">U2*W2 + V2</f>
        <v>14.684999999999999</v>
      </c>
      <c r="Z2" s="4">
        <v>82.5</v>
      </c>
      <c r="AA2" s="4"/>
      <c r="AB2">
        <f t="shared" ref="AB2:AB23" si="2">X2+Y2</f>
        <v>63.03</v>
      </c>
      <c r="AL2" s="2"/>
      <c r="AM2" s="2"/>
    </row>
    <row r="3" spans="1:39" x14ac:dyDescent="0.25">
      <c r="A3" t="s">
        <v>19</v>
      </c>
      <c r="B3" t="s">
        <v>24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0.215</v>
      </c>
      <c r="K3">
        <v>2.2000000000000002</v>
      </c>
      <c r="L3">
        <v>2.8200000000000002E-4</v>
      </c>
      <c r="M3">
        <v>0.03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2</v>
      </c>
      <c r="U3" s="2">
        <v>30.75328</v>
      </c>
      <c r="V3" s="2">
        <v>9.3414400000000004</v>
      </c>
      <c r="W3" s="3">
        <v>0</v>
      </c>
      <c r="X3" s="2">
        <f t="shared" si="0"/>
        <v>30.75328</v>
      </c>
      <c r="Y3" s="2">
        <f t="shared" si="1"/>
        <v>9.3414400000000004</v>
      </c>
      <c r="Z3" s="4">
        <v>52.480000000000004</v>
      </c>
      <c r="AA3" s="4"/>
      <c r="AB3">
        <f t="shared" si="2"/>
        <v>40.094720000000002</v>
      </c>
      <c r="AL3" s="2"/>
      <c r="AM3" s="2"/>
    </row>
    <row r="4" spans="1:39" x14ac:dyDescent="0.25">
      <c r="A4" t="s">
        <v>19</v>
      </c>
      <c r="B4" t="s">
        <v>25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</v>
      </c>
      <c r="K4">
        <v>2.2000000000000002</v>
      </c>
      <c r="L4">
        <v>1.1100000000000001E-3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 s="2">
        <v>0.64460000000000006</v>
      </c>
      <c r="V4" s="2">
        <v>0.1958</v>
      </c>
      <c r="W4" s="3">
        <v>0</v>
      </c>
      <c r="X4" s="2">
        <f t="shared" si="0"/>
        <v>0.64460000000000006</v>
      </c>
      <c r="Y4" s="2">
        <f t="shared" si="1"/>
        <v>0.1958</v>
      </c>
      <c r="Z4" s="4">
        <v>1.1000000000000001</v>
      </c>
      <c r="AA4" s="4"/>
      <c r="AB4">
        <f t="shared" si="2"/>
        <v>0.84040000000000004</v>
      </c>
      <c r="AL4" s="2"/>
      <c r="AM4" s="2"/>
    </row>
    <row r="5" spans="1:39" x14ac:dyDescent="0.25">
      <c r="A5" t="s">
        <v>33</v>
      </c>
      <c r="B5" t="s">
        <v>20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0.24</v>
      </c>
      <c r="K5">
        <v>2.2000000000000002</v>
      </c>
      <c r="L5">
        <v>5.6539999999999997E-4</v>
      </c>
      <c r="M5">
        <v>0.03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2</v>
      </c>
      <c r="U5" s="2">
        <v>25.50272</v>
      </c>
      <c r="V5" s="2">
        <v>7.7465600000000006</v>
      </c>
      <c r="W5" s="3">
        <v>0</v>
      </c>
      <c r="X5" s="2">
        <f t="shared" si="0"/>
        <v>25.50272</v>
      </c>
      <c r="Y5" s="2">
        <f t="shared" si="1"/>
        <v>7.7465600000000006</v>
      </c>
      <c r="Z5" s="4">
        <v>43.52</v>
      </c>
      <c r="AA5" s="4"/>
      <c r="AB5">
        <f t="shared" si="2"/>
        <v>33.249279999999999</v>
      </c>
      <c r="AL5" s="2"/>
      <c r="AM5" s="2"/>
    </row>
    <row r="6" spans="1:39" x14ac:dyDescent="0.25">
      <c r="A6" t="s">
        <v>33</v>
      </c>
      <c r="B6" t="s">
        <v>21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0.23</v>
      </c>
      <c r="K6">
        <v>2.2000000000000002</v>
      </c>
      <c r="L6">
        <v>8.470000000000001E-4</v>
      </c>
      <c r="M6">
        <v>7.0000000000000007E-2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5</v>
      </c>
      <c r="U6" s="2">
        <v>58.014000000000003</v>
      </c>
      <c r="V6" s="2">
        <v>17.622000000000003</v>
      </c>
      <c r="W6" s="3">
        <v>0</v>
      </c>
      <c r="X6" s="2">
        <f t="shared" si="0"/>
        <v>58.014000000000003</v>
      </c>
      <c r="Y6" s="2">
        <f t="shared" si="1"/>
        <v>17.622000000000003</v>
      </c>
      <c r="Z6" s="4">
        <v>99.000000000000014</v>
      </c>
      <c r="AA6" s="4"/>
      <c r="AB6">
        <f t="shared" si="2"/>
        <v>75.63600000000001</v>
      </c>
      <c r="AL6" s="2"/>
      <c r="AM6" s="2"/>
    </row>
    <row r="7" spans="1:39" x14ac:dyDescent="0.25">
      <c r="A7" t="s">
        <v>33</v>
      </c>
      <c r="B7" t="s">
        <v>24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0.215</v>
      </c>
      <c r="K7">
        <v>2.2000000000000002</v>
      </c>
      <c r="L7">
        <v>8.470000000000001E-4</v>
      </c>
      <c r="M7">
        <v>0.03</v>
      </c>
      <c r="N7">
        <v>1</v>
      </c>
      <c r="O7">
        <v>0</v>
      </c>
      <c r="P7">
        <v>0</v>
      </c>
      <c r="Q7">
        <v>1</v>
      </c>
      <c r="R7">
        <v>2.9099999999999999E-5</v>
      </c>
      <c r="S7">
        <v>0</v>
      </c>
      <c r="T7">
        <v>2</v>
      </c>
      <c r="U7" s="2">
        <v>37.503999999999998</v>
      </c>
      <c r="V7">
        <v>11.391999999999999</v>
      </c>
      <c r="W7" s="3">
        <v>0</v>
      </c>
      <c r="X7" s="2">
        <f t="shared" si="0"/>
        <v>37.503999999999998</v>
      </c>
      <c r="Y7" s="2">
        <f t="shared" si="1"/>
        <v>11.391999999999999</v>
      </c>
      <c r="Z7" s="4">
        <v>64</v>
      </c>
      <c r="AA7" s="4"/>
      <c r="AB7">
        <f t="shared" si="2"/>
        <v>48.896000000000001</v>
      </c>
      <c r="AL7" s="2"/>
    </row>
    <row r="8" spans="1:39" x14ac:dyDescent="0.25">
      <c r="A8" t="s">
        <v>33</v>
      </c>
      <c r="B8" t="s">
        <v>25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</v>
      </c>
      <c r="K8">
        <v>2.2000000000000002</v>
      </c>
      <c r="L8">
        <v>1.6940000000000002E-3</v>
      </c>
      <c r="M8">
        <v>0.03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 s="2">
        <v>45.122</v>
      </c>
      <c r="V8" s="2">
        <v>13.706</v>
      </c>
      <c r="W8" s="3">
        <v>0</v>
      </c>
      <c r="X8" s="2">
        <f t="shared" si="0"/>
        <v>45.122</v>
      </c>
      <c r="Y8" s="2">
        <f t="shared" si="1"/>
        <v>13.706</v>
      </c>
      <c r="Z8" s="4">
        <v>77</v>
      </c>
      <c r="AA8" s="4"/>
      <c r="AB8">
        <f t="shared" si="2"/>
        <v>58.828000000000003</v>
      </c>
      <c r="AL8" s="2"/>
      <c r="AM8" s="2"/>
    </row>
    <row r="9" spans="1:39" x14ac:dyDescent="0.25">
      <c r="A9" t="s">
        <v>33</v>
      </c>
      <c r="B9" t="s">
        <v>26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0.215</v>
      </c>
      <c r="K9">
        <v>2.2000000000000002</v>
      </c>
      <c r="L9">
        <v>1.1286E-3</v>
      </c>
      <c r="M9">
        <v>0.03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 s="2">
        <v>7.5007999999999999</v>
      </c>
      <c r="V9">
        <v>2.2784</v>
      </c>
      <c r="W9" s="3">
        <v>0</v>
      </c>
      <c r="X9" s="2">
        <f t="shared" si="0"/>
        <v>7.5007999999999999</v>
      </c>
      <c r="Y9" s="2">
        <f t="shared" si="1"/>
        <v>2.2784</v>
      </c>
      <c r="Z9" s="4">
        <v>12.8</v>
      </c>
      <c r="AA9" s="4"/>
      <c r="AB9">
        <f t="shared" si="2"/>
        <v>9.7791999999999994</v>
      </c>
      <c r="AL9" s="2"/>
    </row>
    <row r="10" spans="1:39" x14ac:dyDescent="0.25">
      <c r="A10" t="s">
        <v>33</v>
      </c>
      <c r="B10" t="s">
        <v>27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</v>
      </c>
      <c r="K10">
        <v>2.2000000000000002</v>
      </c>
      <c r="L10">
        <v>8.470000000000001E-4</v>
      </c>
      <c r="M10">
        <v>0.06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 s="2">
        <v>12.891999999999999</v>
      </c>
      <c r="V10" s="2">
        <v>3.9159999999999999</v>
      </c>
      <c r="W10" s="3">
        <v>0</v>
      </c>
      <c r="X10" s="2">
        <f t="shared" si="0"/>
        <v>12.891999999999999</v>
      </c>
      <c r="Y10" s="2">
        <f t="shared" si="1"/>
        <v>3.9159999999999999</v>
      </c>
      <c r="Z10" s="4">
        <v>22</v>
      </c>
      <c r="AA10" s="4"/>
      <c r="AB10">
        <f t="shared" si="2"/>
        <v>16.808</v>
      </c>
      <c r="AL10" s="2"/>
      <c r="AM10" s="2"/>
    </row>
    <row r="11" spans="1:39" x14ac:dyDescent="0.25">
      <c r="A11" t="s">
        <v>33</v>
      </c>
      <c r="B11" t="s">
        <v>29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</v>
      </c>
      <c r="K11">
        <v>2.2000000000000002</v>
      </c>
      <c r="L11">
        <v>5.53E-4</v>
      </c>
      <c r="M11">
        <v>0.03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5</v>
      </c>
      <c r="U11" s="2">
        <v>33.519199999999998</v>
      </c>
      <c r="V11" s="2">
        <v>10.1816</v>
      </c>
      <c r="W11" s="3">
        <v>0</v>
      </c>
      <c r="X11" s="2">
        <f t="shared" si="0"/>
        <v>33.519199999999998</v>
      </c>
      <c r="Y11" s="2">
        <f t="shared" si="1"/>
        <v>10.1816</v>
      </c>
      <c r="Z11" s="4">
        <v>57.2</v>
      </c>
      <c r="AA11" s="4"/>
      <c r="AB11">
        <f t="shared" si="2"/>
        <v>43.700800000000001</v>
      </c>
      <c r="AL11" s="2"/>
      <c r="AM11" s="2"/>
    </row>
    <row r="12" spans="1:39" x14ac:dyDescent="0.25">
      <c r="A12" t="s">
        <v>33</v>
      </c>
      <c r="B12" t="s">
        <v>30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0.215</v>
      </c>
      <c r="K12">
        <v>2.2000000000000002</v>
      </c>
      <c r="L12">
        <v>5.6539999999999997E-4</v>
      </c>
      <c r="M12">
        <v>0.03</v>
      </c>
      <c r="N12">
        <v>1</v>
      </c>
      <c r="O12">
        <v>0</v>
      </c>
      <c r="P12">
        <v>0</v>
      </c>
      <c r="Q12">
        <v>1</v>
      </c>
      <c r="R12">
        <v>2.9099999999999999E-5</v>
      </c>
      <c r="S12">
        <v>0</v>
      </c>
      <c r="T12">
        <v>2</v>
      </c>
      <c r="U12" s="2">
        <v>26.252800000000001</v>
      </c>
      <c r="V12">
        <v>7.9744000000000002</v>
      </c>
      <c r="W12" s="3">
        <v>0</v>
      </c>
      <c r="X12" s="2">
        <f t="shared" si="0"/>
        <v>26.252800000000001</v>
      </c>
      <c r="Y12" s="2">
        <f t="shared" si="1"/>
        <v>7.9744000000000002</v>
      </c>
      <c r="Z12" s="4">
        <v>44.800000000000004</v>
      </c>
      <c r="AA12" s="4"/>
      <c r="AB12">
        <f t="shared" si="2"/>
        <v>34.227200000000003</v>
      </c>
      <c r="AL12" s="2"/>
    </row>
    <row r="13" spans="1:39" x14ac:dyDescent="0.25">
      <c r="A13" t="s">
        <v>33</v>
      </c>
      <c r="B13" t="s">
        <v>31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0.23</v>
      </c>
      <c r="K13">
        <v>2.2000000000000002</v>
      </c>
      <c r="L13">
        <v>2.8200000000000002E-4</v>
      </c>
      <c r="M13">
        <v>0.06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5</v>
      </c>
      <c r="U13" s="2">
        <v>49.6342</v>
      </c>
      <c r="V13" s="2">
        <v>15.076599999999999</v>
      </c>
      <c r="W13" s="3">
        <v>0</v>
      </c>
      <c r="X13" s="2">
        <f t="shared" si="0"/>
        <v>49.6342</v>
      </c>
      <c r="Y13" s="2">
        <f t="shared" si="1"/>
        <v>15.076599999999999</v>
      </c>
      <c r="Z13" s="4">
        <v>84.7</v>
      </c>
      <c r="AA13" s="4"/>
      <c r="AB13">
        <f t="shared" si="2"/>
        <v>64.710800000000006</v>
      </c>
      <c r="AL13" s="2"/>
      <c r="AM13" s="2"/>
    </row>
    <row r="14" spans="1:39" x14ac:dyDescent="0.25">
      <c r="A14" t="s">
        <v>33</v>
      </c>
      <c r="B14" t="s">
        <v>32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0.24</v>
      </c>
      <c r="K14">
        <v>2.2000000000000002</v>
      </c>
      <c r="L14">
        <v>5.6539999999999997E-4</v>
      </c>
      <c r="M14">
        <v>0.03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s="2">
        <v>7.5007999999999999</v>
      </c>
      <c r="V14" s="2">
        <v>2.2784</v>
      </c>
      <c r="W14" s="3">
        <v>0</v>
      </c>
      <c r="X14" s="2">
        <f t="shared" si="0"/>
        <v>7.5007999999999999</v>
      </c>
      <c r="Y14" s="2">
        <f t="shared" si="1"/>
        <v>2.2784</v>
      </c>
      <c r="Z14" s="4">
        <v>12.8</v>
      </c>
      <c r="AA14" s="4"/>
      <c r="AB14">
        <f t="shared" si="2"/>
        <v>9.7791999999999994</v>
      </c>
      <c r="AL14" s="2"/>
      <c r="AM14" s="2"/>
    </row>
    <row r="15" spans="1:39" x14ac:dyDescent="0.25">
      <c r="A15" t="s">
        <v>34</v>
      </c>
      <c r="B15" t="s">
        <v>20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0.24</v>
      </c>
      <c r="K15">
        <v>2.2000000000000002</v>
      </c>
      <c r="L15">
        <v>5.6539999999999997E-4</v>
      </c>
      <c r="M15">
        <v>0.03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2</v>
      </c>
      <c r="U15" s="2">
        <v>27.002879999999998</v>
      </c>
      <c r="V15" s="2">
        <v>8.2022399999999998</v>
      </c>
      <c r="W15" s="3">
        <v>0</v>
      </c>
      <c r="X15" s="2">
        <f t="shared" si="0"/>
        <v>27.002879999999998</v>
      </c>
      <c r="Y15" s="2">
        <f t="shared" si="1"/>
        <v>8.2022399999999998</v>
      </c>
      <c r="Z15" s="4">
        <v>46.08</v>
      </c>
      <c r="AA15" s="4"/>
      <c r="AB15">
        <f t="shared" si="2"/>
        <v>35.205119999999994</v>
      </c>
      <c r="AL15" s="2"/>
      <c r="AM15" s="2"/>
    </row>
    <row r="16" spans="1:39" x14ac:dyDescent="0.25">
      <c r="A16" t="s">
        <v>34</v>
      </c>
      <c r="B16" t="s">
        <v>21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0.23</v>
      </c>
      <c r="K16">
        <v>2.2000000000000002</v>
      </c>
      <c r="L16">
        <v>1.9E-3</v>
      </c>
      <c r="M16">
        <v>0.06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 s="2">
        <v>90.244</v>
      </c>
      <c r="V16" s="2">
        <v>27.411999999999999</v>
      </c>
      <c r="W16" s="3">
        <v>0</v>
      </c>
      <c r="X16" s="2">
        <f t="shared" si="0"/>
        <v>90.244</v>
      </c>
      <c r="Y16" s="2">
        <f t="shared" si="1"/>
        <v>27.411999999999999</v>
      </c>
      <c r="Z16" s="4">
        <v>154</v>
      </c>
      <c r="AA16" s="4"/>
      <c r="AB16">
        <f t="shared" si="2"/>
        <v>117.65600000000001</v>
      </c>
      <c r="AL16" s="2"/>
    </row>
    <row r="17" spans="1:38" x14ac:dyDescent="0.25">
      <c r="A17" t="s">
        <v>34</v>
      </c>
      <c r="B17" t="s">
        <v>24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0.215</v>
      </c>
      <c r="K17">
        <v>2.2000000000000002</v>
      </c>
      <c r="L17">
        <v>1.1286E-3</v>
      </c>
      <c r="M17">
        <v>0.03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5</v>
      </c>
      <c r="U17" s="2">
        <v>53.255679999999991</v>
      </c>
      <c r="V17" s="2">
        <v>16.176639999999999</v>
      </c>
      <c r="W17" s="3">
        <v>0</v>
      </c>
      <c r="X17" s="2">
        <f t="shared" si="0"/>
        <v>53.255679999999991</v>
      </c>
      <c r="Y17" s="2">
        <f t="shared" si="1"/>
        <v>16.176639999999999</v>
      </c>
      <c r="Z17" s="4">
        <v>90.88</v>
      </c>
      <c r="AA17" s="4"/>
      <c r="AB17">
        <f t="shared" si="2"/>
        <v>69.43231999999999</v>
      </c>
      <c r="AL17" s="2"/>
    </row>
    <row r="18" spans="1:38" x14ac:dyDescent="0.25">
      <c r="A18" t="s">
        <v>34</v>
      </c>
      <c r="B18" t="s">
        <v>25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</v>
      </c>
      <c r="K18">
        <v>2.2000000000000002</v>
      </c>
      <c r="L18">
        <v>2.0300000000000001E-3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s="2">
        <v>77.35199999999999</v>
      </c>
      <c r="V18">
        <v>23.495999999999999</v>
      </c>
      <c r="W18" s="3">
        <v>0</v>
      </c>
      <c r="X18" s="2">
        <f t="shared" si="0"/>
        <v>77.35199999999999</v>
      </c>
      <c r="Y18" s="2">
        <f t="shared" si="1"/>
        <v>23.495999999999999</v>
      </c>
      <c r="Z18" s="4">
        <v>132</v>
      </c>
      <c r="AA18" s="4"/>
      <c r="AB18">
        <f t="shared" si="2"/>
        <v>100.84799999999998</v>
      </c>
      <c r="AL18" s="2"/>
    </row>
    <row r="19" spans="1:38" x14ac:dyDescent="0.25">
      <c r="A19" t="s">
        <v>34</v>
      </c>
      <c r="B19" t="s">
        <v>26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0.215</v>
      </c>
      <c r="K19">
        <v>2.2000000000000002</v>
      </c>
      <c r="L19">
        <v>2.8160000000000001E-4</v>
      </c>
      <c r="M19">
        <v>0.03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7</v>
      </c>
      <c r="U19" s="2">
        <v>7.5007999999999999</v>
      </c>
      <c r="V19">
        <v>2.2784</v>
      </c>
      <c r="W19" s="3">
        <v>0</v>
      </c>
      <c r="X19" s="2">
        <f t="shared" si="0"/>
        <v>7.5007999999999999</v>
      </c>
      <c r="Y19" s="2">
        <f t="shared" si="1"/>
        <v>2.2784</v>
      </c>
      <c r="Z19" s="4">
        <v>12.8</v>
      </c>
      <c r="AA19" s="4"/>
      <c r="AB19">
        <f t="shared" si="2"/>
        <v>9.7791999999999994</v>
      </c>
      <c r="AL19" s="2"/>
    </row>
    <row r="20" spans="1:38" x14ac:dyDescent="0.25">
      <c r="A20" t="s">
        <v>34</v>
      </c>
      <c r="B20" t="s">
        <v>27</v>
      </c>
      <c r="C20">
        <v>25</v>
      </c>
      <c r="D20" t="s">
        <v>18</v>
      </c>
      <c r="E20">
        <v>500</v>
      </c>
      <c r="F20" s="1">
        <v>220000</v>
      </c>
      <c r="G20">
        <v>1576</v>
      </c>
      <c r="H20">
        <v>1870</v>
      </c>
      <c r="I20">
        <v>1</v>
      </c>
      <c r="J20">
        <v>0.23</v>
      </c>
      <c r="K20">
        <v>2.2000000000000002</v>
      </c>
      <c r="L20">
        <v>1.106E-3</v>
      </c>
      <c r="M20">
        <v>0.06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 s="2">
        <v>22.561</v>
      </c>
      <c r="V20">
        <v>6.8529999999999998</v>
      </c>
      <c r="W20" s="3">
        <v>0</v>
      </c>
      <c r="X20" s="2">
        <f t="shared" si="0"/>
        <v>22.561</v>
      </c>
      <c r="Y20" s="2">
        <f t="shared" si="1"/>
        <v>6.8529999999999998</v>
      </c>
      <c r="Z20" s="4">
        <v>38.5</v>
      </c>
      <c r="AA20" s="4"/>
      <c r="AB20">
        <f t="shared" si="2"/>
        <v>29.414000000000001</v>
      </c>
      <c r="AL20" s="2"/>
    </row>
    <row r="21" spans="1:38" x14ac:dyDescent="0.25">
      <c r="A21" t="s">
        <v>34</v>
      </c>
      <c r="B21" t="s">
        <v>28</v>
      </c>
      <c r="C21">
        <v>25</v>
      </c>
      <c r="D21" t="s">
        <v>18</v>
      </c>
      <c r="E21">
        <v>500</v>
      </c>
      <c r="F21" s="1">
        <v>220000</v>
      </c>
      <c r="G21">
        <v>1576</v>
      </c>
      <c r="H21">
        <v>1870</v>
      </c>
      <c r="I21">
        <v>1</v>
      </c>
      <c r="J21">
        <v>0.215</v>
      </c>
      <c r="K21">
        <v>2.2000000000000002</v>
      </c>
      <c r="L21">
        <v>2.7999999999999998E-4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7</v>
      </c>
      <c r="U21" s="2">
        <v>7.5007999999999999</v>
      </c>
      <c r="V21">
        <v>2.2784</v>
      </c>
      <c r="W21" s="3">
        <v>0</v>
      </c>
      <c r="X21" s="2">
        <f t="shared" si="0"/>
        <v>7.5007999999999999</v>
      </c>
      <c r="Y21" s="2">
        <f t="shared" si="1"/>
        <v>2.2784</v>
      </c>
      <c r="Z21" s="4">
        <v>12.8</v>
      </c>
      <c r="AA21" s="4"/>
      <c r="AB21">
        <f t="shared" si="2"/>
        <v>9.7791999999999994</v>
      </c>
      <c r="AL21" s="2"/>
    </row>
    <row r="22" spans="1:38" x14ac:dyDescent="0.25">
      <c r="A22" t="s">
        <v>34</v>
      </c>
      <c r="B22" t="s">
        <v>29</v>
      </c>
      <c r="C22">
        <v>25</v>
      </c>
      <c r="D22" t="s">
        <v>18</v>
      </c>
      <c r="E22">
        <v>500</v>
      </c>
      <c r="F22" s="1">
        <v>220000</v>
      </c>
      <c r="G22">
        <v>1576</v>
      </c>
      <c r="H22">
        <v>1870</v>
      </c>
      <c r="I22">
        <v>1</v>
      </c>
      <c r="J22">
        <v>0.2</v>
      </c>
      <c r="K22">
        <v>2.2000000000000002</v>
      </c>
      <c r="L22">
        <v>1.7852E-3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 s="2">
        <v>64.460000000000008</v>
      </c>
      <c r="V22">
        <v>19.580000000000002</v>
      </c>
      <c r="W22" s="3">
        <v>0</v>
      </c>
      <c r="X22" s="2">
        <f t="shared" si="0"/>
        <v>64.460000000000008</v>
      </c>
      <c r="Y22" s="2">
        <f t="shared" si="1"/>
        <v>19.580000000000002</v>
      </c>
      <c r="Z22" s="4">
        <v>110.00000000000001</v>
      </c>
      <c r="AA22" s="4"/>
      <c r="AB22">
        <f t="shared" si="2"/>
        <v>84.04</v>
      </c>
      <c r="AL22" s="2"/>
    </row>
    <row r="23" spans="1:38" x14ac:dyDescent="0.25">
      <c r="A23" t="s">
        <v>34</v>
      </c>
      <c r="B23" t="s">
        <v>30</v>
      </c>
      <c r="C23">
        <v>25</v>
      </c>
      <c r="D23" t="s">
        <v>18</v>
      </c>
      <c r="E23">
        <v>500</v>
      </c>
      <c r="F23" s="1">
        <v>220000</v>
      </c>
      <c r="G23">
        <v>1576</v>
      </c>
      <c r="H23">
        <v>1870</v>
      </c>
      <c r="I23">
        <v>1</v>
      </c>
      <c r="J23">
        <v>0.215</v>
      </c>
      <c r="K23">
        <v>2.2000000000000002</v>
      </c>
      <c r="L23">
        <v>5.6539999999999997E-4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7</v>
      </c>
      <c r="U23" s="2">
        <v>48.005119999999998</v>
      </c>
      <c r="V23">
        <v>14.581759999999999</v>
      </c>
      <c r="W23" s="3">
        <v>0</v>
      </c>
      <c r="X23" s="2">
        <f t="shared" si="0"/>
        <v>48.005119999999998</v>
      </c>
      <c r="Y23" s="2">
        <f t="shared" si="1"/>
        <v>14.581759999999999</v>
      </c>
      <c r="Z23" s="4">
        <v>81.92</v>
      </c>
      <c r="AA23" s="4"/>
      <c r="AB23">
        <f t="shared" si="2"/>
        <v>62.586879999999994</v>
      </c>
      <c r="AL23" s="2"/>
    </row>
    <row r="24" spans="1:38" x14ac:dyDescent="0.25">
      <c r="A24" t="s">
        <v>34</v>
      </c>
      <c r="B24" t="s">
        <v>31</v>
      </c>
      <c r="C24">
        <v>25</v>
      </c>
      <c r="D24" t="s">
        <v>18</v>
      </c>
      <c r="E24">
        <v>500</v>
      </c>
      <c r="F24" s="1">
        <v>220000</v>
      </c>
      <c r="G24">
        <v>1576</v>
      </c>
      <c r="H24">
        <v>1870</v>
      </c>
      <c r="I24">
        <v>1</v>
      </c>
      <c r="J24">
        <v>0.23</v>
      </c>
      <c r="K24">
        <v>2.2000000000000002</v>
      </c>
      <c r="L24">
        <v>1.8981000000000002E-3</v>
      </c>
      <c r="M24">
        <v>0.06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 s="2">
        <v>83.798000000000002</v>
      </c>
      <c r="V24">
        <v>25.453999999999997</v>
      </c>
      <c r="W24" s="5">
        <v>0</v>
      </c>
      <c r="X24" s="2">
        <f t="shared" ref="X24:X55" si="3">U24*(1-W24)</f>
        <v>83.798000000000002</v>
      </c>
      <c r="Y24" s="2">
        <f t="shared" ref="Y24:Y55" si="4">U24*W24 + V24</f>
        <v>25.453999999999997</v>
      </c>
      <c r="Z24" s="4">
        <v>143</v>
      </c>
      <c r="AA24" s="4"/>
      <c r="AB24">
        <f t="shared" ref="AB24:AB55" si="5">X24+Y24</f>
        <v>109.252</v>
      </c>
    </row>
    <row r="25" spans="1:38" x14ac:dyDescent="0.25">
      <c r="A25" t="s">
        <v>34</v>
      </c>
      <c r="B25" t="s">
        <v>32</v>
      </c>
      <c r="C25">
        <v>25</v>
      </c>
      <c r="D25" t="s">
        <v>18</v>
      </c>
      <c r="E25">
        <v>500</v>
      </c>
      <c r="F25" s="1">
        <v>220000</v>
      </c>
      <c r="G25">
        <v>1576</v>
      </c>
      <c r="H25">
        <v>1870</v>
      </c>
      <c r="I25">
        <v>1</v>
      </c>
      <c r="J25">
        <v>0.24</v>
      </c>
      <c r="K25">
        <v>2.2000000000000002</v>
      </c>
      <c r="L25">
        <v>5.6570000000000004E-4</v>
      </c>
      <c r="M25">
        <v>0.03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2</v>
      </c>
      <c r="U25" s="2">
        <v>27.752959999999998</v>
      </c>
      <c r="V25">
        <v>8.4300800000000002</v>
      </c>
      <c r="W25" s="5">
        <v>0</v>
      </c>
      <c r="X25" s="2">
        <f t="shared" si="3"/>
        <v>27.752959999999998</v>
      </c>
      <c r="Y25" s="2">
        <f t="shared" si="4"/>
        <v>8.4300800000000002</v>
      </c>
      <c r="Z25" s="4">
        <v>47.36</v>
      </c>
      <c r="AA25" s="4"/>
      <c r="AB25">
        <f t="shared" si="5"/>
        <v>36.183039999999998</v>
      </c>
    </row>
    <row r="26" spans="1:38" x14ac:dyDescent="0.25">
      <c r="A26" t="s">
        <v>43</v>
      </c>
      <c r="B26" t="s">
        <v>20</v>
      </c>
      <c r="C26">
        <v>25</v>
      </c>
      <c r="D26" t="s">
        <v>18</v>
      </c>
      <c r="E26">
        <v>500</v>
      </c>
      <c r="F26" s="1">
        <v>220000</v>
      </c>
      <c r="G26">
        <v>1576</v>
      </c>
      <c r="H26">
        <v>1870</v>
      </c>
      <c r="I26">
        <v>1</v>
      </c>
      <c r="J26">
        <v>0.24</v>
      </c>
      <c r="K26">
        <v>2.2000000000000002</v>
      </c>
      <c r="L26">
        <v>5.6570000000000004E-4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2</v>
      </c>
      <c r="U26">
        <v>24.75264</v>
      </c>
      <c r="V26">
        <v>7.5187200000000001</v>
      </c>
      <c r="W26" s="5">
        <v>0</v>
      </c>
      <c r="X26" s="2">
        <f t="shared" si="3"/>
        <v>24.75264</v>
      </c>
      <c r="Y26" s="2">
        <f t="shared" si="4"/>
        <v>7.5187200000000001</v>
      </c>
      <c r="Z26" s="4">
        <v>42.24</v>
      </c>
      <c r="AA26" s="4"/>
      <c r="AB26">
        <f t="shared" si="5"/>
        <v>32.271360000000001</v>
      </c>
    </row>
    <row r="27" spans="1:38" x14ac:dyDescent="0.25">
      <c r="A27" t="s">
        <v>43</v>
      </c>
      <c r="B27" t="s">
        <v>21</v>
      </c>
      <c r="C27">
        <v>25</v>
      </c>
      <c r="D27" t="s">
        <v>18</v>
      </c>
      <c r="E27">
        <v>500</v>
      </c>
      <c r="F27" s="1">
        <v>220000</v>
      </c>
      <c r="G27">
        <v>1576</v>
      </c>
      <c r="H27">
        <v>1870</v>
      </c>
      <c r="I27">
        <v>1</v>
      </c>
      <c r="J27">
        <v>0.23</v>
      </c>
      <c r="K27">
        <v>2.2000000000000002</v>
      </c>
      <c r="L27">
        <v>1.9E-3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2.9099999999999999E-5</v>
      </c>
      <c r="S27">
        <v>0</v>
      </c>
      <c r="T27">
        <v>5</v>
      </c>
      <c r="U27">
        <v>93.466999999999999</v>
      </c>
      <c r="V27">
        <v>28.390999999999998</v>
      </c>
      <c r="W27" s="5">
        <v>0</v>
      </c>
      <c r="X27" s="2">
        <f t="shared" si="3"/>
        <v>93.466999999999999</v>
      </c>
      <c r="Y27" s="2">
        <f t="shared" si="4"/>
        <v>28.390999999999998</v>
      </c>
      <c r="Z27" s="4">
        <v>159.5</v>
      </c>
      <c r="AA27" s="4"/>
      <c r="AB27">
        <f t="shared" si="5"/>
        <v>121.858</v>
      </c>
    </row>
    <row r="28" spans="1:38" x14ac:dyDescent="0.25">
      <c r="A28" t="s">
        <v>43</v>
      </c>
      <c r="B28" t="s">
        <v>24</v>
      </c>
      <c r="C28">
        <v>25</v>
      </c>
      <c r="D28" t="s">
        <v>18</v>
      </c>
      <c r="E28">
        <v>500</v>
      </c>
      <c r="F28" s="1">
        <v>220000</v>
      </c>
      <c r="G28">
        <v>1576</v>
      </c>
      <c r="H28">
        <v>1870</v>
      </c>
      <c r="I28">
        <v>1</v>
      </c>
      <c r="J28">
        <v>0.215</v>
      </c>
      <c r="K28">
        <v>2.2000000000000002</v>
      </c>
      <c r="L28">
        <v>8.470000000000001E-4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2.9099999999999999E-5</v>
      </c>
      <c r="S28">
        <v>0</v>
      </c>
      <c r="T28">
        <v>7</v>
      </c>
      <c r="U28">
        <v>57.006079999999997</v>
      </c>
      <c r="V28">
        <v>17.315839999999998</v>
      </c>
      <c r="W28" s="5">
        <v>0</v>
      </c>
      <c r="X28" s="2">
        <f t="shared" si="3"/>
        <v>57.006079999999997</v>
      </c>
      <c r="Y28" s="2">
        <f t="shared" si="4"/>
        <v>17.315839999999998</v>
      </c>
      <c r="Z28" s="4">
        <v>97.28</v>
      </c>
      <c r="AA28" s="4"/>
      <c r="AB28">
        <f t="shared" si="5"/>
        <v>74.321919999999992</v>
      </c>
    </row>
    <row r="29" spans="1:38" x14ac:dyDescent="0.25">
      <c r="A29" t="s">
        <v>43</v>
      </c>
      <c r="B29" t="s">
        <v>25</v>
      </c>
      <c r="C29">
        <v>25</v>
      </c>
      <c r="D29" t="s">
        <v>18</v>
      </c>
      <c r="E29">
        <v>500</v>
      </c>
      <c r="F29" s="1">
        <v>220000</v>
      </c>
      <c r="G29">
        <v>1576</v>
      </c>
      <c r="H29">
        <v>1870</v>
      </c>
      <c r="I29">
        <v>1</v>
      </c>
      <c r="J29">
        <v>0.2</v>
      </c>
      <c r="K29">
        <v>2.2000000000000002</v>
      </c>
      <c r="L29">
        <v>1.56E-3</v>
      </c>
      <c r="M29">
        <v>5.2999999999999999E-2</v>
      </c>
      <c r="N29">
        <v>1</v>
      </c>
      <c r="O29">
        <v>0</v>
      </c>
      <c r="P29">
        <v>0</v>
      </c>
      <c r="Q29">
        <v>1</v>
      </c>
      <c r="R29">
        <v>2.9099999999999999E-5</v>
      </c>
      <c r="S29">
        <v>0</v>
      </c>
      <c r="T29">
        <v>5</v>
      </c>
      <c r="U29">
        <v>83.798000000000002</v>
      </c>
      <c r="V29">
        <v>25.453999999999997</v>
      </c>
      <c r="W29" s="5">
        <v>0</v>
      </c>
      <c r="X29" s="2">
        <f t="shared" si="3"/>
        <v>83.798000000000002</v>
      </c>
      <c r="Y29" s="2">
        <f t="shared" si="4"/>
        <v>25.453999999999997</v>
      </c>
      <c r="Z29" s="4">
        <v>143</v>
      </c>
      <c r="AA29" s="4"/>
      <c r="AB29">
        <f t="shared" si="5"/>
        <v>109.252</v>
      </c>
    </row>
    <row r="30" spans="1:38" x14ac:dyDescent="0.25">
      <c r="A30" t="s">
        <v>43</v>
      </c>
      <c r="B30" t="s">
        <v>26</v>
      </c>
      <c r="C30">
        <v>25</v>
      </c>
      <c r="D30" t="s">
        <v>18</v>
      </c>
      <c r="E30">
        <v>500</v>
      </c>
      <c r="F30" s="1">
        <v>220000</v>
      </c>
      <c r="G30">
        <v>1576</v>
      </c>
      <c r="H30">
        <v>1870</v>
      </c>
      <c r="I30">
        <v>1</v>
      </c>
      <c r="J30">
        <v>0.215</v>
      </c>
      <c r="K30">
        <v>2.2000000000000002</v>
      </c>
      <c r="L30">
        <v>2.7999999999999998E-4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2.9099999999999999E-5</v>
      </c>
      <c r="S30">
        <v>0</v>
      </c>
      <c r="T30">
        <v>7</v>
      </c>
      <c r="U30">
        <v>7.5007999999999999</v>
      </c>
      <c r="V30">
        <v>2.2784</v>
      </c>
      <c r="W30" s="5">
        <v>0</v>
      </c>
      <c r="X30" s="2">
        <f t="shared" si="3"/>
        <v>7.5007999999999999</v>
      </c>
      <c r="Y30" s="2">
        <f t="shared" si="4"/>
        <v>2.2784</v>
      </c>
      <c r="Z30" s="4">
        <v>12.8</v>
      </c>
      <c r="AA30" s="4"/>
      <c r="AB30">
        <f t="shared" si="5"/>
        <v>9.7791999999999994</v>
      </c>
    </row>
    <row r="31" spans="1:38" x14ac:dyDescent="0.25">
      <c r="A31" t="s">
        <v>43</v>
      </c>
      <c r="B31" t="s">
        <v>27</v>
      </c>
      <c r="C31">
        <v>25</v>
      </c>
      <c r="D31" t="s">
        <v>18</v>
      </c>
      <c r="E31">
        <v>500</v>
      </c>
      <c r="F31" s="1">
        <v>220000</v>
      </c>
      <c r="G31">
        <v>1576</v>
      </c>
      <c r="H31">
        <v>1870</v>
      </c>
      <c r="I31">
        <v>1</v>
      </c>
      <c r="J31">
        <v>0.23</v>
      </c>
      <c r="K31">
        <v>2.2000000000000002</v>
      </c>
      <c r="L31">
        <v>1.9530000000000003E-3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25.783999999999999</v>
      </c>
      <c r="V31">
        <v>7.8319999999999999</v>
      </c>
      <c r="W31" s="5">
        <v>0</v>
      </c>
      <c r="X31" s="2">
        <f t="shared" si="3"/>
        <v>25.783999999999999</v>
      </c>
      <c r="Y31" s="2">
        <f t="shared" si="4"/>
        <v>7.8319999999999999</v>
      </c>
      <c r="Z31" s="4">
        <v>44</v>
      </c>
      <c r="AA31" s="4"/>
      <c r="AB31">
        <f t="shared" si="5"/>
        <v>33.616</v>
      </c>
    </row>
    <row r="32" spans="1:38" x14ac:dyDescent="0.25">
      <c r="A32" t="s">
        <v>43</v>
      </c>
      <c r="B32" t="s">
        <v>28</v>
      </c>
      <c r="C32">
        <v>25</v>
      </c>
      <c r="D32" t="s">
        <v>18</v>
      </c>
      <c r="E32">
        <v>500</v>
      </c>
      <c r="F32" s="1">
        <v>220000</v>
      </c>
      <c r="G32">
        <v>1576</v>
      </c>
      <c r="H32">
        <v>1870</v>
      </c>
      <c r="I32">
        <v>1</v>
      </c>
      <c r="J32">
        <v>0.215</v>
      </c>
      <c r="K32">
        <v>2.2000000000000002</v>
      </c>
      <c r="L32">
        <v>2.7999999999999998E-4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7</v>
      </c>
      <c r="U32">
        <v>7.5007999999999999</v>
      </c>
      <c r="V32">
        <v>2.2784</v>
      </c>
      <c r="W32" s="5">
        <v>0</v>
      </c>
      <c r="X32" s="2">
        <f t="shared" si="3"/>
        <v>7.5007999999999999</v>
      </c>
      <c r="Y32" s="2">
        <f t="shared" si="4"/>
        <v>2.2784</v>
      </c>
      <c r="Z32" s="4">
        <v>12.8</v>
      </c>
      <c r="AA32" s="4"/>
      <c r="AB32">
        <f t="shared" si="5"/>
        <v>9.7791999999999994</v>
      </c>
    </row>
    <row r="33" spans="1:28" x14ac:dyDescent="0.25">
      <c r="A33" t="s">
        <v>43</v>
      </c>
      <c r="B33" t="s">
        <v>29</v>
      </c>
      <c r="C33">
        <v>25</v>
      </c>
      <c r="D33" t="s">
        <v>18</v>
      </c>
      <c r="E33">
        <v>500</v>
      </c>
      <c r="F33" s="1">
        <v>220000</v>
      </c>
      <c r="G33">
        <v>1576</v>
      </c>
      <c r="H33">
        <v>1870</v>
      </c>
      <c r="I33">
        <v>1</v>
      </c>
      <c r="J33">
        <v>0.2</v>
      </c>
      <c r="K33">
        <v>2.2000000000000002</v>
      </c>
      <c r="L33">
        <v>2.6300000000000004E-3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80.574999999999989</v>
      </c>
      <c r="V33">
        <v>24.474999999999998</v>
      </c>
      <c r="W33" s="5">
        <v>0.25</v>
      </c>
      <c r="X33" s="2">
        <f t="shared" si="3"/>
        <v>60.431249999999991</v>
      </c>
      <c r="Y33" s="2">
        <f t="shared" si="4"/>
        <v>44.618749999999991</v>
      </c>
      <c r="Z33" s="4">
        <v>137.5</v>
      </c>
      <c r="AA33" s="4"/>
      <c r="AB33">
        <f t="shared" si="5"/>
        <v>105.04999999999998</v>
      </c>
    </row>
    <row r="34" spans="1:28" x14ac:dyDescent="0.25">
      <c r="A34" t="s">
        <v>43</v>
      </c>
      <c r="B34" t="s">
        <v>30</v>
      </c>
      <c r="C34">
        <v>25</v>
      </c>
      <c r="D34" t="s">
        <v>18</v>
      </c>
      <c r="E34">
        <v>500</v>
      </c>
      <c r="F34" s="1">
        <v>220000</v>
      </c>
      <c r="G34">
        <v>1576</v>
      </c>
      <c r="H34">
        <v>1870</v>
      </c>
      <c r="I34">
        <v>1</v>
      </c>
      <c r="J34">
        <v>0.215</v>
      </c>
      <c r="K34">
        <v>2.2000000000000002</v>
      </c>
      <c r="L34">
        <v>2.7999999999999998E-4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2.9099999999999999E-5</v>
      </c>
      <c r="S34">
        <v>0</v>
      </c>
      <c r="T34">
        <v>7</v>
      </c>
      <c r="U34">
        <v>51.00544</v>
      </c>
      <c r="V34">
        <v>15.493120000000001</v>
      </c>
      <c r="W34" s="5">
        <v>0.5</v>
      </c>
      <c r="X34" s="2">
        <f t="shared" si="3"/>
        <v>25.50272</v>
      </c>
      <c r="Y34" s="2">
        <f t="shared" si="4"/>
        <v>40.995840000000001</v>
      </c>
      <c r="Z34" s="4">
        <v>87.04</v>
      </c>
      <c r="AA34" s="4"/>
      <c r="AB34">
        <f t="shared" si="5"/>
        <v>66.498559999999998</v>
      </c>
    </row>
    <row r="35" spans="1:28" x14ac:dyDescent="0.25">
      <c r="A35" t="s">
        <v>43</v>
      </c>
      <c r="B35" t="s">
        <v>31</v>
      </c>
      <c r="C35">
        <v>25</v>
      </c>
      <c r="D35" t="s">
        <v>18</v>
      </c>
      <c r="E35">
        <v>500</v>
      </c>
      <c r="F35" s="1">
        <v>220000</v>
      </c>
      <c r="G35">
        <v>1576</v>
      </c>
      <c r="H35">
        <v>1870</v>
      </c>
      <c r="I35">
        <v>1</v>
      </c>
      <c r="J35">
        <v>0.23</v>
      </c>
      <c r="K35">
        <v>2.2000000000000002</v>
      </c>
      <c r="L35">
        <v>0</v>
      </c>
      <c r="M35">
        <v>0.06</v>
      </c>
      <c r="N35">
        <v>1</v>
      </c>
      <c r="O35">
        <v>6.2800297931034485E-4</v>
      </c>
      <c r="P35">
        <v>0.04</v>
      </c>
      <c r="Q35">
        <v>1</v>
      </c>
      <c r="R35">
        <v>2.9099999999999999E-5</v>
      </c>
      <c r="S35">
        <v>0</v>
      </c>
      <c r="T35">
        <v>7</v>
      </c>
      <c r="U35">
        <v>77.35199999999999</v>
      </c>
      <c r="V35">
        <v>23.495999999999999</v>
      </c>
      <c r="W35" s="5">
        <v>0.5</v>
      </c>
      <c r="X35" s="2">
        <f t="shared" si="3"/>
        <v>38.675999999999995</v>
      </c>
      <c r="Y35" s="2">
        <f t="shared" si="4"/>
        <v>62.171999999999997</v>
      </c>
      <c r="Z35" s="4">
        <v>132</v>
      </c>
      <c r="AA35" s="4"/>
      <c r="AB35">
        <f t="shared" si="5"/>
        <v>100.84799999999998</v>
      </c>
    </row>
    <row r="36" spans="1:28" x14ac:dyDescent="0.25">
      <c r="A36" t="s">
        <v>43</v>
      </c>
      <c r="B36" t="s">
        <v>32</v>
      </c>
      <c r="C36">
        <v>25</v>
      </c>
      <c r="D36" t="s">
        <v>18</v>
      </c>
      <c r="E36">
        <v>500</v>
      </c>
      <c r="F36" s="1">
        <v>220000</v>
      </c>
      <c r="G36">
        <v>1576</v>
      </c>
      <c r="H36">
        <v>1870</v>
      </c>
      <c r="I36">
        <v>1</v>
      </c>
      <c r="J36">
        <v>0.24</v>
      </c>
      <c r="K36">
        <v>2.2000000000000002</v>
      </c>
      <c r="L36">
        <v>5.6539999999999997E-4</v>
      </c>
      <c r="M36">
        <v>0.03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2</v>
      </c>
      <c r="U36">
        <v>24.75264</v>
      </c>
      <c r="V36">
        <v>7.5187200000000001</v>
      </c>
      <c r="W36" s="5">
        <v>0.5</v>
      </c>
      <c r="X36" s="2">
        <f t="shared" si="3"/>
        <v>12.37632</v>
      </c>
      <c r="Y36" s="2">
        <f t="shared" si="4"/>
        <v>19.895040000000002</v>
      </c>
      <c r="Z36" s="4">
        <v>42.24</v>
      </c>
      <c r="AA36" s="4"/>
      <c r="AB36">
        <f t="shared" si="5"/>
        <v>32.271360000000001</v>
      </c>
    </row>
    <row r="37" spans="1:28" x14ac:dyDescent="0.25">
      <c r="A37" t="s">
        <v>44</v>
      </c>
      <c r="B37" t="s">
        <v>20</v>
      </c>
      <c r="C37">
        <v>25</v>
      </c>
      <c r="D37" t="s">
        <v>18</v>
      </c>
      <c r="E37">
        <v>500</v>
      </c>
      <c r="F37" s="1">
        <v>220000</v>
      </c>
      <c r="G37">
        <v>1576</v>
      </c>
      <c r="H37">
        <v>1870</v>
      </c>
      <c r="I37">
        <v>1</v>
      </c>
      <c r="J37">
        <v>0.24</v>
      </c>
      <c r="K37">
        <v>2.2000000000000002</v>
      </c>
      <c r="L37">
        <v>5.7000000000000009E-4</v>
      </c>
      <c r="M37">
        <v>0.03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2</v>
      </c>
      <c r="U37">
        <v>24.002559999999999</v>
      </c>
      <c r="V37">
        <v>7.2908799999999996</v>
      </c>
      <c r="W37" s="5">
        <v>0</v>
      </c>
      <c r="X37" s="2">
        <f t="shared" si="3"/>
        <v>24.002559999999999</v>
      </c>
      <c r="Y37" s="2">
        <f t="shared" si="4"/>
        <v>7.2908799999999996</v>
      </c>
      <c r="Z37" s="4">
        <v>40.96</v>
      </c>
      <c r="AA37" s="4"/>
      <c r="AB37">
        <f t="shared" si="5"/>
        <v>31.293439999999997</v>
      </c>
    </row>
    <row r="38" spans="1:28" x14ac:dyDescent="0.25">
      <c r="A38" t="s">
        <v>44</v>
      </c>
      <c r="B38" t="s">
        <v>21</v>
      </c>
      <c r="C38">
        <v>25</v>
      </c>
      <c r="D38" t="s">
        <v>18</v>
      </c>
      <c r="E38">
        <v>500</v>
      </c>
      <c r="F38" s="1">
        <v>220000</v>
      </c>
      <c r="G38">
        <v>1576</v>
      </c>
      <c r="H38">
        <v>1870</v>
      </c>
      <c r="I38">
        <v>1</v>
      </c>
      <c r="J38">
        <v>0.23</v>
      </c>
      <c r="K38">
        <v>2.2000000000000002</v>
      </c>
      <c r="L38">
        <v>1.9E-3</v>
      </c>
      <c r="M38">
        <v>0.06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5</v>
      </c>
      <c r="U38">
        <v>99.912999999999997</v>
      </c>
      <c r="V38">
        <v>30.349</v>
      </c>
      <c r="W38" s="5">
        <v>0</v>
      </c>
      <c r="X38" s="2">
        <f t="shared" si="3"/>
        <v>99.912999999999997</v>
      </c>
      <c r="Y38" s="2">
        <f t="shared" si="4"/>
        <v>30.349</v>
      </c>
      <c r="Z38" s="4">
        <v>170.5</v>
      </c>
      <c r="AA38" s="4"/>
      <c r="AB38">
        <f t="shared" si="5"/>
        <v>130.262</v>
      </c>
    </row>
    <row r="39" spans="1:28" x14ac:dyDescent="0.25">
      <c r="A39" t="s">
        <v>44</v>
      </c>
      <c r="B39" t="s">
        <v>24</v>
      </c>
      <c r="C39">
        <v>25</v>
      </c>
      <c r="D39" t="s">
        <v>18</v>
      </c>
      <c r="E39">
        <v>500</v>
      </c>
      <c r="F39" s="1">
        <v>220000</v>
      </c>
      <c r="G39">
        <v>1576</v>
      </c>
      <c r="H39">
        <v>1870</v>
      </c>
      <c r="I39">
        <v>1</v>
      </c>
      <c r="J39">
        <v>0.215</v>
      </c>
      <c r="K39">
        <v>2.2000000000000002</v>
      </c>
      <c r="L39">
        <v>8.5000000000000006E-4</v>
      </c>
      <c r="M39">
        <v>0.03</v>
      </c>
      <c r="N39">
        <v>1</v>
      </c>
      <c r="O39">
        <v>0</v>
      </c>
      <c r="P39">
        <v>0</v>
      </c>
      <c r="Q39">
        <v>1</v>
      </c>
      <c r="R39">
        <v>2.9099999999999999E-5</v>
      </c>
      <c r="S39">
        <v>0</v>
      </c>
      <c r="T39">
        <v>7</v>
      </c>
      <c r="U39">
        <v>61.50656</v>
      </c>
      <c r="V39">
        <v>18.682880000000001</v>
      </c>
      <c r="W39" s="5">
        <v>0</v>
      </c>
      <c r="X39" s="2">
        <f t="shared" si="3"/>
        <v>61.50656</v>
      </c>
      <c r="Y39" s="2">
        <f t="shared" si="4"/>
        <v>18.682880000000001</v>
      </c>
      <c r="Z39" s="4">
        <v>104.96000000000001</v>
      </c>
      <c r="AA39" s="4"/>
      <c r="AB39">
        <f t="shared" si="5"/>
        <v>80.189440000000005</v>
      </c>
    </row>
    <row r="40" spans="1:28" x14ac:dyDescent="0.25">
      <c r="A40" t="s">
        <v>44</v>
      </c>
      <c r="B40" t="s">
        <v>25</v>
      </c>
      <c r="C40">
        <v>25</v>
      </c>
      <c r="D40" t="s">
        <v>18</v>
      </c>
      <c r="E40">
        <v>500</v>
      </c>
      <c r="F40" s="1">
        <v>220000</v>
      </c>
      <c r="G40">
        <v>1576</v>
      </c>
      <c r="H40">
        <v>1870</v>
      </c>
      <c r="I40">
        <v>1</v>
      </c>
      <c r="J40">
        <v>0.2</v>
      </c>
      <c r="K40">
        <v>2.2000000000000002</v>
      </c>
      <c r="L40">
        <v>2.6300000000000004E-3</v>
      </c>
      <c r="M40">
        <v>0.03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87.021000000000001</v>
      </c>
      <c r="V40">
        <v>26.433</v>
      </c>
      <c r="W40" s="5">
        <v>0</v>
      </c>
      <c r="X40" s="2">
        <f t="shared" si="3"/>
        <v>87.021000000000001</v>
      </c>
      <c r="Y40" s="2">
        <f t="shared" si="4"/>
        <v>26.433</v>
      </c>
      <c r="Z40" s="4">
        <v>148.5</v>
      </c>
      <c r="AA40" s="4"/>
      <c r="AB40">
        <f t="shared" si="5"/>
        <v>113.45400000000001</v>
      </c>
    </row>
    <row r="41" spans="1:28" x14ac:dyDescent="0.25">
      <c r="A41" t="s">
        <v>44</v>
      </c>
      <c r="B41" t="s">
        <v>26</v>
      </c>
      <c r="C41">
        <v>25</v>
      </c>
      <c r="D41" t="s">
        <v>18</v>
      </c>
      <c r="E41">
        <v>500</v>
      </c>
      <c r="F41" s="1">
        <v>220000</v>
      </c>
      <c r="G41">
        <v>1576</v>
      </c>
      <c r="H41">
        <v>1870</v>
      </c>
      <c r="I41">
        <v>1</v>
      </c>
      <c r="J41">
        <v>0.215</v>
      </c>
      <c r="K41">
        <v>2.2000000000000002</v>
      </c>
      <c r="L41">
        <v>2.7999999999999998E-4</v>
      </c>
      <c r="M41">
        <v>0.03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2</v>
      </c>
      <c r="U41">
        <v>3.7504</v>
      </c>
      <c r="V41">
        <v>1.1392</v>
      </c>
      <c r="W41" s="5">
        <v>0</v>
      </c>
      <c r="X41" s="2">
        <f t="shared" si="3"/>
        <v>3.7504</v>
      </c>
      <c r="Y41" s="2">
        <f t="shared" si="4"/>
        <v>1.1392</v>
      </c>
      <c r="Z41" s="4">
        <v>6.4</v>
      </c>
      <c r="AA41" s="4"/>
      <c r="AB41">
        <f t="shared" si="5"/>
        <v>4.8895999999999997</v>
      </c>
    </row>
    <row r="42" spans="1:28" x14ac:dyDescent="0.25">
      <c r="A42" t="s">
        <v>44</v>
      </c>
      <c r="B42" t="s">
        <v>27</v>
      </c>
      <c r="C42">
        <v>25</v>
      </c>
      <c r="D42" t="s">
        <v>18</v>
      </c>
      <c r="E42">
        <v>500</v>
      </c>
      <c r="F42" s="1">
        <v>220000</v>
      </c>
      <c r="G42">
        <v>1576</v>
      </c>
      <c r="H42">
        <v>1870</v>
      </c>
      <c r="I42">
        <v>1</v>
      </c>
      <c r="J42">
        <v>0.23</v>
      </c>
      <c r="K42">
        <v>2.2000000000000002</v>
      </c>
      <c r="L42">
        <v>1.9500000000000001E-3</v>
      </c>
      <c r="M42">
        <v>0.06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19.337999999999997</v>
      </c>
      <c r="V42">
        <v>5.8739999999999997</v>
      </c>
      <c r="W42" s="5">
        <v>0</v>
      </c>
      <c r="X42" s="2">
        <f t="shared" si="3"/>
        <v>19.337999999999997</v>
      </c>
      <c r="Y42" s="2">
        <f t="shared" si="4"/>
        <v>5.8739999999999997</v>
      </c>
      <c r="Z42" s="4">
        <v>33</v>
      </c>
      <c r="AA42" s="4"/>
      <c r="AB42">
        <f t="shared" si="5"/>
        <v>25.211999999999996</v>
      </c>
    </row>
    <row r="43" spans="1:28" x14ac:dyDescent="0.25">
      <c r="A43" t="s">
        <v>44</v>
      </c>
      <c r="B43" t="s">
        <v>28</v>
      </c>
      <c r="C43">
        <v>25</v>
      </c>
      <c r="D43" t="s">
        <v>18</v>
      </c>
      <c r="E43">
        <v>500</v>
      </c>
      <c r="F43" s="1">
        <v>220000</v>
      </c>
      <c r="G43">
        <v>1576</v>
      </c>
      <c r="H43">
        <v>1870</v>
      </c>
      <c r="I43">
        <v>1</v>
      </c>
      <c r="J43">
        <v>0.215</v>
      </c>
      <c r="K43">
        <v>2.2000000000000002</v>
      </c>
      <c r="L43">
        <v>2.7999999999999998E-4</v>
      </c>
      <c r="M43">
        <v>3.5000000000000003E-2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2</v>
      </c>
      <c r="U43">
        <v>7.5007999999999999</v>
      </c>
      <c r="V43">
        <v>2.2784</v>
      </c>
      <c r="W43" s="5">
        <v>0</v>
      </c>
      <c r="X43" s="2">
        <f t="shared" si="3"/>
        <v>7.5007999999999999</v>
      </c>
      <c r="Y43" s="2">
        <f t="shared" si="4"/>
        <v>2.2784</v>
      </c>
      <c r="Z43" s="4">
        <v>12.8</v>
      </c>
      <c r="AA43" s="4"/>
      <c r="AB43">
        <f t="shared" si="5"/>
        <v>9.7791999999999994</v>
      </c>
    </row>
    <row r="44" spans="1:28" x14ac:dyDescent="0.25">
      <c r="A44" t="s">
        <v>44</v>
      </c>
      <c r="B44" t="s">
        <v>29</v>
      </c>
      <c r="C44">
        <v>25</v>
      </c>
      <c r="D44" t="s">
        <v>18</v>
      </c>
      <c r="E44">
        <v>500</v>
      </c>
      <c r="F44" s="1">
        <v>220000</v>
      </c>
      <c r="G44">
        <v>1576</v>
      </c>
      <c r="H44">
        <v>1870</v>
      </c>
      <c r="I44">
        <v>1</v>
      </c>
      <c r="J44">
        <v>0.2</v>
      </c>
      <c r="K44">
        <v>2.2000000000000002</v>
      </c>
      <c r="L44">
        <v>2.6300000000000004E-3</v>
      </c>
      <c r="M44">
        <v>0.03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70.906000000000006</v>
      </c>
      <c r="V44">
        <v>21.538</v>
      </c>
      <c r="W44" s="5">
        <v>0</v>
      </c>
      <c r="X44" s="2">
        <f t="shared" si="3"/>
        <v>70.906000000000006</v>
      </c>
      <c r="Y44" s="2">
        <f t="shared" si="4"/>
        <v>21.538</v>
      </c>
      <c r="Z44" s="4">
        <v>121.00000000000001</v>
      </c>
      <c r="AA44" s="4"/>
      <c r="AB44">
        <f t="shared" si="5"/>
        <v>92.444000000000003</v>
      </c>
    </row>
    <row r="45" spans="1:28" x14ac:dyDescent="0.25">
      <c r="A45" t="s">
        <v>44</v>
      </c>
      <c r="B45" t="s">
        <v>30</v>
      </c>
      <c r="C45">
        <v>25</v>
      </c>
      <c r="D45" t="s">
        <v>18</v>
      </c>
      <c r="E45">
        <v>500</v>
      </c>
      <c r="F45" s="1">
        <v>220000</v>
      </c>
      <c r="G45">
        <v>1576</v>
      </c>
      <c r="H45">
        <v>1870</v>
      </c>
      <c r="I45">
        <v>1</v>
      </c>
      <c r="J45">
        <v>0.215</v>
      </c>
      <c r="K45">
        <v>2.2000000000000002</v>
      </c>
      <c r="L45">
        <v>8.470000000000001E-4</v>
      </c>
      <c r="M45">
        <v>0.03</v>
      </c>
      <c r="N45">
        <v>1</v>
      </c>
      <c r="O45">
        <v>0</v>
      </c>
      <c r="P45">
        <v>0</v>
      </c>
      <c r="Q45">
        <v>1</v>
      </c>
      <c r="R45">
        <v>2.9099999999999999E-5</v>
      </c>
      <c r="S45">
        <v>0</v>
      </c>
      <c r="T45">
        <v>7</v>
      </c>
      <c r="U45">
        <v>45.004799999999996</v>
      </c>
      <c r="V45">
        <v>13.670399999999999</v>
      </c>
      <c r="W45" s="5">
        <v>0</v>
      </c>
      <c r="X45" s="2">
        <f t="shared" si="3"/>
        <v>45.004799999999996</v>
      </c>
      <c r="Y45" s="2">
        <f t="shared" si="4"/>
        <v>13.670399999999999</v>
      </c>
      <c r="Z45" s="4">
        <v>76.8</v>
      </c>
      <c r="AA45" s="4"/>
      <c r="AB45">
        <f t="shared" si="5"/>
        <v>58.675199999999997</v>
      </c>
    </row>
    <row r="46" spans="1:28" x14ac:dyDescent="0.25">
      <c r="A46" t="s">
        <v>44</v>
      </c>
      <c r="B46" t="s">
        <v>31</v>
      </c>
      <c r="C46">
        <v>25</v>
      </c>
      <c r="D46" t="s">
        <v>18</v>
      </c>
      <c r="E46">
        <v>500</v>
      </c>
      <c r="F46" s="1">
        <v>220000</v>
      </c>
      <c r="G46">
        <v>1576</v>
      </c>
      <c r="H46">
        <v>1870</v>
      </c>
      <c r="I46">
        <v>1</v>
      </c>
      <c r="J46">
        <v>0.23</v>
      </c>
      <c r="K46">
        <v>2.2000000000000002</v>
      </c>
      <c r="L46">
        <v>1.1066000000000001E-3</v>
      </c>
      <c r="M46">
        <v>0.06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56.080199999999998</v>
      </c>
      <c r="V46">
        <v>17.034600000000001</v>
      </c>
      <c r="W46" s="5">
        <v>0</v>
      </c>
      <c r="X46" s="2">
        <f t="shared" si="3"/>
        <v>56.080199999999998</v>
      </c>
      <c r="Y46" s="2">
        <f t="shared" si="4"/>
        <v>17.034600000000001</v>
      </c>
      <c r="Z46" s="4">
        <v>95.7</v>
      </c>
      <c r="AA46" s="4"/>
      <c r="AB46">
        <f t="shared" si="5"/>
        <v>73.114800000000002</v>
      </c>
    </row>
    <row r="47" spans="1:28" x14ac:dyDescent="0.25">
      <c r="A47" t="s">
        <v>44</v>
      </c>
      <c r="B47" t="s">
        <v>32</v>
      </c>
      <c r="C47">
        <v>25</v>
      </c>
      <c r="D47" t="s">
        <v>18</v>
      </c>
      <c r="E47">
        <v>500</v>
      </c>
      <c r="F47" s="1">
        <v>220000</v>
      </c>
      <c r="G47">
        <v>1576</v>
      </c>
      <c r="H47">
        <v>1870</v>
      </c>
      <c r="I47">
        <v>1</v>
      </c>
      <c r="J47">
        <v>0.24</v>
      </c>
      <c r="K47">
        <v>2.2000000000000002</v>
      </c>
      <c r="L47">
        <v>5.7000000000000009E-4</v>
      </c>
      <c r="M47">
        <v>0.03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2</v>
      </c>
      <c r="U47">
        <v>18.751999999999999</v>
      </c>
      <c r="V47">
        <v>5.6959999999999997</v>
      </c>
      <c r="W47" s="5">
        <v>0</v>
      </c>
      <c r="X47" s="2">
        <f t="shared" si="3"/>
        <v>18.751999999999999</v>
      </c>
      <c r="Y47" s="2">
        <f t="shared" si="4"/>
        <v>5.6959999999999997</v>
      </c>
      <c r="Z47" s="4">
        <v>32</v>
      </c>
      <c r="AA47" s="4"/>
      <c r="AB47">
        <f t="shared" si="5"/>
        <v>24.448</v>
      </c>
    </row>
    <row r="48" spans="1:28" x14ac:dyDescent="0.25">
      <c r="A48" t="s">
        <v>45</v>
      </c>
      <c r="B48" t="s">
        <v>20</v>
      </c>
      <c r="C48">
        <v>25</v>
      </c>
      <c r="D48" t="s">
        <v>18</v>
      </c>
      <c r="E48">
        <v>500</v>
      </c>
      <c r="F48" s="1">
        <v>220000</v>
      </c>
      <c r="G48">
        <v>1576</v>
      </c>
      <c r="H48">
        <v>1870</v>
      </c>
      <c r="I48">
        <v>1</v>
      </c>
      <c r="J48">
        <v>0.24</v>
      </c>
      <c r="K48">
        <v>2.2000000000000002</v>
      </c>
      <c r="L48">
        <v>5.7000000000000009E-4</v>
      </c>
      <c r="M48">
        <v>0.03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2</v>
      </c>
      <c r="U48">
        <v>27.752959999999998</v>
      </c>
      <c r="V48">
        <v>8.4300800000000002</v>
      </c>
      <c r="W48" s="5">
        <v>0</v>
      </c>
      <c r="X48" s="2">
        <f t="shared" si="3"/>
        <v>27.752959999999998</v>
      </c>
      <c r="Y48" s="2">
        <f t="shared" si="4"/>
        <v>8.4300800000000002</v>
      </c>
      <c r="Z48" s="4">
        <v>47.36</v>
      </c>
      <c r="AA48" s="4"/>
      <c r="AB48">
        <f t="shared" si="5"/>
        <v>36.183039999999998</v>
      </c>
    </row>
    <row r="49" spans="1:28" x14ac:dyDescent="0.25">
      <c r="A49" t="s">
        <v>45</v>
      </c>
      <c r="B49" t="s">
        <v>21</v>
      </c>
      <c r="C49">
        <v>25</v>
      </c>
      <c r="D49" t="s">
        <v>18</v>
      </c>
      <c r="E49">
        <v>500</v>
      </c>
      <c r="F49" s="1">
        <v>220000</v>
      </c>
      <c r="G49">
        <v>1576</v>
      </c>
      <c r="H49">
        <v>1870</v>
      </c>
      <c r="I49">
        <v>1</v>
      </c>
      <c r="J49">
        <v>0.23</v>
      </c>
      <c r="K49">
        <v>2.2000000000000002</v>
      </c>
      <c r="L49">
        <v>1.9E-3</v>
      </c>
      <c r="M49">
        <v>0.06</v>
      </c>
      <c r="N49">
        <v>1</v>
      </c>
      <c r="O49">
        <v>0</v>
      </c>
      <c r="P49">
        <v>0</v>
      </c>
      <c r="Q49">
        <v>1</v>
      </c>
      <c r="R49">
        <v>2.9099999999999999E-5</v>
      </c>
      <c r="S49">
        <v>0</v>
      </c>
      <c r="T49">
        <v>5</v>
      </c>
      <c r="U49">
        <v>83.798000000000002</v>
      </c>
      <c r="V49">
        <v>25.453999999999997</v>
      </c>
      <c r="W49" s="5">
        <v>0</v>
      </c>
      <c r="X49" s="2">
        <f t="shared" si="3"/>
        <v>83.798000000000002</v>
      </c>
      <c r="Y49" s="2">
        <f t="shared" si="4"/>
        <v>25.453999999999997</v>
      </c>
      <c r="Z49" s="4">
        <v>143</v>
      </c>
      <c r="AA49" s="4"/>
      <c r="AB49">
        <f t="shared" si="5"/>
        <v>109.252</v>
      </c>
    </row>
    <row r="50" spans="1:28" x14ac:dyDescent="0.25">
      <c r="A50" t="s">
        <v>45</v>
      </c>
      <c r="B50" t="s">
        <v>24</v>
      </c>
      <c r="C50">
        <v>25</v>
      </c>
      <c r="D50" t="s">
        <v>18</v>
      </c>
      <c r="E50">
        <v>500</v>
      </c>
      <c r="F50" s="1">
        <v>220000</v>
      </c>
      <c r="G50">
        <v>1576</v>
      </c>
      <c r="H50">
        <v>1870</v>
      </c>
      <c r="I50">
        <v>1</v>
      </c>
      <c r="J50">
        <v>0.215</v>
      </c>
      <c r="K50">
        <v>2.2000000000000002</v>
      </c>
      <c r="L50">
        <v>8.470000000000001E-4</v>
      </c>
      <c r="M50">
        <v>4.4999999999999998E-2</v>
      </c>
      <c r="N50">
        <v>1</v>
      </c>
      <c r="O50">
        <v>0</v>
      </c>
      <c r="P50">
        <v>0</v>
      </c>
      <c r="Q50">
        <v>1</v>
      </c>
      <c r="R50">
        <v>2.9099999999999999E-5</v>
      </c>
      <c r="S50">
        <v>0</v>
      </c>
      <c r="T50">
        <v>7</v>
      </c>
      <c r="U50">
        <v>48.755200000000002</v>
      </c>
      <c r="V50">
        <v>14.8096</v>
      </c>
      <c r="W50" s="5">
        <v>0</v>
      </c>
      <c r="X50" s="2">
        <f t="shared" si="3"/>
        <v>48.755200000000002</v>
      </c>
      <c r="Y50" s="2">
        <f t="shared" si="4"/>
        <v>14.8096</v>
      </c>
      <c r="Z50" s="4">
        <v>83.2</v>
      </c>
      <c r="AA50" s="4"/>
      <c r="AB50">
        <f t="shared" si="5"/>
        <v>63.564800000000005</v>
      </c>
    </row>
    <row r="51" spans="1:28" x14ac:dyDescent="0.25">
      <c r="A51" t="s">
        <v>45</v>
      </c>
      <c r="B51" t="s">
        <v>26</v>
      </c>
      <c r="C51">
        <v>25</v>
      </c>
      <c r="D51" t="s">
        <v>18</v>
      </c>
      <c r="E51">
        <v>500</v>
      </c>
      <c r="F51" s="1">
        <v>220000</v>
      </c>
      <c r="G51">
        <v>1576</v>
      </c>
      <c r="H51">
        <v>1870</v>
      </c>
      <c r="I51">
        <v>1</v>
      </c>
      <c r="J51">
        <v>0.215</v>
      </c>
      <c r="K51">
        <v>2.2000000000000002</v>
      </c>
      <c r="L51">
        <v>8.5000000000000006E-4</v>
      </c>
      <c r="M51">
        <v>0.03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30.0032</v>
      </c>
      <c r="V51">
        <v>9.1135999999999999</v>
      </c>
      <c r="W51" s="5">
        <v>0</v>
      </c>
      <c r="X51" s="2">
        <f t="shared" si="3"/>
        <v>30.0032</v>
      </c>
      <c r="Y51" s="2">
        <f t="shared" si="4"/>
        <v>9.1135999999999999</v>
      </c>
      <c r="Z51" s="4">
        <v>51.2</v>
      </c>
      <c r="AA51" s="4"/>
      <c r="AB51">
        <f t="shared" si="5"/>
        <v>39.116799999999998</v>
      </c>
    </row>
    <row r="52" spans="1:28" x14ac:dyDescent="0.25">
      <c r="A52" t="s">
        <v>45</v>
      </c>
      <c r="B52" t="s">
        <v>25</v>
      </c>
      <c r="C52">
        <v>25</v>
      </c>
      <c r="D52" t="s">
        <v>18</v>
      </c>
      <c r="E52">
        <v>500</v>
      </c>
      <c r="F52" s="1">
        <v>220000</v>
      </c>
      <c r="G52">
        <v>1576</v>
      </c>
      <c r="H52">
        <v>1870</v>
      </c>
      <c r="I52">
        <v>1</v>
      </c>
      <c r="J52">
        <v>0.23</v>
      </c>
      <c r="K52">
        <v>2.2000000000000002</v>
      </c>
      <c r="L52">
        <v>1.1100000000000001E-3</v>
      </c>
      <c r="M52">
        <v>0.06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32.230000000000004</v>
      </c>
      <c r="V52">
        <v>9.7900000000000009</v>
      </c>
      <c r="W52" s="5">
        <v>0</v>
      </c>
      <c r="X52" s="2">
        <f t="shared" si="3"/>
        <v>32.230000000000004</v>
      </c>
      <c r="Y52" s="2">
        <f t="shared" si="4"/>
        <v>9.7900000000000009</v>
      </c>
      <c r="Z52" s="4">
        <v>55.000000000000007</v>
      </c>
      <c r="AA52" s="4"/>
      <c r="AB52">
        <f t="shared" si="5"/>
        <v>42.02</v>
      </c>
    </row>
    <row r="53" spans="1:28" x14ac:dyDescent="0.25">
      <c r="A53" t="s">
        <v>46</v>
      </c>
      <c r="B53" t="s">
        <v>20</v>
      </c>
      <c r="C53">
        <v>25</v>
      </c>
      <c r="D53" t="s">
        <v>18</v>
      </c>
      <c r="E53">
        <v>500</v>
      </c>
      <c r="F53" s="1">
        <v>220000</v>
      </c>
      <c r="G53">
        <v>1576</v>
      </c>
      <c r="H53">
        <v>1870</v>
      </c>
      <c r="I53">
        <v>1</v>
      </c>
      <c r="J53">
        <v>0.24</v>
      </c>
      <c r="K53">
        <v>2.2000000000000002</v>
      </c>
      <c r="L53">
        <v>5.7000000000000009E-4</v>
      </c>
      <c r="M53">
        <v>0.03</v>
      </c>
      <c r="N53">
        <v>1</v>
      </c>
      <c r="O53">
        <v>0</v>
      </c>
      <c r="P53">
        <v>0</v>
      </c>
      <c r="Q53">
        <v>1</v>
      </c>
      <c r="R53">
        <v>2.9099999999999999E-5</v>
      </c>
      <c r="S53">
        <v>0</v>
      </c>
      <c r="T53">
        <v>2</v>
      </c>
      <c r="U53">
        <v>30.0032</v>
      </c>
      <c r="V53">
        <v>9.1135999999999999</v>
      </c>
      <c r="W53" s="5">
        <v>0</v>
      </c>
      <c r="X53" s="2">
        <f t="shared" si="3"/>
        <v>30.0032</v>
      </c>
      <c r="Y53" s="2">
        <f t="shared" si="4"/>
        <v>9.1135999999999999</v>
      </c>
      <c r="Z53" s="4">
        <v>51.2</v>
      </c>
      <c r="AA53" s="4"/>
      <c r="AB53">
        <f t="shared" si="5"/>
        <v>39.116799999999998</v>
      </c>
    </row>
    <row r="54" spans="1:28" x14ac:dyDescent="0.25">
      <c r="A54" t="s">
        <v>46</v>
      </c>
      <c r="B54" t="s">
        <v>21</v>
      </c>
      <c r="C54">
        <v>25</v>
      </c>
      <c r="D54" t="s">
        <v>18</v>
      </c>
      <c r="E54">
        <v>500</v>
      </c>
      <c r="F54" s="1">
        <v>220000</v>
      </c>
      <c r="G54">
        <v>1576</v>
      </c>
      <c r="H54">
        <v>1870</v>
      </c>
      <c r="I54">
        <v>1</v>
      </c>
      <c r="J54">
        <v>0.23</v>
      </c>
      <c r="K54">
        <v>2.2000000000000002</v>
      </c>
      <c r="L54">
        <v>1.6941E-3</v>
      </c>
      <c r="M54">
        <v>7.0000000000000007E-2</v>
      </c>
      <c r="N54">
        <v>1</v>
      </c>
      <c r="O54">
        <v>0</v>
      </c>
      <c r="P54">
        <v>0</v>
      </c>
      <c r="Q54">
        <v>1</v>
      </c>
      <c r="R54">
        <v>2.9099999999999999E-5</v>
      </c>
      <c r="S54">
        <v>0</v>
      </c>
      <c r="T54">
        <v>5</v>
      </c>
      <c r="U54">
        <v>80.574999999999989</v>
      </c>
      <c r="V54">
        <v>24.474999999999998</v>
      </c>
      <c r="W54" s="5">
        <v>0</v>
      </c>
      <c r="X54" s="2">
        <f t="shared" si="3"/>
        <v>80.574999999999989</v>
      </c>
      <c r="Y54" s="2">
        <f t="shared" si="4"/>
        <v>24.474999999999998</v>
      </c>
      <c r="Z54" s="4">
        <v>137.5</v>
      </c>
      <c r="AA54" s="4"/>
      <c r="AB54">
        <f t="shared" si="5"/>
        <v>105.04999999999998</v>
      </c>
    </row>
    <row r="55" spans="1:28" x14ac:dyDescent="0.25">
      <c r="A55" t="s">
        <v>46</v>
      </c>
      <c r="B55" t="s">
        <v>24</v>
      </c>
      <c r="C55">
        <v>25</v>
      </c>
      <c r="D55" t="s">
        <v>18</v>
      </c>
      <c r="E55">
        <v>500</v>
      </c>
      <c r="F55" s="1">
        <v>220000</v>
      </c>
      <c r="G55">
        <v>1576</v>
      </c>
      <c r="H55">
        <v>1870</v>
      </c>
      <c r="I55">
        <v>1</v>
      </c>
      <c r="J55">
        <v>0.215</v>
      </c>
      <c r="K55">
        <v>2.2000000000000002</v>
      </c>
      <c r="L55">
        <v>8.5000000000000006E-4</v>
      </c>
      <c r="M55">
        <v>0.03</v>
      </c>
      <c r="N55">
        <v>1</v>
      </c>
      <c r="O55">
        <v>0</v>
      </c>
      <c r="P55">
        <v>0</v>
      </c>
      <c r="Q55">
        <v>1</v>
      </c>
      <c r="R55">
        <v>2.9099999999999999E-5</v>
      </c>
      <c r="S55">
        <v>0</v>
      </c>
      <c r="T55">
        <v>7</v>
      </c>
      <c r="U55">
        <v>45.004799999999996</v>
      </c>
      <c r="V55">
        <v>13.670399999999999</v>
      </c>
      <c r="W55" s="5">
        <v>0</v>
      </c>
      <c r="X55" s="2">
        <f t="shared" si="3"/>
        <v>45.004799999999996</v>
      </c>
      <c r="Y55" s="2">
        <f t="shared" si="4"/>
        <v>13.670399999999999</v>
      </c>
      <c r="Z55" s="4">
        <v>76.8</v>
      </c>
      <c r="AA55" s="4"/>
      <c r="AB55">
        <f t="shared" si="5"/>
        <v>58.675199999999997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2025-11-09T21:00:45Z</dcterms:modified>
</cp:coreProperties>
</file>