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3\"/>
    </mc:Choice>
  </mc:AlternateContent>
  <xr:revisionPtr revIDLastSave="0" documentId="13_ncr:1_{154682FE-EA76-4F16-8BC0-C0194A4B50EC}" xr6:coauthVersionLast="47" xr6:coauthVersionMax="47" xr10:uidLastSave="{00000000-0000-0000-0000-000000000000}"/>
  <bookViews>
    <workbookView xWindow="14600" yWindow="12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8" i="1" l="1"/>
  <c r="X46" i="1"/>
  <c r="AB46" i="1" s="1"/>
  <c r="Y46" i="1"/>
  <c r="X47" i="1"/>
  <c r="AB47" i="1" s="1"/>
  <c r="Y47" i="1"/>
  <c r="X48" i="1"/>
  <c r="Y48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AB40" i="1" s="1"/>
  <c r="X41" i="1"/>
  <c r="Y41" i="1"/>
  <c r="AB41" i="1" s="1"/>
  <c r="X42" i="1"/>
  <c r="Y42" i="1"/>
  <c r="X43" i="1"/>
  <c r="Y43" i="1"/>
  <c r="X44" i="1"/>
  <c r="Y44" i="1"/>
  <c r="X45" i="1"/>
  <c r="Y45" i="1"/>
  <c r="AB44" i="1" l="1"/>
  <c r="AB33" i="1"/>
  <c r="AB43" i="1"/>
  <c r="AB39" i="1"/>
  <c r="AB38" i="1"/>
  <c r="AB22" i="1"/>
  <c r="AB23" i="1"/>
  <c r="AB28" i="1"/>
  <c r="AB29" i="1"/>
  <c r="AB27" i="1"/>
  <c r="AB36" i="1"/>
  <c r="AB26" i="1"/>
  <c r="AB25" i="1"/>
  <c r="AB24" i="1"/>
  <c r="AB37" i="1"/>
  <c r="AB42" i="1"/>
  <c r="AB31" i="1"/>
  <c r="AB30" i="1"/>
  <c r="AB34" i="1"/>
  <c r="AB35" i="1"/>
  <c r="AB32" i="1"/>
  <c r="AB45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AB14" i="1" s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AB21" i="1" l="1"/>
  <c r="AB4" i="1"/>
  <c r="AB15" i="1"/>
  <c r="AB8" i="1"/>
  <c r="AB17" i="1"/>
  <c r="AB16" i="1"/>
  <c r="AB13" i="1"/>
  <c r="AB9" i="1"/>
  <c r="AB10" i="1"/>
  <c r="AB18" i="1"/>
  <c r="AB2" i="1"/>
  <c r="AB11" i="1"/>
  <c r="AB3" i="1"/>
  <c r="AB20" i="1"/>
  <c r="AB19" i="1"/>
  <c r="AB7" i="1"/>
  <c r="AB6" i="1"/>
</calcChain>
</file>

<file path=xl/sharedStrings.xml><?xml version="1.0" encoding="utf-8"?>
<sst xmlns="http://schemas.openxmlformats.org/spreadsheetml/2006/main" count="169" uniqueCount="45">
  <si>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</si>
  <si>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</si>
  <si>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</si>
  <si>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</si>
  <si>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</si>
  <si>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</si>
  <si>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</si>
  <si>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</si>
  <si>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</si>
  <si>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</si>
  <si>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</si>
  <si>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</si>
  <si>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</si>
  <si>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</si>
  <si>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</si>
  <si>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</si>
  <si>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</si>
  <si>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</si>
  <si>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</si>
  <si>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</si>
  <si>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</si>
  <si>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</si>
  <si>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</si>
  <si>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</si>
  <si>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</si>
  <si>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</si>
  <si>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</si>
  <si>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</si>
  <si>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</si>
  <si>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</si>
  <si>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</si>
  <si>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</si>
  <si>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</si>
  <si>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</si>
  <si>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</si>
  <si>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</si>
  <si>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</si>
  <si>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</si>
  <si>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</si>
  <si>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</si>
  <si>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A' - 2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</si>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</sst>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8"/>
  <sheetViews>
    <sheetView tabSelected="1" zoomScaleNormal="100" workbookViewId="0">
      <pane xSplit="2" topLeftCell="M1" activePane="topRight" state="frozen"/>
      <selection pane="topRight" activeCell="W2" sqref="W2:W48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0.26</v>
      </c>
      <c r="K2">
        <v>5.35</v>
      </c>
      <c r="L2">
        <v>1.3878E-3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 s="2">
        <v>57.756160000000001</v>
      </c>
      <c r="V2" s="2">
        <v>17.543679999999998</v>
      </c>
      <c r="W2" s="3">
        <v>0</v>
      </c>
      <c r="X2" s="2">
        <f t="shared" ref="X2:X21" si="0">U2*(1-W2)</f>
        <v>57.756160000000001</v>
      </c>
      <c r="Y2" s="2">
        <f t="shared" ref="Y2:Y21" si="1">U2*W2 + V2</f>
        <v>17.543679999999998</v>
      </c>
      <c r="Z2" s="4">
        <v>98.56</v>
      </c>
      <c r="AA2" s="4"/>
      <c r="AB2">
        <f t="shared" ref="AB2:AB21" si="2">X2+Y2</f>
        <v>75.299840000000003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0.25</v>
      </c>
      <c r="K3">
        <v>5.35</v>
      </c>
      <c r="L3">
        <v>1E-4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 s="2">
        <v>41.899000000000001</v>
      </c>
      <c r="V3" s="2">
        <v>12.726999999999999</v>
      </c>
      <c r="W3" s="3">
        <v>0</v>
      </c>
      <c r="X3" s="2">
        <f t="shared" si="0"/>
        <v>41.899000000000001</v>
      </c>
      <c r="Y3" s="2">
        <f t="shared" si="1"/>
        <v>12.726999999999999</v>
      </c>
      <c r="Z3" s="4">
        <v>71.5</v>
      </c>
      <c r="AA3" s="4"/>
      <c r="AB3">
        <f t="shared" si="2"/>
        <v>54.625999999999998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0.23500000000000001</v>
      </c>
      <c r="K4">
        <v>4.1749999999999998</v>
      </c>
      <c r="L4">
        <v>2.1545000000000002E-3</v>
      </c>
      <c r="M4">
        <v>0.04</v>
      </c>
      <c r="N4">
        <v>1</v>
      </c>
      <c r="O4">
        <v>0</v>
      </c>
      <c r="P4">
        <v>0</v>
      </c>
      <c r="Q4">
        <v>1</v>
      </c>
      <c r="R4">
        <v>2.8800000000000001E-4</v>
      </c>
      <c r="S4">
        <v>0</v>
      </c>
      <c r="T4">
        <v>1</v>
      </c>
      <c r="U4" s="2">
        <v>82.508800000000008</v>
      </c>
      <c r="V4" s="2">
        <v>25.0624</v>
      </c>
      <c r="W4" s="3">
        <v>0</v>
      </c>
      <c r="X4" s="2">
        <f t="shared" si="0"/>
        <v>82.508800000000008</v>
      </c>
      <c r="Y4" s="2">
        <f t="shared" si="1"/>
        <v>25.0624</v>
      </c>
      <c r="Z4" s="4">
        <v>140.80000000000001</v>
      </c>
      <c r="AA4" s="4"/>
      <c r="AB4">
        <f t="shared" si="2"/>
        <v>107.5712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0.22</v>
      </c>
      <c r="K5">
        <v>3</v>
      </c>
      <c r="L5">
        <v>1E-4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 s="2">
        <v>41.899000000000001</v>
      </c>
      <c r="V5" s="2">
        <v>12.726999999999999</v>
      </c>
      <c r="W5" s="3">
        <v>0</v>
      </c>
      <c r="X5" s="2">
        <f t="shared" si="0"/>
        <v>41.899000000000001</v>
      </c>
      <c r="Y5" s="2">
        <f t="shared" si="1"/>
        <v>12.726999999999999</v>
      </c>
      <c r="Z5" s="4">
        <v>71.5</v>
      </c>
      <c r="AA5" s="4"/>
      <c r="AB5">
        <f t="shared" si="2"/>
        <v>54.625999999999998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0.23500000000000001</v>
      </c>
      <c r="K6">
        <v>3</v>
      </c>
      <c r="L6">
        <v>3.8400000000000001E-4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2.8800000000000001E-4</v>
      </c>
      <c r="S6">
        <v>0</v>
      </c>
      <c r="T6">
        <v>1</v>
      </c>
      <c r="U6" s="2">
        <v>0.75007999999999997</v>
      </c>
      <c r="V6" s="2">
        <v>0.22783999999999999</v>
      </c>
      <c r="W6" s="3">
        <v>0</v>
      </c>
      <c r="X6" s="2">
        <f t="shared" si="0"/>
        <v>0.75007999999999997</v>
      </c>
      <c r="Y6" s="2">
        <f t="shared" si="1"/>
        <v>0.22783999999999999</v>
      </c>
      <c r="Z6" s="4">
        <v>1.28</v>
      </c>
      <c r="AA6" s="4"/>
      <c r="AB6">
        <f t="shared" si="2"/>
        <v>0.9779199999999999</v>
      </c>
      <c r="AL6" s="2"/>
      <c r="AM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0.25</v>
      </c>
      <c r="K7">
        <v>3</v>
      </c>
      <c r="L7">
        <v>1E-4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 s="2">
        <v>0.64460000000000006</v>
      </c>
      <c r="V7">
        <v>0.1958</v>
      </c>
      <c r="W7" s="3">
        <v>0.25</v>
      </c>
      <c r="X7" s="2">
        <f t="shared" si="0"/>
        <v>0.48345000000000005</v>
      </c>
      <c r="Y7" s="2">
        <f t="shared" si="1"/>
        <v>0.35694999999999999</v>
      </c>
      <c r="Z7" s="4">
        <v>1.1000000000000001</v>
      </c>
      <c r="AA7" s="4"/>
      <c r="AB7">
        <f t="shared" si="2"/>
        <v>0.84040000000000004</v>
      </c>
      <c r="AL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0.23500000000000001</v>
      </c>
      <c r="K8">
        <v>3</v>
      </c>
      <c r="L8">
        <v>3.8400000000000001E-4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 s="2">
        <v>0.75007999999999997</v>
      </c>
      <c r="V8" s="2">
        <v>0.22783999999999999</v>
      </c>
      <c r="W8" s="3">
        <v>0.5</v>
      </c>
      <c r="X8" s="2">
        <f t="shared" si="0"/>
        <v>0.37503999999999998</v>
      </c>
      <c r="Y8" s="2">
        <f t="shared" si="1"/>
        <v>0.60287999999999997</v>
      </c>
      <c r="Z8" s="4">
        <v>1.28</v>
      </c>
      <c r="AA8" s="4"/>
      <c r="AB8">
        <f t="shared" si="2"/>
        <v>0.9779199999999999</v>
      </c>
      <c r="AL8" s="2"/>
      <c r="AM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0.22</v>
      </c>
      <c r="K9">
        <v>3</v>
      </c>
      <c r="L9">
        <v>1E-4</v>
      </c>
      <c r="M9">
        <v>0.04</v>
      </c>
      <c r="N9">
        <v>1</v>
      </c>
      <c r="O9">
        <v>3.0799666758620691E-4</v>
      </c>
      <c r="P9">
        <v>0.04</v>
      </c>
      <c r="Q9">
        <v>1</v>
      </c>
      <c r="R9">
        <v>0</v>
      </c>
      <c r="S9">
        <v>0</v>
      </c>
      <c r="T9">
        <v>1</v>
      </c>
      <c r="U9" s="2">
        <v>36.917999999999999</v>
      </c>
      <c r="V9">
        <v>11.213999999999999</v>
      </c>
      <c r="W9" s="3">
        <v>0.5</v>
      </c>
      <c r="X9" s="2">
        <f t="shared" si="0"/>
        <v>18.459</v>
      </c>
      <c r="Y9" s="2">
        <f t="shared" si="1"/>
        <v>29.672999999999998</v>
      </c>
      <c r="Z9" s="4">
        <v>63</v>
      </c>
      <c r="AA9" s="4"/>
      <c r="AB9">
        <f t="shared" si="2"/>
        <v>48.131999999999998</v>
      </c>
      <c r="AL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0.23500000000000001</v>
      </c>
      <c r="K10">
        <v>4.1749999999999998</v>
      </c>
      <c r="L10">
        <v>1.6170000000000002E-3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2.8800000000000001E-4</v>
      </c>
      <c r="S10">
        <v>0</v>
      </c>
      <c r="T10">
        <v>1</v>
      </c>
      <c r="U10" s="2">
        <v>58.599999999999994</v>
      </c>
      <c r="V10" s="2">
        <v>17.8</v>
      </c>
      <c r="W10" s="3">
        <v>0.5</v>
      </c>
      <c r="X10" s="2">
        <f t="shared" si="0"/>
        <v>29.299999999999997</v>
      </c>
      <c r="Y10" s="2">
        <f t="shared" si="1"/>
        <v>47.099999999999994</v>
      </c>
      <c r="Z10" s="4">
        <v>100</v>
      </c>
      <c r="AA10" s="4"/>
      <c r="AB10">
        <f t="shared" si="2"/>
        <v>76.399999999999991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0.25</v>
      </c>
      <c r="K11">
        <v>5.35</v>
      </c>
      <c r="L11">
        <v>1E-4</v>
      </c>
      <c r="M11">
        <v>6.9999999999999993E-2</v>
      </c>
      <c r="N11">
        <v>1</v>
      </c>
      <c r="O11">
        <v>6.1599333517241381E-4</v>
      </c>
      <c r="P11">
        <v>0.04</v>
      </c>
      <c r="Q11">
        <v>1</v>
      </c>
      <c r="R11">
        <v>0</v>
      </c>
      <c r="S11">
        <v>0</v>
      </c>
      <c r="T11">
        <v>1</v>
      </c>
      <c r="U11" s="2">
        <v>29.299999999999997</v>
      </c>
      <c r="V11" s="2">
        <v>8.9</v>
      </c>
      <c r="W11" s="3">
        <v>0.5</v>
      </c>
      <c r="X11" s="2">
        <f t="shared" si="0"/>
        <v>14.649999999999999</v>
      </c>
      <c r="Y11" s="2">
        <f t="shared" si="1"/>
        <v>23.549999999999997</v>
      </c>
      <c r="Z11" s="4">
        <v>50</v>
      </c>
      <c r="AA11" s="4"/>
      <c r="AB11">
        <f t="shared" si="2"/>
        <v>38.199999999999996</v>
      </c>
      <c r="AL11" s="2"/>
      <c r="AM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0.26</v>
      </c>
      <c r="K12">
        <v>5.35</v>
      </c>
      <c r="L12">
        <v>1.3878E-3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49.809999999999995</v>
      </c>
      <c r="V12">
        <v>15.129999999999999</v>
      </c>
      <c r="W12" s="3">
        <v>0.5</v>
      </c>
      <c r="X12" s="2">
        <f t="shared" si="0"/>
        <v>24.904999999999998</v>
      </c>
      <c r="Y12" s="2">
        <f t="shared" si="1"/>
        <v>40.034999999999997</v>
      </c>
      <c r="Z12" s="4">
        <v>85</v>
      </c>
      <c r="AA12" s="4"/>
      <c r="AB12">
        <f t="shared" si="2"/>
        <v>64.94</v>
      </c>
      <c r="AL12" s="2"/>
    </row>
    <row r="13" spans="1:39" x14ac:dyDescent="0.35">
      <c r="A13" t="s">
        <v>41</v>
      </c>
      <c r="B13" t="s">
        <v>19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0.26</v>
      </c>
      <c r="K13">
        <v>5.3</v>
      </c>
      <c r="L13">
        <v>1.3621000000000002E-3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2.8800000000000001E-4</v>
      </c>
      <c r="S13">
        <v>0</v>
      </c>
      <c r="T13">
        <v>1</v>
      </c>
      <c r="U13" s="2">
        <v>41.019999999999996</v>
      </c>
      <c r="V13" s="2">
        <v>12.459999999999999</v>
      </c>
      <c r="W13" s="3">
        <v>0</v>
      </c>
      <c r="X13" s="2">
        <f t="shared" si="0"/>
        <v>41.019999999999996</v>
      </c>
      <c r="Y13" s="2">
        <f t="shared" si="1"/>
        <v>12.459999999999999</v>
      </c>
      <c r="Z13" s="4">
        <v>70</v>
      </c>
      <c r="AA13" s="4"/>
      <c r="AB13">
        <f t="shared" si="2"/>
        <v>53.48</v>
      </c>
      <c r="AL13" s="2"/>
      <c r="AM13" s="2"/>
    </row>
    <row r="14" spans="1:39" x14ac:dyDescent="0.35">
      <c r="A14" t="s">
        <v>41</v>
      </c>
      <c r="B14" t="s">
        <v>20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0.25</v>
      </c>
      <c r="K14">
        <v>5.3</v>
      </c>
      <c r="L14">
        <v>1E-4</v>
      </c>
      <c r="M14">
        <v>6.9999999999999993E-2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 s="2">
        <v>46.293999999999997</v>
      </c>
      <c r="V14" s="2">
        <v>14.061999999999999</v>
      </c>
      <c r="W14" s="3">
        <v>0</v>
      </c>
      <c r="X14" s="2">
        <f t="shared" si="0"/>
        <v>46.293999999999997</v>
      </c>
      <c r="Y14" s="2">
        <f t="shared" si="1"/>
        <v>14.061999999999999</v>
      </c>
      <c r="Z14" s="4">
        <v>79</v>
      </c>
      <c r="AA14" s="4"/>
      <c r="AB14">
        <f t="shared" si="2"/>
        <v>60.355999999999995</v>
      </c>
      <c r="AL14" s="2"/>
    </row>
    <row r="15" spans="1:39" x14ac:dyDescent="0.35">
      <c r="A15" t="s">
        <v>41</v>
      </c>
      <c r="B15" t="s">
        <v>23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0.23500000000000001</v>
      </c>
      <c r="K15">
        <v>5.3</v>
      </c>
      <c r="L15">
        <v>2.7189000000000002E-3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2.8800000000000001E-4</v>
      </c>
      <c r="S15">
        <v>0</v>
      </c>
      <c r="T15">
        <v>1</v>
      </c>
      <c r="U15" s="2">
        <v>92.587999999999994</v>
      </c>
      <c r="V15" s="2">
        <v>28.123999999999999</v>
      </c>
      <c r="W15" s="3">
        <v>0</v>
      </c>
      <c r="X15" s="2">
        <f t="shared" si="0"/>
        <v>92.587999999999994</v>
      </c>
      <c r="Y15" s="2">
        <f t="shared" si="1"/>
        <v>28.123999999999999</v>
      </c>
      <c r="Z15" s="4">
        <v>158</v>
      </c>
      <c r="AA15" s="4"/>
      <c r="AB15">
        <f t="shared" si="2"/>
        <v>120.71199999999999</v>
      </c>
      <c r="AL15" s="2"/>
    </row>
    <row r="16" spans="1:39" x14ac:dyDescent="0.35">
      <c r="A16" t="s">
        <v>41</v>
      </c>
      <c r="B16" t="s">
        <v>24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0.22</v>
      </c>
      <c r="K16">
        <v>5.3</v>
      </c>
      <c r="L16">
        <v>1E-4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 s="2">
        <v>41.019999999999996</v>
      </c>
      <c r="V16">
        <v>12.459999999999999</v>
      </c>
      <c r="W16" s="3">
        <v>0</v>
      </c>
      <c r="X16" s="2">
        <f t="shared" si="0"/>
        <v>41.019999999999996</v>
      </c>
      <c r="Y16" s="2">
        <f t="shared" si="1"/>
        <v>12.459999999999999</v>
      </c>
      <c r="Z16" s="4">
        <v>70</v>
      </c>
      <c r="AA16" s="4"/>
      <c r="AB16">
        <f t="shared" si="2"/>
        <v>53.48</v>
      </c>
      <c r="AL16" s="2"/>
    </row>
    <row r="17" spans="1:38" x14ac:dyDescent="0.35">
      <c r="A17" t="s">
        <v>41</v>
      </c>
      <c r="B17" t="s">
        <v>25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0.23500000000000001</v>
      </c>
      <c r="K17">
        <v>5.3</v>
      </c>
      <c r="L17">
        <v>6.7840000000000001E-4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 s="2">
        <v>0</v>
      </c>
      <c r="V17">
        <v>0</v>
      </c>
      <c r="W17" s="3">
        <v>0</v>
      </c>
      <c r="X17" s="2">
        <f t="shared" si="0"/>
        <v>0</v>
      </c>
      <c r="Y17" s="2">
        <f t="shared" si="1"/>
        <v>0</v>
      </c>
      <c r="Z17" s="4">
        <v>0</v>
      </c>
      <c r="AA17" s="4"/>
      <c r="AB17">
        <f t="shared" si="2"/>
        <v>0</v>
      </c>
      <c r="AL17" s="2"/>
    </row>
    <row r="18" spans="1:38" x14ac:dyDescent="0.35">
      <c r="A18" t="s">
        <v>41</v>
      </c>
      <c r="B18" t="s">
        <v>26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0.25</v>
      </c>
      <c r="K18">
        <v>5.3</v>
      </c>
      <c r="L18">
        <v>1E-4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 s="2">
        <v>0</v>
      </c>
      <c r="V18">
        <v>0</v>
      </c>
      <c r="W18" s="3">
        <v>0</v>
      </c>
      <c r="X18" s="2">
        <f t="shared" si="0"/>
        <v>0</v>
      </c>
      <c r="Y18" s="2">
        <f t="shared" si="1"/>
        <v>0</v>
      </c>
      <c r="Z18" s="4">
        <v>0</v>
      </c>
      <c r="AA18" s="4"/>
      <c r="AB18">
        <f t="shared" si="2"/>
        <v>0</v>
      </c>
      <c r="AL18" s="2"/>
    </row>
    <row r="19" spans="1:38" x14ac:dyDescent="0.35">
      <c r="A19" t="s">
        <v>41</v>
      </c>
      <c r="B19" t="s">
        <v>27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0.23500000000000001</v>
      </c>
      <c r="K19">
        <v>5.3</v>
      </c>
      <c r="L19">
        <v>6.7840000000000001E-4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 s="2">
        <v>0</v>
      </c>
      <c r="V19">
        <v>0</v>
      </c>
      <c r="W19" s="3">
        <v>0</v>
      </c>
      <c r="X19" s="2">
        <f t="shared" si="0"/>
        <v>0</v>
      </c>
      <c r="Y19" s="2">
        <f t="shared" si="1"/>
        <v>0</v>
      </c>
      <c r="Z19" s="4">
        <v>0</v>
      </c>
      <c r="AA19" s="4"/>
      <c r="AB19">
        <f t="shared" si="2"/>
        <v>0</v>
      </c>
      <c r="AL19" s="2"/>
    </row>
    <row r="20" spans="1:38" x14ac:dyDescent="0.35">
      <c r="A20" t="s">
        <v>41</v>
      </c>
      <c r="B20" t="s">
        <v>28</v>
      </c>
      <c r="C20">
        <v>25</v>
      </c>
      <c r="D20" t="s">
        <v>18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0.22</v>
      </c>
      <c r="K20">
        <v>5.3</v>
      </c>
      <c r="L20">
        <v>1E-4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 s="2">
        <v>39.262</v>
      </c>
      <c r="V20">
        <v>11.926</v>
      </c>
      <c r="W20" s="3">
        <v>0</v>
      </c>
      <c r="X20" s="2">
        <f t="shared" si="0"/>
        <v>39.262</v>
      </c>
      <c r="Y20" s="2">
        <f t="shared" si="1"/>
        <v>11.926</v>
      </c>
      <c r="Z20" s="4">
        <v>67</v>
      </c>
      <c r="AA20" s="4"/>
      <c r="AB20">
        <f t="shared" si="2"/>
        <v>51.188000000000002</v>
      </c>
      <c r="AL20" s="2"/>
    </row>
    <row r="21" spans="1:38" x14ac:dyDescent="0.35">
      <c r="A21" t="s">
        <v>41</v>
      </c>
      <c r="B21" t="s">
        <v>29</v>
      </c>
      <c r="C21">
        <v>25</v>
      </c>
      <c r="D21" t="s">
        <v>18</v>
      </c>
      <c r="E21">
        <v>500</v>
      </c>
      <c r="F21" s="1">
        <v>170000</v>
      </c>
      <c r="G21">
        <v>1300</v>
      </c>
      <c r="H21">
        <v>1445</v>
      </c>
      <c r="I21">
        <v>1</v>
      </c>
      <c r="J21">
        <v>0.23500000000000001</v>
      </c>
      <c r="K21">
        <v>5.3</v>
      </c>
      <c r="L21">
        <v>2.0405000000000002E-3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3.8400000000000001E-4</v>
      </c>
      <c r="S21">
        <v>0</v>
      </c>
      <c r="T21">
        <v>1</v>
      </c>
      <c r="U21" s="2">
        <v>86.141999999999996</v>
      </c>
      <c r="V21">
        <v>26.166</v>
      </c>
      <c r="W21" s="3">
        <v>0</v>
      </c>
      <c r="X21" s="2">
        <f t="shared" si="0"/>
        <v>86.141999999999996</v>
      </c>
      <c r="Y21" s="2">
        <f t="shared" si="1"/>
        <v>26.166</v>
      </c>
      <c r="Z21" s="4">
        <v>147</v>
      </c>
      <c r="AA21" s="4"/>
      <c r="AB21">
        <f t="shared" si="2"/>
        <v>112.30799999999999</v>
      </c>
      <c r="AL21" s="2"/>
    </row>
    <row r="22" spans="1:38" x14ac:dyDescent="0.35">
      <c r="A22" t="s">
        <v>41</v>
      </c>
      <c r="B22" t="s">
        <v>30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0.25</v>
      </c>
      <c r="K22">
        <v>5.3</v>
      </c>
      <c r="L22">
        <v>1E-4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 s="2">
        <v>41.019999999999996</v>
      </c>
      <c r="V22">
        <v>12.459999999999999</v>
      </c>
      <c r="W22" s="5">
        <v>0</v>
      </c>
      <c r="X22" s="2">
        <f t="shared" ref="X22:X45" si="3">U22*(1-W22)</f>
        <v>41.019999999999996</v>
      </c>
      <c r="Y22" s="2">
        <f t="shared" ref="Y22:Y45" si="4">U22*W22 + V22</f>
        <v>12.459999999999999</v>
      </c>
      <c r="Z22" s="4">
        <v>70</v>
      </c>
      <c r="AA22" s="4"/>
      <c r="AB22">
        <f t="shared" ref="AB22:AB48" si="5">X22+Y22</f>
        <v>53.48</v>
      </c>
    </row>
    <row r="23" spans="1:38" x14ac:dyDescent="0.35">
      <c r="A23" t="s">
        <v>41</v>
      </c>
      <c r="B23" t="s">
        <v>31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0.26</v>
      </c>
      <c r="K23">
        <v>5.3</v>
      </c>
      <c r="L23">
        <v>1.3621000000000002E-3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2.8800000000000001E-4</v>
      </c>
      <c r="S23">
        <v>0</v>
      </c>
      <c r="T23">
        <v>1</v>
      </c>
      <c r="U23">
        <v>42.192</v>
      </c>
      <c r="V23">
        <v>12.815999999999999</v>
      </c>
      <c r="W23" s="5">
        <v>0</v>
      </c>
      <c r="X23" s="2">
        <f t="shared" si="3"/>
        <v>42.192</v>
      </c>
      <c r="Y23" s="2">
        <f t="shared" si="4"/>
        <v>12.815999999999999</v>
      </c>
      <c r="Z23" s="4">
        <v>72</v>
      </c>
      <c r="AA23" s="4"/>
      <c r="AB23">
        <f t="shared" si="5"/>
        <v>55.007999999999996</v>
      </c>
    </row>
    <row r="24" spans="1:38" x14ac:dyDescent="0.35">
      <c r="A24" t="s">
        <v>42</v>
      </c>
      <c r="B24" t="s">
        <v>19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0.26</v>
      </c>
      <c r="K24">
        <v>5.3</v>
      </c>
      <c r="L24">
        <v>1.3621000000000002E-3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2.8800000000000001E-4</v>
      </c>
      <c r="S24">
        <v>0</v>
      </c>
      <c r="T24">
        <v>1</v>
      </c>
      <c r="U24">
        <v>38.089999999999996</v>
      </c>
      <c r="V24">
        <v>11.57</v>
      </c>
      <c r="W24" s="5">
        <v>0</v>
      </c>
      <c r="X24" s="2">
        <f t="shared" si="3"/>
        <v>38.089999999999996</v>
      </c>
      <c r="Y24" s="2">
        <f t="shared" si="4"/>
        <v>11.57</v>
      </c>
      <c r="Z24" s="4">
        <v>65</v>
      </c>
      <c r="AA24" s="4"/>
      <c r="AB24">
        <f t="shared" si="5"/>
        <v>49.66</v>
      </c>
    </row>
    <row r="25" spans="1:38" x14ac:dyDescent="0.35">
      <c r="A25" t="s">
        <v>42</v>
      </c>
      <c r="B25" t="s">
        <v>20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0.25</v>
      </c>
      <c r="K25">
        <v>5.3</v>
      </c>
      <c r="L25">
        <v>1.0240000000000001E-4</v>
      </c>
      <c r="M25">
        <v>6.9999999999999993E-2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52.739999999999995</v>
      </c>
      <c r="V25">
        <v>16.02</v>
      </c>
      <c r="W25" s="5">
        <v>0</v>
      </c>
      <c r="X25" s="2">
        <f t="shared" si="3"/>
        <v>52.739999999999995</v>
      </c>
      <c r="Y25" s="2">
        <f t="shared" si="4"/>
        <v>16.02</v>
      </c>
      <c r="Z25" s="4">
        <v>90</v>
      </c>
      <c r="AA25" s="4"/>
      <c r="AB25">
        <f t="shared" si="5"/>
        <v>68.759999999999991</v>
      </c>
    </row>
    <row r="26" spans="1:38" x14ac:dyDescent="0.35">
      <c r="A26" t="s">
        <v>42</v>
      </c>
      <c r="B26" t="s">
        <v>23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0.23500000000000001</v>
      </c>
      <c r="K26">
        <v>5.3</v>
      </c>
      <c r="L26">
        <v>2.7189000000000002E-3</v>
      </c>
      <c r="M26">
        <v>0.04</v>
      </c>
      <c r="N26">
        <v>1</v>
      </c>
      <c r="O26">
        <v>0</v>
      </c>
      <c r="P26">
        <v>0</v>
      </c>
      <c r="Q26">
        <v>1</v>
      </c>
      <c r="R26">
        <v>2.8800000000000001E-4</v>
      </c>
      <c r="S26">
        <v>0</v>
      </c>
      <c r="T26">
        <v>1</v>
      </c>
      <c r="U26">
        <v>100.79199999999999</v>
      </c>
      <c r="V26">
        <v>30.616</v>
      </c>
      <c r="W26" s="5">
        <v>0</v>
      </c>
      <c r="X26" s="2">
        <f t="shared" si="3"/>
        <v>100.79199999999999</v>
      </c>
      <c r="Y26" s="2">
        <f t="shared" si="4"/>
        <v>30.616</v>
      </c>
      <c r="Z26" s="4">
        <v>172</v>
      </c>
      <c r="AA26" s="4"/>
      <c r="AB26">
        <f t="shared" si="5"/>
        <v>131.40799999999999</v>
      </c>
    </row>
    <row r="27" spans="1:38" x14ac:dyDescent="0.35">
      <c r="A27" t="s">
        <v>42</v>
      </c>
      <c r="B27" t="s">
        <v>24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0.22</v>
      </c>
      <c r="K27">
        <v>5.3</v>
      </c>
      <c r="L27">
        <v>1E-4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49.223999999999997</v>
      </c>
      <c r="V27">
        <v>14.952</v>
      </c>
      <c r="W27" s="5">
        <v>0</v>
      </c>
      <c r="X27" s="2">
        <f t="shared" si="3"/>
        <v>49.223999999999997</v>
      </c>
      <c r="Y27" s="2">
        <f t="shared" si="4"/>
        <v>14.952</v>
      </c>
      <c r="Z27" s="4">
        <v>84</v>
      </c>
      <c r="AA27" s="4"/>
      <c r="AB27">
        <f t="shared" si="5"/>
        <v>64.176000000000002</v>
      </c>
    </row>
    <row r="28" spans="1:38" x14ac:dyDescent="0.35">
      <c r="A28" t="s">
        <v>42</v>
      </c>
      <c r="B28" t="s">
        <v>25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0.23500000000000001</v>
      </c>
      <c r="K28">
        <v>5.3</v>
      </c>
      <c r="L28">
        <v>6.7840000000000001E-4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 s="5">
        <v>0</v>
      </c>
      <c r="X28" s="2">
        <f t="shared" si="3"/>
        <v>0</v>
      </c>
      <c r="Y28" s="2">
        <f t="shared" si="4"/>
        <v>0</v>
      </c>
      <c r="Z28" s="4">
        <v>0</v>
      </c>
      <c r="AA28" s="4"/>
      <c r="AB28">
        <f t="shared" si="5"/>
        <v>0</v>
      </c>
    </row>
    <row r="29" spans="1:38" x14ac:dyDescent="0.35">
      <c r="A29" t="s">
        <v>42</v>
      </c>
      <c r="B29" t="s">
        <v>26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0.25</v>
      </c>
      <c r="K29">
        <v>5.3</v>
      </c>
      <c r="L29">
        <v>1E-4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 s="5">
        <v>0</v>
      </c>
      <c r="X29" s="2">
        <f t="shared" si="3"/>
        <v>0</v>
      </c>
      <c r="Y29" s="2">
        <f t="shared" si="4"/>
        <v>0</v>
      </c>
      <c r="Z29" s="4">
        <v>0</v>
      </c>
      <c r="AA29" s="4"/>
      <c r="AB29">
        <f t="shared" si="5"/>
        <v>0</v>
      </c>
    </row>
    <row r="30" spans="1:38" x14ac:dyDescent="0.35">
      <c r="A30" t="s">
        <v>42</v>
      </c>
      <c r="B30" t="s">
        <v>27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0.23500000000000001</v>
      </c>
      <c r="K30">
        <v>5.3</v>
      </c>
      <c r="L30">
        <v>6.7840000000000001E-4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 s="5">
        <v>0</v>
      </c>
      <c r="X30" s="2">
        <f t="shared" si="3"/>
        <v>0</v>
      </c>
      <c r="Y30" s="2">
        <f t="shared" si="4"/>
        <v>0</v>
      </c>
      <c r="Z30" s="4">
        <v>0</v>
      </c>
      <c r="AA30" s="4"/>
      <c r="AB30">
        <f t="shared" si="5"/>
        <v>0</v>
      </c>
    </row>
    <row r="31" spans="1:38" x14ac:dyDescent="0.35">
      <c r="A31" t="s">
        <v>42</v>
      </c>
      <c r="B31" t="s">
        <v>28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0.22</v>
      </c>
      <c r="K31">
        <v>5.3</v>
      </c>
      <c r="L31">
        <v>1E-4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41.019999999999996</v>
      </c>
      <c r="V31">
        <v>12.459999999999999</v>
      </c>
      <c r="W31" s="5">
        <v>0</v>
      </c>
      <c r="X31" s="2">
        <f t="shared" si="3"/>
        <v>41.019999999999996</v>
      </c>
      <c r="Y31" s="2">
        <f t="shared" si="4"/>
        <v>12.459999999999999</v>
      </c>
      <c r="Z31" s="4">
        <v>70</v>
      </c>
      <c r="AA31" s="4"/>
      <c r="AB31">
        <f t="shared" si="5"/>
        <v>53.48</v>
      </c>
    </row>
    <row r="32" spans="1:38" x14ac:dyDescent="0.35">
      <c r="A32" t="s">
        <v>42</v>
      </c>
      <c r="B32" t="s">
        <v>29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0.23500000000000001</v>
      </c>
      <c r="K32">
        <v>5.3</v>
      </c>
      <c r="L32">
        <v>2.0405000000000002E-3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3.8400000000000001E-4</v>
      </c>
      <c r="S32">
        <v>0</v>
      </c>
      <c r="T32">
        <v>1</v>
      </c>
      <c r="U32">
        <v>86.141999999999996</v>
      </c>
      <c r="V32">
        <v>26.166</v>
      </c>
      <c r="W32" s="5">
        <v>0</v>
      </c>
      <c r="X32" s="2">
        <f t="shared" si="3"/>
        <v>86.141999999999996</v>
      </c>
      <c r="Y32" s="2">
        <f t="shared" si="4"/>
        <v>26.166</v>
      </c>
      <c r="Z32" s="4">
        <v>147</v>
      </c>
      <c r="AA32" s="4"/>
      <c r="AB32">
        <f t="shared" si="5"/>
        <v>112.30799999999999</v>
      </c>
    </row>
    <row r="33" spans="1:28" x14ac:dyDescent="0.35">
      <c r="A33" t="s">
        <v>42</v>
      </c>
      <c r="B33" t="s">
        <v>30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0.25</v>
      </c>
      <c r="K33">
        <v>5.3</v>
      </c>
      <c r="L33">
        <v>1.0240000000000001E-4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38.089999999999996</v>
      </c>
      <c r="V33">
        <v>11.57</v>
      </c>
      <c r="W33" s="5">
        <v>0</v>
      </c>
      <c r="X33" s="2">
        <f t="shared" si="3"/>
        <v>38.089999999999996</v>
      </c>
      <c r="Y33" s="2">
        <f t="shared" si="4"/>
        <v>11.57</v>
      </c>
      <c r="Z33" s="4">
        <v>65</v>
      </c>
      <c r="AA33" s="4"/>
      <c r="AB33">
        <f t="shared" si="5"/>
        <v>49.66</v>
      </c>
    </row>
    <row r="34" spans="1:28" x14ac:dyDescent="0.35">
      <c r="A34" t="s">
        <v>42</v>
      </c>
      <c r="B34" t="s">
        <v>31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0.26</v>
      </c>
      <c r="K34">
        <v>5.3</v>
      </c>
      <c r="L34">
        <v>1.3621000000000002E-3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42.777999999999999</v>
      </c>
      <c r="V34">
        <v>12.994</v>
      </c>
      <c r="W34" s="5">
        <v>0</v>
      </c>
      <c r="X34" s="2">
        <f t="shared" si="3"/>
        <v>42.777999999999999</v>
      </c>
      <c r="Y34" s="2">
        <f t="shared" si="4"/>
        <v>12.994</v>
      </c>
      <c r="Z34" s="4">
        <v>73</v>
      </c>
      <c r="AA34" s="4"/>
      <c r="AB34">
        <f t="shared" si="5"/>
        <v>55.771999999999998</v>
      </c>
    </row>
    <row r="35" spans="1:28" x14ac:dyDescent="0.35">
      <c r="A35" t="s">
        <v>43</v>
      </c>
      <c r="B35" t="s">
        <v>19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0.26</v>
      </c>
      <c r="K35">
        <v>5.3</v>
      </c>
      <c r="L35">
        <v>1.3621000000000002E-3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2.8800000000000001E-4</v>
      </c>
      <c r="S35">
        <v>0</v>
      </c>
      <c r="T35">
        <v>1</v>
      </c>
      <c r="U35">
        <v>41.019999999999996</v>
      </c>
      <c r="V35">
        <v>12.459999999999999</v>
      </c>
      <c r="W35" s="5">
        <v>0</v>
      </c>
      <c r="X35" s="2">
        <f t="shared" si="3"/>
        <v>41.019999999999996</v>
      </c>
      <c r="Y35" s="2">
        <f t="shared" si="4"/>
        <v>12.459999999999999</v>
      </c>
      <c r="Z35" s="4">
        <v>70</v>
      </c>
      <c r="AA35" s="4"/>
      <c r="AB35">
        <f t="shared" si="5"/>
        <v>53.48</v>
      </c>
    </row>
    <row r="36" spans="1:28" x14ac:dyDescent="0.35">
      <c r="A36" t="s">
        <v>43</v>
      </c>
      <c r="B36" t="s">
        <v>20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0.25</v>
      </c>
      <c r="K36">
        <v>5.3</v>
      </c>
      <c r="L36">
        <v>5.0000000000000002E-5</v>
      </c>
      <c r="M36">
        <v>6.9999999999999993E-2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45.122</v>
      </c>
      <c r="V36">
        <v>13.706</v>
      </c>
      <c r="W36" s="5">
        <v>0</v>
      </c>
      <c r="X36" s="2">
        <f t="shared" si="3"/>
        <v>45.122</v>
      </c>
      <c r="Y36" s="2">
        <f t="shared" si="4"/>
        <v>13.706</v>
      </c>
      <c r="Z36" s="4">
        <v>77</v>
      </c>
      <c r="AA36" s="4"/>
      <c r="AB36">
        <f t="shared" si="5"/>
        <v>58.828000000000003</v>
      </c>
    </row>
    <row r="37" spans="1:28" x14ac:dyDescent="0.35">
      <c r="A37" t="s">
        <v>43</v>
      </c>
      <c r="B37" t="s">
        <v>23</v>
      </c>
      <c r="C37">
        <v>25</v>
      </c>
      <c r="D37" t="s">
        <v>18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0.23500000000000001</v>
      </c>
      <c r="K37">
        <v>5.3</v>
      </c>
      <c r="L37">
        <v>2.7189000000000002E-3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2.8800000000000001E-4</v>
      </c>
      <c r="S37">
        <v>0</v>
      </c>
      <c r="T37">
        <v>1</v>
      </c>
      <c r="U37">
        <v>96.69</v>
      </c>
      <c r="V37">
        <v>29.369999999999997</v>
      </c>
      <c r="W37" s="5">
        <v>0</v>
      </c>
      <c r="X37" s="2">
        <f t="shared" si="3"/>
        <v>96.69</v>
      </c>
      <c r="Y37" s="2">
        <f t="shared" si="4"/>
        <v>29.369999999999997</v>
      </c>
      <c r="Z37" s="4">
        <v>165</v>
      </c>
      <c r="AA37" s="4"/>
      <c r="AB37">
        <f t="shared" si="5"/>
        <v>126.06</v>
      </c>
    </row>
    <row r="38" spans="1:28" x14ac:dyDescent="0.35">
      <c r="A38" t="s">
        <v>43</v>
      </c>
      <c r="B38" t="s">
        <v>24</v>
      </c>
      <c r="C38">
        <v>25</v>
      </c>
      <c r="D38" t="s">
        <v>18</v>
      </c>
      <c r="E38">
        <v>500</v>
      </c>
      <c r="F38">
        <v>170000</v>
      </c>
      <c r="G38">
        <v>1300</v>
      </c>
      <c r="H38">
        <v>1445</v>
      </c>
      <c r="I38">
        <v>1</v>
      </c>
      <c r="J38">
        <v>0.22</v>
      </c>
      <c r="K38">
        <v>5.3</v>
      </c>
      <c r="L38">
        <v>5.0000000000000002E-5</v>
      </c>
      <c r="M38">
        <v>0.04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54.497999999999998</v>
      </c>
      <c r="V38">
        <v>16.553999999999998</v>
      </c>
      <c r="W38" s="5">
        <v>0.25</v>
      </c>
      <c r="X38" s="2">
        <f t="shared" si="3"/>
        <v>40.8735</v>
      </c>
      <c r="Y38" s="2">
        <f t="shared" si="4"/>
        <v>30.1785</v>
      </c>
      <c r="Z38" s="4">
        <v>93</v>
      </c>
      <c r="AA38" s="4"/>
      <c r="AB38">
        <f t="shared" si="5"/>
        <v>71.051999999999992</v>
      </c>
    </row>
    <row r="39" spans="1:28" x14ac:dyDescent="0.35">
      <c r="A39" t="s">
        <v>43</v>
      </c>
      <c r="B39" t="s">
        <v>25</v>
      </c>
      <c r="C39">
        <v>25</v>
      </c>
      <c r="D39" t="s">
        <v>18</v>
      </c>
      <c r="E39">
        <v>500</v>
      </c>
      <c r="F39">
        <v>170000</v>
      </c>
      <c r="G39">
        <v>1300</v>
      </c>
      <c r="H39">
        <v>1445</v>
      </c>
      <c r="I39">
        <v>1</v>
      </c>
      <c r="J39">
        <v>0.23500000000000001</v>
      </c>
      <c r="K39">
        <v>5.3</v>
      </c>
      <c r="L39">
        <v>6.7840000000000001E-4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 s="5">
        <v>0.5</v>
      </c>
      <c r="X39" s="2">
        <f t="shared" si="3"/>
        <v>0</v>
      </c>
      <c r="Y39" s="2">
        <f t="shared" si="4"/>
        <v>0</v>
      </c>
      <c r="Z39" s="4">
        <v>0</v>
      </c>
      <c r="AA39" s="4"/>
      <c r="AB39">
        <f t="shared" si="5"/>
        <v>0</v>
      </c>
    </row>
    <row r="40" spans="1:28" x14ac:dyDescent="0.35">
      <c r="A40" t="s">
        <v>43</v>
      </c>
      <c r="B40" t="s">
        <v>26</v>
      </c>
      <c r="C40">
        <v>25</v>
      </c>
      <c r="D40" t="s">
        <v>18</v>
      </c>
      <c r="E40">
        <v>500</v>
      </c>
      <c r="F40">
        <v>170000</v>
      </c>
      <c r="G40">
        <v>1300</v>
      </c>
      <c r="H40">
        <v>1445</v>
      </c>
      <c r="I40">
        <v>1</v>
      </c>
      <c r="J40">
        <v>0.25</v>
      </c>
      <c r="K40">
        <v>5.3</v>
      </c>
      <c r="L40">
        <v>5.0000000000000002E-5</v>
      </c>
      <c r="M40">
        <v>6.9999999999999993E-2</v>
      </c>
      <c r="N40">
        <v>1</v>
      </c>
      <c r="O40">
        <v>6.1599333517241381E-4</v>
      </c>
      <c r="P40">
        <v>0.04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 s="5">
        <v>0.5</v>
      </c>
      <c r="X40" s="2">
        <f t="shared" si="3"/>
        <v>0</v>
      </c>
      <c r="Y40" s="2">
        <f t="shared" si="4"/>
        <v>0</v>
      </c>
      <c r="Z40" s="4">
        <v>0</v>
      </c>
      <c r="AA40" s="4"/>
      <c r="AB40">
        <f t="shared" si="5"/>
        <v>0</v>
      </c>
    </row>
    <row r="41" spans="1:28" x14ac:dyDescent="0.35">
      <c r="A41" t="s">
        <v>43</v>
      </c>
      <c r="B41" t="s">
        <v>27</v>
      </c>
      <c r="C41">
        <v>25</v>
      </c>
      <c r="D41" t="s">
        <v>18</v>
      </c>
      <c r="E41">
        <v>500</v>
      </c>
      <c r="F41">
        <v>170000</v>
      </c>
      <c r="G41">
        <v>1300</v>
      </c>
      <c r="H41">
        <v>1445</v>
      </c>
      <c r="I41">
        <v>1</v>
      </c>
      <c r="J41">
        <v>0.23500000000000001</v>
      </c>
      <c r="K41">
        <v>5.3</v>
      </c>
      <c r="L41">
        <v>6.7840000000000001E-4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2.8800000000000001E-4</v>
      </c>
      <c r="S41">
        <v>0</v>
      </c>
      <c r="T41">
        <v>1</v>
      </c>
      <c r="U41">
        <v>0</v>
      </c>
      <c r="V41">
        <v>0</v>
      </c>
      <c r="W41" s="5">
        <v>0.5</v>
      </c>
      <c r="X41" s="2">
        <f t="shared" si="3"/>
        <v>0</v>
      </c>
      <c r="Y41" s="2">
        <f t="shared" si="4"/>
        <v>0</v>
      </c>
      <c r="Z41" s="4">
        <v>0</v>
      </c>
      <c r="AA41" s="4"/>
      <c r="AB41">
        <f t="shared" si="5"/>
        <v>0</v>
      </c>
    </row>
    <row r="42" spans="1:28" x14ac:dyDescent="0.35">
      <c r="A42" t="s">
        <v>43</v>
      </c>
      <c r="B42" t="s">
        <v>28</v>
      </c>
      <c r="C42">
        <v>25</v>
      </c>
      <c r="D42" t="s">
        <v>18</v>
      </c>
      <c r="E42">
        <v>500</v>
      </c>
      <c r="F42">
        <v>170000</v>
      </c>
      <c r="G42">
        <v>1300</v>
      </c>
      <c r="H42">
        <v>1445</v>
      </c>
      <c r="I42">
        <v>1</v>
      </c>
      <c r="J42">
        <v>0.22</v>
      </c>
      <c r="K42">
        <v>5.3</v>
      </c>
      <c r="L42">
        <v>5.0000000000000002E-5</v>
      </c>
      <c r="M42">
        <v>0.04</v>
      </c>
      <c r="N42">
        <v>1</v>
      </c>
      <c r="O42">
        <v>6.1599333517241381E-4</v>
      </c>
      <c r="P42">
        <v>0.04</v>
      </c>
      <c r="Q42">
        <v>1</v>
      </c>
      <c r="R42">
        <v>0</v>
      </c>
      <c r="S42">
        <v>0</v>
      </c>
      <c r="T42">
        <v>1</v>
      </c>
      <c r="U42">
        <v>96.69</v>
      </c>
      <c r="V42">
        <v>29.369999999999997</v>
      </c>
      <c r="W42" s="5">
        <v>0.5</v>
      </c>
      <c r="X42" s="2">
        <f t="shared" si="3"/>
        <v>48.344999999999999</v>
      </c>
      <c r="Y42" s="2">
        <f t="shared" si="4"/>
        <v>77.715000000000003</v>
      </c>
      <c r="Z42" s="4">
        <v>165</v>
      </c>
      <c r="AA42" s="4"/>
      <c r="AB42">
        <f t="shared" si="5"/>
        <v>126.06</v>
      </c>
    </row>
    <row r="43" spans="1:28" x14ac:dyDescent="0.35">
      <c r="A43" t="s">
        <v>43</v>
      </c>
      <c r="B43" t="s">
        <v>29</v>
      </c>
      <c r="C43">
        <v>25</v>
      </c>
      <c r="D43" t="s">
        <v>18</v>
      </c>
      <c r="E43">
        <v>500</v>
      </c>
      <c r="F43">
        <v>170000</v>
      </c>
      <c r="G43">
        <v>1300</v>
      </c>
      <c r="H43">
        <v>1445</v>
      </c>
      <c r="I43">
        <v>1</v>
      </c>
      <c r="J43">
        <v>0.23500000000000001</v>
      </c>
      <c r="K43">
        <v>5.3</v>
      </c>
      <c r="L43">
        <v>2.0405000000000002E-3</v>
      </c>
      <c r="M43">
        <v>0.04</v>
      </c>
      <c r="N43">
        <v>1</v>
      </c>
      <c r="O43">
        <v>0</v>
      </c>
      <c r="P43">
        <v>0</v>
      </c>
      <c r="Q43">
        <v>1</v>
      </c>
      <c r="R43">
        <v>3.8400000000000001E-4</v>
      </c>
      <c r="S43">
        <v>0</v>
      </c>
      <c r="T43">
        <v>1</v>
      </c>
      <c r="U43">
        <v>84.97</v>
      </c>
      <c r="V43">
        <v>25.81</v>
      </c>
      <c r="W43" s="5">
        <v>0.5</v>
      </c>
      <c r="X43" s="2">
        <f t="shared" si="3"/>
        <v>42.484999999999999</v>
      </c>
      <c r="Y43" s="2">
        <f t="shared" si="4"/>
        <v>68.295000000000002</v>
      </c>
      <c r="Z43" s="4">
        <v>145</v>
      </c>
      <c r="AA43" s="4"/>
      <c r="AB43">
        <f t="shared" si="5"/>
        <v>110.78</v>
      </c>
    </row>
    <row r="44" spans="1:28" x14ac:dyDescent="0.35">
      <c r="A44" t="s">
        <v>43</v>
      </c>
      <c r="B44" t="s">
        <v>30</v>
      </c>
      <c r="C44">
        <v>25</v>
      </c>
      <c r="D44" t="s">
        <v>18</v>
      </c>
      <c r="E44">
        <v>500</v>
      </c>
      <c r="F44">
        <v>170000</v>
      </c>
      <c r="G44">
        <v>1300</v>
      </c>
      <c r="H44">
        <v>1445</v>
      </c>
      <c r="I44">
        <v>1</v>
      </c>
      <c r="J44">
        <v>0.25</v>
      </c>
      <c r="K44">
        <v>5.3</v>
      </c>
      <c r="L44">
        <v>0</v>
      </c>
      <c r="M44">
        <v>6.9999999999999993E-2</v>
      </c>
      <c r="N44">
        <v>1</v>
      </c>
      <c r="O44">
        <v>6.1599333517241381E-4</v>
      </c>
      <c r="P44">
        <v>0.04</v>
      </c>
      <c r="Q44">
        <v>1</v>
      </c>
      <c r="R44">
        <v>0</v>
      </c>
      <c r="S44">
        <v>0</v>
      </c>
      <c r="T44">
        <v>1</v>
      </c>
      <c r="U44">
        <v>15.235999999999999</v>
      </c>
      <c r="V44">
        <v>4.6280000000000001</v>
      </c>
      <c r="W44" s="5">
        <v>0.5</v>
      </c>
      <c r="X44" s="2">
        <f t="shared" si="3"/>
        <v>7.6179999999999994</v>
      </c>
      <c r="Y44" s="2">
        <f t="shared" si="4"/>
        <v>12.245999999999999</v>
      </c>
      <c r="Z44" s="4">
        <v>26</v>
      </c>
      <c r="AA44" s="4"/>
      <c r="AB44">
        <f t="shared" si="5"/>
        <v>19.863999999999997</v>
      </c>
    </row>
    <row r="45" spans="1:28" x14ac:dyDescent="0.35">
      <c r="A45" t="s">
        <v>43</v>
      </c>
      <c r="B45" t="s">
        <v>31</v>
      </c>
      <c r="C45">
        <v>25</v>
      </c>
      <c r="D45" t="s">
        <v>18</v>
      </c>
      <c r="E45">
        <v>500</v>
      </c>
      <c r="F45">
        <v>170000</v>
      </c>
      <c r="G45">
        <v>1300</v>
      </c>
      <c r="H45">
        <v>1445</v>
      </c>
      <c r="I45">
        <v>1</v>
      </c>
      <c r="J45">
        <v>0.26</v>
      </c>
      <c r="K45">
        <v>5.3</v>
      </c>
      <c r="L45">
        <v>1.3621000000000002E-3</v>
      </c>
      <c r="M45">
        <v>0.04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 s="5">
        <v>0.5</v>
      </c>
      <c r="X45" s="2">
        <f t="shared" si="3"/>
        <v>0</v>
      </c>
      <c r="Y45" s="2">
        <f t="shared" si="4"/>
        <v>0</v>
      </c>
      <c r="Z45" s="4">
        <v>0</v>
      </c>
      <c r="AA45" s="4"/>
      <c r="AB45">
        <f t="shared" si="5"/>
        <v>0</v>
      </c>
    </row>
    <row r="46" spans="1:28" x14ac:dyDescent="0.35">
      <c r="A46" t="s">
        <v>44</v>
      </c>
      <c r="B46" t="s">
        <v>19</v>
      </c>
      <c r="C46">
        <v>25</v>
      </c>
      <c r="D46" t="s">
        <v>18</v>
      </c>
      <c r="E46">
        <v>500</v>
      </c>
      <c r="F46">
        <v>170000</v>
      </c>
      <c r="G46">
        <v>1300</v>
      </c>
      <c r="H46">
        <v>1445</v>
      </c>
      <c r="I46">
        <v>1</v>
      </c>
      <c r="J46">
        <v>0.26</v>
      </c>
      <c r="K46">
        <v>5.25</v>
      </c>
      <c r="L46">
        <v>2.02125E-3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49.223999999999997</v>
      </c>
      <c r="V46">
        <v>14.952</v>
      </c>
      <c r="W46" s="5">
        <v>0</v>
      </c>
      <c r="X46" s="2">
        <f t="shared" ref="X46:X48" si="6">U46*(1-W46)</f>
        <v>49.223999999999997</v>
      </c>
      <c r="Y46" s="2">
        <f t="shared" ref="Y46:Y48" si="7">U46*W46 + V46</f>
        <v>14.952</v>
      </c>
      <c r="Z46" s="4">
        <v>84</v>
      </c>
      <c r="AA46" s="4"/>
      <c r="AB46">
        <f t="shared" si="5"/>
        <v>64.176000000000002</v>
      </c>
    </row>
    <row r="47" spans="1:28" x14ac:dyDescent="0.35">
      <c r="A47" t="s">
        <v>44</v>
      </c>
      <c r="B47" t="s">
        <v>20</v>
      </c>
      <c r="C47">
        <v>25</v>
      </c>
      <c r="D47" t="s">
        <v>18</v>
      </c>
      <c r="E47">
        <v>500</v>
      </c>
      <c r="F47">
        <v>170000</v>
      </c>
      <c r="G47">
        <v>1300</v>
      </c>
      <c r="H47">
        <v>1445</v>
      </c>
      <c r="I47">
        <v>1</v>
      </c>
      <c r="J47">
        <v>0.25</v>
      </c>
      <c r="K47">
        <v>5.25</v>
      </c>
      <c r="L47">
        <v>1.0240000000000001E-4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27.541999999999998</v>
      </c>
      <c r="V47">
        <v>8.3659999999999997</v>
      </c>
      <c r="W47" s="5">
        <v>0</v>
      </c>
      <c r="X47" s="2">
        <f t="shared" si="6"/>
        <v>27.541999999999998</v>
      </c>
      <c r="Y47" s="2">
        <f t="shared" si="7"/>
        <v>8.3659999999999997</v>
      </c>
      <c r="Z47" s="4">
        <v>47</v>
      </c>
      <c r="AA47" s="4"/>
      <c r="AB47">
        <f t="shared" si="5"/>
        <v>35.908000000000001</v>
      </c>
    </row>
    <row r="48" spans="1:28" x14ac:dyDescent="0.35">
      <c r="A48" t="s">
        <v>44</v>
      </c>
      <c r="B48" t="s">
        <v>23</v>
      </c>
      <c r="C48">
        <v>25</v>
      </c>
      <c r="D48" t="s">
        <v>18</v>
      </c>
      <c r="E48">
        <v>500</v>
      </c>
      <c r="F48">
        <v>170000</v>
      </c>
      <c r="G48">
        <v>1300</v>
      </c>
      <c r="H48">
        <v>1445</v>
      </c>
      <c r="I48">
        <v>1</v>
      </c>
      <c r="J48">
        <v>0.23500000000000001</v>
      </c>
      <c r="K48">
        <v>5.25</v>
      </c>
      <c r="L48">
        <v>2.6932500000000003E-3</v>
      </c>
      <c r="M48">
        <v>0.04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73.25</v>
      </c>
      <c r="V48">
        <v>22.25</v>
      </c>
      <c r="W48" s="5">
        <v>0</v>
      </c>
      <c r="X48" s="2">
        <f t="shared" si="6"/>
        <v>73.25</v>
      </c>
      <c r="Y48" s="2">
        <f t="shared" si="7"/>
        <v>22.25</v>
      </c>
      <c r="Z48" s="4">
        <v>125</v>
      </c>
      <c r="AA48" s="4"/>
      <c r="AB48">
        <f t="shared" si="5"/>
        <v>95.5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2025-11-10T16:46:55Z</dcterms:modified>
</cp:coreProperties>
</file>