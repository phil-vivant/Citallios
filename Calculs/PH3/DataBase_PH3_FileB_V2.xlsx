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3BC14680-4599-4446-B2BD-F1742FF15FB2}" xr6:coauthVersionLast="47" xr6:coauthVersionMax="47" xr10:uidLastSave="{00000000-0000-0000-0000-000000000000}"/>
  <bookViews>
    <workbookView xWindow="51290" yWindow="138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" i="1" l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AB51" i="1" s="1"/>
  <c r="Y51" i="1"/>
  <c r="X52" i="1"/>
  <c r="Y52" i="1"/>
  <c r="X53" i="1"/>
  <c r="Y53" i="1"/>
  <c r="X54" i="1"/>
  <c r="Y54" i="1"/>
  <c r="X55" i="1"/>
  <c r="Y55" i="1"/>
  <c r="Y2" i="1"/>
  <c r="X2" i="1"/>
  <c r="Y41" i="1"/>
  <c r="X35" i="1"/>
  <c r="Y34" i="1"/>
  <c r="X30" i="1"/>
  <c r="X26" i="1"/>
  <c r="Y25" i="1"/>
  <c r="X20" i="1"/>
  <c r="X21" i="1"/>
  <c r="Y21" i="1"/>
  <c r="X22" i="1"/>
  <c r="Y22" i="1"/>
  <c r="X23" i="1"/>
  <c r="Y23" i="1"/>
  <c r="X24" i="1"/>
  <c r="Y24" i="1"/>
  <c r="X25" i="1"/>
  <c r="X27" i="1"/>
  <c r="Y27" i="1"/>
  <c r="X28" i="1"/>
  <c r="Y28" i="1"/>
  <c r="X29" i="1"/>
  <c r="Y29" i="1"/>
  <c r="X31" i="1"/>
  <c r="Y31" i="1"/>
  <c r="X32" i="1"/>
  <c r="Y32" i="1"/>
  <c r="AB32" i="1" s="1"/>
  <c r="X33" i="1"/>
  <c r="Y33" i="1"/>
  <c r="X34" i="1"/>
  <c r="X36" i="1"/>
  <c r="Y36" i="1"/>
  <c r="X37" i="1"/>
  <c r="Y37" i="1"/>
  <c r="X38" i="1"/>
  <c r="Y38" i="1"/>
  <c r="X39" i="1"/>
  <c r="Y39" i="1"/>
  <c r="X40" i="1"/>
  <c r="Y40" i="1"/>
  <c r="X41" i="1"/>
  <c r="X42" i="1"/>
  <c r="Y42" i="1"/>
  <c r="AB52" i="1" l="1"/>
  <c r="AB50" i="1"/>
  <c r="AB47" i="1"/>
  <c r="AB48" i="1"/>
  <c r="AB49" i="1"/>
  <c r="AB45" i="1"/>
  <c r="AB54" i="1"/>
  <c r="AB53" i="1"/>
  <c r="AB46" i="1"/>
  <c r="AB43" i="1"/>
  <c r="AB44" i="1"/>
  <c r="AB55" i="1"/>
  <c r="AB2" i="1"/>
  <c r="AB28" i="1"/>
  <c r="AB36" i="1"/>
  <c r="AB27" i="1"/>
  <c r="AB37" i="1"/>
  <c r="AB29" i="1"/>
  <c r="AB31" i="1"/>
  <c r="AB22" i="1"/>
  <c r="AB21" i="1"/>
  <c r="Y30" i="1"/>
  <c r="AB30" i="1" s="1"/>
  <c r="Y20" i="1"/>
  <c r="AB20" i="1" s="1"/>
  <c r="AB41" i="1"/>
  <c r="AB33" i="1"/>
  <c r="AB39" i="1"/>
  <c r="AB25" i="1"/>
  <c r="AB40" i="1"/>
  <c r="AB23" i="1"/>
  <c r="AB38" i="1"/>
  <c r="Y26" i="1"/>
  <c r="AB26" i="1" s="1"/>
  <c r="AB42" i="1"/>
  <c r="AB34" i="1"/>
  <c r="AB24" i="1"/>
  <c r="Y35" i="1"/>
  <c r="AB35" i="1" s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AB13" i="1" l="1"/>
  <c r="AB4" i="1"/>
  <c r="AB19" i="1"/>
  <c r="AB12" i="1"/>
  <c r="AB7" i="1"/>
  <c r="AB16" i="1"/>
  <c r="AB14" i="1"/>
  <c r="AB8" i="1"/>
  <c r="AB9" i="1"/>
  <c r="AB10" i="1"/>
  <c r="AB3" i="1"/>
  <c r="AB18" i="1"/>
  <c r="AB17" i="1"/>
  <c r="AB6" i="1"/>
  <c r="AB5" i="1"/>
</calcChain>
</file>

<file path=xl/sharedStrings.xml><?xml version="1.0" encoding="utf-8"?>
<sst xmlns="http://schemas.openxmlformats.org/spreadsheetml/2006/main" count="190" uniqueCount="49">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</sst>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C1" activePane="topRight" state="frozen"/>
      <selection pane="topRight" activeCell="A47" activeCellId="3" sqref="A17:XFD17 A27:XFD27 A37:XFD37 A47:XFD47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0.25</v>
      </c>
      <c r="K2">
        <v>2.6</v>
      </c>
      <c r="L2">
        <v>3.3280000000000001E-4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34.503680000000003</v>
      </c>
      <c r="V2" s="2">
        <v>10.480639999999999</v>
      </c>
      <c r="W2" s="3">
        <v>0</v>
      </c>
      <c r="X2" s="2">
        <f>U2*(1-W2)</f>
        <v>34.503680000000003</v>
      </c>
      <c r="Y2" s="2">
        <f>U2*W2 + V2</f>
        <v>10.480639999999999</v>
      </c>
      <c r="Z2" s="4">
        <v>58.88</v>
      </c>
      <c r="AA2" s="4"/>
      <c r="AB2" s="2">
        <f>X2+Y2</f>
        <v>44.984320000000004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2.6</v>
      </c>
      <c r="L3">
        <v>2.1000000000000003E-3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96.69</v>
      </c>
      <c r="V3" s="2">
        <v>29.369999999999997</v>
      </c>
      <c r="W3" s="3">
        <v>0</v>
      </c>
      <c r="X3" s="2">
        <f t="shared" ref="X3:X19" si="0">U3*(1-W3)</f>
        <v>96.69</v>
      </c>
      <c r="Y3" s="2">
        <f t="shared" ref="Y3:Y19" si="1">U3*W3 + V3</f>
        <v>29.369999999999997</v>
      </c>
      <c r="Z3" s="4">
        <v>165</v>
      </c>
      <c r="AA3" s="4"/>
      <c r="AB3">
        <f t="shared" ref="AB3:AB19" si="2">X3+Y3</f>
        <v>126.06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0.25</v>
      </c>
      <c r="K4">
        <v>2.6</v>
      </c>
      <c r="L4">
        <v>3.3280000000000001E-4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5.7600000000000001E-4</v>
      </c>
      <c r="S4">
        <v>0</v>
      </c>
      <c r="T4">
        <v>1</v>
      </c>
      <c r="U4" s="2">
        <v>48.005119999999998</v>
      </c>
      <c r="V4" s="2">
        <v>14.581759999999999</v>
      </c>
      <c r="W4" s="3">
        <v>0</v>
      </c>
      <c r="X4" s="2">
        <f t="shared" si="0"/>
        <v>48.005119999999998</v>
      </c>
      <c r="Y4" s="2">
        <f t="shared" si="1"/>
        <v>14.581759999999999</v>
      </c>
      <c r="Z4" s="4">
        <v>81.92</v>
      </c>
      <c r="AA4" s="4"/>
      <c r="AB4">
        <f t="shared" si="2"/>
        <v>62.586879999999994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0.25</v>
      </c>
      <c r="K5">
        <v>2.6</v>
      </c>
      <c r="L5">
        <v>2.4000000000000002E-3</v>
      </c>
      <c r="M5">
        <v>6.9999999999999993E-2</v>
      </c>
      <c r="N5">
        <v>1</v>
      </c>
      <c r="O5">
        <v>0</v>
      </c>
      <c r="P5">
        <v>0</v>
      </c>
      <c r="Q5">
        <v>1</v>
      </c>
      <c r="R5">
        <v>1.92E-4</v>
      </c>
      <c r="S5">
        <v>0</v>
      </c>
      <c r="T5">
        <v>1</v>
      </c>
      <c r="U5" s="2">
        <v>125.697</v>
      </c>
      <c r="V5" s="2">
        <v>38.181000000000004</v>
      </c>
      <c r="W5" s="3">
        <v>0</v>
      </c>
      <c r="X5" s="2">
        <f t="shared" si="0"/>
        <v>125.697</v>
      </c>
      <c r="Y5" s="2">
        <f t="shared" si="1"/>
        <v>38.181000000000004</v>
      </c>
      <c r="Z5" s="4">
        <v>214.50000000000003</v>
      </c>
      <c r="AA5" s="4"/>
      <c r="AB5">
        <f t="shared" si="2"/>
        <v>163.87800000000001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0.25</v>
      </c>
      <c r="K6">
        <v>2.6</v>
      </c>
      <c r="L6">
        <v>3.3280000000000001E-4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5.7600000000000001E-4</v>
      </c>
      <c r="S6">
        <v>0</v>
      </c>
      <c r="T6">
        <v>1</v>
      </c>
      <c r="U6" s="2">
        <v>48.005119999999998</v>
      </c>
      <c r="V6">
        <v>14.581759999999999</v>
      </c>
      <c r="W6" s="3">
        <v>0</v>
      </c>
      <c r="X6" s="2">
        <f t="shared" si="0"/>
        <v>48.005119999999998</v>
      </c>
      <c r="Y6" s="2">
        <f t="shared" si="1"/>
        <v>14.581759999999999</v>
      </c>
      <c r="Z6" s="4">
        <v>81.92</v>
      </c>
      <c r="AA6" s="4"/>
      <c r="AB6">
        <f t="shared" si="2"/>
        <v>62.586879999999994</v>
      </c>
      <c r="AL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2.6</v>
      </c>
      <c r="L7">
        <v>2.1000000000000003E-3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1.92E-4</v>
      </c>
      <c r="S7">
        <v>0</v>
      </c>
      <c r="T7">
        <v>1</v>
      </c>
      <c r="U7" s="2">
        <v>128.92000000000002</v>
      </c>
      <c r="V7" s="2">
        <v>39.160000000000004</v>
      </c>
      <c r="W7" s="3">
        <v>0</v>
      </c>
      <c r="X7" s="2">
        <f t="shared" si="0"/>
        <v>128.92000000000002</v>
      </c>
      <c r="Y7" s="2">
        <f t="shared" si="1"/>
        <v>39.160000000000004</v>
      </c>
      <c r="Z7" s="4">
        <v>220.00000000000003</v>
      </c>
      <c r="AA7" s="4"/>
      <c r="AB7">
        <f t="shared" si="2"/>
        <v>168.08</v>
      </c>
      <c r="AL7" s="2"/>
      <c r="AM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0.25</v>
      </c>
      <c r="K8">
        <v>2.6</v>
      </c>
      <c r="L8">
        <v>3.3280000000000001E-4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5.7600000000000001E-4</v>
      </c>
      <c r="S8">
        <v>0</v>
      </c>
      <c r="T8">
        <v>1</v>
      </c>
      <c r="U8" s="2">
        <v>53.255679999999991</v>
      </c>
      <c r="V8">
        <v>16.176639999999999</v>
      </c>
      <c r="W8" s="3">
        <v>0</v>
      </c>
      <c r="X8" s="2">
        <f t="shared" si="0"/>
        <v>53.255679999999991</v>
      </c>
      <c r="Y8" s="2">
        <f t="shared" si="1"/>
        <v>16.176639999999999</v>
      </c>
      <c r="Z8" s="4">
        <v>90.88</v>
      </c>
      <c r="AA8" s="4"/>
      <c r="AB8">
        <f t="shared" si="2"/>
        <v>69.43231999999999</v>
      </c>
      <c r="AL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0.25</v>
      </c>
      <c r="K9">
        <v>2.6</v>
      </c>
      <c r="L9">
        <v>2.1000000000000003E-3</v>
      </c>
      <c r="M9">
        <v>6.9999999999999993E-2</v>
      </c>
      <c r="N9">
        <v>1</v>
      </c>
      <c r="O9">
        <v>0</v>
      </c>
      <c r="P9">
        <v>0</v>
      </c>
      <c r="Q9">
        <v>1</v>
      </c>
      <c r="R9">
        <v>3.8400000000000001E-4</v>
      </c>
      <c r="S9">
        <v>0</v>
      </c>
      <c r="T9">
        <v>1</v>
      </c>
      <c r="U9" s="2">
        <v>135.36600000000001</v>
      </c>
      <c r="V9" s="2">
        <v>41.118000000000002</v>
      </c>
      <c r="W9" s="3">
        <v>0</v>
      </c>
      <c r="X9" s="2">
        <f t="shared" si="0"/>
        <v>135.36600000000001</v>
      </c>
      <c r="Y9" s="2">
        <f t="shared" si="1"/>
        <v>41.118000000000002</v>
      </c>
      <c r="Z9" s="4">
        <v>231.00000000000003</v>
      </c>
      <c r="AA9" s="4"/>
      <c r="AB9">
        <f t="shared" si="2"/>
        <v>176.48400000000001</v>
      </c>
      <c r="AL9" s="2"/>
      <c r="AM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0.25</v>
      </c>
      <c r="K10">
        <v>2.6</v>
      </c>
      <c r="L10">
        <v>3.3280000000000001E-4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5.7600000000000001E-4</v>
      </c>
      <c r="S10">
        <v>0</v>
      </c>
      <c r="T10">
        <v>1</v>
      </c>
      <c r="U10" s="2">
        <v>53.255679999999991</v>
      </c>
      <c r="V10" s="2">
        <v>16.176639999999999</v>
      </c>
      <c r="W10" s="3">
        <v>0</v>
      </c>
      <c r="X10" s="2">
        <f t="shared" si="0"/>
        <v>53.255679999999991</v>
      </c>
      <c r="Y10" s="2">
        <f t="shared" si="1"/>
        <v>16.176639999999999</v>
      </c>
      <c r="Z10" s="4">
        <v>90.88</v>
      </c>
      <c r="AA10" s="4"/>
      <c r="AB10">
        <f t="shared" si="2"/>
        <v>69.43231999999999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2.6</v>
      </c>
      <c r="L11">
        <v>2.1000000000000003E-3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3.8400000000000001E-4</v>
      </c>
      <c r="S11">
        <v>0</v>
      </c>
      <c r="T11">
        <v>1</v>
      </c>
      <c r="U11" s="2">
        <v>138.589</v>
      </c>
      <c r="V11">
        <v>42.097000000000001</v>
      </c>
      <c r="W11" s="3">
        <v>0</v>
      </c>
      <c r="X11" s="2">
        <f t="shared" si="0"/>
        <v>138.589</v>
      </c>
      <c r="Y11" s="2">
        <f t="shared" si="1"/>
        <v>42.097000000000001</v>
      </c>
      <c r="Z11" s="4">
        <v>236.50000000000003</v>
      </c>
      <c r="AA11" s="4"/>
      <c r="AB11">
        <f t="shared" si="2"/>
        <v>180.68600000000001</v>
      </c>
      <c r="AL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0.25</v>
      </c>
      <c r="K12">
        <v>2.6</v>
      </c>
      <c r="L12">
        <v>3.3280000000000001E-4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5.7600000000000001E-4</v>
      </c>
      <c r="S12">
        <v>0</v>
      </c>
      <c r="T12">
        <v>1</v>
      </c>
      <c r="U12" s="2">
        <v>55.505919999999996</v>
      </c>
      <c r="V12" s="2">
        <v>16.86016</v>
      </c>
      <c r="W12" s="3">
        <v>0</v>
      </c>
      <c r="X12" s="2">
        <f t="shared" si="0"/>
        <v>55.505919999999996</v>
      </c>
      <c r="Y12" s="2">
        <f t="shared" si="1"/>
        <v>16.86016</v>
      </c>
      <c r="Z12" s="4">
        <v>94.72</v>
      </c>
      <c r="AA12" s="4"/>
      <c r="AB12">
        <f t="shared" si="2"/>
        <v>72.366079999999997</v>
      </c>
      <c r="AL12" s="2"/>
      <c r="AM12" s="2"/>
    </row>
    <row r="13" spans="1:39" x14ac:dyDescent="0.35">
      <c r="A13" t="s">
        <v>40</v>
      </c>
      <c r="B13" t="s">
        <v>41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0.25</v>
      </c>
      <c r="K13">
        <v>2.6</v>
      </c>
      <c r="L13">
        <v>2.1000000000000003E-3</v>
      </c>
      <c r="M13">
        <v>6.9999999999999993E-2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124.40779999999999</v>
      </c>
      <c r="V13" s="2">
        <v>37.789400000000001</v>
      </c>
      <c r="W13" s="3">
        <v>0</v>
      </c>
      <c r="X13" s="2">
        <f t="shared" si="0"/>
        <v>124.40779999999999</v>
      </c>
      <c r="Y13" s="2">
        <f t="shared" si="1"/>
        <v>37.789400000000001</v>
      </c>
      <c r="Z13" s="4">
        <v>212.3</v>
      </c>
      <c r="AA13" s="4"/>
      <c r="AB13">
        <f t="shared" si="2"/>
        <v>162.19720000000001</v>
      </c>
      <c r="AL13" s="2"/>
      <c r="AM13" s="2"/>
    </row>
    <row r="14" spans="1:39" x14ac:dyDescent="0.35">
      <c r="A14" t="s">
        <v>40</v>
      </c>
      <c r="B14" t="s">
        <v>42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0.25</v>
      </c>
      <c r="K14">
        <v>2.6</v>
      </c>
      <c r="L14">
        <v>1E-3</v>
      </c>
      <c r="M14">
        <v>0.04</v>
      </c>
      <c r="N14">
        <v>1</v>
      </c>
      <c r="O14">
        <v>0</v>
      </c>
      <c r="P14">
        <v>0</v>
      </c>
      <c r="Q14">
        <v>1</v>
      </c>
      <c r="R14">
        <v>5.7600000000000001E-4</v>
      </c>
      <c r="S14">
        <v>0</v>
      </c>
      <c r="T14">
        <v>1</v>
      </c>
      <c r="U14" s="2">
        <v>48.755200000000002</v>
      </c>
      <c r="V14" s="2">
        <v>14.8096</v>
      </c>
      <c r="W14" s="3">
        <v>0</v>
      </c>
      <c r="X14" s="2">
        <f t="shared" si="0"/>
        <v>48.755200000000002</v>
      </c>
      <c r="Y14" s="2">
        <f t="shared" si="1"/>
        <v>14.8096</v>
      </c>
      <c r="Z14" s="4">
        <v>83.2</v>
      </c>
      <c r="AA14" s="4"/>
      <c r="AB14">
        <f t="shared" si="2"/>
        <v>63.564800000000005</v>
      </c>
      <c r="AL14" s="2"/>
      <c r="AM14" s="2"/>
    </row>
    <row r="15" spans="1:39" x14ac:dyDescent="0.35">
      <c r="A15" t="s">
        <v>40</v>
      </c>
      <c r="B15" t="s">
        <v>43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0.25</v>
      </c>
      <c r="K15">
        <v>2.6</v>
      </c>
      <c r="L15">
        <v>2.1000000000000003E-3</v>
      </c>
      <c r="M15">
        <v>7.4999999999999997E-2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 s="2">
        <v>121.82939999999999</v>
      </c>
      <c r="V15" s="2">
        <v>37.0062</v>
      </c>
      <c r="W15" s="3">
        <v>0</v>
      </c>
      <c r="X15" s="2">
        <f t="shared" si="0"/>
        <v>121.82939999999999</v>
      </c>
      <c r="Y15" s="2">
        <f t="shared" si="1"/>
        <v>37.0062</v>
      </c>
      <c r="Z15" s="4">
        <v>207.9</v>
      </c>
      <c r="AA15" s="4"/>
      <c r="AB15">
        <f t="shared" si="2"/>
        <v>158.8356</v>
      </c>
      <c r="AL15" s="2"/>
    </row>
    <row r="16" spans="1:39" x14ac:dyDescent="0.35">
      <c r="A16" t="s">
        <v>40</v>
      </c>
      <c r="B16" t="s">
        <v>44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0.25</v>
      </c>
      <c r="K16">
        <v>2.6</v>
      </c>
      <c r="L16">
        <v>1E-3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2.8800000000000001E-4</v>
      </c>
      <c r="S16">
        <v>0</v>
      </c>
      <c r="T16">
        <v>1</v>
      </c>
      <c r="U16" s="2">
        <v>57.756160000000001</v>
      </c>
      <c r="V16">
        <v>17.543679999999998</v>
      </c>
      <c r="W16" s="3">
        <v>0</v>
      </c>
      <c r="X16" s="2">
        <f t="shared" si="0"/>
        <v>57.756160000000001</v>
      </c>
      <c r="Y16" s="2">
        <f t="shared" si="1"/>
        <v>17.543679999999998</v>
      </c>
      <c r="Z16" s="4">
        <v>98.56</v>
      </c>
      <c r="AA16" s="4"/>
      <c r="AB16">
        <f t="shared" si="2"/>
        <v>75.299840000000003</v>
      </c>
      <c r="AL16" s="2"/>
    </row>
    <row r="17" spans="1:38" x14ac:dyDescent="0.35">
      <c r="A17" t="s">
        <v>45</v>
      </c>
      <c r="B17" t="s">
        <v>19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0.22</v>
      </c>
      <c r="K17">
        <v>2.33</v>
      </c>
      <c r="L17">
        <v>7.4800000000000008E-4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51.755520000000004</v>
      </c>
      <c r="V17">
        <v>15.72096</v>
      </c>
      <c r="W17" s="3">
        <v>0</v>
      </c>
      <c r="X17" s="2">
        <f t="shared" si="0"/>
        <v>51.755520000000004</v>
      </c>
      <c r="Y17" s="2">
        <f t="shared" si="1"/>
        <v>15.72096</v>
      </c>
      <c r="Z17" s="4">
        <v>88.320000000000007</v>
      </c>
      <c r="AA17" s="4"/>
      <c r="AB17">
        <f t="shared" si="2"/>
        <v>67.476480000000009</v>
      </c>
      <c r="AL17" s="2"/>
    </row>
    <row r="18" spans="1:38" x14ac:dyDescent="0.35">
      <c r="A18" t="s">
        <v>45</v>
      </c>
      <c r="B18" t="s">
        <v>20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0.22</v>
      </c>
      <c r="K18">
        <v>2.33</v>
      </c>
      <c r="L18">
        <v>2.0690000000000001E-3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23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0.22</v>
      </c>
      <c r="K19">
        <v>2.33</v>
      </c>
      <c r="L19">
        <v>7.4800000000000008E-4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11.251199999999999</v>
      </c>
      <c r="V19">
        <v>3.4175999999999997</v>
      </c>
      <c r="W19" s="3">
        <v>0</v>
      </c>
      <c r="X19" s="2">
        <f t="shared" si="0"/>
        <v>11.251199999999999</v>
      </c>
      <c r="Y19" s="2">
        <f t="shared" si="1"/>
        <v>3.4175999999999997</v>
      </c>
      <c r="Z19" s="4">
        <v>19.2</v>
      </c>
      <c r="AA19" s="4"/>
      <c r="AB19">
        <f t="shared" si="2"/>
        <v>14.668799999999999</v>
      </c>
      <c r="AL19" s="2"/>
    </row>
    <row r="20" spans="1:38" x14ac:dyDescent="0.35">
      <c r="A20" t="s">
        <v>45</v>
      </c>
      <c r="B20" t="s">
        <v>24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0.22</v>
      </c>
      <c r="K20">
        <v>2.33</v>
      </c>
      <c r="L20">
        <v>1.9399999999999999E-3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88.954800000000006</v>
      </c>
      <c r="V20">
        <v>27.020400000000002</v>
      </c>
      <c r="W20" s="5">
        <v>0</v>
      </c>
      <c r="X20" s="2">
        <f t="shared" ref="X20:X42" si="3">U20*(1-W20)</f>
        <v>88.954800000000006</v>
      </c>
      <c r="Y20" s="2">
        <f t="shared" ref="Y20:Y42" si="4">U20*W20 + V20</f>
        <v>27.020400000000002</v>
      </c>
      <c r="Z20" s="4">
        <v>151.80000000000001</v>
      </c>
      <c r="AA20" s="4"/>
      <c r="AB20">
        <f t="shared" ref="AB20:AB55" si="5">X20+Y20</f>
        <v>115.9752</v>
      </c>
    </row>
    <row r="21" spans="1:38" x14ac:dyDescent="0.35">
      <c r="A21" t="s">
        <v>45</v>
      </c>
      <c r="B21" t="s">
        <v>25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0.22</v>
      </c>
      <c r="K21">
        <v>2.33</v>
      </c>
      <c r="L21">
        <v>1.0460000000000001E-3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2.8800000000000001E-4</v>
      </c>
      <c r="S21">
        <v>0</v>
      </c>
      <c r="T21">
        <v>1</v>
      </c>
      <c r="U21" s="2">
        <v>53.255679999999991</v>
      </c>
      <c r="V21">
        <v>16.176639999999999</v>
      </c>
      <c r="W21" s="5">
        <v>0</v>
      </c>
      <c r="X21" s="2">
        <f t="shared" si="3"/>
        <v>53.255679999999991</v>
      </c>
      <c r="Y21" s="2">
        <f t="shared" si="4"/>
        <v>16.176639999999999</v>
      </c>
      <c r="Z21" s="4">
        <v>90.88</v>
      </c>
      <c r="AA21" s="4"/>
      <c r="AB21">
        <f t="shared" si="5"/>
        <v>69.43231999999999</v>
      </c>
    </row>
    <row r="22" spans="1:38" x14ac:dyDescent="0.35">
      <c r="A22" t="s">
        <v>45</v>
      </c>
      <c r="B22" t="s">
        <v>26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0.22</v>
      </c>
      <c r="K22">
        <v>2.33</v>
      </c>
      <c r="L22">
        <v>1.6670000000000003E-3</v>
      </c>
      <c r="M22">
        <v>0.08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122.474</v>
      </c>
      <c r="V22">
        <v>37.202000000000005</v>
      </c>
      <c r="W22" s="5">
        <v>0</v>
      </c>
      <c r="X22" s="2">
        <f t="shared" si="3"/>
        <v>122.474</v>
      </c>
      <c r="Y22" s="2">
        <f t="shared" si="4"/>
        <v>37.202000000000005</v>
      </c>
      <c r="Z22" s="4">
        <v>209.00000000000003</v>
      </c>
      <c r="AA22" s="4"/>
      <c r="AB22">
        <f t="shared" si="5"/>
        <v>159.67600000000002</v>
      </c>
    </row>
    <row r="23" spans="1:38" x14ac:dyDescent="0.35">
      <c r="A23" t="s">
        <v>45</v>
      </c>
      <c r="B23" t="s">
        <v>27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0.22</v>
      </c>
      <c r="K23">
        <v>2.33</v>
      </c>
      <c r="L23">
        <v>1.0460000000000001E-3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1.92E-4</v>
      </c>
      <c r="S23">
        <v>0</v>
      </c>
      <c r="T23">
        <v>1</v>
      </c>
      <c r="U23">
        <v>46.504959999999997</v>
      </c>
      <c r="V23">
        <v>14.12608</v>
      </c>
      <c r="W23" s="5">
        <v>0</v>
      </c>
      <c r="X23" s="2">
        <f t="shared" si="3"/>
        <v>46.504959999999997</v>
      </c>
      <c r="Y23" s="2">
        <f t="shared" si="4"/>
        <v>14.12608</v>
      </c>
      <c r="Z23" s="4">
        <v>79.36</v>
      </c>
      <c r="AA23" s="4"/>
      <c r="AB23">
        <f t="shared" si="5"/>
        <v>60.631039999999999</v>
      </c>
    </row>
    <row r="24" spans="1:38" x14ac:dyDescent="0.35">
      <c r="A24" t="s">
        <v>45</v>
      </c>
      <c r="B24" t="s">
        <v>28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0.22</v>
      </c>
      <c r="K24">
        <v>2.33</v>
      </c>
      <c r="L24">
        <v>1.9399999999999999E-3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3.8400000000000001E-4</v>
      </c>
      <c r="S24">
        <v>0</v>
      </c>
      <c r="T24">
        <v>1</v>
      </c>
      <c r="U24">
        <v>109.58200000000001</v>
      </c>
      <c r="V24">
        <v>33.286000000000001</v>
      </c>
      <c r="W24" s="5">
        <v>0</v>
      </c>
      <c r="X24" s="2">
        <f t="shared" si="3"/>
        <v>109.58200000000001</v>
      </c>
      <c r="Y24" s="2">
        <f t="shared" si="4"/>
        <v>33.286000000000001</v>
      </c>
      <c r="Z24" s="4">
        <v>187.00000000000003</v>
      </c>
      <c r="AA24" s="4"/>
      <c r="AB24">
        <f t="shared" si="5"/>
        <v>142.86799999999999</v>
      </c>
    </row>
    <row r="25" spans="1:38" x14ac:dyDescent="0.35">
      <c r="A25" t="s">
        <v>45</v>
      </c>
      <c r="B25" t="s">
        <v>29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0.22</v>
      </c>
      <c r="K25">
        <v>2.33</v>
      </c>
      <c r="L25">
        <v>1.0460000000000001E-3</v>
      </c>
      <c r="M25">
        <v>0.04</v>
      </c>
      <c r="N25">
        <v>1</v>
      </c>
      <c r="O25">
        <v>0</v>
      </c>
      <c r="P25">
        <v>0</v>
      </c>
      <c r="Q25">
        <v>1</v>
      </c>
      <c r="R25">
        <v>1.92E-4</v>
      </c>
      <c r="S25">
        <v>0</v>
      </c>
      <c r="T25">
        <v>1</v>
      </c>
      <c r="U25">
        <v>40.50432</v>
      </c>
      <c r="V25">
        <v>12.30336</v>
      </c>
      <c r="W25" s="5">
        <v>0</v>
      </c>
      <c r="X25" s="2">
        <f t="shared" si="3"/>
        <v>40.50432</v>
      </c>
      <c r="Y25" s="2">
        <f t="shared" si="4"/>
        <v>12.30336</v>
      </c>
      <c r="Z25" s="4">
        <v>69.12</v>
      </c>
      <c r="AA25" s="4"/>
      <c r="AB25">
        <f t="shared" si="5"/>
        <v>52.807679999999998</v>
      </c>
    </row>
    <row r="26" spans="1:38" x14ac:dyDescent="0.35">
      <c r="A26" t="s">
        <v>46</v>
      </c>
      <c r="B26" t="s">
        <v>19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0.25</v>
      </c>
      <c r="K26">
        <v>2.33</v>
      </c>
      <c r="L26">
        <v>5.9000000000000003E-4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31.503359999999997</v>
      </c>
      <c r="V26">
        <v>9.5692799999999991</v>
      </c>
      <c r="W26" s="5">
        <v>0</v>
      </c>
      <c r="X26" s="2">
        <f t="shared" si="3"/>
        <v>31.503359999999997</v>
      </c>
      <c r="Y26" s="2">
        <f t="shared" si="4"/>
        <v>9.5692799999999991</v>
      </c>
      <c r="Z26" s="4">
        <v>53.76</v>
      </c>
      <c r="AA26" s="4"/>
      <c r="AB26">
        <f t="shared" si="5"/>
        <v>41.072639999999993</v>
      </c>
    </row>
    <row r="27" spans="1:38" x14ac:dyDescent="0.35">
      <c r="A27" t="s">
        <v>46</v>
      </c>
      <c r="B27" t="s">
        <v>20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0.25</v>
      </c>
      <c r="K27">
        <v>2.33</v>
      </c>
      <c r="L27">
        <v>2.0690000000000001E-3</v>
      </c>
      <c r="M27">
        <v>6.9999999999999993E-2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35.453000000000003</v>
      </c>
      <c r="V27">
        <v>10.769</v>
      </c>
      <c r="W27" s="5">
        <v>0</v>
      </c>
      <c r="X27" s="2">
        <f t="shared" si="3"/>
        <v>35.453000000000003</v>
      </c>
      <c r="Y27" s="2">
        <f t="shared" si="4"/>
        <v>10.769</v>
      </c>
      <c r="Z27" s="4">
        <v>60.500000000000007</v>
      </c>
      <c r="AA27" s="4"/>
      <c r="AB27">
        <f t="shared" si="5"/>
        <v>46.222000000000001</v>
      </c>
    </row>
    <row r="28" spans="1:38" x14ac:dyDescent="0.35">
      <c r="A28" t="s">
        <v>46</v>
      </c>
      <c r="B28" t="s">
        <v>23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0.25</v>
      </c>
      <c r="K28">
        <v>2.33</v>
      </c>
      <c r="L28">
        <v>5.9000000000000003E-4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3.7504</v>
      </c>
      <c r="V28">
        <v>1.1392</v>
      </c>
      <c r="W28" s="5">
        <v>0</v>
      </c>
      <c r="X28" s="2">
        <f t="shared" si="3"/>
        <v>3.7504</v>
      </c>
      <c r="Y28" s="2">
        <f t="shared" si="4"/>
        <v>1.1392</v>
      </c>
      <c r="Z28" s="4">
        <v>6.4</v>
      </c>
      <c r="AA28" s="4"/>
      <c r="AB28">
        <f t="shared" si="5"/>
        <v>4.8895999999999997</v>
      </c>
    </row>
    <row r="29" spans="1:38" x14ac:dyDescent="0.35">
      <c r="A29" t="s">
        <v>46</v>
      </c>
      <c r="B29" t="s">
        <v>24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2.33</v>
      </c>
      <c r="L29">
        <v>1.9399999999999999E-3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35.453000000000003</v>
      </c>
      <c r="V29">
        <v>10.769</v>
      </c>
      <c r="W29" s="5">
        <v>0</v>
      </c>
      <c r="X29" s="2">
        <f t="shared" si="3"/>
        <v>35.453000000000003</v>
      </c>
      <c r="Y29" s="2">
        <f t="shared" si="4"/>
        <v>10.769</v>
      </c>
      <c r="Z29" s="4">
        <v>60.500000000000007</v>
      </c>
      <c r="AA29" s="4"/>
      <c r="AB29">
        <f t="shared" si="5"/>
        <v>46.222000000000001</v>
      </c>
    </row>
    <row r="30" spans="1:38" x14ac:dyDescent="0.35">
      <c r="A30" t="s">
        <v>46</v>
      </c>
      <c r="B30" t="s">
        <v>25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0.25</v>
      </c>
      <c r="K30">
        <v>2.33</v>
      </c>
      <c r="L30">
        <v>9.0000000000000008E-4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36.003839999999997</v>
      </c>
      <c r="V30">
        <v>10.936319999999998</v>
      </c>
      <c r="W30" s="5">
        <v>0</v>
      </c>
      <c r="X30" s="2">
        <f t="shared" si="3"/>
        <v>36.003839999999997</v>
      </c>
      <c r="Y30" s="2">
        <f t="shared" si="4"/>
        <v>10.936319999999998</v>
      </c>
      <c r="Z30" s="4">
        <v>61.44</v>
      </c>
      <c r="AA30" s="4"/>
      <c r="AB30">
        <f t="shared" si="5"/>
        <v>46.940159999999992</v>
      </c>
    </row>
    <row r="31" spans="1:38" x14ac:dyDescent="0.35">
      <c r="A31" t="s">
        <v>46</v>
      </c>
      <c r="B31" t="s">
        <v>26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0.25</v>
      </c>
      <c r="K31">
        <v>2.33</v>
      </c>
      <c r="L31">
        <v>1.9399999999999999E-3</v>
      </c>
      <c r="M31">
        <v>6.9999999999999993E-2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58.014000000000003</v>
      </c>
      <c r="V31">
        <v>17.622000000000003</v>
      </c>
      <c r="W31" s="5">
        <v>0</v>
      </c>
      <c r="X31" s="2">
        <f t="shared" si="3"/>
        <v>58.014000000000003</v>
      </c>
      <c r="Y31" s="2">
        <f t="shared" si="4"/>
        <v>17.622000000000003</v>
      </c>
      <c r="Z31" s="4">
        <v>99.000000000000014</v>
      </c>
      <c r="AA31" s="4"/>
      <c r="AB31">
        <f t="shared" si="5"/>
        <v>75.63600000000001</v>
      </c>
    </row>
    <row r="32" spans="1:38" x14ac:dyDescent="0.35">
      <c r="A32" t="s">
        <v>46</v>
      </c>
      <c r="B32" t="s">
        <v>27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0.25</v>
      </c>
      <c r="K32">
        <v>2.33</v>
      </c>
      <c r="L32">
        <v>9.0000000000000008E-4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31.503359999999997</v>
      </c>
      <c r="V32">
        <v>9.5692799999999991</v>
      </c>
      <c r="W32" s="5">
        <v>0</v>
      </c>
      <c r="X32" s="2">
        <f t="shared" si="3"/>
        <v>31.503359999999997</v>
      </c>
      <c r="Y32" s="2">
        <f t="shared" si="4"/>
        <v>9.5692799999999991</v>
      </c>
      <c r="Z32" s="4">
        <v>53.76</v>
      </c>
      <c r="AA32" s="4"/>
      <c r="AB32">
        <f t="shared" si="5"/>
        <v>41.072639999999993</v>
      </c>
    </row>
    <row r="33" spans="1:28" x14ac:dyDescent="0.35">
      <c r="A33" t="s">
        <v>46</v>
      </c>
      <c r="B33" t="s">
        <v>28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2.33</v>
      </c>
      <c r="L33">
        <v>1.9399999999999999E-3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40.609800000000007</v>
      </c>
      <c r="V33">
        <v>12.335400000000002</v>
      </c>
      <c r="W33" s="5">
        <v>0</v>
      </c>
      <c r="X33" s="2">
        <f t="shared" si="3"/>
        <v>40.609800000000007</v>
      </c>
      <c r="Y33" s="2">
        <f t="shared" si="4"/>
        <v>12.335400000000002</v>
      </c>
      <c r="Z33" s="4">
        <v>69.300000000000011</v>
      </c>
      <c r="AA33" s="4"/>
      <c r="AB33">
        <f t="shared" si="5"/>
        <v>52.945200000000007</v>
      </c>
    </row>
    <row r="34" spans="1:28" x14ac:dyDescent="0.35">
      <c r="A34" t="s">
        <v>46</v>
      </c>
      <c r="B34" t="s">
        <v>29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0.25</v>
      </c>
      <c r="K34">
        <v>2.33</v>
      </c>
      <c r="L34">
        <v>9.0000000000000008E-4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21.00224</v>
      </c>
      <c r="V34">
        <v>6.3795200000000003</v>
      </c>
      <c r="W34" s="5">
        <v>0</v>
      </c>
      <c r="X34" s="2">
        <f t="shared" si="3"/>
        <v>21.00224</v>
      </c>
      <c r="Y34" s="2">
        <f t="shared" si="4"/>
        <v>6.3795200000000003</v>
      </c>
      <c r="Z34" s="4">
        <v>35.840000000000003</v>
      </c>
      <c r="AA34" s="4"/>
      <c r="AB34">
        <f t="shared" si="5"/>
        <v>27.38176</v>
      </c>
    </row>
    <row r="35" spans="1:28" x14ac:dyDescent="0.35">
      <c r="A35" t="s">
        <v>47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0.22</v>
      </c>
      <c r="K35">
        <v>2.33</v>
      </c>
      <c r="L35">
        <v>5.9000000000000003E-4</v>
      </c>
      <c r="M35">
        <v>0.04</v>
      </c>
      <c r="N35">
        <v>1</v>
      </c>
      <c r="O35">
        <v>0</v>
      </c>
      <c r="P35">
        <v>0</v>
      </c>
      <c r="Q35">
        <v>1</v>
      </c>
      <c r="R35">
        <v>1.92E-4</v>
      </c>
      <c r="S35">
        <v>0</v>
      </c>
      <c r="T35">
        <v>1</v>
      </c>
      <c r="U35">
        <v>31.503359999999997</v>
      </c>
      <c r="V35">
        <v>9.5692799999999991</v>
      </c>
      <c r="W35" s="5">
        <v>0</v>
      </c>
      <c r="X35" s="2">
        <f t="shared" si="3"/>
        <v>31.503359999999997</v>
      </c>
      <c r="Y35" s="2">
        <f t="shared" si="4"/>
        <v>9.5692799999999991</v>
      </c>
      <c r="Z35" s="4">
        <v>53.76</v>
      </c>
      <c r="AA35" s="4"/>
      <c r="AB35">
        <f t="shared" si="5"/>
        <v>41.072639999999993</v>
      </c>
    </row>
    <row r="36" spans="1:28" x14ac:dyDescent="0.35">
      <c r="A36" t="s">
        <v>47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0.22</v>
      </c>
      <c r="K36">
        <v>2.33</v>
      </c>
      <c r="L36">
        <v>2.0690000000000001E-3</v>
      </c>
      <c r="M36">
        <v>0.04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61.237000000000002</v>
      </c>
      <c r="V36">
        <v>18.601000000000003</v>
      </c>
      <c r="W36" s="5">
        <v>0</v>
      </c>
      <c r="X36" s="2">
        <f t="shared" si="3"/>
        <v>61.237000000000002</v>
      </c>
      <c r="Y36" s="2">
        <f t="shared" si="4"/>
        <v>18.601000000000003</v>
      </c>
      <c r="Z36" s="4">
        <v>104.50000000000001</v>
      </c>
      <c r="AA36" s="4"/>
      <c r="AB36">
        <f t="shared" si="5"/>
        <v>79.838000000000008</v>
      </c>
    </row>
    <row r="37" spans="1:28" x14ac:dyDescent="0.35">
      <c r="A37" t="s">
        <v>47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0.22</v>
      </c>
      <c r="K37">
        <v>2.33</v>
      </c>
      <c r="L37">
        <v>5.9000000000000003E-4</v>
      </c>
      <c r="M37">
        <v>0.04</v>
      </c>
      <c r="N37">
        <v>1</v>
      </c>
      <c r="O37">
        <v>0</v>
      </c>
      <c r="P37">
        <v>0</v>
      </c>
      <c r="Q37">
        <v>1</v>
      </c>
      <c r="R37">
        <v>1.92E-4</v>
      </c>
      <c r="S37">
        <v>0</v>
      </c>
      <c r="T37">
        <v>1</v>
      </c>
      <c r="U37">
        <v>15.751679999999999</v>
      </c>
      <c r="V37">
        <v>4.7846399999999996</v>
      </c>
      <c r="W37" s="5">
        <v>0</v>
      </c>
      <c r="X37" s="2">
        <f t="shared" si="3"/>
        <v>15.751679999999999</v>
      </c>
      <c r="Y37" s="2">
        <f t="shared" si="4"/>
        <v>4.7846399999999996</v>
      </c>
      <c r="Z37" s="4">
        <v>26.88</v>
      </c>
      <c r="AA37" s="4"/>
      <c r="AB37">
        <f t="shared" si="5"/>
        <v>20.536319999999996</v>
      </c>
    </row>
    <row r="38" spans="1:28" x14ac:dyDescent="0.35">
      <c r="A38" t="s">
        <v>47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0.22</v>
      </c>
      <c r="K38">
        <v>2.33</v>
      </c>
      <c r="L38">
        <v>1.9399999999999999E-3</v>
      </c>
      <c r="M38">
        <v>6.0000000000000005E-2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90.244</v>
      </c>
      <c r="V38">
        <v>27.411999999999999</v>
      </c>
      <c r="W38" s="5">
        <v>0</v>
      </c>
      <c r="X38" s="2">
        <f t="shared" si="3"/>
        <v>90.244</v>
      </c>
      <c r="Y38" s="2">
        <f t="shared" si="4"/>
        <v>27.411999999999999</v>
      </c>
      <c r="Z38" s="4">
        <v>154</v>
      </c>
      <c r="AA38" s="4"/>
      <c r="AB38">
        <f t="shared" si="5"/>
        <v>117.65600000000001</v>
      </c>
    </row>
    <row r="39" spans="1:28" x14ac:dyDescent="0.35">
      <c r="A39" t="s">
        <v>47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0.22</v>
      </c>
      <c r="K39">
        <v>2.33</v>
      </c>
      <c r="L39">
        <v>9.0000000000000008E-4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1.92E-4</v>
      </c>
      <c r="S39">
        <v>0</v>
      </c>
      <c r="T39">
        <v>1</v>
      </c>
      <c r="U39">
        <v>49.505279999999999</v>
      </c>
      <c r="V39">
        <v>15.03744</v>
      </c>
      <c r="W39" s="5">
        <v>0</v>
      </c>
      <c r="X39" s="2">
        <f t="shared" si="3"/>
        <v>49.505279999999999</v>
      </c>
      <c r="Y39" s="2">
        <f t="shared" si="4"/>
        <v>15.03744</v>
      </c>
      <c r="Z39" s="4">
        <v>84.48</v>
      </c>
      <c r="AA39" s="4"/>
      <c r="AB39">
        <f t="shared" si="5"/>
        <v>64.542720000000003</v>
      </c>
    </row>
    <row r="40" spans="1:28" x14ac:dyDescent="0.35">
      <c r="A40" t="s">
        <v>47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0.22</v>
      </c>
      <c r="K40">
        <v>2.33</v>
      </c>
      <c r="L40">
        <v>1.9399999999999999E-3</v>
      </c>
      <c r="M40">
        <v>0.04</v>
      </c>
      <c r="N40">
        <v>1</v>
      </c>
      <c r="O40">
        <v>0</v>
      </c>
      <c r="P40">
        <v>0</v>
      </c>
      <c r="Q40">
        <v>1</v>
      </c>
      <c r="R40">
        <v>3.8400000000000001E-4</v>
      </c>
      <c r="S40">
        <v>0</v>
      </c>
      <c r="T40">
        <v>1</v>
      </c>
      <c r="U40">
        <v>117.9618</v>
      </c>
      <c r="V40">
        <v>35.831400000000002</v>
      </c>
      <c r="W40" s="3">
        <v>0</v>
      </c>
      <c r="X40" s="2">
        <f t="shared" si="3"/>
        <v>117.9618</v>
      </c>
      <c r="Y40" s="2">
        <f t="shared" si="4"/>
        <v>35.831400000000002</v>
      </c>
      <c r="Z40" s="4">
        <v>201.3</v>
      </c>
      <c r="AA40" s="4"/>
      <c r="AB40">
        <f t="shared" si="5"/>
        <v>153.79320000000001</v>
      </c>
    </row>
    <row r="41" spans="1:28" x14ac:dyDescent="0.35">
      <c r="A41" t="s">
        <v>47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0.22</v>
      </c>
      <c r="K41">
        <v>2.33</v>
      </c>
      <c r="L41">
        <v>9.0000000000000008E-4</v>
      </c>
      <c r="M41">
        <v>4.5000000000000005E-2</v>
      </c>
      <c r="N41">
        <v>1</v>
      </c>
      <c r="O41">
        <v>0</v>
      </c>
      <c r="P41">
        <v>0</v>
      </c>
      <c r="Q41">
        <v>1</v>
      </c>
      <c r="R41">
        <v>1.92E-4</v>
      </c>
      <c r="S41">
        <v>0</v>
      </c>
      <c r="T41">
        <v>1</v>
      </c>
      <c r="U41">
        <v>45.004799999999996</v>
      </c>
      <c r="V41">
        <v>13.670399999999999</v>
      </c>
      <c r="W41" s="3">
        <v>0</v>
      </c>
      <c r="X41" s="2">
        <f t="shared" si="3"/>
        <v>45.004799999999996</v>
      </c>
      <c r="Y41" s="2">
        <f t="shared" si="4"/>
        <v>13.670399999999999</v>
      </c>
      <c r="Z41" s="4">
        <v>76.8</v>
      </c>
      <c r="AA41" s="4"/>
      <c r="AB41">
        <f t="shared" si="5"/>
        <v>58.675199999999997</v>
      </c>
    </row>
    <row r="42" spans="1:28" x14ac:dyDescent="0.35">
      <c r="A42" t="s">
        <v>47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2.33</v>
      </c>
      <c r="L42">
        <v>1.9399999999999999E-3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3.8400000000000001E-4</v>
      </c>
      <c r="S42">
        <v>0</v>
      </c>
      <c r="T42">
        <v>1</v>
      </c>
      <c r="U42">
        <v>101.8468</v>
      </c>
      <c r="V42">
        <v>30.936399999999999</v>
      </c>
      <c r="W42" s="3">
        <v>0</v>
      </c>
      <c r="X42" s="2">
        <f t="shared" si="3"/>
        <v>101.8468</v>
      </c>
      <c r="Y42" s="2">
        <f t="shared" si="4"/>
        <v>30.936399999999999</v>
      </c>
      <c r="Z42" s="4">
        <v>173.8</v>
      </c>
      <c r="AA42" s="4"/>
      <c r="AB42">
        <f t="shared" si="5"/>
        <v>132.78319999999999</v>
      </c>
    </row>
    <row r="43" spans="1:28" x14ac:dyDescent="0.35">
      <c r="A43" t="s">
        <v>47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0.22</v>
      </c>
      <c r="K43">
        <v>2.33</v>
      </c>
      <c r="L43">
        <v>9.0000000000000008E-4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1.92E-4</v>
      </c>
      <c r="S43">
        <v>0</v>
      </c>
      <c r="T43">
        <v>1</v>
      </c>
      <c r="U43">
        <v>34.503680000000003</v>
      </c>
      <c r="V43">
        <v>10.480639999999999</v>
      </c>
      <c r="W43" s="3">
        <v>0</v>
      </c>
      <c r="X43" s="2">
        <f t="shared" ref="X43:X55" si="6">U43*(1-W43)</f>
        <v>34.503680000000003</v>
      </c>
      <c r="Y43" s="2">
        <f t="shared" ref="Y43:Y55" si="7">U43*W43 + V43</f>
        <v>10.480639999999999</v>
      </c>
      <c r="Z43" s="4">
        <v>58.88</v>
      </c>
      <c r="AA43" s="4"/>
      <c r="AB43">
        <f t="shared" si="5"/>
        <v>44.984320000000004</v>
      </c>
    </row>
    <row r="44" spans="1:28" x14ac:dyDescent="0.35">
      <c r="A44" t="s">
        <v>48</v>
      </c>
      <c r="B44" t="s">
        <v>19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2.6</v>
      </c>
      <c r="L44">
        <v>3.3280000000000001E-4</v>
      </c>
      <c r="M44">
        <v>0.04</v>
      </c>
      <c r="N44">
        <v>1</v>
      </c>
      <c r="O44">
        <v>0</v>
      </c>
      <c r="P44">
        <v>0</v>
      </c>
      <c r="Q44">
        <v>1</v>
      </c>
      <c r="R44">
        <v>5.7600000000000001E-4</v>
      </c>
      <c r="S44">
        <v>0</v>
      </c>
      <c r="T44">
        <v>1</v>
      </c>
      <c r="U44">
        <v>48.005119999999998</v>
      </c>
      <c r="V44">
        <v>14.581759999999999</v>
      </c>
      <c r="W44" s="3">
        <v>0</v>
      </c>
      <c r="X44" s="2">
        <f t="shared" si="6"/>
        <v>48.005119999999998</v>
      </c>
      <c r="Y44" s="2">
        <f t="shared" si="7"/>
        <v>14.581759999999999</v>
      </c>
      <c r="Z44" s="4">
        <v>81.92</v>
      </c>
      <c r="AA44" s="4"/>
      <c r="AB44">
        <f t="shared" si="5"/>
        <v>62.586879999999994</v>
      </c>
    </row>
    <row r="45" spans="1:28" x14ac:dyDescent="0.35">
      <c r="A45" t="s">
        <v>48</v>
      </c>
      <c r="B45" t="s">
        <v>20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0.25</v>
      </c>
      <c r="K45">
        <v>2.6</v>
      </c>
      <c r="L45">
        <v>2.1000000000000003E-3</v>
      </c>
      <c r="M45">
        <v>6.9999999999999993E-2</v>
      </c>
      <c r="N45">
        <v>1</v>
      </c>
      <c r="O45">
        <v>0</v>
      </c>
      <c r="P45">
        <v>0</v>
      </c>
      <c r="Q45">
        <v>1</v>
      </c>
      <c r="R45">
        <v>1.92E-4</v>
      </c>
      <c r="S45">
        <v>0</v>
      </c>
      <c r="T45">
        <v>1</v>
      </c>
      <c r="U45">
        <v>110.8712</v>
      </c>
      <c r="V45">
        <v>33.677599999999998</v>
      </c>
      <c r="W45" s="3">
        <v>0</v>
      </c>
      <c r="X45" s="2">
        <f t="shared" si="6"/>
        <v>110.8712</v>
      </c>
      <c r="Y45" s="2">
        <f t="shared" si="7"/>
        <v>33.677599999999998</v>
      </c>
      <c r="Z45" s="4">
        <v>189.20000000000002</v>
      </c>
      <c r="AA45" s="4"/>
      <c r="AB45">
        <f t="shared" si="5"/>
        <v>144.5488</v>
      </c>
    </row>
    <row r="46" spans="1:28" x14ac:dyDescent="0.35">
      <c r="A46" t="s">
        <v>48</v>
      </c>
      <c r="B46" t="s">
        <v>23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0.25</v>
      </c>
      <c r="K46">
        <v>2.6</v>
      </c>
      <c r="L46">
        <v>3.3280000000000001E-4</v>
      </c>
      <c r="M46">
        <v>0.04</v>
      </c>
      <c r="N46">
        <v>1</v>
      </c>
      <c r="O46">
        <v>0</v>
      </c>
      <c r="P46">
        <v>0</v>
      </c>
      <c r="Q46">
        <v>1</v>
      </c>
      <c r="R46">
        <v>5.7600000000000001E-4</v>
      </c>
      <c r="S46">
        <v>0</v>
      </c>
      <c r="T46">
        <v>1</v>
      </c>
      <c r="U46">
        <v>42.004480000000001</v>
      </c>
      <c r="V46">
        <v>12.759040000000001</v>
      </c>
      <c r="W46" s="3">
        <v>0</v>
      </c>
      <c r="X46" s="2">
        <f t="shared" si="6"/>
        <v>42.004480000000001</v>
      </c>
      <c r="Y46" s="2">
        <f t="shared" si="7"/>
        <v>12.759040000000001</v>
      </c>
      <c r="Z46" s="4">
        <v>71.680000000000007</v>
      </c>
      <c r="AA46" s="4"/>
      <c r="AB46">
        <f t="shared" si="5"/>
        <v>54.76352</v>
      </c>
    </row>
    <row r="47" spans="1:28" x14ac:dyDescent="0.35">
      <c r="A47" t="s">
        <v>48</v>
      </c>
      <c r="B47" t="s">
        <v>24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0.25</v>
      </c>
      <c r="K47">
        <v>2.6</v>
      </c>
      <c r="L47">
        <v>2.4000000000000002E-3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1.92E-4</v>
      </c>
      <c r="S47">
        <v>0</v>
      </c>
      <c r="T47">
        <v>1</v>
      </c>
      <c r="U47">
        <v>116.02800000000001</v>
      </c>
      <c r="V47">
        <v>35.244000000000007</v>
      </c>
      <c r="W47" s="3">
        <v>0</v>
      </c>
      <c r="X47" s="2">
        <f t="shared" si="6"/>
        <v>116.02800000000001</v>
      </c>
      <c r="Y47" s="2">
        <f t="shared" si="7"/>
        <v>35.244000000000007</v>
      </c>
      <c r="Z47" s="4">
        <v>198.00000000000003</v>
      </c>
      <c r="AA47" s="4"/>
      <c r="AB47">
        <f t="shared" si="5"/>
        <v>151.27200000000002</v>
      </c>
    </row>
    <row r="48" spans="1:28" x14ac:dyDescent="0.35">
      <c r="A48" t="s">
        <v>48</v>
      </c>
      <c r="B48" t="s">
        <v>25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0.25</v>
      </c>
      <c r="K48">
        <v>2.6</v>
      </c>
      <c r="L48">
        <v>3.3280000000000001E-4</v>
      </c>
      <c r="M48">
        <v>0.04</v>
      </c>
      <c r="N48">
        <v>1</v>
      </c>
      <c r="O48">
        <v>0</v>
      </c>
      <c r="P48">
        <v>0</v>
      </c>
      <c r="Q48">
        <v>1</v>
      </c>
      <c r="R48">
        <v>5.7600000000000001E-4</v>
      </c>
      <c r="S48">
        <v>0</v>
      </c>
      <c r="T48">
        <v>1</v>
      </c>
      <c r="U48">
        <v>48.755200000000002</v>
      </c>
      <c r="V48">
        <v>14.8096</v>
      </c>
      <c r="W48" s="3">
        <v>0</v>
      </c>
      <c r="X48" s="2">
        <f t="shared" si="6"/>
        <v>48.755200000000002</v>
      </c>
      <c r="Y48" s="2">
        <f t="shared" si="7"/>
        <v>14.8096</v>
      </c>
      <c r="Z48" s="4">
        <v>83.2</v>
      </c>
      <c r="AA48" s="4"/>
      <c r="AB48">
        <f t="shared" si="5"/>
        <v>63.564800000000005</v>
      </c>
    </row>
    <row r="49" spans="1:28" x14ac:dyDescent="0.35">
      <c r="A49" t="s">
        <v>48</v>
      </c>
      <c r="B49" t="s">
        <v>26</v>
      </c>
      <c r="C49">
        <v>25</v>
      </c>
      <c r="D49" t="s">
        <v>18</v>
      </c>
      <c r="E49">
        <v>500</v>
      </c>
      <c r="F49">
        <v>220000</v>
      </c>
      <c r="G49">
        <v>1576</v>
      </c>
      <c r="H49">
        <v>1870</v>
      </c>
      <c r="I49">
        <v>1</v>
      </c>
      <c r="J49">
        <v>0.25</v>
      </c>
      <c r="K49">
        <v>2.6</v>
      </c>
      <c r="L49">
        <v>2.1000000000000003E-3</v>
      </c>
      <c r="M49">
        <v>6.9999999999999993E-2</v>
      </c>
      <c r="N49">
        <v>1</v>
      </c>
      <c r="O49">
        <v>0</v>
      </c>
      <c r="P49">
        <v>0</v>
      </c>
      <c r="Q49">
        <v>1</v>
      </c>
      <c r="R49">
        <v>1.92E-4</v>
      </c>
      <c r="S49">
        <v>0</v>
      </c>
      <c r="T49">
        <v>1</v>
      </c>
      <c r="U49">
        <v>128.92000000000002</v>
      </c>
      <c r="V49">
        <v>39.160000000000004</v>
      </c>
      <c r="W49" s="3">
        <v>0</v>
      </c>
      <c r="X49" s="2">
        <f t="shared" si="6"/>
        <v>128.92000000000002</v>
      </c>
      <c r="Y49" s="2">
        <f t="shared" si="7"/>
        <v>39.160000000000004</v>
      </c>
      <c r="Z49" s="4">
        <v>220.00000000000003</v>
      </c>
      <c r="AA49" s="4"/>
      <c r="AB49">
        <f t="shared" si="5"/>
        <v>168.08</v>
      </c>
    </row>
    <row r="50" spans="1:28" x14ac:dyDescent="0.35">
      <c r="A50" t="s">
        <v>48</v>
      </c>
      <c r="B50" t="s">
        <v>27</v>
      </c>
      <c r="C50">
        <v>25</v>
      </c>
      <c r="D50" t="s">
        <v>18</v>
      </c>
      <c r="E50">
        <v>500</v>
      </c>
      <c r="F50">
        <v>220000</v>
      </c>
      <c r="G50">
        <v>1576</v>
      </c>
      <c r="H50">
        <v>1870</v>
      </c>
      <c r="I50">
        <v>1</v>
      </c>
      <c r="J50">
        <v>0.25</v>
      </c>
      <c r="K50">
        <v>2.6</v>
      </c>
      <c r="L50">
        <v>3.3280000000000001E-4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5.7600000000000001E-4</v>
      </c>
      <c r="S50">
        <v>0</v>
      </c>
      <c r="T50">
        <v>1</v>
      </c>
      <c r="U50">
        <v>53.255679999999991</v>
      </c>
      <c r="V50">
        <v>16.176639999999999</v>
      </c>
      <c r="W50" s="3">
        <v>0</v>
      </c>
      <c r="X50" s="2">
        <f t="shared" si="6"/>
        <v>53.255679999999991</v>
      </c>
      <c r="Y50" s="2">
        <f t="shared" si="7"/>
        <v>16.176639999999999</v>
      </c>
      <c r="Z50" s="4">
        <v>90.88</v>
      </c>
      <c r="AA50" s="4"/>
      <c r="AB50">
        <f t="shared" si="5"/>
        <v>69.43231999999999</v>
      </c>
    </row>
    <row r="51" spans="1:28" x14ac:dyDescent="0.35">
      <c r="A51" t="s">
        <v>48</v>
      </c>
      <c r="B51" t="s">
        <v>28</v>
      </c>
      <c r="C51">
        <v>25</v>
      </c>
      <c r="D51" t="s">
        <v>18</v>
      </c>
      <c r="E51">
        <v>500</v>
      </c>
      <c r="F51">
        <v>220000</v>
      </c>
      <c r="G51">
        <v>1576</v>
      </c>
      <c r="H51">
        <v>1870</v>
      </c>
      <c r="I51">
        <v>1</v>
      </c>
      <c r="J51">
        <v>0.25</v>
      </c>
      <c r="K51">
        <v>2.6</v>
      </c>
      <c r="L51">
        <v>2.1000000000000003E-3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1.92E-4</v>
      </c>
      <c r="S51">
        <v>0</v>
      </c>
      <c r="T51">
        <v>1</v>
      </c>
      <c r="U51">
        <v>128.92000000000002</v>
      </c>
      <c r="V51">
        <v>39.160000000000004</v>
      </c>
      <c r="W51" s="3">
        <v>0</v>
      </c>
      <c r="X51" s="2">
        <f t="shared" si="6"/>
        <v>128.92000000000002</v>
      </c>
      <c r="Y51" s="2">
        <f t="shared" si="7"/>
        <v>39.160000000000004</v>
      </c>
      <c r="Z51" s="4">
        <v>220.00000000000003</v>
      </c>
      <c r="AA51" s="4"/>
      <c r="AB51">
        <f t="shared" si="5"/>
        <v>168.08</v>
      </c>
    </row>
    <row r="52" spans="1:28" x14ac:dyDescent="0.35">
      <c r="A52" t="s">
        <v>48</v>
      </c>
      <c r="B52" t="s">
        <v>29</v>
      </c>
      <c r="C52">
        <v>25</v>
      </c>
      <c r="D52" t="s">
        <v>18</v>
      </c>
      <c r="E52">
        <v>500</v>
      </c>
      <c r="F52">
        <v>220000</v>
      </c>
      <c r="G52">
        <v>1576</v>
      </c>
      <c r="H52">
        <v>1870</v>
      </c>
      <c r="I52">
        <v>1</v>
      </c>
      <c r="J52">
        <v>0.25</v>
      </c>
      <c r="K52">
        <v>2.6</v>
      </c>
      <c r="L52">
        <v>3.3280000000000001E-4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5.7600000000000001E-4</v>
      </c>
      <c r="S52">
        <v>0</v>
      </c>
      <c r="T52">
        <v>1</v>
      </c>
      <c r="U52">
        <v>53.255679999999991</v>
      </c>
      <c r="V52">
        <v>16.176639999999999</v>
      </c>
      <c r="W52" s="3">
        <v>0</v>
      </c>
      <c r="X52" s="2">
        <f t="shared" si="6"/>
        <v>53.255679999999991</v>
      </c>
      <c r="Y52" s="2">
        <f t="shared" si="7"/>
        <v>16.176639999999999</v>
      </c>
      <c r="Z52" s="4">
        <v>90.88</v>
      </c>
      <c r="AA52" s="4"/>
      <c r="AB52">
        <f t="shared" si="5"/>
        <v>69.43231999999999</v>
      </c>
    </row>
    <row r="53" spans="1:28" x14ac:dyDescent="0.35">
      <c r="A53" t="s">
        <v>48</v>
      </c>
      <c r="B53" t="s">
        <v>30</v>
      </c>
      <c r="C53">
        <v>25</v>
      </c>
      <c r="D53" t="s">
        <v>18</v>
      </c>
      <c r="E53">
        <v>500</v>
      </c>
      <c r="F53">
        <v>220000</v>
      </c>
      <c r="G53">
        <v>1576</v>
      </c>
      <c r="H53">
        <v>1870</v>
      </c>
      <c r="I53">
        <v>1</v>
      </c>
      <c r="J53">
        <v>0.25</v>
      </c>
      <c r="K53">
        <v>2.6</v>
      </c>
      <c r="L53">
        <v>2.1000000000000003E-3</v>
      </c>
      <c r="M53">
        <v>6.9999999999999993E-2</v>
      </c>
      <c r="N53">
        <v>1</v>
      </c>
      <c r="O53">
        <v>0</v>
      </c>
      <c r="P53">
        <v>0</v>
      </c>
      <c r="Q53">
        <v>1</v>
      </c>
      <c r="R53">
        <v>1.92E-4</v>
      </c>
      <c r="S53">
        <v>0</v>
      </c>
      <c r="T53">
        <v>1</v>
      </c>
      <c r="U53">
        <v>122.474</v>
      </c>
      <c r="V53">
        <v>37.202000000000005</v>
      </c>
      <c r="W53" s="3">
        <v>0</v>
      </c>
      <c r="X53" s="2">
        <f t="shared" si="6"/>
        <v>122.474</v>
      </c>
      <c r="Y53" s="2">
        <f t="shared" si="7"/>
        <v>37.202000000000005</v>
      </c>
      <c r="Z53" s="4">
        <v>209.00000000000003</v>
      </c>
      <c r="AA53" s="4"/>
      <c r="AB53">
        <f t="shared" si="5"/>
        <v>159.67600000000002</v>
      </c>
    </row>
    <row r="54" spans="1:28" x14ac:dyDescent="0.35">
      <c r="A54" t="s">
        <v>48</v>
      </c>
      <c r="B54" t="s">
        <v>31</v>
      </c>
      <c r="C54">
        <v>25</v>
      </c>
      <c r="D54" t="s">
        <v>18</v>
      </c>
      <c r="E54">
        <v>500</v>
      </c>
      <c r="F54">
        <v>220000</v>
      </c>
      <c r="G54">
        <v>1576</v>
      </c>
      <c r="H54">
        <v>1870</v>
      </c>
      <c r="I54">
        <v>1</v>
      </c>
      <c r="J54">
        <v>0.25</v>
      </c>
      <c r="K54">
        <v>2.6</v>
      </c>
      <c r="L54">
        <v>3.3280000000000001E-4</v>
      </c>
      <c r="M54">
        <v>0.05</v>
      </c>
      <c r="N54">
        <v>1</v>
      </c>
      <c r="O54">
        <v>0</v>
      </c>
      <c r="P54">
        <v>0</v>
      </c>
      <c r="Q54">
        <v>1</v>
      </c>
      <c r="R54">
        <v>5.7600000000000001E-4</v>
      </c>
      <c r="S54">
        <v>0</v>
      </c>
      <c r="T54">
        <v>1</v>
      </c>
      <c r="U54">
        <v>42.754560000000005</v>
      </c>
      <c r="V54">
        <v>12.986880000000001</v>
      </c>
      <c r="W54" s="3">
        <v>0</v>
      </c>
      <c r="X54" s="2">
        <f t="shared" si="6"/>
        <v>42.754560000000005</v>
      </c>
      <c r="Y54" s="2">
        <f t="shared" si="7"/>
        <v>12.986880000000001</v>
      </c>
      <c r="Z54" s="4">
        <v>72.960000000000008</v>
      </c>
      <c r="AA54" s="4"/>
      <c r="AB54">
        <f t="shared" si="5"/>
        <v>55.741440000000004</v>
      </c>
    </row>
    <row r="55" spans="1:28" x14ac:dyDescent="0.35">
      <c r="A55" t="s">
        <v>48</v>
      </c>
      <c r="B55" t="s">
        <v>41</v>
      </c>
      <c r="C55">
        <v>25</v>
      </c>
      <c r="D55" t="s">
        <v>18</v>
      </c>
      <c r="E55">
        <v>500</v>
      </c>
      <c r="F55">
        <v>220000</v>
      </c>
      <c r="G55">
        <v>1576</v>
      </c>
      <c r="H55">
        <v>1870</v>
      </c>
      <c r="I55">
        <v>1</v>
      </c>
      <c r="J55">
        <v>0.25</v>
      </c>
      <c r="K55">
        <v>2.6</v>
      </c>
      <c r="L55">
        <v>1.3338E-3</v>
      </c>
      <c r="M55">
        <v>6.9999999999999993E-2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59.947800000000001</v>
      </c>
      <c r="V55">
        <v>18.209400000000002</v>
      </c>
      <c r="W55" s="3">
        <v>0</v>
      </c>
      <c r="X55" s="2">
        <f t="shared" si="6"/>
        <v>59.947800000000001</v>
      </c>
      <c r="Y55" s="2">
        <f t="shared" si="7"/>
        <v>18.209400000000002</v>
      </c>
      <c r="Z55" s="4">
        <v>102.30000000000001</v>
      </c>
      <c r="AA55" s="4"/>
      <c r="AB55">
        <f t="shared" si="5"/>
        <v>78.157200000000003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2025-11-10T14:22:16Z</dcterms:modified>
</cp:coreProperties>
</file>