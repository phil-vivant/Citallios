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"/>
    </mc:Choice>
  </mc:AlternateContent>
  <xr:revisionPtr revIDLastSave="0" documentId="13_ncr:1_{166E58DF-EBCD-4D16-B260-AB333CA1D54C}" xr6:coauthVersionLast="47" xr6:coauthVersionMax="47" xr10:uidLastSave="{00000000-0000-0000-0000-000000000000}"/>
  <bookViews>
    <workbookView xWindow="19110" yWindow="0" windowWidth="19380" windowHeight="2097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1" l="1"/>
  <c r="X3" i="1"/>
  <c r="AB3" i="1" s="1"/>
  <c r="Y3" i="1"/>
  <c r="X4" i="1"/>
  <c r="AB4" i="1" s="1"/>
  <c r="Y4" i="1"/>
  <c r="X5" i="1"/>
  <c r="Y5" i="1"/>
  <c r="X6" i="1"/>
  <c r="AB6" i="1" s="1"/>
  <c r="Y6" i="1"/>
  <c r="X7" i="1"/>
  <c r="Y7" i="1"/>
  <c r="AB7" i="1" s="1"/>
  <c r="X8" i="1"/>
  <c r="Y8" i="1"/>
  <c r="X9" i="1"/>
  <c r="Y9" i="1"/>
  <c r="X10" i="1"/>
  <c r="AB10" i="1" s="1"/>
  <c r="Y10" i="1"/>
  <c r="X11" i="1"/>
  <c r="AB11" i="1" s="1"/>
  <c r="Y11" i="1"/>
  <c r="X12" i="1"/>
  <c r="AB12" i="1" s="1"/>
  <c r="Y12" i="1"/>
  <c r="X13" i="1"/>
  <c r="AB13" i="1" s="1"/>
  <c r="Y13" i="1"/>
  <c r="X14" i="1"/>
  <c r="AB14" i="1" s="1"/>
  <c r="Y14" i="1"/>
  <c r="X15" i="1"/>
  <c r="Y15" i="1"/>
  <c r="X16" i="1"/>
  <c r="Y16" i="1"/>
  <c r="X17" i="1"/>
  <c r="Y17" i="1"/>
  <c r="X18" i="1"/>
  <c r="AB18" i="1" s="1"/>
  <c r="Y18" i="1"/>
  <c r="X19" i="1"/>
  <c r="Y19" i="1"/>
  <c r="X20" i="1"/>
  <c r="Y20" i="1"/>
  <c r="AB20" i="1" s="1"/>
  <c r="X21" i="1"/>
  <c r="Y21" i="1"/>
  <c r="X22" i="1"/>
  <c r="AB22" i="1" s="1"/>
  <c r="Y22" i="1"/>
  <c r="X23" i="1"/>
  <c r="AB23" i="1" s="1"/>
  <c r="Y23" i="1"/>
  <c r="X24" i="1"/>
  <c r="AB24" i="1" s="1"/>
  <c r="Y24" i="1"/>
  <c r="X25" i="1"/>
  <c r="AB25" i="1" s="1"/>
  <c r="Y25" i="1"/>
  <c r="X26" i="1"/>
  <c r="AB26" i="1" s="1"/>
  <c r="Y26" i="1"/>
  <c r="X27" i="1"/>
  <c r="Y27" i="1"/>
  <c r="Y2" i="1"/>
  <c r="X2" i="1"/>
  <c r="AB5" i="1"/>
  <c r="AB15" i="1"/>
  <c r="AB16" i="1"/>
  <c r="AB17" i="1"/>
  <c r="AB19" i="1"/>
  <c r="AB21" i="1"/>
  <c r="AB27" i="1"/>
  <c r="AB9" i="1" l="1"/>
  <c r="AB8" i="1"/>
  <c r="AB2" i="1"/>
</calcChain>
</file>

<file path=xl/sharedStrings.xml><?xml version="1.0" encoding="utf-8"?>
<sst xmlns="http://schemas.openxmlformats.org/spreadsheetml/2006/main" count="106" uniqueCount="43">
  <si>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</si>
  <si>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</si>
  <si>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</si>
  <si>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</si>
  <si>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</si>
  <si>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</si>
  <si>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</si>
  <si>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</si>
  <si>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</si>
  <si>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</si>
  <si>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</si>
  <si>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</si>
  <si>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</si>
  <si>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</si>
  <si>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</si>
  <si>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</si>
  <si>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</si>
  <si>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</si>
  <si>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</si>
  <si>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 A - 1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</si>
  <si>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</si>
  <si>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</si>
  <si>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</si>
  <si>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</si>
  <si>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</si>
  <si>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</si>
  <si>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</si>
  <si>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</si>
  <si>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</si>
  <si>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</si>
  <si>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</si>
  <si>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</si>
  <si>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</si>
  <si>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- 2</t>
  </si>
  <si>
    <t>File A - 3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</si>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</sst>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D27"/>
  <sheetViews>
    <sheetView tabSelected="1" zoomScale="85" zoomScaleNormal="85" workbookViewId="0">
      <pane xSplit="2" topLeftCell="Q1" activePane="topRight" state="frozen"/>
      <selection pane="topRight" activeCell="A8" sqref="A8:XFD8"/>
    </sheetView>
  </sheetViews>
  <sheetFormatPr baseColWidth="10" defaultRowHeight="14.5" x14ac:dyDescent="0.35"/>
  <sheetData>
    <row r="1" spans="1:30" x14ac:dyDescent="0.35">
      <c r="A1" t="s">
        <v>22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40</v>
      </c>
      <c r="V1" t="s">
        <v>41</v>
      </c>
      <c r="W1" t="s">
        <v>42</v>
      </c>
      <c r="X1" t="s">
        <v>37</v>
      </c>
      <c r="Y1" t="s">
        <v>39</v>
      </c>
      <c r="Z1" t="s">
        <v>35</v>
      </c>
      <c r="AA1" t="s">
        <v>38</v>
      </c>
      <c r="AB1" t="s">
        <v>36</v>
      </c>
    </row>
    <row r="2" spans="1:30" x14ac:dyDescent="0.35">
      <c r="A2" t="s">
        <v>19</v>
      </c>
      <c r="B2" t="s">
        <v>20</v>
      </c>
      <c r="C2">
        <v>25</v>
      </c>
      <c r="D2" t="s">
        <v>18</v>
      </c>
      <c r="E2">
        <v>500</v>
      </c>
      <c r="F2" s="1">
        <v>170000</v>
      </c>
      <c r="G2">
        <v>1300</v>
      </c>
      <c r="H2">
        <v>1445</v>
      </c>
      <c r="I2">
        <v>1</v>
      </c>
      <c r="J2">
        <v>0.26</v>
      </c>
      <c r="K2">
        <v>2.2000000000000002</v>
      </c>
      <c r="L2">
        <v>5.6539999999999997E-4</v>
      </c>
      <c r="M2">
        <v>0.04</v>
      </c>
      <c r="N2">
        <v>1</v>
      </c>
      <c r="O2">
        <v>0</v>
      </c>
      <c r="P2">
        <v>0</v>
      </c>
      <c r="Q2">
        <v>1</v>
      </c>
      <c r="R2">
        <v>9.6000000000000002E-5</v>
      </c>
      <c r="S2">
        <v>0</v>
      </c>
      <c r="T2">
        <v>1</v>
      </c>
      <c r="U2" s="2">
        <v>29.253119999999999</v>
      </c>
      <c r="V2">
        <v>8.8857599999999994</v>
      </c>
      <c r="W2" s="3">
        <v>0.5</v>
      </c>
      <c r="X2" s="2">
        <f>U2*(1-W2)</f>
        <v>14.62656</v>
      </c>
      <c r="Y2" s="2">
        <f>U2*W2 + V2</f>
        <v>23.512319999999999</v>
      </c>
      <c r="Z2">
        <v>49.92</v>
      </c>
      <c r="AA2">
        <v>38.13888</v>
      </c>
      <c r="AB2">
        <f t="shared" ref="AB2:AB27" si="0">X2+Y2</f>
        <v>38.13888</v>
      </c>
      <c r="AD2">
        <f>U2*1.35+V2*1.5</f>
        <v>52.820352</v>
      </c>
    </row>
    <row r="3" spans="1:30" x14ac:dyDescent="0.35">
      <c r="A3" t="s">
        <v>19</v>
      </c>
      <c r="B3" t="s">
        <v>21</v>
      </c>
      <c r="C3">
        <v>25</v>
      </c>
      <c r="D3" t="s">
        <v>18</v>
      </c>
      <c r="E3">
        <v>500</v>
      </c>
      <c r="F3" s="1">
        <v>170000</v>
      </c>
      <c r="G3">
        <v>1300</v>
      </c>
      <c r="H3">
        <v>1445</v>
      </c>
      <c r="I3">
        <v>1</v>
      </c>
      <c r="J3">
        <v>0.25</v>
      </c>
      <c r="K3">
        <v>2.2000000000000002</v>
      </c>
      <c r="L3">
        <v>1.1286E-3</v>
      </c>
      <c r="M3">
        <v>0.1</v>
      </c>
      <c r="N3">
        <v>1</v>
      </c>
      <c r="O3">
        <v>6.1578924137931036E-4</v>
      </c>
      <c r="P3">
        <v>0.04</v>
      </c>
      <c r="Q3">
        <v>1</v>
      </c>
      <c r="R3">
        <v>0</v>
      </c>
      <c r="S3">
        <v>0</v>
      </c>
      <c r="T3">
        <v>1</v>
      </c>
      <c r="U3" s="2">
        <v>80.574999999999989</v>
      </c>
      <c r="V3">
        <v>24.474999999999998</v>
      </c>
      <c r="W3" s="3">
        <v>0.5</v>
      </c>
      <c r="X3" s="2">
        <f t="shared" ref="X3:X27" si="1">U3*(1-W3)</f>
        <v>40.287499999999994</v>
      </c>
      <c r="Y3" s="2">
        <f t="shared" ref="Y3:Y27" si="2">U3*W3 + V3</f>
        <v>64.762499999999989</v>
      </c>
      <c r="Z3">
        <v>137.5</v>
      </c>
      <c r="AA3">
        <v>105.04999999999998</v>
      </c>
      <c r="AB3">
        <f t="shared" si="0"/>
        <v>105.04999999999998</v>
      </c>
    </row>
    <row r="4" spans="1:30" x14ac:dyDescent="0.35">
      <c r="A4" t="s">
        <v>19</v>
      </c>
      <c r="B4" t="s">
        <v>24</v>
      </c>
      <c r="C4">
        <v>25</v>
      </c>
      <c r="D4" t="s">
        <v>18</v>
      </c>
      <c r="E4">
        <v>500</v>
      </c>
      <c r="F4" s="1">
        <v>170000</v>
      </c>
      <c r="G4">
        <v>1300</v>
      </c>
      <c r="H4">
        <v>1445</v>
      </c>
      <c r="I4">
        <v>1</v>
      </c>
      <c r="J4">
        <v>0.23500000000000001</v>
      </c>
      <c r="K4">
        <v>2.2000000000000002</v>
      </c>
      <c r="L4">
        <v>8.470000000000001E-4</v>
      </c>
      <c r="M4">
        <v>0.04</v>
      </c>
      <c r="N4">
        <v>1</v>
      </c>
      <c r="O4">
        <v>0</v>
      </c>
      <c r="P4">
        <v>0</v>
      </c>
      <c r="Q4">
        <v>1</v>
      </c>
      <c r="R4">
        <v>9.6000000000000002E-5</v>
      </c>
      <c r="S4">
        <v>0</v>
      </c>
      <c r="T4">
        <v>1</v>
      </c>
      <c r="U4" s="2">
        <v>30.75328</v>
      </c>
      <c r="V4">
        <v>9.3414400000000004</v>
      </c>
      <c r="W4" s="3">
        <v>0.5</v>
      </c>
      <c r="X4" s="2">
        <f t="shared" si="1"/>
        <v>15.37664</v>
      </c>
      <c r="Y4" s="2">
        <f t="shared" si="2"/>
        <v>24.71808</v>
      </c>
      <c r="Z4">
        <v>52.480000000000004</v>
      </c>
      <c r="AA4">
        <v>40.094720000000002</v>
      </c>
      <c r="AB4">
        <f t="shared" si="0"/>
        <v>40.094720000000002</v>
      </c>
    </row>
    <row r="5" spans="1:30" x14ac:dyDescent="0.35">
      <c r="A5" t="s">
        <v>19</v>
      </c>
      <c r="B5" t="s">
        <v>25</v>
      </c>
      <c r="C5">
        <v>25</v>
      </c>
      <c r="D5" t="s">
        <v>18</v>
      </c>
      <c r="E5">
        <v>500</v>
      </c>
      <c r="F5" s="1">
        <v>170000</v>
      </c>
      <c r="G5">
        <v>1300</v>
      </c>
      <c r="H5">
        <v>1445</v>
      </c>
      <c r="I5">
        <v>1</v>
      </c>
      <c r="J5">
        <v>0.22</v>
      </c>
      <c r="K5">
        <v>2.2000000000000002</v>
      </c>
      <c r="L5">
        <v>1.1286E-3</v>
      </c>
      <c r="M5">
        <v>0.04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 s="2">
        <v>58.014000000000003</v>
      </c>
      <c r="V5">
        <v>17.622000000000003</v>
      </c>
      <c r="W5" s="3">
        <v>0.25</v>
      </c>
      <c r="X5" s="2">
        <f t="shared" si="1"/>
        <v>43.5105</v>
      </c>
      <c r="Y5" s="2">
        <f t="shared" si="2"/>
        <v>32.125500000000002</v>
      </c>
      <c r="Z5">
        <v>99.000000000000014</v>
      </c>
      <c r="AA5">
        <v>75.63600000000001</v>
      </c>
      <c r="AB5">
        <f t="shared" si="0"/>
        <v>75.635999999999996</v>
      </c>
    </row>
    <row r="6" spans="1:30" x14ac:dyDescent="0.35">
      <c r="A6" t="s">
        <v>33</v>
      </c>
      <c r="B6" t="s">
        <v>20</v>
      </c>
      <c r="C6">
        <v>25</v>
      </c>
      <c r="D6" t="s">
        <v>18</v>
      </c>
      <c r="E6">
        <v>500</v>
      </c>
      <c r="F6" s="1">
        <v>170000</v>
      </c>
      <c r="G6">
        <v>1300</v>
      </c>
      <c r="H6">
        <v>1445</v>
      </c>
      <c r="I6">
        <v>1</v>
      </c>
      <c r="J6">
        <v>0.26</v>
      </c>
      <c r="K6">
        <v>2.2000000000000002</v>
      </c>
      <c r="L6">
        <v>5.6539999999999997E-4</v>
      </c>
      <c r="M6">
        <v>0.04</v>
      </c>
      <c r="N6">
        <v>1</v>
      </c>
      <c r="O6">
        <v>0</v>
      </c>
      <c r="P6">
        <v>0</v>
      </c>
      <c r="Q6">
        <v>1</v>
      </c>
      <c r="R6">
        <v>1.92E-4</v>
      </c>
      <c r="S6">
        <v>0</v>
      </c>
      <c r="T6">
        <v>1</v>
      </c>
      <c r="U6" s="2">
        <v>30.0032</v>
      </c>
      <c r="V6">
        <v>9.1135999999999999</v>
      </c>
      <c r="W6" s="3">
        <v>0.5</v>
      </c>
      <c r="X6" s="2">
        <f t="shared" si="1"/>
        <v>15.0016</v>
      </c>
      <c r="Y6" s="2">
        <f t="shared" si="2"/>
        <v>24.115200000000002</v>
      </c>
      <c r="Z6">
        <v>51.2</v>
      </c>
      <c r="AA6">
        <v>39.116799999999998</v>
      </c>
      <c r="AB6">
        <f t="shared" si="0"/>
        <v>39.116799999999998</v>
      </c>
    </row>
    <row r="7" spans="1:30" x14ac:dyDescent="0.35">
      <c r="A7" t="s">
        <v>33</v>
      </c>
      <c r="B7" t="s">
        <v>21</v>
      </c>
      <c r="C7">
        <v>25</v>
      </c>
      <c r="D7" t="s">
        <v>18</v>
      </c>
      <c r="E7">
        <v>500</v>
      </c>
      <c r="F7" s="1">
        <v>170000</v>
      </c>
      <c r="G7">
        <v>1300</v>
      </c>
      <c r="H7">
        <v>1445</v>
      </c>
      <c r="I7">
        <v>1</v>
      </c>
      <c r="J7">
        <v>0.25</v>
      </c>
      <c r="K7">
        <v>2.2000000000000002</v>
      </c>
      <c r="L7">
        <v>1.1286E-3</v>
      </c>
      <c r="M7">
        <v>7.0000000000000007E-2</v>
      </c>
      <c r="N7">
        <v>1</v>
      </c>
      <c r="O7">
        <v>6.1578924137931036E-4</v>
      </c>
      <c r="P7">
        <v>0.04</v>
      </c>
      <c r="Q7">
        <v>1</v>
      </c>
      <c r="R7">
        <v>0</v>
      </c>
      <c r="S7">
        <v>0</v>
      </c>
      <c r="T7">
        <v>1</v>
      </c>
      <c r="U7" s="2">
        <v>96.69</v>
      </c>
      <c r="V7">
        <v>29.369999999999997</v>
      </c>
      <c r="W7" s="3">
        <v>0.5</v>
      </c>
      <c r="X7" s="2">
        <f t="shared" si="1"/>
        <v>48.344999999999999</v>
      </c>
      <c r="Y7" s="2">
        <f t="shared" si="2"/>
        <v>77.715000000000003</v>
      </c>
      <c r="Z7">
        <v>165</v>
      </c>
      <c r="AA7">
        <v>126.06</v>
      </c>
      <c r="AB7">
        <f t="shared" si="0"/>
        <v>126.06</v>
      </c>
    </row>
    <row r="8" spans="1:30" x14ac:dyDescent="0.35">
      <c r="A8" t="s">
        <v>33</v>
      </c>
      <c r="B8" t="s">
        <v>24</v>
      </c>
      <c r="C8">
        <v>25</v>
      </c>
      <c r="D8" t="s">
        <v>18</v>
      </c>
      <c r="E8">
        <v>500</v>
      </c>
      <c r="F8" s="1">
        <v>170000</v>
      </c>
      <c r="G8">
        <v>1300</v>
      </c>
      <c r="H8">
        <v>1445</v>
      </c>
      <c r="I8">
        <v>1</v>
      </c>
      <c r="J8">
        <v>0.23500000000000001</v>
      </c>
      <c r="K8">
        <v>2.2000000000000002</v>
      </c>
      <c r="L8">
        <v>8.470000000000001E-4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2.8800000000000001E-4</v>
      </c>
      <c r="S8">
        <v>0</v>
      </c>
      <c r="T8">
        <v>1</v>
      </c>
      <c r="U8" s="2">
        <v>52.505600000000001</v>
      </c>
      <c r="V8">
        <v>15.9488</v>
      </c>
      <c r="W8" s="3">
        <v>0.5</v>
      </c>
      <c r="X8" s="2">
        <f t="shared" si="1"/>
        <v>26.252800000000001</v>
      </c>
      <c r="Y8" s="2">
        <f t="shared" si="2"/>
        <v>42.201599999999999</v>
      </c>
      <c r="Z8">
        <v>89.600000000000009</v>
      </c>
      <c r="AA8">
        <v>68.454400000000007</v>
      </c>
      <c r="AB8">
        <f t="shared" si="0"/>
        <v>68.454399999999993</v>
      </c>
    </row>
    <row r="9" spans="1:30" x14ac:dyDescent="0.35">
      <c r="A9" t="s">
        <v>33</v>
      </c>
      <c r="B9" t="s">
        <v>25</v>
      </c>
      <c r="C9">
        <v>25</v>
      </c>
      <c r="D9" t="s">
        <v>18</v>
      </c>
      <c r="E9">
        <v>500</v>
      </c>
      <c r="F9" s="1">
        <v>170000</v>
      </c>
      <c r="G9">
        <v>1300</v>
      </c>
      <c r="H9">
        <v>1445</v>
      </c>
      <c r="I9">
        <v>1</v>
      </c>
      <c r="J9">
        <v>0.22</v>
      </c>
      <c r="K9">
        <v>2.2000000000000002</v>
      </c>
      <c r="L9">
        <v>1.3298000000000001E-3</v>
      </c>
      <c r="M9">
        <v>0.04</v>
      </c>
      <c r="N9">
        <v>1</v>
      </c>
      <c r="O9">
        <v>0</v>
      </c>
      <c r="P9">
        <v>0</v>
      </c>
      <c r="Q9">
        <v>1</v>
      </c>
      <c r="R9">
        <v>1.92E-4</v>
      </c>
      <c r="S9">
        <v>0</v>
      </c>
      <c r="T9">
        <v>1</v>
      </c>
      <c r="U9" s="2">
        <v>70.906000000000006</v>
      </c>
      <c r="V9">
        <v>21.538</v>
      </c>
      <c r="W9" s="3">
        <v>0.25</v>
      </c>
      <c r="X9" s="2">
        <f t="shared" si="1"/>
        <v>53.179500000000004</v>
      </c>
      <c r="Y9" s="2">
        <f t="shared" si="2"/>
        <v>39.264499999999998</v>
      </c>
      <c r="Z9">
        <v>121.00000000000001</v>
      </c>
      <c r="AA9">
        <v>92.444000000000003</v>
      </c>
      <c r="AB9">
        <f t="shared" si="0"/>
        <v>92.444000000000003</v>
      </c>
    </row>
    <row r="10" spans="1:30" x14ac:dyDescent="0.35">
      <c r="A10" t="s">
        <v>33</v>
      </c>
      <c r="B10" t="s">
        <v>26</v>
      </c>
      <c r="C10">
        <v>25</v>
      </c>
      <c r="D10" t="s">
        <v>18</v>
      </c>
      <c r="E10">
        <v>500</v>
      </c>
      <c r="F10" s="1">
        <v>170000</v>
      </c>
      <c r="G10">
        <v>1300</v>
      </c>
      <c r="H10">
        <v>1445</v>
      </c>
      <c r="I10">
        <v>1</v>
      </c>
      <c r="J10">
        <v>0.23500000000000001</v>
      </c>
      <c r="K10">
        <v>2.2000000000000002</v>
      </c>
      <c r="L10">
        <v>2.8160000000000001E-4</v>
      </c>
      <c r="M10">
        <v>0.04</v>
      </c>
      <c r="N10">
        <v>1</v>
      </c>
      <c r="O10">
        <v>0</v>
      </c>
      <c r="P10">
        <v>0</v>
      </c>
      <c r="Q10">
        <v>1</v>
      </c>
      <c r="R10">
        <v>9.6000000000000002E-5</v>
      </c>
      <c r="S10">
        <v>0</v>
      </c>
      <c r="T10">
        <v>1</v>
      </c>
      <c r="U10" s="2">
        <v>5.8506239999999998</v>
      </c>
      <c r="V10">
        <v>1.7771519999999998</v>
      </c>
      <c r="W10" s="3">
        <v>0</v>
      </c>
      <c r="X10" s="2">
        <f t="shared" si="1"/>
        <v>5.8506239999999998</v>
      </c>
      <c r="Y10" s="2">
        <f t="shared" si="2"/>
        <v>1.7771519999999998</v>
      </c>
      <c r="Z10">
        <v>9.984</v>
      </c>
      <c r="AA10">
        <v>7.6277759999999999</v>
      </c>
      <c r="AB10">
        <f t="shared" si="0"/>
        <v>7.6277759999999999</v>
      </c>
    </row>
    <row r="11" spans="1:30" x14ac:dyDescent="0.35">
      <c r="A11" t="s">
        <v>33</v>
      </c>
      <c r="B11" t="s">
        <v>27</v>
      </c>
      <c r="C11">
        <v>25</v>
      </c>
      <c r="D11" t="s">
        <v>18</v>
      </c>
      <c r="E11">
        <v>500</v>
      </c>
      <c r="F11" s="1">
        <v>170000</v>
      </c>
      <c r="G11">
        <v>1300</v>
      </c>
      <c r="H11">
        <v>1445</v>
      </c>
      <c r="I11">
        <v>1</v>
      </c>
      <c r="J11">
        <v>0.25</v>
      </c>
      <c r="K11">
        <v>2.2000000000000002</v>
      </c>
      <c r="L11">
        <v>1.3298000000000001E-3</v>
      </c>
      <c r="M11">
        <v>7.0000000000000007E-2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 s="2">
        <v>19.337999999999997</v>
      </c>
      <c r="V11">
        <v>5.8739999999999997</v>
      </c>
      <c r="W11" s="3">
        <v>0</v>
      </c>
      <c r="X11" s="2">
        <f t="shared" si="1"/>
        <v>19.337999999999997</v>
      </c>
      <c r="Y11" s="2">
        <f t="shared" si="2"/>
        <v>5.8739999999999997</v>
      </c>
      <c r="Z11">
        <v>33</v>
      </c>
      <c r="AA11">
        <v>25.211999999999996</v>
      </c>
      <c r="AB11">
        <f t="shared" si="0"/>
        <v>25.211999999999996</v>
      </c>
    </row>
    <row r="12" spans="1:30" x14ac:dyDescent="0.35">
      <c r="A12" t="s">
        <v>33</v>
      </c>
      <c r="B12" t="s">
        <v>28</v>
      </c>
      <c r="C12">
        <v>25</v>
      </c>
      <c r="D12" t="s">
        <v>18</v>
      </c>
      <c r="E12">
        <v>500</v>
      </c>
      <c r="F12" s="1">
        <v>170000</v>
      </c>
      <c r="G12">
        <v>1300</v>
      </c>
      <c r="H12">
        <v>1445</v>
      </c>
      <c r="I12">
        <v>1</v>
      </c>
      <c r="J12">
        <v>0.23500000000000001</v>
      </c>
      <c r="K12">
        <v>2.2000000000000002</v>
      </c>
      <c r="L12">
        <v>2.8160000000000001E-4</v>
      </c>
      <c r="M12">
        <v>0.04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 s="2">
        <v>6.7507199999999994</v>
      </c>
      <c r="V12">
        <v>2.0505599999999999</v>
      </c>
      <c r="W12" s="3">
        <v>0</v>
      </c>
      <c r="X12" s="2">
        <f t="shared" si="1"/>
        <v>6.7507199999999994</v>
      </c>
      <c r="Y12" s="2">
        <f t="shared" si="2"/>
        <v>2.0505599999999999</v>
      </c>
      <c r="Z12">
        <v>11.52</v>
      </c>
      <c r="AA12">
        <v>8.8012799999999984</v>
      </c>
      <c r="AB12">
        <f t="shared" si="0"/>
        <v>8.8012799999999984</v>
      </c>
    </row>
    <row r="13" spans="1:30" x14ac:dyDescent="0.35">
      <c r="A13" t="s">
        <v>33</v>
      </c>
      <c r="B13" t="s">
        <v>29</v>
      </c>
      <c r="C13">
        <v>25</v>
      </c>
      <c r="D13" t="s">
        <v>18</v>
      </c>
      <c r="E13">
        <v>500</v>
      </c>
      <c r="F13" s="1">
        <v>170000</v>
      </c>
      <c r="G13">
        <v>1300</v>
      </c>
      <c r="H13">
        <v>1445</v>
      </c>
      <c r="I13">
        <v>1</v>
      </c>
      <c r="J13">
        <v>0.22</v>
      </c>
      <c r="K13">
        <v>2.2000000000000002</v>
      </c>
      <c r="L13">
        <v>1.3298000000000001E-3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1.92E-4</v>
      </c>
      <c r="S13">
        <v>0</v>
      </c>
      <c r="T13">
        <v>1</v>
      </c>
      <c r="U13" s="2">
        <v>70.906000000000006</v>
      </c>
      <c r="V13">
        <v>21.538</v>
      </c>
      <c r="W13" s="3">
        <v>0</v>
      </c>
      <c r="X13" s="2">
        <f t="shared" si="1"/>
        <v>70.906000000000006</v>
      </c>
      <c r="Y13" s="2">
        <f t="shared" si="2"/>
        <v>21.538</v>
      </c>
      <c r="Z13">
        <v>121.00000000000001</v>
      </c>
      <c r="AA13">
        <v>92.444000000000003</v>
      </c>
      <c r="AB13">
        <f t="shared" si="0"/>
        <v>92.444000000000003</v>
      </c>
    </row>
    <row r="14" spans="1:30" x14ac:dyDescent="0.35">
      <c r="A14" t="s">
        <v>33</v>
      </c>
      <c r="B14" t="s">
        <v>30</v>
      </c>
      <c r="C14">
        <v>25</v>
      </c>
      <c r="D14" t="s">
        <v>18</v>
      </c>
      <c r="E14">
        <v>500</v>
      </c>
      <c r="F14" s="1">
        <v>170000</v>
      </c>
      <c r="G14">
        <v>1300</v>
      </c>
      <c r="H14">
        <v>1445</v>
      </c>
      <c r="I14">
        <v>1</v>
      </c>
      <c r="J14">
        <v>0.23500000000000001</v>
      </c>
      <c r="K14">
        <v>2.2000000000000002</v>
      </c>
      <c r="L14">
        <v>5.6539999999999997E-4</v>
      </c>
      <c r="M14">
        <v>0.04</v>
      </c>
      <c r="N14">
        <v>1</v>
      </c>
      <c r="O14">
        <v>0</v>
      </c>
      <c r="P14">
        <v>0</v>
      </c>
      <c r="Q14">
        <v>1</v>
      </c>
      <c r="R14">
        <v>1.92E-4</v>
      </c>
      <c r="S14">
        <v>0</v>
      </c>
      <c r="T14">
        <v>1</v>
      </c>
      <c r="U14" s="2">
        <v>42.754560000000005</v>
      </c>
      <c r="V14">
        <v>12.986880000000001</v>
      </c>
      <c r="W14" s="3">
        <v>0</v>
      </c>
      <c r="X14" s="2">
        <f t="shared" si="1"/>
        <v>42.754560000000005</v>
      </c>
      <c r="Y14" s="2">
        <f t="shared" si="2"/>
        <v>12.986880000000001</v>
      </c>
      <c r="Z14">
        <v>72.960000000000008</v>
      </c>
      <c r="AA14">
        <v>55.741440000000004</v>
      </c>
      <c r="AB14">
        <f t="shared" si="0"/>
        <v>55.741440000000004</v>
      </c>
    </row>
    <row r="15" spans="1:30" x14ac:dyDescent="0.35">
      <c r="A15" t="s">
        <v>33</v>
      </c>
      <c r="B15" t="s">
        <v>31</v>
      </c>
      <c r="C15">
        <v>25</v>
      </c>
      <c r="D15" t="s">
        <v>18</v>
      </c>
      <c r="E15">
        <v>500</v>
      </c>
      <c r="F15" s="1">
        <v>170000</v>
      </c>
      <c r="G15">
        <v>1300</v>
      </c>
      <c r="H15">
        <v>1445</v>
      </c>
      <c r="I15">
        <v>1</v>
      </c>
      <c r="J15">
        <v>0.25</v>
      </c>
      <c r="K15">
        <v>2.2000000000000002</v>
      </c>
      <c r="L15">
        <v>1.89E-3</v>
      </c>
      <c r="M15">
        <v>7.0000000000000007E-2</v>
      </c>
      <c r="N15">
        <v>1</v>
      </c>
      <c r="O15">
        <v>0</v>
      </c>
      <c r="P15">
        <v>0</v>
      </c>
      <c r="Q15">
        <v>1</v>
      </c>
      <c r="R15">
        <v>1.92E-4</v>
      </c>
      <c r="S15">
        <v>0</v>
      </c>
      <c r="T15">
        <v>1</v>
      </c>
      <c r="U15" s="2">
        <v>93.466999999999999</v>
      </c>
      <c r="V15">
        <v>28.390999999999998</v>
      </c>
      <c r="W15" s="3">
        <v>0</v>
      </c>
      <c r="X15" s="2">
        <f t="shared" si="1"/>
        <v>93.466999999999999</v>
      </c>
      <c r="Y15" s="2">
        <f t="shared" si="2"/>
        <v>28.390999999999998</v>
      </c>
      <c r="Z15">
        <v>159.5</v>
      </c>
      <c r="AA15">
        <v>121.858</v>
      </c>
      <c r="AB15">
        <f t="shared" si="0"/>
        <v>121.858</v>
      </c>
    </row>
    <row r="16" spans="1:30" x14ac:dyDescent="0.35">
      <c r="A16" t="s">
        <v>33</v>
      </c>
      <c r="B16" t="s">
        <v>32</v>
      </c>
      <c r="C16">
        <v>25</v>
      </c>
      <c r="D16" t="s">
        <v>18</v>
      </c>
      <c r="E16">
        <v>500</v>
      </c>
      <c r="F16" s="1">
        <v>170000</v>
      </c>
      <c r="G16">
        <v>1300</v>
      </c>
      <c r="H16">
        <v>1445</v>
      </c>
      <c r="I16">
        <v>1</v>
      </c>
      <c r="J16">
        <v>0.26</v>
      </c>
      <c r="K16">
        <v>2.2000000000000002</v>
      </c>
      <c r="L16">
        <v>5.6539999999999997E-4</v>
      </c>
      <c r="M16">
        <v>0.04</v>
      </c>
      <c r="N16">
        <v>1</v>
      </c>
      <c r="O16">
        <v>0</v>
      </c>
      <c r="P16">
        <v>0</v>
      </c>
      <c r="Q16">
        <v>1</v>
      </c>
      <c r="R16">
        <v>9.6000000000000002E-5</v>
      </c>
      <c r="S16">
        <v>0</v>
      </c>
      <c r="T16">
        <v>1</v>
      </c>
      <c r="U16" s="2">
        <v>33.753599999999999</v>
      </c>
      <c r="V16">
        <v>10.252800000000001</v>
      </c>
      <c r="W16" s="3">
        <v>0</v>
      </c>
      <c r="X16" s="2">
        <f t="shared" si="1"/>
        <v>33.753599999999999</v>
      </c>
      <c r="Y16" s="2">
        <f t="shared" si="2"/>
        <v>10.252800000000001</v>
      </c>
      <c r="Z16">
        <v>57.6</v>
      </c>
      <c r="AA16">
        <v>44.006399999999999</v>
      </c>
      <c r="AB16">
        <f t="shared" si="0"/>
        <v>44.006399999999999</v>
      </c>
    </row>
    <row r="17" spans="1:28" x14ac:dyDescent="0.35">
      <c r="A17" t="s">
        <v>34</v>
      </c>
      <c r="B17" t="s">
        <v>20</v>
      </c>
      <c r="C17">
        <v>25</v>
      </c>
      <c r="D17" t="s">
        <v>18</v>
      </c>
      <c r="E17">
        <v>500</v>
      </c>
      <c r="F17" s="1">
        <v>170000</v>
      </c>
      <c r="G17">
        <v>1300</v>
      </c>
      <c r="H17">
        <v>1445</v>
      </c>
      <c r="I17">
        <v>1</v>
      </c>
      <c r="J17">
        <v>0.26</v>
      </c>
      <c r="K17">
        <v>2.2000000000000002</v>
      </c>
      <c r="L17">
        <v>5.6539999999999997E-4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9.6000000000000002E-5</v>
      </c>
      <c r="S17">
        <v>0</v>
      </c>
      <c r="T17">
        <v>1</v>
      </c>
      <c r="U17" s="2">
        <v>27.752959999999998</v>
      </c>
      <c r="V17">
        <v>8.4300800000000002</v>
      </c>
      <c r="W17" s="3">
        <v>0.5</v>
      </c>
      <c r="X17" s="2">
        <f t="shared" si="1"/>
        <v>13.876479999999999</v>
      </c>
      <c r="Y17" s="2">
        <f t="shared" si="2"/>
        <v>22.306559999999998</v>
      </c>
      <c r="Z17">
        <v>47.36</v>
      </c>
      <c r="AA17">
        <v>36.183039999999998</v>
      </c>
      <c r="AB17">
        <f t="shared" si="0"/>
        <v>36.183039999999998</v>
      </c>
    </row>
    <row r="18" spans="1:28" x14ac:dyDescent="0.35">
      <c r="A18" t="s">
        <v>34</v>
      </c>
      <c r="B18" t="s">
        <v>21</v>
      </c>
      <c r="C18">
        <v>25</v>
      </c>
      <c r="D18" t="s">
        <v>18</v>
      </c>
      <c r="E18">
        <v>500</v>
      </c>
      <c r="F18" s="1">
        <v>170000</v>
      </c>
      <c r="G18">
        <v>1300</v>
      </c>
      <c r="H18">
        <v>1445</v>
      </c>
      <c r="I18">
        <v>1</v>
      </c>
      <c r="J18">
        <v>0.25</v>
      </c>
      <c r="K18">
        <v>2.2000000000000002</v>
      </c>
      <c r="L18">
        <v>1.1286E-3</v>
      </c>
      <c r="M18">
        <v>7.0000000000000007E-2</v>
      </c>
      <c r="N18">
        <v>1</v>
      </c>
      <c r="O18">
        <v>3.0789462068965518E-4</v>
      </c>
      <c r="P18">
        <v>0.04</v>
      </c>
      <c r="Q18">
        <v>1</v>
      </c>
      <c r="R18">
        <v>0</v>
      </c>
      <c r="S18">
        <v>0</v>
      </c>
      <c r="T18">
        <v>1</v>
      </c>
      <c r="U18" s="2">
        <v>96.69</v>
      </c>
      <c r="V18">
        <v>29.369999999999997</v>
      </c>
      <c r="W18" s="3">
        <v>0.5</v>
      </c>
      <c r="X18" s="2">
        <f t="shared" si="1"/>
        <v>48.344999999999999</v>
      </c>
      <c r="Y18" s="2">
        <f t="shared" si="2"/>
        <v>77.715000000000003</v>
      </c>
      <c r="Z18">
        <v>165</v>
      </c>
      <c r="AA18">
        <v>126.06</v>
      </c>
      <c r="AB18">
        <f t="shared" si="0"/>
        <v>126.06</v>
      </c>
    </row>
    <row r="19" spans="1:28" x14ac:dyDescent="0.35">
      <c r="A19" t="s">
        <v>34</v>
      </c>
      <c r="B19" t="s">
        <v>24</v>
      </c>
      <c r="C19">
        <v>25</v>
      </c>
      <c r="D19" t="s">
        <v>18</v>
      </c>
      <c r="E19">
        <v>500</v>
      </c>
      <c r="F19" s="1">
        <v>170000</v>
      </c>
      <c r="G19">
        <v>1300</v>
      </c>
      <c r="H19">
        <v>1445</v>
      </c>
      <c r="I19">
        <v>1</v>
      </c>
      <c r="J19">
        <v>0.23500000000000001</v>
      </c>
      <c r="K19">
        <v>2.2000000000000002</v>
      </c>
      <c r="L19">
        <v>1.1286E-3</v>
      </c>
      <c r="M19">
        <v>0.04</v>
      </c>
      <c r="N19">
        <v>1</v>
      </c>
      <c r="O19">
        <v>0</v>
      </c>
      <c r="P19">
        <v>0</v>
      </c>
      <c r="Q19">
        <v>1</v>
      </c>
      <c r="R19">
        <v>1.92E-4</v>
      </c>
      <c r="S19">
        <v>0</v>
      </c>
      <c r="T19">
        <v>1</v>
      </c>
      <c r="U19" s="2">
        <v>56.256</v>
      </c>
      <c r="V19">
        <v>17.088000000000001</v>
      </c>
      <c r="W19" s="3">
        <v>0.5</v>
      </c>
      <c r="X19" s="2">
        <f t="shared" si="1"/>
        <v>28.128</v>
      </c>
      <c r="Y19" s="2">
        <f t="shared" si="2"/>
        <v>45.216000000000001</v>
      </c>
      <c r="Z19">
        <v>96</v>
      </c>
      <c r="AA19">
        <v>73.343999999999994</v>
      </c>
      <c r="AB19">
        <f t="shared" si="0"/>
        <v>73.343999999999994</v>
      </c>
    </row>
    <row r="20" spans="1:28" x14ac:dyDescent="0.35">
      <c r="A20" t="s">
        <v>34</v>
      </c>
      <c r="B20" t="s">
        <v>25</v>
      </c>
      <c r="C20">
        <v>25</v>
      </c>
      <c r="D20" t="s">
        <v>18</v>
      </c>
      <c r="E20">
        <v>500</v>
      </c>
      <c r="F20" s="1">
        <v>170000</v>
      </c>
      <c r="G20">
        <v>1300</v>
      </c>
      <c r="H20">
        <v>1445</v>
      </c>
      <c r="I20">
        <v>1</v>
      </c>
      <c r="J20">
        <v>0.22</v>
      </c>
      <c r="K20">
        <v>2.2000000000000002</v>
      </c>
      <c r="L20">
        <v>1.0482E-3</v>
      </c>
      <c r="M20">
        <v>8.5000000000000006E-2</v>
      </c>
      <c r="N20">
        <v>1</v>
      </c>
      <c r="O20">
        <v>0</v>
      </c>
      <c r="P20">
        <v>0</v>
      </c>
      <c r="Q20">
        <v>1</v>
      </c>
      <c r="R20">
        <v>3.8400000000000001E-4</v>
      </c>
      <c r="S20">
        <v>0</v>
      </c>
      <c r="T20">
        <v>1</v>
      </c>
      <c r="U20" s="2">
        <v>70.906000000000006</v>
      </c>
      <c r="V20">
        <v>21.538</v>
      </c>
      <c r="W20" s="3">
        <v>0.25</v>
      </c>
      <c r="X20" s="2">
        <f t="shared" si="1"/>
        <v>53.179500000000004</v>
      </c>
      <c r="Y20" s="2">
        <f t="shared" si="2"/>
        <v>39.264499999999998</v>
      </c>
      <c r="Z20">
        <v>121.00000000000001</v>
      </c>
      <c r="AA20">
        <v>92.444000000000003</v>
      </c>
      <c r="AB20">
        <f t="shared" si="0"/>
        <v>92.444000000000003</v>
      </c>
    </row>
    <row r="21" spans="1:28" x14ac:dyDescent="0.35">
      <c r="A21" t="s">
        <v>34</v>
      </c>
      <c r="B21" t="s">
        <v>26</v>
      </c>
      <c r="C21">
        <v>25</v>
      </c>
      <c r="D21" t="s">
        <v>18</v>
      </c>
      <c r="E21">
        <v>500</v>
      </c>
      <c r="F21" s="1">
        <v>170000</v>
      </c>
      <c r="G21">
        <v>1300</v>
      </c>
      <c r="H21">
        <v>1445</v>
      </c>
      <c r="I21">
        <v>1</v>
      </c>
      <c r="J21">
        <v>0.23500000000000001</v>
      </c>
      <c r="K21">
        <v>2.2000000000000002</v>
      </c>
      <c r="L21">
        <v>2.8160000000000001E-4</v>
      </c>
      <c r="M21">
        <v>0.04</v>
      </c>
      <c r="N21">
        <v>1</v>
      </c>
      <c r="O21">
        <v>0</v>
      </c>
      <c r="P21">
        <v>0</v>
      </c>
      <c r="Q21">
        <v>1</v>
      </c>
      <c r="R21">
        <v>9.6000000000000002E-5</v>
      </c>
      <c r="S21">
        <v>0</v>
      </c>
      <c r="T21">
        <v>1</v>
      </c>
      <c r="U21" s="2">
        <v>2.1002239999999999</v>
      </c>
      <c r="V21">
        <v>0.63795199999999985</v>
      </c>
      <c r="W21" s="3">
        <v>0</v>
      </c>
      <c r="X21" s="2">
        <f t="shared" si="1"/>
        <v>2.1002239999999999</v>
      </c>
      <c r="Y21" s="2">
        <f t="shared" si="2"/>
        <v>0.63795199999999985</v>
      </c>
      <c r="Z21">
        <v>3.5839999999999996</v>
      </c>
      <c r="AA21">
        <v>2.7381759999999997</v>
      </c>
      <c r="AB21">
        <f t="shared" si="0"/>
        <v>2.7381759999999997</v>
      </c>
    </row>
    <row r="22" spans="1:28" x14ac:dyDescent="0.35">
      <c r="A22" t="s">
        <v>34</v>
      </c>
      <c r="B22" t="s">
        <v>27</v>
      </c>
      <c r="C22">
        <v>25</v>
      </c>
      <c r="D22" t="s">
        <v>18</v>
      </c>
      <c r="E22">
        <v>500</v>
      </c>
      <c r="F22" s="1">
        <v>170000</v>
      </c>
      <c r="G22">
        <v>1300</v>
      </c>
      <c r="H22">
        <v>1445</v>
      </c>
      <c r="I22">
        <v>1</v>
      </c>
      <c r="J22">
        <v>0.25</v>
      </c>
      <c r="K22">
        <v>2.2000000000000002</v>
      </c>
      <c r="L22">
        <v>9.3510000000000012E-4</v>
      </c>
      <c r="M22">
        <v>7.0000000000000007E-2</v>
      </c>
      <c r="N22">
        <v>1</v>
      </c>
      <c r="O22">
        <v>0</v>
      </c>
      <c r="P22">
        <v>0</v>
      </c>
      <c r="Q22">
        <v>1</v>
      </c>
      <c r="R22">
        <v>3.8400000000000001E-4</v>
      </c>
      <c r="S22">
        <v>0</v>
      </c>
      <c r="T22">
        <v>1</v>
      </c>
      <c r="U22" s="2">
        <v>19.337999999999997</v>
      </c>
      <c r="V22">
        <v>5.8739999999999997</v>
      </c>
      <c r="W22" s="3">
        <v>0</v>
      </c>
      <c r="X22" s="2">
        <f t="shared" si="1"/>
        <v>19.337999999999997</v>
      </c>
      <c r="Y22" s="2">
        <f t="shared" si="2"/>
        <v>5.8739999999999997</v>
      </c>
      <c r="Z22">
        <v>190</v>
      </c>
      <c r="AA22">
        <v>25.211999999999996</v>
      </c>
      <c r="AB22">
        <f t="shared" si="0"/>
        <v>25.211999999999996</v>
      </c>
    </row>
    <row r="23" spans="1:28" x14ac:dyDescent="0.35">
      <c r="A23" t="s">
        <v>34</v>
      </c>
      <c r="B23" t="s">
        <v>28</v>
      </c>
      <c r="C23">
        <v>25</v>
      </c>
      <c r="D23" t="s">
        <v>18</v>
      </c>
      <c r="E23">
        <v>500</v>
      </c>
      <c r="F23" s="1">
        <v>170000</v>
      </c>
      <c r="G23">
        <v>1300</v>
      </c>
      <c r="H23">
        <v>1445</v>
      </c>
      <c r="I23">
        <v>1</v>
      </c>
      <c r="J23">
        <v>0.23500000000000001</v>
      </c>
      <c r="K23">
        <v>2.2000000000000002</v>
      </c>
      <c r="L23">
        <v>2.8160000000000001E-4</v>
      </c>
      <c r="M23">
        <v>0.04</v>
      </c>
      <c r="N23">
        <v>1</v>
      </c>
      <c r="O23">
        <v>0</v>
      </c>
      <c r="P23">
        <v>0</v>
      </c>
      <c r="Q23">
        <v>1</v>
      </c>
      <c r="R23">
        <v>9.6000000000000002E-5</v>
      </c>
      <c r="S23">
        <v>0</v>
      </c>
      <c r="T23">
        <v>1</v>
      </c>
      <c r="U23" s="2">
        <v>5.7006079999999999</v>
      </c>
      <c r="V23">
        <v>1.7315839999999998</v>
      </c>
      <c r="W23" s="3">
        <v>0</v>
      </c>
      <c r="X23" s="2">
        <f t="shared" si="1"/>
        <v>5.7006079999999999</v>
      </c>
      <c r="Y23" s="2">
        <f t="shared" si="2"/>
        <v>1.7315839999999998</v>
      </c>
      <c r="Z23">
        <v>9.7279999999999998</v>
      </c>
      <c r="AA23">
        <v>7.4321919999999997</v>
      </c>
      <c r="AB23">
        <f t="shared" si="0"/>
        <v>7.4321919999999997</v>
      </c>
    </row>
    <row r="24" spans="1:28" x14ac:dyDescent="0.35">
      <c r="A24" t="s">
        <v>34</v>
      </c>
      <c r="B24" t="s">
        <v>29</v>
      </c>
      <c r="C24">
        <v>25</v>
      </c>
      <c r="D24" t="s">
        <v>18</v>
      </c>
      <c r="E24">
        <v>500</v>
      </c>
      <c r="F24" s="1">
        <v>170000</v>
      </c>
      <c r="G24">
        <v>1300</v>
      </c>
      <c r="H24">
        <v>1445</v>
      </c>
      <c r="I24">
        <v>1</v>
      </c>
      <c r="J24">
        <v>0.22</v>
      </c>
      <c r="K24">
        <v>2.2000000000000002</v>
      </c>
      <c r="L24">
        <v>1.3298000000000001E-3</v>
      </c>
      <c r="M24">
        <v>0.1</v>
      </c>
      <c r="N24">
        <v>1</v>
      </c>
      <c r="O24">
        <v>0</v>
      </c>
      <c r="P24">
        <v>0</v>
      </c>
      <c r="Q24">
        <v>1</v>
      </c>
      <c r="R24">
        <v>1.92E-4</v>
      </c>
      <c r="S24">
        <v>0</v>
      </c>
      <c r="T24">
        <v>1</v>
      </c>
      <c r="U24" s="2">
        <v>70.906000000000006</v>
      </c>
      <c r="V24">
        <v>21.538</v>
      </c>
      <c r="W24" s="3">
        <v>0</v>
      </c>
      <c r="X24" s="2">
        <f t="shared" si="1"/>
        <v>70.906000000000006</v>
      </c>
      <c r="Y24" s="2">
        <f t="shared" si="2"/>
        <v>21.538</v>
      </c>
      <c r="Z24">
        <v>121.00000000000001</v>
      </c>
      <c r="AA24">
        <v>92.444000000000003</v>
      </c>
      <c r="AB24">
        <f t="shared" si="0"/>
        <v>92.444000000000003</v>
      </c>
    </row>
    <row r="25" spans="1:28" x14ac:dyDescent="0.35">
      <c r="A25" t="s">
        <v>34</v>
      </c>
      <c r="B25" t="s">
        <v>30</v>
      </c>
      <c r="C25">
        <v>25</v>
      </c>
      <c r="D25" t="s">
        <v>18</v>
      </c>
      <c r="E25">
        <v>500</v>
      </c>
      <c r="F25" s="1">
        <v>170000</v>
      </c>
      <c r="G25">
        <v>1300</v>
      </c>
      <c r="H25">
        <v>1445</v>
      </c>
      <c r="I25">
        <v>1</v>
      </c>
      <c r="J25">
        <v>0.23500000000000001</v>
      </c>
      <c r="K25">
        <v>2.2000000000000002</v>
      </c>
      <c r="L25">
        <v>8.470000000000001E-4</v>
      </c>
      <c r="M25">
        <v>0.04</v>
      </c>
      <c r="N25">
        <v>1</v>
      </c>
      <c r="O25">
        <v>0</v>
      </c>
      <c r="P25">
        <v>0</v>
      </c>
      <c r="Q25">
        <v>1</v>
      </c>
      <c r="R25">
        <v>3.8400000000000001E-4</v>
      </c>
      <c r="S25">
        <v>0</v>
      </c>
      <c r="T25">
        <v>1</v>
      </c>
      <c r="U25" s="2">
        <v>56.256</v>
      </c>
      <c r="V25">
        <v>17.088000000000001</v>
      </c>
      <c r="W25" s="3">
        <v>0</v>
      </c>
      <c r="X25" s="2">
        <f t="shared" si="1"/>
        <v>56.256</v>
      </c>
      <c r="Y25" s="2">
        <f t="shared" si="2"/>
        <v>17.088000000000001</v>
      </c>
      <c r="Z25">
        <v>96</v>
      </c>
      <c r="AA25">
        <v>73.343999999999994</v>
      </c>
      <c r="AB25">
        <f t="shared" si="0"/>
        <v>73.343999999999994</v>
      </c>
    </row>
    <row r="26" spans="1:28" x14ac:dyDescent="0.35">
      <c r="A26" t="s">
        <v>34</v>
      </c>
      <c r="B26" t="s">
        <v>31</v>
      </c>
      <c r="C26">
        <v>25</v>
      </c>
      <c r="D26" t="s">
        <v>18</v>
      </c>
      <c r="E26">
        <v>500</v>
      </c>
      <c r="F26" s="1">
        <v>170000</v>
      </c>
      <c r="G26">
        <v>1300</v>
      </c>
      <c r="H26">
        <v>1445</v>
      </c>
      <c r="I26">
        <v>1</v>
      </c>
      <c r="J26">
        <v>0.25</v>
      </c>
      <c r="K26">
        <v>2.2000000000000002</v>
      </c>
      <c r="L26">
        <v>1.89E-3</v>
      </c>
      <c r="M26">
        <v>8.5000000000000006E-2</v>
      </c>
      <c r="N26">
        <v>1</v>
      </c>
      <c r="O26">
        <v>0</v>
      </c>
      <c r="P26">
        <v>0</v>
      </c>
      <c r="Q26">
        <v>1</v>
      </c>
      <c r="R26">
        <v>1.92E-4</v>
      </c>
      <c r="S26">
        <v>0</v>
      </c>
      <c r="T26">
        <v>1</v>
      </c>
      <c r="U26" s="2">
        <v>93.466999999999999</v>
      </c>
      <c r="V26">
        <v>28.390999999999998</v>
      </c>
      <c r="W26" s="3">
        <v>0</v>
      </c>
      <c r="X26" s="2">
        <f t="shared" si="1"/>
        <v>93.466999999999999</v>
      </c>
      <c r="Y26" s="2">
        <f t="shared" si="2"/>
        <v>28.390999999999998</v>
      </c>
      <c r="Z26">
        <v>159.5</v>
      </c>
      <c r="AA26">
        <v>121.858</v>
      </c>
      <c r="AB26">
        <f t="shared" si="0"/>
        <v>121.858</v>
      </c>
    </row>
    <row r="27" spans="1:28" x14ac:dyDescent="0.35">
      <c r="A27" t="s">
        <v>34</v>
      </c>
      <c r="B27" t="s">
        <v>32</v>
      </c>
      <c r="C27">
        <v>25</v>
      </c>
      <c r="D27" t="s">
        <v>18</v>
      </c>
      <c r="E27">
        <v>500</v>
      </c>
      <c r="F27" s="1">
        <v>170000</v>
      </c>
      <c r="G27">
        <v>1300</v>
      </c>
      <c r="H27">
        <v>1445</v>
      </c>
      <c r="I27">
        <v>1</v>
      </c>
      <c r="J27">
        <v>0.26</v>
      </c>
      <c r="K27">
        <v>2.2000000000000002</v>
      </c>
      <c r="L27">
        <v>5.6539999999999997E-4</v>
      </c>
      <c r="M27">
        <v>0.04</v>
      </c>
      <c r="N27">
        <v>1</v>
      </c>
      <c r="O27">
        <v>0</v>
      </c>
      <c r="P27">
        <v>0</v>
      </c>
      <c r="Q27">
        <v>1</v>
      </c>
      <c r="R27">
        <v>9.6000000000000002E-5</v>
      </c>
      <c r="S27">
        <v>0</v>
      </c>
      <c r="T27">
        <v>1</v>
      </c>
      <c r="U27" s="2">
        <v>27.752959999999998</v>
      </c>
      <c r="V27">
        <v>8.4300800000000002</v>
      </c>
      <c r="W27" s="3">
        <v>0</v>
      </c>
      <c r="X27" s="2">
        <f t="shared" si="1"/>
        <v>27.752959999999998</v>
      </c>
      <c r="Y27" s="2">
        <f t="shared" si="2"/>
        <v>8.4300800000000002</v>
      </c>
      <c r="Z27">
        <v>47.36</v>
      </c>
      <c r="AA27">
        <v>36.183039999999998</v>
      </c>
      <c r="AB27">
        <f t="shared" si="0"/>
        <v>36.183039999999998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2025-11-06T17:34:11Z</dcterms:modified>
</cp:coreProperties>
</file>