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"/>
    </mc:Choice>
  </mc:AlternateContent>
  <xr:revisionPtr revIDLastSave="109" documentId="8_{48E11D77-BA29-4A4C-B7CC-46B2E78CF751}" xr6:coauthVersionLast="47" xr6:coauthVersionMax="47" xr10:uidLastSave="{90B48501-2D13-471B-ADDB-141F7483F480}"/>
  <bookViews>
    <workbookView xWindow="-120" yWindow="-120" windowWidth="38640" windowHeight="21120" activeTab="2" xr2:uid="{00000000-000D-0000-FFFF-FFFF00000000}"/>
  </bookViews>
  <sheets>
    <sheet name="Files A" sheetId="1" r:id="rId1"/>
    <sheet name="Files A (TFC)" sheetId="3" r:id="rId2"/>
    <sheet name="Files A (TFC) V6" sheetId="9" r:id="rId3"/>
    <sheet name="Files B" sheetId="2" r:id="rId4"/>
    <sheet name="Files B (TFC)" sheetId="4" r:id="rId5"/>
    <sheet name="Files B (TFC) V6" sheetId="10" r:id="rId6"/>
    <sheet name="Files A MidStrip" sheetId="5" r:id="rId7"/>
    <sheet name="Files A MidStrip (TFC)" sheetId="7" r:id="rId8"/>
    <sheet name="Files A MidStrip (TFC) V6" sheetId="11" r:id="rId9"/>
    <sheet name="Files B MidStrip" sheetId="6" r:id="rId10"/>
    <sheet name="Files B MidStrip (TFC)" sheetId="8" r:id="rId11"/>
    <sheet name="Files B MidStrip (TFC) V6" sheetId="12" r:id="rId12"/>
  </sheets>
  <definedNames>
    <definedName name="_xlnm.Print_Area" localSheetId="0">'Files A'!$D$1:$BY$35</definedName>
    <definedName name="_xlnm.Print_Area" localSheetId="1">'Files A (TFC)'!$D$1:$BY$35</definedName>
    <definedName name="_xlnm.Print_Area" localSheetId="2">'Files A (TFC) V6'!$D$2:$CH$67</definedName>
    <definedName name="_xlnm.Print_Area" localSheetId="6">'Files A MidStrip'!$D$1:$BY$35</definedName>
    <definedName name="_xlnm.Print_Area" localSheetId="7">'Files A MidStrip (TFC)'!$D$1:$BY$35</definedName>
    <definedName name="_xlnm.Print_Area" localSheetId="8">'Files A MidStrip (TFC) V6'!$D$2:$CH$67</definedName>
    <definedName name="_xlnm.Print_Area" localSheetId="3">'Files B'!$D$1:$BY$37</definedName>
    <definedName name="_xlnm.Print_Area" localSheetId="4">'Files B (TFC)'!$D$1:$BY$37</definedName>
    <definedName name="_xlnm.Print_Area" localSheetId="5">'Files B (TFC) V6'!$D$2:$CH$67</definedName>
    <definedName name="_xlnm.Print_Area" localSheetId="9">'Files B MidStrip'!$D$1:$BY$35</definedName>
    <definedName name="_xlnm.Print_Area" localSheetId="10">'Files B MidStrip (TFC)'!$D$1:$BY$35</definedName>
    <definedName name="_xlnm.Print_Area" localSheetId="11">'Files B MidStrip (TFC) V6'!$D$2:$CH$67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14" i="9" l="1"/>
  <c r="CL12" i="9" l="1"/>
  <c r="CJ12" i="9"/>
  <c r="BQ9" i="9" l="1"/>
  <c r="BR9" i="9"/>
  <c r="BT9" i="9"/>
  <c r="BY9" i="9"/>
  <c r="BZ9" i="9"/>
  <c r="CB9" i="9"/>
  <c r="BQ10" i="9"/>
  <c r="BS10" i="9" s="1"/>
  <c r="BT10" i="9"/>
  <c r="BV10" i="9"/>
  <c r="BW10" i="9"/>
  <c r="BX10" i="9"/>
  <c r="BY10" i="9"/>
  <c r="CA10" i="9" s="1"/>
  <c r="CB10" i="9"/>
  <c r="CD10" i="9"/>
  <c r="CE10" i="9"/>
  <c r="CF10" i="9"/>
  <c r="CH10" i="9"/>
  <c r="BQ11" i="9"/>
  <c r="BR11" i="9"/>
  <c r="BT11" i="9"/>
  <c r="BV11" i="9"/>
  <c r="BW11" i="9"/>
  <c r="BX11" i="9"/>
  <c r="BY11" i="9"/>
  <c r="BZ11" i="9"/>
  <c r="CB11" i="9"/>
  <c r="CD11" i="9"/>
  <c r="CE11" i="9"/>
  <c r="CF11" i="9"/>
  <c r="CH11" i="9"/>
  <c r="BQ12" i="9"/>
  <c r="BT12" i="9"/>
  <c r="BV12" i="9"/>
  <c r="BW12" i="9"/>
  <c r="BX12" i="9"/>
  <c r="BY12" i="9"/>
  <c r="CB12" i="9"/>
  <c r="CD12" i="9"/>
  <c r="CE12" i="9"/>
  <c r="CF12" i="9"/>
  <c r="CH12" i="9"/>
  <c r="BQ13" i="9"/>
  <c r="BR13" i="9"/>
  <c r="BT13" i="9"/>
  <c r="BY13" i="9"/>
  <c r="BZ13" i="9"/>
  <c r="CB13" i="9"/>
  <c r="BQ14" i="9"/>
  <c r="BS14" i="9" s="1"/>
  <c r="BV14" i="9"/>
  <c r="BW14" i="9"/>
  <c r="BX14" i="9"/>
  <c r="BY14" i="9"/>
  <c r="CA14" i="9" s="1"/>
  <c r="CB14" i="9"/>
  <c r="CD14" i="9"/>
  <c r="CE14" i="9"/>
  <c r="CF14" i="9"/>
  <c r="CH14" i="9"/>
  <c r="BQ15" i="9"/>
  <c r="BR15" i="9"/>
  <c r="BT15" i="9"/>
  <c r="BY15" i="9"/>
  <c r="BZ15" i="9"/>
  <c r="CB15" i="9"/>
  <c r="BQ16" i="9"/>
  <c r="BS16" i="9" s="1"/>
  <c r="BT16" i="9"/>
  <c r="BV16" i="9"/>
  <c r="BW16" i="9"/>
  <c r="BX16" i="9"/>
  <c r="BY16" i="9"/>
  <c r="CA16" i="9" s="1"/>
  <c r="CB16" i="9"/>
  <c r="CD16" i="9"/>
  <c r="CE16" i="9"/>
  <c r="CF16" i="9"/>
  <c r="CH16" i="9"/>
  <c r="BQ17" i="9"/>
  <c r="BR17" i="9"/>
  <c r="BT17" i="9"/>
  <c r="BY17" i="9"/>
  <c r="BZ17" i="9"/>
  <c r="CB17" i="9"/>
  <c r="BQ18" i="9"/>
  <c r="BS18" i="9" s="1"/>
  <c r="BT18" i="9"/>
  <c r="BV18" i="9"/>
  <c r="BW18" i="9"/>
  <c r="BX18" i="9"/>
  <c r="BY18" i="9"/>
  <c r="CA18" i="9" s="1"/>
  <c r="CB18" i="9"/>
  <c r="CD18" i="9"/>
  <c r="CE18" i="9"/>
  <c r="CF18" i="9"/>
  <c r="CH18" i="9"/>
  <c r="BQ19" i="9"/>
  <c r="BR19" i="9"/>
  <c r="BT19" i="9"/>
  <c r="BY19" i="9"/>
  <c r="BZ19" i="9"/>
  <c r="CB19" i="9"/>
  <c r="BQ20" i="9"/>
  <c r="BS20" i="9" s="1"/>
  <c r="BT20" i="9"/>
  <c r="BV20" i="9"/>
  <c r="BW20" i="9"/>
  <c r="BX20" i="9"/>
  <c r="BY20" i="9"/>
  <c r="CB20" i="9"/>
  <c r="CD20" i="9"/>
  <c r="CE20" i="9"/>
  <c r="CF20" i="9"/>
  <c r="CH20" i="9"/>
  <c r="BQ21" i="9"/>
  <c r="BR21" i="9"/>
  <c r="BT21" i="9"/>
  <c r="BY21" i="9"/>
  <c r="BZ21" i="9"/>
  <c r="CB21" i="9"/>
  <c r="BQ22" i="9"/>
  <c r="BS22" i="9" s="1"/>
  <c r="BT22" i="9"/>
  <c r="BV22" i="9"/>
  <c r="BW22" i="9"/>
  <c r="BX22" i="9"/>
  <c r="BY22" i="9"/>
  <c r="CA22" i="9" s="1"/>
  <c r="CB22" i="9"/>
  <c r="CD22" i="9"/>
  <c r="CE22" i="9"/>
  <c r="CF22" i="9"/>
  <c r="CH22" i="9"/>
  <c r="BQ23" i="9"/>
  <c r="BR23" i="9"/>
  <c r="BT23" i="9"/>
  <c r="BY23" i="9"/>
  <c r="BZ23" i="9"/>
  <c r="CB23" i="9"/>
  <c r="BQ24" i="9"/>
  <c r="BT24" i="9"/>
  <c r="BV24" i="9"/>
  <c r="BW24" i="9"/>
  <c r="BX24" i="9"/>
  <c r="BY24" i="9"/>
  <c r="CB24" i="9"/>
  <c r="CD24" i="9"/>
  <c r="CE24" i="9"/>
  <c r="CF24" i="9"/>
  <c r="CH24" i="9"/>
  <c r="BQ25" i="9"/>
  <c r="BR25" i="9"/>
  <c r="BT25" i="9"/>
  <c r="BY25" i="9"/>
  <c r="BZ25" i="9"/>
  <c r="CB25" i="9"/>
  <c r="BQ26" i="9"/>
  <c r="BS26" i="9" s="1"/>
  <c r="BT26" i="9"/>
  <c r="BV26" i="9"/>
  <c r="BW26" i="9"/>
  <c r="BX26" i="9"/>
  <c r="BY26" i="9"/>
  <c r="CA26" i="9" s="1"/>
  <c r="CB26" i="9"/>
  <c r="CD26" i="9"/>
  <c r="CE26" i="9"/>
  <c r="CF26" i="9"/>
  <c r="CH26" i="9"/>
  <c r="BQ27" i="9"/>
  <c r="BR27" i="9"/>
  <c r="BT27" i="9"/>
  <c r="BY27" i="9"/>
  <c r="BZ27" i="9"/>
  <c r="CB27" i="9"/>
  <c r="BQ28" i="9"/>
  <c r="BS28" i="9" s="1"/>
  <c r="BT28" i="9"/>
  <c r="BV28" i="9"/>
  <c r="BW28" i="9"/>
  <c r="BX28" i="9"/>
  <c r="BY28" i="9"/>
  <c r="CB28" i="9"/>
  <c r="CD28" i="9"/>
  <c r="CE28" i="9"/>
  <c r="CF28" i="9"/>
  <c r="CH28" i="9"/>
  <c r="BQ29" i="9"/>
  <c r="BR29" i="9"/>
  <c r="BT29" i="9"/>
  <c r="BY29" i="9"/>
  <c r="BZ29" i="9"/>
  <c r="CB29" i="9"/>
  <c r="BQ30" i="9"/>
  <c r="BS30" i="9" s="1"/>
  <c r="BT30" i="9"/>
  <c r="BV30" i="9"/>
  <c r="BW30" i="9"/>
  <c r="BX30" i="9"/>
  <c r="BY30" i="9"/>
  <c r="CA30" i="9" s="1"/>
  <c r="CB30" i="9"/>
  <c r="CD30" i="9"/>
  <c r="CE30" i="9"/>
  <c r="CF30" i="9"/>
  <c r="CH30" i="9"/>
  <c r="BQ31" i="9"/>
  <c r="BR31" i="9"/>
  <c r="BT31" i="9"/>
  <c r="BY31" i="9"/>
  <c r="BZ31" i="9"/>
  <c r="CB31" i="9"/>
  <c r="BQ32" i="9"/>
  <c r="BS32" i="9" s="1"/>
  <c r="BT32" i="9"/>
  <c r="BV32" i="9"/>
  <c r="BW32" i="9"/>
  <c r="BX32" i="9"/>
  <c r="BY32" i="9"/>
  <c r="CA32" i="9" s="1"/>
  <c r="CB32" i="9"/>
  <c r="CD32" i="9"/>
  <c r="CE32" i="9"/>
  <c r="CF32" i="9"/>
  <c r="CH32" i="9"/>
  <c r="BQ33" i="9"/>
  <c r="BR33" i="9"/>
  <c r="BT33" i="9"/>
  <c r="BY33" i="9"/>
  <c r="BZ33" i="9"/>
  <c r="CB33" i="9"/>
  <c r="BQ34" i="9"/>
  <c r="BS34" i="9" s="1"/>
  <c r="BT34" i="9"/>
  <c r="BV34" i="9"/>
  <c r="BW34" i="9"/>
  <c r="BX34" i="9"/>
  <c r="BY34" i="9"/>
  <c r="CA34" i="9" s="1"/>
  <c r="CB34" i="9"/>
  <c r="CD34" i="9"/>
  <c r="CE34" i="9"/>
  <c r="CF34" i="9"/>
  <c r="CH34" i="9"/>
  <c r="BQ35" i="9"/>
  <c r="BR35" i="9"/>
  <c r="BT35" i="9"/>
  <c r="BY35" i="9"/>
  <c r="BZ35" i="9"/>
  <c r="CB35" i="9"/>
  <c r="BQ36" i="9"/>
  <c r="BT36" i="9"/>
  <c r="BV36" i="9"/>
  <c r="BW36" i="9"/>
  <c r="BX36" i="9"/>
  <c r="BY36" i="9"/>
  <c r="CB36" i="9"/>
  <c r="CD36" i="9"/>
  <c r="CE36" i="9"/>
  <c r="CF36" i="9"/>
  <c r="CH36" i="9"/>
  <c r="BQ37" i="9"/>
  <c r="BR37" i="9"/>
  <c r="BT37" i="9"/>
  <c r="BY37" i="9"/>
  <c r="BZ37" i="9"/>
  <c r="CB37" i="9"/>
  <c r="BQ38" i="9"/>
  <c r="BS38" i="9" s="1"/>
  <c r="BT38" i="9"/>
  <c r="BV38" i="9"/>
  <c r="BW38" i="9"/>
  <c r="BX38" i="9"/>
  <c r="BY38" i="9"/>
  <c r="CA38" i="9" s="1"/>
  <c r="CB38" i="9"/>
  <c r="CD38" i="9"/>
  <c r="CE38" i="9"/>
  <c r="CF38" i="9"/>
  <c r="CH38" i="9"/>
  <c r="BQ39" i="9"/>
  <c r="BR39" i="9"/>
  <c r="BT39" i="9"/>
  <c r="BY39" i="9"/>
  <c r="BZ39" i="9"/>
  <c r="CB39" i="9"/>
  <c r="BQ40" i="9"/>
  <c r="BS40" i="9" s="1"/>
  <c r="BT40" i="9"/>
  <c r="BV40" i="9"/>
  <c r="BW40" i="9"/>
  <c r="BX40" i="9"/>
  <c r="BY40" i="9"/>
  <c r="CA40" i="9" s="1"/>
  <c r="CB40" i="9"/>
  <c r="CD40" i="9"/>
  <c r="CE40" i="9"/>
  <c r="CF40" i="9"/>
  <c r="CH40" i="9"/>
  <c r="BQ41" i="9"/>
  <c r="BR41" i="9"/>
  <c r="BT41" i="9"/>
  <c r="BY41" i="9"/>
  <c r="BZ41" i="9"/>
  <c r="CB41" i="9"/>
  <c r="BQ42" i="9"/>
  <c r="BS42" i="9" s="1"/>
  <c r="BT42" i="9"/>
  <c r="BV42" i="9"/>
  <c r="BW42" i="9"/>
  <c r="BX42" i="9"/>
  <c r="BY42" i="9"/>
  <c r="CA42" i="9" s="1"/>
  <c r="CB42" i="9"/>
  <c r="CD42" i="9"/>
  <c r="CE42" i="9"/>
  <c r="CF42" i="9"/>
  <c r="CH42" i="9"/>
  <c r="BQ43" i="9"/>
  <c r="BR43" i="9"/>
  <c r="BT43" i="9"/>
  <c r="BY43" i="9"/>
  <c r="BZ43" i="9"/>
  <c r="CB43" i="9"/>
  <c r="BQ44" i="9"/>
  <c r="BS44" i="9" s="1"/>
  <c r="BT44" i="9"/>
  <c r="BV44" i="9"/>
  <c r="BW44" i="9"/>
  <c r="BX44" i="9"/>
  <c r="BY44" i="9"/>
  <c r="CB44" i="9"/>
  <c r="CD44" i="9"/>
  <c r="CE44" i="9"/>
  <c r="CF44" i="9"/>
  <c r="CH44" i="9"/>
  <c r="BQ45" i="9"/>
  <c r="BR45" i="9"/>
  <c r="BT45" i="9"/>
  <c r="BY45" i="9"/>
  <c r="BZ45" i="9"/>
  <c r="CB45" i="9"/>
  <c r="BQ46" i="9"/>
  <c r="BS46" i="9" s="1"/>
  <c r="BT46" i="9"/>
  <c r="BV46" i="9"/>
  <c r="BW46" i="9"/>
  <c r="BX46" i="9"/>
  <c r="BY46" i="9"/>
  <c r="CA46" i="9" s="1"/>
  <c r="CB46" i="9"/>
  <c r="CD46" i="9"/>
  <c r="CE46" i="9"/>
  <c r="CF46" i="9"/>
  <c r="CH46" i="9"/>
  <c r="BQ47" i="9"/>
  <c r="BR47" i="9"/>
  <c r="BT47" i="9"/>
  <c r="BY47" i="9"/>
  <c r="BZ47" i="9"/>
  <c r="CB47" i="9"/>
  <c r="BQ48" i="9"/>
  <c r="BT48" i="9"/>
  <c r="BV48" i="9"/>
  <c r="BW48" i="9"/>
  <c r="BX48" i="9"/>
  <c r="BY48" i="9"/>
  <c r="CB48" i="9"/>
  <c r="CD48" i="9"/>
  <c r="CE48" i="9"/>
  <c r="CF48" i="9"/>
  <c r="BQ49" i="9"/>
  <c r="BR49" i="9"/>
  <c r="BT49" i="9"/>
  <c r="BY49" i="9"/>
  <c r="BZ49" i="9"/>
  <c r="CB49" i="9"/>
  <c r="BQ50" i="9"/>
  <c r="BT50" i="9"/>
  <c r="BV50" i="9"/>
  <c r="BW50" i="9"/>
  <c r="BX50" i="9"/>
  <c r="BY50" i="9"/>
  <c r="CA50" i="9" s="1"/>
  <c r="CB50" i="9"/>
  <c r="CD50" i="9"/>
  <c r="CE50" i="9"/>
  <c r="CF50" i="9"/>
  <c r="CH50" i="9"/>
  <c r="BQ51" i="9"/>
  <c r="BR51" i="9"/>
  <c r="BT51" i="9"/>
  <c r="BY51" i="9"/>
  <c r="BZ51" i="9"/>
  <c r="CB51" i="9"/>
  <c r="BQ52" i="9"/>
  <c r="BS52" i="9" s="1"/>
  <c r="BT52" i="9"/>
  <c r="BV52" i="9"/>
  <c r="BW52" i="9"/>
  <c r="BX52" i="9"/>
  <c r="BY52" i="9"/>
  <c r="CB52" i="9"/>
  <c r="CD52" i="9"/>
  <c r="CE52" i="9"/>
  <c r="CF52" i="9"/>
  <c r="CH52" i="9"/>
  <c r="BQ53" i="9"/>
  <c r="BR53" i="9"/>
  <c r="BT53" i="9"/>
  <c r="BY53" i="9"/>
  <c r="BZ53" i="9"/>
  <c r="CB53" i="9"/>
  <c r="BQ54" i="9"/>
  <c r="BS54" i="9" s="1"/>
  <c r="BT54" i="9"/>
  <c r="BV54" i="9"/>
  <c r="BW54" i="9"/>
  <c r="BX54" i="9"/>
  <c r="BY54" i="9"/>
  <c r="CA54" i="9" s="1"/>
  <c r="CB54" i="9"/>
  <c r="CD54" i="9"/>
  <c r="CE54" i="9"/>
  <c r="CF54" i="9"/>
  <c r="CH54" i="9"/>
  <c r="BQ55" i="9"/>
  <c r="BR55" i="9"/>
  <c r="BT55" i="9"/>
  <c r="BY55" i="9"/>
  <c r="BZ55" i="9"/>
  <c r="CB55" i="9"/>
  <c r="BQ56" i="9"/>
  <c r="BS56" i="9" s="1"/>
  <c r="BT56" i="9"/>
  <c r="BV56" i="9"/>
  <c r="BW56" i="9"/>
  <c r="BX56" i="9"/>
  <c r="BY56" i="9"/>
  <c r="CA56" i="9" s="1"/>
  <c r="CB56" i="9"/>
  <c r="CD56" i="9"/>
  <c r="CE56" i="9"/>
  <c r="CF56" i="9"/>
  <c r="CH56" i="9"/>
  <c r="BQ57" i="9"/>
  <c r="BR57" i="9"/>
  <c r="BT57" i="9"/>
  <c r="BY57" i="9"/>
  <c r="BZ57" i="9"/>
  <c r="CB57" i="9"/>
  <c r="BQ58" i="9"/>
  <c r="BS58" i="9" s="1"/>
  <c r="BT58" i="9"/>
  <c r="BV58" i="9"/>
  <c r="BW58" i="9"/>
  <c r="BX58" i="9"/>
  <c r="BY58" i="9"/>
  <c r="CA58" i="9" s="1"/>
  <c r="CB58" i="9"/>
  <c r="CD58" i="9"/>
  <c r="CE58" i="9"/>
  <c r="CF58" i="9"/>
  <c r="CH58" i="9"/>
  <c r="BQ59" i="9"/>
  <c r="BR59" i="9"/>
  <c r="BT59" i="9"/>
  <c r="BY59" i="9"/>
  <c r="BZ59" i="9"/>
  <c r="CB59" i="9"/>
  <c r="BQ60" i="9"/>
  <c r="BT60" i="9"/>
  <c r="BV60" i="9"/>
  <c r="BW60" i="9"/>
  <c r="BX60" i="9"/>
  <c r="BY60" i="9"/>
  <c r="CB60" i="9"/>
  <c r="CD60" i="9"/>
  <c r="CE60" i="9"/>
  <c r="CF60" i="9"/>
  <c r="CH60" i="9"/>
  <c r="BQ61" i="9"/>
  <c r="BR61" i="9"/>
  <c r="BT61" i="9"/>
  <c r="BY61" i="9"/>
  <c r="BZ61" i="9"/>
  <c r="CB61" i="9"/>
  <c r="BQ62" i="9"/>
  <c r="BS62" i="9" s="1"/>
  <c r="BT62" i="9"/>
  <c r="BV62" i="9"/>
  <c r="BW62" i="9"/>
  <c r="BX62" i="9"/>
  <c r="BY62" i="9"/>
  <c r="CA62" i="9" s="1"/>
  <c r="CB62" i="9"/>
  <c r="CD62" i="9"/>
  <c r="CE62" i="9"/>
  <c r="CF62" i="9"/>
  <c r="CH62" i="9"/>
  <c r="BQ63" i="9"/>
  <c r="BR63" i="9"/>
  <c r="BT63" i="9"/>
  <c r="BY63" i="9"/>
  <c r="BZ63" i="9"/>
  <c r="CB63" i="9"/>
  <c r="BQ64" i="9"/>
  <c r="BT64" i="9"/>
  <c r="BV64" i="9"/>
  <c r="BW64" i="9"/>
  <c r="BX64" i="9"/>
  <c r="BY64" i="9"/>
  <c r="CB64" i="9"/>
  <c r="CD64" i="9"/>
  <c r="CE64" i="9"/>
  <c r="CF64" i="9"/>
  <c r="CH64" i="9"/>
  <c r="BQ65" i="9"/>
  <c r="BR65" i="9"/>
  <c r="BT65" i="9"/>
  <c r="BY65" i="9"/>
  <c r="BZ65" i="9"/>
  <c r="CB65" i="9"/>
  <c r="BQ66" i="9"/>
  <c r="BS66" i="9" s="1"/>
  <c r="BT66" i="9"/>
  <c r="BV66" i="9"/>
  <c r="BW66" i="9"/>
  <c r="BX66" i="9"/>
  <c r="BY66" i="9"/>
  <c r="CA66" i="9" s="1"/>
  <c r="CB66" i="9"/>
  <c r="CD66" i="9"/>
  <c r="CE66" i="9"/>
  <c r="CF66" i="9"/>
  <c r="CH66" i="9"/>
  <c r="BQ67" i="9"/>
  <c r="BR67" i="9"/>
  <c r="BT67" i="9"/>
  <c r="BV67" i="9"/>
  <c r="BW67" i="9"/>
  <c r="BX67" i="9"/>
  <c r="BY67" i="9"/>
  <c r="BZ67" i="9"/>
  <c r="CB67" i="9"/>
  <c r="CD67" i="9"/>
  <c r="CE67" i="9"/>
  <c r="CF67" i="9"/>
  <c r="CH67" i="9"/>
  <c r="BQ68" i="9"/>
  <c r="BT68" i="9"/>
  <c r="BV68" i="9"/>
  <c r="BW68" i="9"/>
  <c r="BX68" i="9"/>
  <c r="BY68" i="9"/>
  <c r="CB68" i="9"/>
  <c r="CD68" i="9"/>
  <c r="CE68" i="9"/>
  <c r="CF68" i="9"/>
  <c r="CH68" i="9"/>
  <c r="BQ69" i="9"/>
  <c r="BR69" i="9"/>
  <c r="BT69" i="9"/>
  <c r="BY69" i="9"/>
  <c r="BZ69" i="9"/>
  <c r="CB69" i="9"/>
  <c r="BQ70" i="9"/>
  <c r="BS70" i="9" s="1"/>
  <c r="BT70" i="9"/>
  <c r="BV70" i="9"/>
  <c r="BW70" i="9"/>
  <c r="BX70" i="9"/>
  <c r="BY70" i="9"/>
  <c r="CA70" i="9" s="1"/>
  <c r="CB70" i="9"/>
  <c r="CD70" i="9"/>
  <c r="CE70" i="9"/>
  <c r="CF70" i="9"/>
  <c r="CH70" i="9"/>
  <c r="BQ71" i="9"/>
  <c r="BR71" i="9"/>
  <c r="BT71" i="9"/>
  <c r="BY71" i="9"/>
  <c r="BZ71" i="9"/>
  <c r="CB71" i="9"/>
  <c r="CC34" i="9" l="1"/>
  <c r="CC22" i="9"/>
  <c r="BU42" i="9"/>
  <c r="CC40" i="9"/>
  <c r="BU66" i="9"/>
  <c r="BU44" i="9"/>
  <c r="CC42" i="9"/>
  <c r="CC70" i="9"/>
  <c r="BU34" i="9"/>
  <c r="CC46" i="9"/>
  <c r="CC38" i="9"/>
  <c r="BU28" i="9"/>
  <c r="CC26" i="9"/>
  <c r="BU58" i="9"/>
  <c r="BU26" i="9"/>
  <c r="CC32" i="9"/>
  <c r="CC54" i="9"/>
  <c r="BU52" i="9"/>
  <c r="BU20" i="9"/>
  <c r="CC56" i="9"/>
  <c r="CC50" i="9"/>
  <c r="CC30" i="9"/>
  <c r="BU40" i="9"/>
  <c r="CC62" i="9"/>
  <c r="CC16" i="9"/>
  <c r="BU18" i="9"/>
  <c r="BU38" i="9"/>
  <c r="BU56" i="9"/>
  <c r="BU14" i="9"/>
  <c r="BU70" i="9"/>
  <c r="BU32" i="9"/>
  <c r="BU16" i="9"/>
  <c r="CC10" i="9"/>
  <c r="BS50" i="9"/>
  <c r="BU50" i="9" s="1"/>
  <c r="CC58" i="9"/>
  <c r="CC14" i="9"/>
  <c r="CC66" i="9"/>
  <c r="BU62" i="9"/>
  <c r="BU54" i="9"/>
  <c r="BU46" i="9"/>
  <c r="BU30" i="9"/>
  <c r="BU22" i="9"/>
  <c r="CC18" i="9"/>
  <c r="BU10" i="9"/>
  <c r="CA52" i="9"/>
  <c r="CC52" i="9" s="1"/>
  <c r="CA44" i="9"/>
  <c r="CC44" i="9" s="1"/>
  <c r="CA28" i="9"/>
  <c r="CC28" i="9" s="1"/>
  <c r="CA20" i="9"/>
  <c r="CC20" i="9" s="1"/>
  <c r="CC68" i="12" l="1"/>
  <c r="CC67" i="12"/>
  <c r="CC66" i="12"/>
  <c r="A66" i="12"/>
  <c r="CC65" i="12"/>
  <c r="A65" i="12"/>
  <c r="CC64" i="12"/>
  <c r="A64" i="12"/>
  <c r="CC63" i="12"/>
  <c r="A63" i="12"/>
  <c r="CC62" i="12"/>
  <c r="A62" i="12"/>
  <c r="CC61" i="12"/>
  <c r="A61" i="12"/>
  <c r="CC60" i="12"/>
  <c r="A60" i="12"/>
  <c r="CC59" i="12"/>
  <c r="A59" i="12"/>
  <c r="CC58" i="12"/>
  <c r="A58" i="12"/>
  <c r="CC57" i="12"/>
  <c r="A57" i="12"/>
  <c r="CC56" i="12"/>
  <c r="A56" i="12"/>
  <c r="CC55" i="12"/>
  <c r="A55" i="12"/>
  <c r="CC54" i="12"/>
  <c r="A54" i="12"/>
  <c r="CC53" i="12"/>
  <c r="A53" i="12"/>
  <c r="CC52" i="12"/>
  <c r="A52" i="12"/>
  <c r="CC51" i="12"/>
  <c r="A51" i="12"/>
  <c r="CC50" i="12"/>
  <c r="A50" i="12"/>
  <c r="CC49" i="12"/>
  <c r="A49" i="12"/>
  <c r="CC48" i="12"/>
  <c r="A48" i="12"/>
  <c r="CC47" i="12"/>
  <c r="A47" i="12"/>
  <c r="CC46" i="12"/>
  <c r="C46" i="12"/>
  <c r="B46" i="12" s="1"/>
  <c r="A46" i="12"/>
  <c r="CB45" i="12"/>
  <c r="BY45" i="12"/>
  <c r="BT45" i="12"/>
  <c r="BQ45" i="12"/>
  <c r="BJ45" i="12"/>
  <c r="BO45" i="12" s="1"/>
  <c r="BI45" i="12"/>
  <c r="BN45" i="12" s="1"/>
  <c r="BH45" i="12"/>
  <c r="BG45" i="12"/>
  <c r="BF45" i="12"/>
  <c r="BE45" i="12"/>
  <c r="BM45" i="12" s="1"/>
  <c r="BD45" i="12"/>
  <c r="BL45" i="12" s="1"/>
  <c r="BC45" i="12"/>
  <c r="BK45" i="12" s="1"/>
  <c r="A45" i="12"/>
  <c r="CH44" i="12"/>
  <c r="CF44" i="12"/>
  <c r="CE44" i="12"/>
  <c r="CD44" i="12"/>
  <c r="CB44" i="12"/>
  <c r="BZ44" i="12"/>
  <c r="BY44" i="12"/>
  <c r="BX44" i="12"/>
  <c r="BW44" i="12"/>
  <c r="BV44" i="12"/>
  <c r="BT44" i="12"/>
  <c r="BR44" i="12"/>
  <c r="BS44" i="12" s="1"/>
  <c r="BQ44" i="12"/>
  <c r="BJ44" i="12"/>
  <c r="BO44" i="12" s="1"/>
  <c r="BI44" i="12"/>
  <c r="BN44" i="12" s="1"/>
  <c r="BH44" i="12"/>
  <c r="BG44" i="12"/>
  <c r="BF44" i="12"/>
  <c r="BE44" i="12"/>
  <c r="BM44" i="12" s="1"/>
  <c r="BD44" i="12"/>
  <c r="BC44" i="12"/>
  <c r="BK44" i="12" s="1"/>
  <c r="A44" i="12"/>
  <c r="CB43" i="12"/>
  <c r="BY43" i="12"/>
  <c r="BT43" i="12"/>
  <c r="BQ43" i="12"/>
  <c r="BJ43" i="12"/>
  <c r="BO43" i="12" s="1"/>
  <c r="BI43" i="12"/>
  <c r="BN43" i="12" s="1"/>
  <c r="BH43" i="12"/>
  <c r="BG43" i="12"/>
  <c r="BF43" i="12"/>
  <c r="BE43" i="12"/>
  <c r="BM43" i="12" s="1"/>
  <c r="BD43" i="12"/>
  <c r="BL43" i="12" s="1"/>
  <c r="BC43" i="12"/>
  <c r="A43" i="12"/>
  <c r="CH42" i="12"/>
  <c r="CF42" i="12"/>
  <c r="CE42" i="12"/>
  <c r="CD42" i="12"/>
  <c r="CB42" i="12"/>
  <c r="BZ42" i="12"/>
  <c r="BY42" i="12"/>
  <c r="CA42" i="12" s="1"/>
  <c r="BX42" i="12"/>
  <c r="BW42" i="12"/>
  <c r="BV42" i="12"/>
  <c r="BT42" i="12"/>
  <c r="BR42" i="12"/>
  <c r="BQ42" i="12"/>
  <c r="BS42" i="12" s="1"/>
  <c r="BN42" i="12"/>
  <c r="BJ42" i="12"/>
  <c r="BO42" i="12" s="1"/>
  <c r="BI42" i="12"/>
  <c r="BH42" i="12"/>
  <c r="BM42" i="12" s="1"/>
  <c r="BG42" i="12"/>
  <c r="BF42" i="12"/>
  <c r="BE42" i="12"/>
  <c r="BD42" i="12"/>
  <c r="BC42" i="12"/>
  <c r="A42" i="12"/>
  <c r="CB41" i="12"/>
  <c r="BY41" i="12"/>
  <c r="BT41" i="12"/>
  <c r="BQ41" i="12"/>
  <c r="BJ41" i="12"/>
  <c r="BO41" i="12" s="1"/>
  <c r="BI41" i="12"/>
  <c r="BN41" i="12" s="1"/>
  <c r="BH41" i="12"/>
  <c r="BG41" i="12"/>
  <c r="BF41" i="12"/>
  <c r="BK41" i="12" s="1"/>
  <c r="BE41" i="12"/>
  <c r="BM41" i="12" s="1"/>
  <c r="BD41" i="12"/>
  <c r="BL41" i="12" s="1"/>
  <c r="BC41" i="12"/>
  <c r="A41" i="12"/>
  <c r="CH40" i="12"/>
  <c r="CF40" i="12"/>
  <c r="CE40" i="12"/>
  <c r="CD40" i="12"/>
  <c r="CB40" i="12"/>
  <c r="CC40" i="12" s="1"/>
  <c r="BZ40" i="12"/>
  <c r="CA40" i="12" s="1"/>
  <c r="BY40" i="12"/>
  <c r="BX40" i="12"/>
  <c r="BW40" i="12"/>
  <c r="BV40" i="12"/>
  <c r="BT40" i="12"/>
  <c r="BU40" i="12" s="1"/>
  <c r="BR40" i="12"/>
  <c r="BS40" i="12" s="1"/>
  <c r="BQ40" i="12"/>
  <c r="BJ40" i="12"/>
  <c r="BO40" i="12" s="1"/>
  <c r="BI40" i="12"/>
  <c r="BN40" i="12" s="1"/>
  <c r="BH40" i="12"/>
  <c r="BG40" i="12"/>
  <c r="BF40" i="12"/>
  <c r="BE40" i="12"/>
  <c r="BD40" i="12"/>
  <c r="BL40" i="12" s="1"/>
  <c r="BC40" i="12"/>
  <c r="A40" i="12"/>
  <c r="CB39" i="12"/>
  <c r="BY39" i="12"/>
  <c r="BT39" i="12"/>
  <c r="BQ39" i="12"/>
  <c r="BO39" i="12"/>
  <c r="BN39" i="12"/>
  <c r="BJ39" i="12"/>
  <c r="BI39" i="12"/>
  <c r="BH39" i="12"/>
  <c r="BG39" i="12"/>
  <c r="BF39" i="12"/>
  <c r="BE39" i="12"/>
  <c r="BM39" i="12" s="1"/>
  <c r="BD39" i="12"/>
  <c r="BL39" i="12" s="1"/>
  <c r="BC39" i="12"/>
  <c r="A39" i="12"/>
  <c r="CH38" i="12"/>
  <c r="CF38" i="12"/>
  <c r="CE38" i="12"/>
  <c r="CD38" i="12"/>
  <c r="CB38" i="12"/>
  <c r="BZ38" i="12"/>
  <c r="BY38" i="12"/>
  <c r="BX38" i="12"/>
  <c r="BW38" i="12"/>
  <c r="BV38" i="12"/>
  <c r="BT38" i="12"/>
  <c r="BR38" i="12"/>
  <c r="BS38" i="12" s="1"/>
  <c r="BU38" i="12" s="1"/>
  <c r="BQ38" i="12"/>
  <c r="BJ38" i="12"/>
  <c r="BO38" i="12" s="1"/>
  <c r="BI38" i="12"/>
  <c r="BN38" i="12" s="1"/>
  <c r="BH38" i="12"/>
  <c r="BG38" i="12"/>
  <c r="BF38" i="12"/>
  <c r="BE38" i="12"/>
  <c r="BM38" i="12" s="1"/>
  <c r="BD38" i="12"/>
  <c r="BL38" i="12" s="1"/>
  <c r="BC38" i="12"/>
  <c r="BK38" i="12" s="1"/>
  <c r="A38" i="12"/>
  <c r="CB37" i="12"/>
  <c r="BY37" i="12"/>
  <c r="BT37" i="12"/>
  <c r="BQ37" i="12"/>
  <c r="BO37" i="12"/>
  <c r="BJ37" i="12"/>
  <c r="BI37" i="12"/>
  <c r="BN37" i="12" s="1"/>
  <c r="BH37" i="12"/>
  <c r="BG37" i="12"/>
  <c r="BF37" i="12"/>
  <c r="BE37" i="12"/>
  <c r="BM37" i="12" s="1"/>
  <c r="BD37" i="12"/>
  <c r="BC37" i="12"/>
  <c r="A37" i="12"/>
  <c r="CH36" i="12"/>
  <c r="CF36" i="12"/>
  <c r="CE36" i="12"/>
  <c r="CD36" i="12"/>
  <c r="CB36" i="12"/>
  <c r="BZ36" i="12"/>
  <c r="BY36" i="12"/>
  <c r="BX36" i="12"/>
  <c r="BW36" i="12"/>
  <c r="BV36" i="12"/>
  <c r="BT36" i="12"/>
  <c r="BR36" i="12"/>
  <c r="BQ36" i="12"/>
  <c r="BN36" i="12"/>
  <c r="BJ36" i="12"/>
  <c r="BO36" i="12" s="1"/>
  <c r="BI36" i="12"/>
  <c r="BH36" i="12"/>
  <c r="BG36" i="12"/>
  <c r="BF36" i="12"/>
  <c r="BE36" i="12"/>
  <c r="BM36" i="12" s="1"/>
  <c r="BD36" i="12"/>
  <c r="BC36" i="12"/>
  <c r="A36" i="12"/>
  <c r="CB35" i="12"/>
  <c r="BY35" i="12"/>
  <c r="BT35" i="12"/>
  <c r="BQ35" i="12"/>
  <c r="BN35" i="12"/>
  <c r="BL35" i="12"/>
  <c r="BK35" i="12"/>
  <c r="BJ35" i="12"/>
  <c r="BO35" i="12" s="1"/>
  <c r="BI35" i="12"/>
  <c r="BH35" i="12"/>
  <c r="BM35" i="12" s="1"/>
  <c r="BG35" i="12"/>
  <c r="BF35" i="12"/>
  <c r="BE35" i="12"/>
  <c r="BD35" i="12"/>
  <c r="BC35" i="12"/>
  <c r="A35" i="12"/>
  <c r="CH34" i="12"/>
  <c r="CF34" i="12"/>
  <c r="CE34" i="12"/>
  <c r="CD34" i="12"/>
  <c r="CB34" i="12"/>
  <c r="BZ34" i="12"/>
  <c r="BY34" i="12"/>
  <c r="CA34" i="12" s="1"/>
  <c r="CC34" i="12" s="1"/>
  <c r="BX34" i="12"/>
  <c r="BW34" i="12"/>
  <c r="BV34" i="12"/>
  <c r="BT34" i="12"/>
  <c r="BR34" i="12"/>
  <c r="BQ34" i="12"/>
  <c r="A34" i="12"/>
  <c r="CB33" i="12"/>
  <c r="BY33" i="12"/>
  <c r="BT33" i="12"/>
  <c r="BQ33" i="12"/>
  <c r="BO33" i="12"/>
  <c r="BJ33" i="12"/>
  <c r="BI33" i="12"/>
  <c r="BN33" i="12" s="1"/>
  <c r="BH33" i="12"/>
  <c r="BG33" i="12"/>
  <c r="BF33" i="12"/>
  <c r="BE33" i="12"/>
  <c r="BM33" i="12" s="1"/>
  <c r="BD33" i="12"/>
  <c r="BL33" i="12" s="1"/>
  <c r="BC33" i="12"/>
  <c r="A33" i="12"/>
  <c r="CH32" i="12"/>
  <c r="CF32" i="12"/>
  <c r="CE32" i="12"/>
  <c r="CD32" i="12"/>
  <c r="CB32" i="12"/>
  <c r="BZ32" i="12"/>
  <c r="CA32" i="12" s="1"/>
  <c r="BY32" i="12"/>
  <c r="BX32" i="12"/>
  <c r="BW32" i="12"/>
  <c r="BV32" i="12"/>
  <c r="BT32" i="12"/>
  <c r="BR32" i="12"/>
  <c r="BQ32" i="12"/>
  <c r="BS32" i="12" s="1"/>
  <c r="BU32" i="12" s="1"/>
  <c r="BM32" i="12"/>
  <c r="BJ32" i="12"/>
  <c r="BO32" i="12" s="1"/>
  <c r="BI32" i="12"/>
  <c r="BN32" i="12" s="1"/>
  <c r="BH32" i="12"/>
  <c r="BG32" i="12"/>
  <c r="BF32" i="12"/>
  <c r="BE32" i="12"/>
  <c r="BD32" i="12"/>
  <c r="BC32" i="12"/>
  <c r="A32" i="12"/>
  <c r="CB31" i="12"/>
  <c r="BY31" i="12"/>
  <c r="BT31" i="12"/>
  <c r="BQ31" i="12"/>
  <c r="BK31" i="12"/>
  <c r="BJ31" i="12"/>
  <c r="BO31" i="12" s="1"/>
  <c r="BI31" i="12"/>
  <c r="BN31" i="12" s="1"/>
  <c r="BH31" i="12"/>
  <c r="BG31" i="12"/>
  <c r="BF31" i="12"/>
  <c r="BE31" i="12"/>
  <c r="BD31" i="12"/>
  <c r="BL31" i="12" s="1"/>
  <c r="BC31" i="12"/>
  <c r="A31" i="12"/>
  <c r="CH30" i="12"/>
  <c r="CF30" i="12"/>
  <c r="CE30" i="12"/>
  <c r="CD30" i="12"/>
  <c r="CB30" i="12"/>
  <c r="BZ30" i="12"/>
  <c r="CA30" i="12" s="1"/>
  <c r="BY30" i="12"/>
  <c r="BX30" i="12"/>
  <c r="BW30" i="12"/>
  <c r="BV30" i="12"/>
  <c r="BT30" i="12"/>
  <c r="BR30" i="12"/>
  <c r="BS30" i="12" s="1"/>
  <c r="BU30" i="12" s="1"/>
  <c r="BQ30" i="12"/>
  <c r="BO30" i="12"/>
  <c r="BJ30" i="12"/>
  <c r="BI30" i="12"/>
  <c r="BN30" i="12" s="1"/>
  <c r="BH30" i="12"/>
  <c r="BG30" i="12"/>
  <c r="BF30" i="12"/>
  <c r="BE30" i="12"/>
  <c r="BD30" i="12"/>
  <c r="BC30" i="12"/>
  <c r="A30" i="12"/>
  <c r="CB29" i="12"/>
  <c r="BY29" i="12"/>
  <c r="BT29" i="12"/>
  <c r="BQ29" i="12"/>
  <c r="BO29" i="12"/>
  <c r="BN29" i="12"/>
  <c r="BJ29" i="12"/>
  <c r="BI29" i="12"/>
  <c r="BH29" i="12"/>
  <c r="BG29" i="12"/>
  <c r="BF29" i="12"/>
  <c r="BE29" i="12"/>
  <c r="BM29" i="12" s="1"/>
  <c r="BD29" i="12"/>
  <c r="BL29" i="12" s="1"/>
  <c r="BC29" i="12"/>
  <c r="BK29" i="12" s="1"/>
  <c r="A29" i="12"/>
  <c r="CH28" i="12"/>
  <c r="CF28" i="12"/>
  <c r="CE28" i="12"/>
  <c r="CD28" i="12"/>
  <c r="CB28" i="12"/>
  <c r="BZ28" i="12"/>
  <c r="BY28" i="12"/>
  <c r="BX28" i="12"/>
  <c r="BW28" i="12"/>
  <c r="BV28" i="12"/>
  <c r="BT28" i="12"/>
  <c r="BR28" i="12"/>
  <c r="BS28" i="12" s="1"/>
  <c r="BU28" i="12" s="1"/>
  <c r="BQ28" i="12"/>
  <c r="BJ28" i="12"/>
  <c r="BO28" i="12" s="1"/>
  <c r="BI28" i="12"/>
  <c r="BN28" i="12" s="1"/>
  <c r="BH28" i="12"/>
  <c r="BG28" i="12"/>
  <c r="BF28" i="12"/>
  <c r="BE28" i="12"/>
  <c r="BM28" i="12" s="1"/>
  <c r="BD28" i="12"/>
  <c r="BL28" i="12" s="1"/>
  <c r="BC28" i="12"/>
  <c r="BK28" i="12" s="1"/>
  <c r="A28" i="12"/>
  <c r="CB27" i="12"/>
  <c r="BY27" i="12"/>
  <c r="BT27" i="12"/>
  <c r="BQ27" i="12"/>
  <c r="BO27" i="12"/>
  <c r="BJ27" i="12"/>
  <c r="BI27" i="12"/>
  <c r="BN27" i="12" s="1"/>
  <c r="BH27" i="12"/>
  <c r="BG27" i="12"/>
  <c r="BF27" i="12"/>
  <c r="BE27" i="12"/>
  <c r="BD27" i="12"/>
  <c r="BC27" i="12"/>
  <c r="A27" i="12"/>
  <c r="CH26" i="12"/>
  <c r="CF26" i="12"/>
  <c r="CE26" i="12"/>
  <c r="CD26" i="12"/>
  <c r="CB26" i="12"/>
  <c r="BZ26" i="12"/>
  <c r="BY26" i="12"/>
  <c r="BX26" i="12"/>
  <c r="BW26" i="12"/>
  <c r="BV26" i="12"/>
  <c r="BT26" i="12"/>
  <c r="BR26" i="12"/>
  <c r="BQ26" i="12"/>
  <c r="BN26" i="12"/>
  <c r="BJ26" i="12"/>
  <c r="BO26" i="12" s="1"/>
  <c r="BI26" i="12"/>
  <c r="BH26" i="12"/>
  <c r="BG26" i="12"/>
  <c r="BF26" i="12"/>
  <c r="BE26" i="12"/>
  <c r="BM26" i="12" s="1"/>
  <c r="BD26" i="12"/>
  <c r="BC26" i="12"/>
  <c r="A26" i="12"/>
  <c r="CB25" i="12"/>
  <c r="BY25" i="12"/>
  <c r="BT25" i="12"/>
  <c r="BQ25" i="12"/>
  <c r="BN25" i="12"/>
  <c r="BL25" i="12"/>
  <c r="BK25" i="12"/>
  <c r="BJ25" i="12"/>
  <c r="BO25" i="12" s="1"/>
  <c r="BI25" i="12"/>
  <c r="BH25" i="12"/>
  <c r="BM25" i="12" s="1"/>
  <c r="BG25" i="12"/>
  <c r="BF25" i="12"/>
  <c r="BE25" i="12"/>
  <c r="BD25" i="12"/>
  <c r="BC25" i="12"/>
  <c r="A25" i="12"/>
  <c r="CH24" i="12"/>
  <c r="CF24" i="12"/>
  <c r="CE24" i="12"/>
  <c r="CD24" i="12"/>
  <c r="CB24" i="12"/>
  <c r="BZ24" i="12"/>
  <c r="BY24" i="12"/>
  <c r="CA24" i="12" s="1"/>
  <c r="CC24" i="12" s="1"/>
  <c r="BX24" i="12"/>
  <c r="BW24" i="12"/>
  <c r="BV24" i="12"/>
  <c r="BT24" i="12"/>
  <c r="BR24" i="12"/>
  <c r="BQ24" i="12"/>
  <c r="BS24" i="12" s="1"/>
  <c r="BJ24" i="12"/>
  <c r="BO24" i="12" s="1"/>
  <c r="BI24" i="12"/>
  <c r="BN24" i="12" s="1"/>
  <c r="BH24" i="12"/>
  <c r="BG24" i="12"/>
  <c r="BF24" i="12"/>
  <c r="BK24" i="12" s="1"/>
  <c r="BE24" i="12"/>
  <c r="BD24" i="12"/>
  <c r="BL24" i="12" s="1"/>
  <c r="BC24" i="12"/>
  <c r="A24" i="12"/>
  <c r="CB23" i="12"/>
  <c r="BY23" i="12"/>
  <c r="BT23" i="12"/>
  <c r="BQ23" i="12"/>
  <c r="BO23" i="12"/>
  <c r="BJ23" i="12"/>
  <c r="BI23" i="12"/>
  <c r="BN23" i="12" s="1"/>
  <c r="BH23" i="12"/>
  <c r="BG23" i="12"/>
  <c r="BF23" i="12"/>
  <c r="BE23" i="12"/>
  <c r="BM23" i="12" s="1"/>
  <c r="BD23" i="12"/>
  <c r="BC23" i="12"/>
  <c r="A23" i="12"/>
  <c r="CH22" i="12"/>
  <c r="CF22" i="12"/>
  <c r="CE22" i="12"/>
  <c r="CD22" i="12"/>
  <c r="CB22" i="12"/>
  <c r="BZ22" i="12"/>
  <c r="CA22" i="12" s="1"/>
  <c r="BY22" i="12"/>
  <c r="BX22" i="12"/>
  <c r="BW22" i="12"/>
  <c r="BV22" i="12"/>
  <c r="BT22" i="12"/>
  <c r="BR22" i="12"/>
  <c r="BQ22" i="12"/>
  <c r="A22" i="12"/>
  <c r="CB21" i="12"/>
  <c r="BY21" i="12"/>
  <c r="BT21" i="12"/>
  <c r="BQ21" i="12"/>
  <c r="BJ21" i="12"/>
  <c r="BO21" i="12" s="1"/>
  <c r="BI21" i="12"/>
  <c r="BN21" i="12" s="1"/>
  <c r="BH21" i="12"/>
  <c r="BG21" i="12"/>
  <c r="BF21" i="12"/>
  <c r="BE21" i="12"/>
  <c r="BM21" i="12" s="1"/>
  <c r="BD21" i="12"/>
  <c r="BC21" i="12"/>
  <c r="BK21" i="12" s="1"/>
  <c r="A21" i="12"/>
  <c r="CH20" i="12"/>
  <c r="CF20" i="12"/>
  <c r="CE20" i="12"/>
  <c r="CD20" i="12"/>
  <c r="CB20" i="12"/>
  <c r="BZ20" i="12"/>
  <c r="BY20" i="12"/>
  <c r="BX20" i="12"/>
  <c r="BW20" i="12"/>
  <c r="BV20" i="12"/>
  <c r="BT20" i="12"/>
  <c r="BS20" i="12"/>
  <c r="BR20" i="12"/>
  <c r="BQ20" i="12"/>
  <c r="BJ20" i="12"/>
  <c r="BO20" i="12" s="1"/>
  <c r="BI20" i="12"/>
  <c r="BN20" i="12" s="1"/>
  <c r="BH20" i="12"/>
  <c r="BG20" i="12"/>
  <c r="BF20" i="12"/>
  <c r="BE20" i="12"/>
  <c r="BD20" i="12"/>
  <c r="BC20" i="12"/>
  <c r="A20" i="12"/>
  <c r="CB19" i="12"/>
  <c r="BY19" i="12"/>
  <c r="BT19" i="12"/>
  <c r="BQ19" i="12"/>
  <c r="BO19" i="12"/>
  <c r="BJ19" i="12"/>
  <c r="BI19" i="12"/>
  <c r="BN19" i="12" s="1"/>
  <c r="BH19" i="12"/>
  <c r="BG19" i="12"/>
  <c r="BF19" i="12"/>
  <c r="BE19" i="12"/>
  <c r="BM19" i="12" s="1"/>
  <c r="BD19" i="12"/>
  <c r="BL19" i="12" s="1"/>
  <c r="BC19" i="12"/>
  <c r="A19" i="12"/>
  <c r="CH18" i="12"/>
  <c r="CF18" i="12"/>
  <c r="CE18" i="12"/>
  <c r="CD18" i="12"/>
  <c r="CB18" i="12"/>
  <c r="BZ18" i="12"/>
  <c r="BY18" i="12"/>
  <c r="BX18" i="12"/>
  <c r="BW18" i="12"/>
  <c r="BV18" i="12"/>
  <c r="BT18" i="12"/>
  <c r="BR18" i="12"/>
  <c r="BS18" i="12" s="1"/>
  <c r="BU18" i="12" s="1"/>
  <c r="BQ18" i="12"/>
  <c r="BJ18" i="12"/>
  <c r="BO18" i="12" s="1"/>
  <c r="BI18" i="12"/>
  <c r="BN18" i="12" s="1"/>
  <c r="BH18" i="12"/>
  <c r="BG18" i="12"/>
  <c r="BF18" i="12"/>
  <c r="BE18" i="12"/>
  <c r="BM18" i="12" s="1"/>
  <c r="BD18" i="12"/>
  <c r="BL18" i="12" s="1"/>
  <c r="BC18" i="12"/>
  <c r="BK18" i="12" s="1"/>
  <c r="A18" i="12"/>
  <c r="CB17" i="12"/>
  <c r="BY17" i="12"/>
  <c r="BT17" i="12"/>
  <c r="BQ17" i="12"/>
  <c r="A17" i="12"/>
  <c r="CH16" i="12"/>
  <c r="CF16" i="12"/>
  <c r="CE16" i="12"/>
  <c r="CD16" i="12"/>
  <c r="CB16" i="12"/>
  <c r="BZ16" i="12"/>
  <c r="BY16" i="12"/>
  <c r="BX16" i="12"/>
  <c r="BW16" i="12"/>
  <c r="BV16" i="12"/>
  <c r="BT16" i="12"/>
  <c r="BR16" i="12"/>
  <c r="BQ16" i="12"/>
  <c r="BJ16" i="12"/>
  <c r="BO16" i="12" s="1"/>
  <c r="BI16" i="12"/>
  <c r="BN16" i="12" s="1"/>
  <c r="BH16" i="12"/>
  <c r="BG16" i="12"/>
  <c r="BF16" i="12"/>
  <c r="BE16" i="12"/>
  <c r="BM16" i="12" s="1"/>
  <c r="BD16" i="12"/>
  <c r="BC16" i="12"/>
  <c r="A16" i="12"/>
  <c r="CB15" i="12"/>
  <c r="BY15" i="12"/>
  <c r="BT15" i="12"/>
  <c r="BQ15" i="12"/>
  <c r="BM15" i="12"/>
  <c r="BJ15" i="12"/>
  <c r="BO15" i="12" s="1"/>
  <c r="BI15" i="12"/>
  <c r="BN15" i="12" s="1"/>
  <c r="BH15" i="12"/>
  <c r="BG15" i="12"/>
  <c r="BF15" i="12"/>
  <c r="BK15" i="12" s="1"/>
  <c r="BE15" i="12"/>
  <c r="BD15" i="12"/>
  <c r="BL15" i="12" s="1"/>
  <c r="BC15" i="12"/>
  <c r="A15" i="12"/>
  <c r="CH14" i="12"/>
  <c r="CF14" i="12"/>
  <c r="CE14" i="12"/>
  <c r="CD14" i="12"/>
  <c r="CB14" i="12"/>
  <c r="BZ14" i="12"/>
  <c r="BY14" i="12"/>
  <c r="BX14" i="12"/>
  <c r="BW14" i="12"/>
  <c r="BV14" i="12"/>
  <c r="BT14" i="12"/>
  <c r="BR14" i="12"/>
  <c r="BQ14" i="12"/>
  <c r="BS14" i="12" s="1"/>
  <c r="BJ14" i="12"/>
  <c r="BO14" i="12" s="1"/>
  <c r="BI14" i="12"/>
  <c r="BN14" i="12" s="1"/>
  <c r="BH14" i="12"/>
  <c r="BG14" i="12"/>
  <c r="BF14" i="12"/>
  <c r="BE14" i="12"/>
  <c r="BM14" i="12" s="1"/>
  <c r="BD14" i="12"/>
  <c r="BC14" i="12"/>
  <c r="BK14" i="12" s="1"/>
  <c r="A14" i="12"/>
  <c r="CB13" i="12"/>
  <c r="BY13" i="12"/>
  <c r="BT13" i="12"/>
  <c r="BQ13" i="12"/>
  <c r="BO13" i="12"/>
  <c r="BN13" i="12"/>
  <c r="BJ13" i="12"/>
  <c r="BI13" i="12"/>
  <c r="BH13" i="12"/>
  <c r="BG13" i="12"/>
  <c r="BF13" i="12"/>
  <c r="BE13" i="12"/>
  <c r="BD13" i="12"/>
  <c r="BL13" i="12" s="1"/>
  <c r="BC13" i="12"/>
  <c r="BK13" i="12" s="1"/>
  <c r="A13" i="12"/>
  <c r="CH12" i="12"/>
  <c r="CF12" i="12"/>
  <c r="CE12" i="12"/>
  <c r="CD12" i="12"/>
  <c r="CB12" i="12"/>
  <c r="BZ12" i="12"/>
  <c r="BY12" i="12"/>
  <c r="BX12" i="12"/>
  <c r="BW12" i="12"/>
  <c r="BV12" i="12"/>
  <c r="BT12" i="12"/>
  <c r="BR12" i="12"/>
  <c r="BQ12" i="12"/>
  <c r="BS12" i="12" s="1"/>
  <c r="BO12" i="12"/>
  <c r="BN12" i="12"/>
  <c r="BJ12" i="12"/>
  <c r="BI12" i="12"/>
  <c r="BH12" i="12"/>
  <c r="BM12" i="12" s="1"/>
  <c r="BG12" i="12"/>
  <c r="BF12" i="12"/>
  <c r="BE12" i="12"/>
  <c r="BD12" i="12"/>
  <c r="BL12" i="12" s="1"/>
  <c r="BC12" i="12"/>
  <c r="BK12" i="12" s="1"/>
  <c r="A12" i="12"/>
  <c r="CB11" i="12"/>
  <c r="BY11" i="12"/>
  <c r="BT11" i="12"/>
  <c r="BQ11" i="12"/>
  <c r="BJ11" i="12"/>
  <c r="BO11" i="12" s="1"/>
  <c r="BI11" i="12"/>
  <c r="BN11" i="12" s="1"/>
  <c r="BH11" i="12"/>
  <c r="BG11" i="12"/>
  <c r="BF11" i="12"/>
  <c r="BE11" i="12"/>
  <c r="BD11" i="12"/>
  <c r="BC11" i="12"/>
  <c r="A11" i="12"/>
  <c r="CH10" i="12"/>
  <c r="CF10" i="12"/>
  <c r="CE10" i="12"/>
  <c r="CD10" i="12"/>
  <c r="CB10" i="12"/>
  <c r="BZ10" i="12"/>
  <c r="CA10" i="12" s="1"/>
  <c r="BY10" i="12"/>
  <c r="BX10" i="12"/>
  <c r="BW10" i="12"/>
  <c r="BV10" i="12"/>
  <c r="BT10" i="12"/>
  <c r="BR10" i="12"/>
  <c r="BS10" i="12" s="1"/>
  <c r="BQ10" i="12"/>
  <c r="A10" i="12"/>
  <c r="CB9" i="12"/>
  <c r="BY9" i="12"/>
  <c r="BT9" i="12"/>
  <c r="BQ9" i="12"/>
  <c r="BO9" i="12"/>
  <c r="BN9" i="12"/>
  <c r="BJ9" i="12"/>
  <c r="BI9" i="12"/>
  <c r="BH9" i="12"/>
  <c r="BG9" i="12"/>
  <c r="BF9" i="12"/>
  <c r="BK9" i="12" s="1"/>
  <c r="BE9" i="12"/>
  <c r="BM9" i="12" s="1"/>
  <c r="BD9" i="12"/>
  <c r="BC9" i="12"/>
  <c r="C9" i="12"/>
  <c r="B9" i="12"/>
  <c r="A9" i="12"/>
  <c r="CH8" i="12"/>
  <c r="CF8" i="12"/>
  <c r="CE8" i="12"/>
  <c r="CD8" i="12"/>
  <c r="CB8" i="12"/>
  <c r="BZ8" i="12"/>
  <c r="CA7" i="12" s="1"/>
  <c r="BY8" i="12"/>
  <c r="BX8" i="12"/>
  <c r="BW8" i="12"/>
  <c r="BV8" i="12"/>
  <c r="BT8" i="12"/>
  <c r="BR8" i="12"/>
  <c r="BQ8" i="12"/>
  <c r="BJ8" i="12"/>
  <c r="BO8" i="12" s="1"/>
  <c r="BI8" i="12"/>
  <c r="BN8" i="12" s="1"/>
  <c r="BH8" i="12"/>
  <c r="BM8" i="12" s="1"/>
  <c r="BG8" i="12"/>
  <c r="BF8" i="12"/>
  <c r="BE8" i="12"/>
  <c r="BD8" i="12"/>
  <c r="BC8" i="12"/>
  <c r="BK8" i="12" s="1"/>
  <c r="C8" i="12"/>
  <c r="B8" i="12" s="1"/>
  <c r="A8" i="12"/>
  <c r="CE7" i="12"/>
  <c r="CB7" i="12"/>
  <c r="BY7" i="12"/>
  <c r="BT7" i="12"/>
  <c r="BQ7" i="12"/>
  <c r="BL7" i="12"/>
  <c r="BJ7" i="12"/>
  <c r="BO7" i="12" s="1"/>
  <c r="BI7" i="12"/>
  <c r="BN7" i="12" s="1"/>
  <c r="BH7" i="12"/>
  <c r="BG7" i="12"/>
  <c r="BF7" i="12"/>
  <c r="BE7" i="12"/>
  <c r="BD7" i="12"/>
  <c r="BC7" i="12"/>
  <c r="BK7" i="12" s="1"/>
  <c r="B7" i="12"/>
  <c r="A7" i="12"/>
  <c r="CH6" i="12"/>
  <c r="CG6" i="12"/>
  <c r="CF6" i="12"/>
  <c r="CE6" i="12"/>
  <c r="CD6" i="12"/>
  <c r="CB6" i="12"/>
  <c r="CA6" i="12"/>
  <c r="BZ6" i="12"/>
  <c r="BY6" i="12"/>
  <c r="BX6" i="12"/>
  <c r="BW6" i="12"/>
  <c r="BV6" i="12"/>
  <c r="BT6" i="12"/>
  <c r="BR6" i="12"/>
  <c r="BQ6" i="12"/>
  <c r="BS6" i="12" s="1"/>
  <c r="BU6" i="12" s="1"/>
  <c r="B6" i="12"/>
  <c r="A6" i="12"/>
  <c r="BO4" i="12"/>
  <c r="BN4" i="12"/>
  <c r="BM4" i="12"/>
  <c r="BL4" i="12"/>
  <c r="C71" i="11"/>
  <c r="B71" i="11" s="1"/>
  <c r="A71" i="11"/>
  <c r="C70" i="11"/>
  <c r="B70" i="11" s="1"/>
  <c r="A70" i="11"/>
  <c r="C69" i="11"/>
  <c r="B69" i="11" s="1"/>
  <c r="A69" i="11"/>
  <c r="C68" i="11"/>
  <c r="B68" i="11" s="1"/>
  <c r="A68" i="11"/>
  <c r="C67" i="11"/>
  <c r="B67" i="11" s="1"/>
  <c r="A67" i="11"/>
  <c r="C66" i="11"/>
  <c r="B66" i="11" s="1"/>
  <c r="A66" i="11"/>
  <c r="C65" i="11"/>
  <c r="B65" i="11"/>
  <c r="A65" i="11"/>
  <c r="C64" i="11"/>
  <c r="B64" i="11"/>
  <c r="A64" i="11"/>
  <c r="C63" i="11"/>
  <c r="B63" i="11" s="1"/>
  <c r="A63" i="11"/>
  <c r="C62" i="11"/>
  <c r="B62" i="11"/>
  <c r="A62" i="11"/>
  <c r="C61" i="11"/>
  <c r="B61" i="11" s="1"/>
  <c r="A61" i="11"/>
  <c r="C60" i="11"/>
  <c r="B60" i="11"/>
  <c r="A60" i="11"/>
  <c r="C59" i="11"/>
  <c r="B59" i="11" s="1"/>
  <c r="A59" i="11"/>
  <c r="C58" i="11"/>
  <c r="B58" i="11" s="1"/>
  <c r="A58" i="11"/>
  <c r="CB57" i="11"/>
  <c r="BZ57" i="11"/>
  <c r="BY57" i="11"/>
  <c r="BT57" i="11"/>
  <c r="BR57" i="11"/>
  <c r="BQ57" i="11"/>
  <c r="BJ57" i="11"/>
  <c r="BO57" i="11" s="1"/>
  <c r="BI57" i="11"/>
  <c r="BN57" i="11" s="1"/>
  <c r="BH57" i="11"/>
  <c r="BG57" i="11"/>
  <c r="BF57" i="11"/>
  <c r="BK57" i="11" s="1"/>
  <c r="BE57" i="11"/>
  <c r="BM57" i="11" s="1"/>
  <c r="BD57" i="11"/>
  <c r="BL57" i="11" s="1"/>
  <c r="BC57" i="11"/>
  <c r="A57" i="11"/>
  <c r="CH56" i="11"/>
  <c r="CF56" i="11"/>
  <c r="CE56" i="11"/>
  <c r="CD56" i="11"/>
  <c r="CB56" i="11"/>
  <c r="CA56" i="11"/>
  <c r="CC56" i="11" s="1"/>
  <c r="BY56" i="11"/>
  <c r="BX56" i="11"/>
  <c r="BW56" i="11"/>
  <c r="BV56" i="11"/>
  <c r="BT56" i="11"/>
  <c r="BQ56" i="11"/>
  <c r="BS56" i="11" s="1"/>
  <c r="BO56" i="11"/>
  <c r="BN56" i="11"/>
  <c r="BJ56" i="11"/>
  <c r="BI56" i="11"/>
  <c r="BH56" i="11"/>
  <c r="BG56" i="11"/>
  <c r="BF56" i="11"/>
  <c r="BE56" i="11"/>
  <c r="BM56" i="11" s="1"/>
  <c r="BD56" i="11"/>
  <c r="BL56" i="11" s="1"/>
  <c r="BC56" i="11"/>
  <c r="A56" i="11"/>
  <c r="CB55" i="11"/>
  <c r="BZ55" i="11"/>
  <c r="BY55" i="11"/>
  <c r="BT55" i="11"/>
  <c r="BR55" i="11"/>
  <c r="BQ55" i="11"/>
  <c r="BN55" i="11"/>
  <c r="BJ55" i="11"/>
  <c r="BO55" i="11" s="1"/>
  <c r="BI55" i="11"/>
  <c r="BH55" i="11"/>
  <c r="BG55" i="11"/>
  <c r="BF55" i="11"/>
  <c r="BE55" i="11"/>
  <c r="BD55" i="11"/>
  <c r="BC55" i="11"/>
  <c r="A55" i="11"/>
  <c r="CH54" i="11"/>
  <c r="CF54" i="11"/>
  <c r="CE54" i="11"/>
  <c r="CD54" i="11"/>
  <c r="CB54" i="11"/>
  <c r="BY54" i="11"/>
  <c r="BX54" i="11"/>
  <c r="BW54" i="11"/>
  <c r="BV54" i="11"/>
  <c r="BT54" i="11"/>
  <c r="BQ54" i="11"/>
  <c r="BJ54" i="11"/>
  <c r="BO54" i="11" s="1"/>
  <c r="BI54" i="11"/>
  <c r="BN54" i="11" s="1"/>
  <c r="BH54" i="11"/>
  <c r="BG54" i="11"/>
  <c r="BF54" i="11"/>
  <c r="BE54" i="11"/>
  <c r="BD54" i="11"/>
  <c r="BL54" i="11" s="1"/>
  <c r="BC54" i="11"/>
  <c r="BK54" i="11" s="1"/>
  <c r="A54" i="11"/>
  <c r="CB53" i="11"/>
  <c r="BZ53" i="11"/>
  <c r="BY53" i="11"/>
  <c r="BT53" i="11"/>
  <c r="BR53" i="11"/>
  <c r="BQ53" i="11"/>
  <c r="BJ53" i="11"/>
  <c r="BO53" i="11" s="1"/>
  <c r="BI53" i="11"/>
  <c r="BN53" i="11" s="1"/>
  <c r="BH53" i="11"/>
  <c r="BG53" i="11"/>
  <c r="BL53" i="11" s="1"/>
  <c r="BF53" i="11"/>
  <c r="BE53" i="11"/>
  <c r="BD53" i="11"/>
  <c r="BC53" i="11"/>
  <c r="A53" i="11"/>
  <c r="CH52" i="11"/>
  <c r="CF52" i="11"/>
  <c r="CE52" i="11"/>
  <c r="CD52" i="11"/>
  <c r="CB52" i="11"/>
  <c r="BY52" i="11"/>
  <c r="CA52" i="11" s="1"/>
  <c r="BX52" i="11"/>
  <c r="BW52" i="11"/>
  <c r="BV52" i="11"/>
  <c r="BT52" i="11"/>
  <c r="BQ52" i="11"/>
  <c r="BS52" i="11" s="1"/>
  <c r="BU52" i="11" s="1"/>
  <c r="BJ52" i="11"/>
  <c r="BO52" i="11" s="1"/>
  <c r="BI52" i="11"/>
  <c r="BN52" i="11" s="1"/>
  <c r="BH52" i="11"/>
  <c r="BG52" i="11"/>
  <c r="BL52" i="11" s="1"/>
  <c r="BF52" i="11"/>
  <c r="BE52" i="11"/>
  <c r="BD52" i="11"/>
  <c r="BC52" i="11"/>
  <c r="A52" i="11"/>
  <c r="CB51" i="11"/>
  <c r="BZ51" i="11"/>
  <c r="BY51" i="11"/>
  <c r="BT51" i="11"/>
  <c r="BR51" i="11"/>
  <c r="BQ51" i="11"/>
  <c r="BN51" i="11"/>
  <c r="BM51" i="11"/>
  <c r="BL51" i="11"/>
  <c r="BJ51" i="11"/>
  <c r="BO51" i="11" s="1"/>
  <c r="BI51" i="11"/>
  <c r="BH51" i="11"/>
  <c r="BG51" i="11"/>
  <c r="BF51" i="11"/>
  <c r="BE51" i="11"/>
  <c r="BD51" i="11"/>
  <c r="BC51" i="11"/>
  <c r="A51" i="11"/>
  <c r="CH50" i="11"/>
  <c r="CF50" i="11"/>
  <c r="CE50" i="11"/>
  <c r="CD50" i="11"/>
  <c r="CB50" i="11"/>
  <c r="BY50" i="11"/>
  <c r="CA50" i="11" s="1"/>
  <c r="BX50" i="11"/>
  <c r="BW50" i="11"/>
  <c r="BV50" i="11"/>
  <c r="BT50" i="11"/>
  <c r="BQ50" i="11"/>
  <c r="BS50" i="11" s="1"/>
  <c r="BO50" i="11"/>
  <c r="BJ50" i="11"/>
  <c r="BI50" i="11"/>
  <c r="BN50" i="11" s="1"/>
  <c r="BH50" i="11"/>
  <c r="BG50" i="11"/>
  <c r="BF50" i="11"/>
  <c r="BE50" i="11"/>
  <c r="BM50" i="11" s="1"/>
  <c r="BD50" i="11"/>
  <c r="BC50" i="11"/>
  <c r="BK50" i="11" s="1"/>
  <c r="A50" i="11"/>
  <c r="CB49" i="11"/>
  <c r="BZ49" i="11"/>
  <c r="BY49" i="11"/>
  <c r="BT49" i="11"/>
  <c r="BR49" i="11"/>
  <c r="BQ49" i="11"/>
  <c r="BJ49" i="11"/>
  <c r="BO49" i="11" s="1"/>
  <c r="BI49" i="11"/>
  <c r="BN49" i="11" s="1"/>
  <c r="BH49" i="11"/>
  <c r="BG49" i="11"/>
  <c r="BF49" i="11"/>
  <c r="BE49" i="11"/>
  <c r="BM49" i="11" s="1"/>
  <c r="BD49" i="11"/>
  <c r="BC49" i="11"/>
  <c r="A49" i="11"/>
  <c r="CH48" i="11"/>
  <c r="CF48" i="11"/>
  <c r="CE48" i="11"/>
  <c r="CD48" i="11"/>
  <c r="CB48" i="11"/>
  <c r="CC48" i="11" s="1"/>
  <c r="BY48" i="11"/>
  <c r="CA48" i="11" s="1"/>
  <c r="BX48" i="11"/>
  <c r="BW48" i="11"/>
  <c r="BV48" i="11"/>
  <c r="BT48" i="11"/>
  <c r="BU48" i="11" s="1"/>
  <c r="BS48" i="11"/>
  <c r="BQ48" i="11"/>
  <c r="BJ48" i="11"/>
  <c r="BO48" i="11" s="1"/>
  <c r="BI48" i="11"/>
  <c r="BN48" i="11" s="1"/>
  <c r="BH48" i="11"/>
  <c r="BG48" i="11"/>
  <c r="BF48" i="11"/>
  <c r="BE48" i="11"/>
  <c r="BD48" i="11"/>
  <c r="BL48" i="11" s="1"/>
  <c r="BC48" i="11"/>
  <c r="BK48" i="11" s="1"/>
  <c r="A48" i="11"/>
  <c r="CB47" i="11"/>
  <c r="BZ47" i="11"/>
  <c r="BY47" i="11"/>
  <c r="BT47" i="11"/>
  <c r="BR47" i="11"/>
  <c r="BQ47" i="11"/>
  <c r="BJ47" i="11"/>
  <c r="BO47" i="11" s="1"/>
  <c r="BI47" i="11"/>
  <c r="BN47" i="11" s="1"/>
  <c r="BH47" i="11"/>
  <c r="BG47" i="11"/>
  <c r="BF47" i="11"/>
  <c r="BK47" i="11" s="1"/>
  <c r="BE47" i="11"/>
  <c r="BD47" i="11"/>
  <c r="BC47" i="11"/>
  <c r="A47" i="11"/>
  <c r="CH46" i="11"/>
  <c r="CF46" i="11"/>
  <c r="CE46" i="11"/>
  <c r="CD46" i="11"/>
  <c r="CB46" i="11"/>
  <c r="BY46" i="11"/>
  <c r="CA46" i="11" s="1"/>
  <c r="BX46" i="11"/>
  <c r="BW46" i="11"/>
  <c r="BV46" i="11"/>
  <c r="BT46" i="11"/>
  <c r="BU46" i="11" s="1"/>
  <c r="BQ46" i="11"/>
  <c r="BS46" i="11" s="1"/>
  <c r="BO46" i="11"/>
  <c r="BJ46" i="11"/>
  <c r="BI46" i="11"/>
  <c r="BN46" i="11" s="1"/>
  <c r="BH46" i="11"/>
  <c r="BG46" i="11"/>
  <c r="BL46" i="11" s="1"/>
  <c r="BF46" i="11"/>
  <c r="BK46" i="11" s="1"/>
  <c r="BE46" i="11"/>
  <c r="BD46" i="11"/>
  <c r="BC46" i="11"/>
  <c r="A46" i="11"/>
  <c r="CB45" i="11"/>
  <c r="BZ45" i="11"/>
  <c r="BY45" i="11"/>
  <c r="BT45" i="11"/>
  <c r="BR45" i="11"/>
  <c r="BQ45" i="11"/>
  <c r="BO45" i="11"/>
  <c r="BJ45" i="11"/>
  <c r="BI45" i="11"/>
  <c r="BN45" i="11" s="1"/>
  <c r="BH45" i="11"/>
  <c r="BG45" i="11"/>
  <c r="BF45" i="11"/>
  <c r="BE45" i="11"/>
  <c r="BM45" i="11" s="1"/>
  <c r="BD45" i="11"/>
  <c r="BC45" i="11"/>
  <c r="BK45" i="11" s="1"/>
  <c r="A45" i="11"/>
  <c r="CH44" i="11"/>
  <c r="CF44" i="11"/>
  <c r="CE44" i="11"/>
  <c r="CD44" i="11"/>
  <c r="CB44" i="11"/>
  <c r="BY44" i="11"/>
  <c r="CA44" i="11" s="1"/>
  <c r="BX44" i="11"/>
  <c r="BW44" i="11"/>
  <c r="BV44" i="11"/>
  <c r="BT44" i="11"/>
  <c r="BQ44" i="11"/>
  <c r="BS44" i="11" s="1"/>
  <c r="BL44" i="11"/>
  <c r="BJ44" i="11"/>
  <c r="BO44" i="11" s="1"/>
  <c r="BI44" i="11"/>
  <c r="BN44" i="11" s="1"/>
  <c r="BH44" i="11"/>
  <c r="BG44" i="11"/>
  <c r="BF44" i="11"/>
  <c r="BE44" i="11"/>
  <c r="BM44" i="11" s="1"/>
  <c r="BD44" i="11"/>
  <c r="BC44" i="11"/>
  <c r="BK44" i="11" s="1"/>
  <c r="A44" i="11"/>
  <c r="CB43" i="11"/>
  <c r="BZ43" i="11"/>
  <c r="BY43" i="11"/>
  <c r="BT43" i="11"/>
  <c r="BR43" i="11"/>
  <c r="BQ43" i="11"/>
  <c r="BJ43" i="11"/>
  <c r="BO43" i="11" s="1"/>
  <c r="BI43" i="11"/>
  <c r="BN43" i="11" s="1"/>
  <c r="BH43" i="11"/>
  <c r="BG43" i="11"/>
  <c r="BF43" i="11"/>
  <c r="BE43" i="11"/>
  <c r="BD43" i="11"/>
  <c r="BC43" i="11"/>
  <c r="A43" i="11"/>
  <c r="CH42" i="11"/>
  <c r="CF42" i="11"/>
  <c r="CE42" i="11"/>
  <c r="CD42" i="11"/>
  <c r="CB42" i="11"/>
  <c r="BY42" i="11"/>
  <c r="BX42" i="11"/>
  <c r="BW42" i="11"/>
  <c r="BV42" i="11"/>
  <c r="BT42" i="11"/>
  <c r="BQ42" i="11"/>
  <c r="BO42" i="11"/>
  <c r="BJ42" i="11"/>
  <c r="BI42" i="11"/>
  <c r="BN42" i="11" s="1"/>
  <c r="BH42" i="11"/>
  <c r="BM42" i="11" s="1"/>
  <c r="BG42" i="11"/>
  <c r="BF42" i="11"/>
  <c r="BE42" i="11"/>
  <c r="BD42" i="11"/>
  <c r="BL42" i="11" s="1"/>
  <c r="BC42" i="11"/>
  <c r="BK42" i="11" s="1"/>
  <c r="A42" i="11"/>
  <c r="CB41" i="11"/>
  <c r="BZ41" i="11"/>
  <c r="BY41" i="11"/>
  <c r="BT41" i="11"/>
  <c r="BR41" i="11"/>
  <c r="BQ41" i="11"/>
  <c r="BO41" i="11"/>
  <c r="BJ41" i="11"/>
  <c r="BI41" i="11"/>
  <c r="BN41" i="11" s="1"/>
  <c r="BH41" i="11"/>
  <c r="BM41" i="11" s="1"/>
  <c r="BG41" i="11"/>
  <c r="BL41" i="11" s="1"/>
  <c r="BF41" i="11"/>
  <c r="BK41" i="11" s="1"/>
  <c r="BE41" i="11"/>
  <c r="BD41" i="11"/>
  <c r="BC41" i="11"/>
  <c r="A41" i="11"/>
  <c r="CH40" i="11"/>
  <c r="CF40" i="11"/>
  <c r="CE40" i="11"/>
  <c r="CD40" i="11"/>
  <c r="CB40" i="11"/>
  <c r="CC40" i="11" s="1"/>
  <c r="BY40" i="11"/>
  <c r="CA40" i="11" s="1"/>
  <c r="BX40" i="11"/>
  <c r="BW40" i="11"/>
  <c r="BV40" i="11"/>
  <c r="BT40" i="11"/>
  <c r="BU40" i="11" s="1"/>
  <c r="BQ40" i="11"/>
  <c r="BS40" i="11" s="1"/>
  <c r="BO40" i="11"/>
  <c r="BK40" i="11"/>
  <c r="BJ40" i="11"/>
  <c r="BI40" i="11"/>
  <c r="BN40" i="11" s="1"/>
  <c r="BH40" i="11"/>
  <c r="BG40" i="11"/>
  <c r="BF40" i="11"/>
  <c r="BE40" i="11"/>
  <c r="BM40" i="11" s="1"/>
  <c r="BD40" i="11"/>
  <c r="BC40" i="11"/>
  <c r="A40" i="11"/>
  <c r="CB39" i="11"/>
  <c r="BZ39" i="11"/>
  <c r="BY39" i="11"/>
  <c r="BT39" i="11"/>
  <c r="BR39" i="11"/>
  <c r="BQ39" i="11"/>
  <c r="BJ39" i="11"/>
  <c r="BO39" i="11" s="1"/>
  <c r="BI39" i="11"/>
  <c r="BN39" i="11" s="1"/>
  <c r="BH39" i="11"/>
  <c r="BG39" i="11"/>
  <c r="BF39" i="11"/>
  <c r="BK39" i="11" s="1"/>
  <c r="BE39" i="11"/>
  <c r="BD39" i="11"/>
  <c r="BC39" i="11"/>
  <c r="A39" i="11"/>
  <c r="CH38" i="11"/>
  <c r="CF38" i="11"/>
  <c r="CE38" i="11"/>
  <c r="CD38" i="11"/>
  <c r="CB38" i="11"/>
  <c r="CC38" i="11" s="1"/>
  <c r="BY38" i="11"/>
  <c r="CA38" i="11" s="1"/>
  <c r="BX38" i="11"/>
  <c r="BW38" i="11"/>
  <c r="BV38" i="11"/>
  <c r="BT38" i="11"/>
  <c r="BU38" i="11" s="1"/>
  <c r="BQ38" i="11"/>
  <c r="BS38" i="11" s="1"/>
  <c r="BO38" i="11"/>
  <c r="BN38" i="11"/>
  <c r="BM38" i="11"/>
  <c r="BJ38" i="11"/>
  <c r="BI38" i="11"/>
  <c r="BH38" i="11"/>
  <c r="BG38" i="11"/>
  <c r="BF38" i="11"/>
  <c r="BE38" i="11"/>
  <c r="BD38" i="11"/>
  <c r="BL38" i="11" s="1"/>
  <c r="BC38" i="11"/>
  <c r="A38" i="11"/>
  <c r="CB37" i="11"/>
  <c r="BZ37" i="11"/>
  <c r="BY37" i="11"/>
  <c r="BT37" i="11"/>
  <c r="BR37" i="11"/>
  <c r="BQ37" i="11"/>
  <c r="BM37" i="11"/>
  <c r="BJ37" i="11"/>
  <c r="BO37" i="11" s="1"/>
  <c r="BI37" i="11"/>
  <c r="BN37" i="11" s="1"/>
  <c r="BH37" i="11"/>
  <c r="BG37" i="11"/>
  <c r="BL37" i="11" s="1"/>
  <c r="BF37" i="11"/>
  <c r="BK37" i="11" s="1"/>
  <c r="BE37" i="11"/>
  <c r="BD37" i="11"/>
  <c r="BC37" i="11"/>
  <c r="A37" i="11"/>
  <c r="CH36" i="11"/>
  <c r="CF36" i="11"/>
  <c r="CE36" i="11"/>
  <c r="CD36" i="11"/>
  <c r="CB36" i="11"/>
  <c r="BY36" i="11"/>
  <c r="CA36" i="11" s="1"/>
  <c r="BX36" i="11"/>
  <c r="BW36" i="11"/>
  <c r="BV36" i="11"/>
  <c r="BT36" i="11"/>
  <c r="BQ36" i="11"/>
  <c r="BS36" i="11" s="1"/>
  <c r="BU36" i="11" s="1"/>
  <c r="BJ36" i="11"/>
  <c r="BO36" i="11" s="1"/>
  <c r="BI36" i="11"/>
  <c r="BN36" i="11" s="1"/>
  <c r="BH36" i="11"/>
  <c r="BG36" i="11"/>
  <c r="BF36" i="11"/>
  <c r="BE36" i="11"/>
  <c r="BM36" i="11" s="1"/>
  <c r="BD36" i="11"/>
  <c r="BL36" i="11" s="1"/>
  <c r="BC36" i="11"/>
  <c r="A36" i="11"/>
  <c r="CB35" i="11"/>
  <c r="BZ35" i="11"/>
  <c r="BY35" i="11"/>
  <c r="BT35" i="11"/>
  <c r="BR35" i="11"/>
  <c r="BQ35" i="11"/>
  <c r="BJ35" i="11"/>
  <c r="BO35" i="11" s="1"/>
  <c r="BI35" i="11"/>
  <c r="BN35" i="11" s="1"/>
  <c r="BH35" i="11"/>
  <c r="BG35" i="11"/>
  <c r="BF35" i="11"/>
  <c r="BE35" i="11"/>
  <c r="BD35" i="11"/>
  <c r="BC35" i="11"/>
  <c r="BK35" i="11" s="1"/>
  <c r="A35" i="11"/>
  <c r="CH34" i="11"/>
  <c r="CF34" i="11"/>
  <c r="CE34" i="11"/>
  <c r="CD34" i="11"/>
  <c r="CB34" i="11"/>
  <c r="BY34" i="11"/>
  <c r="CA34" i="11" s="1"/>
  <c r="BX34" i="11"/>
  <c r="BW34" i="11"/>
  <c r="BV34" i="11"/>
  <c r="BT34" i="11"/>
  <c r="BQ34" i="11"/>
  <c r="BS34" i="11" s="1"/>
  <c r="BU34" i="11" s="1"/>
  <c r="BN34" i="11"/>
  <c r="BJ34" i="11"/>
  <c r="BO34" i="11" s="1"/>
  <c r="BI34" i="11"/>
  <c r="BH34" i="11"/>
  <c r="BG34" i="11"/>
  <c r="BF34" i="11"/>
  <c r="BK34" i="11" s="1"/>
  <c r="BE34" i="11"/>
  <c r="BD34" i="11"/>
  <c r="BC34" i="11"/>
  <c r="A34" i="11"/>
  <c r="CB33" i="11"/>
  <c r="BZ33" i="11"/>
  <c r="BY33" i="11"/>
  <c r="BT33" i="11"/>
  <c r="BR33" i="11"/>
  <c r="BQ33" i="11"/>
  <c r="BO33" i="11"/>
  <c r="BJ33" i="11"/>
  <c r="BI33" i="11"/>
  <c r="BN33" i="11" s="1"/>
  <c r="BH33" i="11"/>
  <c r="BG33" i="11"/>
  <c r="BF33" i="11"/>
  <c r="BK33" i="11" s="1"/>
  <c r="BE33" i="11"/>
  <c r="BD33" i="11"/>
  <c r="BL33" i="11" s="1"/>
  <c r="BC33" i="11"/>
  <c r="A33" i="11"/>
  <c r="CH32" i="11"/>
  <c r="CF32" i="11"/>
  <c r="CE32" i="11"/>
  <c r="CD32" i="11"/>
  <c r="CB32" i="11"/>
  <c r="CA32" i="11"/>
  <c r="BY32" i="11"/>
  <c r="BX32" i="11"/>
  <c r="BW32" i="11"/>
  <c r="BV32" i="11"/>
  <c r="BT32" i="11"/>
  <c r="BQ32" i="11"/>
  <c r="BS32" i="11" s="1"/>
  <c r="BU32" i="11" s="1"/>
  <c r="BO32" i="11"/>
  <c r="BJ32" i="11"/>
  <c r="BI32" i="11"/>
  <c r="BN32" i="11" s="1"/>
  <c r="BH32" i="11"/>
  <c r="BG32" i="11"/>
  <c r="BF32" i="11"/>
  <c r="BE32" i="11"/>
  <c r="BM32" i="11" s="1"/>
  <c r="BD32" i="11"/>
  <c r="BL32" i="11" s="1"/>
  <c r="BC32" i="11"/>
  <c r="BK32" i="11" s="1"/>
  <c r="A32" i="11"/>
  <c r="CB31" i="11"/>
  <c r="BZ31" i="11"/>
  <c r="BY31" i="11"/>
  <c r="BT31" i="11"/>
  <c r="BR31" i="11"/>
  <c r="BQ31" i="11"/>
  <c r="BM31" i="11"/>
  <c r="BJ31" i="11"/>
  <c r="BO31" i="11" s="1"/>
  <c r="BI31" i="11"/>
  <c r="BN31" i="11" s="1"/>
  <c r="BH31" i="11"/>
  <c r="BG31" i="11"/>
  <c r="BF31" i="11"/>
  <c r="BK31" i="11" s="1"/>
  <c r="BE31" i="11"/>
  <c r="BD31" i="11"/>
  <c r="BC31" i="11"/>
  <c r="A31" i="11"/>
  <c r="CH30" i="11"/>
  <c r="CF30" i="11"/>
  <c r="CE30" i="11"/>
  <c r="CD30" i="11"/>
  <c r="CB30" i="11"/>
  <c r="BY30" i="11"/>
  <c r="BX30" i="11"/>
  <c r="BW30" i="11"/>
  <c r="BV30" i="11"/>
  <c r="BT30" i="11"/>
  <c r="BQ30" i="11"/>
  <c r="BJ30" i="11"/>
  <c r="BO30" i="11" s="1"/>
  <c r="BI30" i="11"/>
  <c r="BN30" i="11" s="1"/>
  <c r="BH30" i="11"/>
  <c r="BG30" i="11"/>
  <c r="BL30" i="11" s="1"/>
  <c r="BF30" i="11"/>
  <c r="BE30" i="11"/>
  <c r="BD30" i="11"/>
  <c r="BC30" i="11"/>
  <c r="A30" i="11"/>
  <c r="CB29" i="11"/>
  <c r="BZ29" i="11"/>
  <c r="BY29" i="11"/>
  <c r="BT29" i="11"/>
  <c r="BR29" i="11"/>
  <c r="BQ29" i="11"/>
  <c r="BO29" i="11"/>
  <c r="BJ29" i="11"/>
  <c r="BI29" i="11"/>
  <c r="BN29" i="11" s="1"/>
  <c r="BH29" i="11"/>
  <c r="BM29" i="11" s="1"/>
  <c r="BG29" i="11"/>
  <c r="BF29" i="11"/>
  <c r="BE29" i="11"/>
  <c r="BD29" i="11"/>
  <c r="BC29" i="11"/>
  <c r="A29" i="11"/>
  <c r="CH28" i="11"/>
  <c r="CF28" i="11"/>
  <c r="CE28" i="11"/>
  <c r="CD28" i="11"/>
  <c r="CB28" i="11"/>
  <c r="CC28" i="11" s="1"/>
  <c r="CA28" i="11"/>
  <c r="BZ28" i="11"/>
  <c r="BY28" i="11"/>
  <c r="BX28" i="11"/>
  <c r="BW28" i="11"/>
  <c r="BV28" i="11"/>
  <c r="BT28" i="11"/>
  <c r="BR28" i="11"/>
  <c r="BQ28" i="11"/>
  <c r="BK28" i="11"/>
  <c r="BJ28" i="11"/>
  <c r="BO28" i="11" s="1"/>
  <c r="BI28" i="11"/>
  <c r="BN28" i="11" s="1"/>
  <c r="BH28" i="11"/>
  <c r="BM28" i="11" s="1"/>
  <c r="BG28" i="11"/>
  <c r="BF28" i="11"/>
  <c r="BE28" i="11"/>
  <c r="BD28" i="11"/>
  <c r="BL28" i="11" s="1"/>
  <c r="BC28" i="11"/>
  <c r="A28" i="11"/>
  <c r="CB27" i="11"/>
  <c r="BZ27" i="11"/>
  <c r="BY27" i="11"/>
  <c r="BT27" i="11"/>
  <c r="BR27" i="11"/>
  <c r="BQ27" i="11"/>
  <c r="BJ27" i="11"/>
  <c r="BO27" i="11" s="1"/>
  <c r="BI27" i="11"/>
  <c r="BN27" i="11" s="1"/>
  <c r="BH27" i="11"/>
  <c r="BM27" i="11" s="1"/>
  <c r="BG27" i="11"/>
  <c r="BL27" i="11" s="1"/>
  <c r="BF27" i="11"/>
  <c r="BE27" i="11"/>
  <c r="BD27" i="11"/>
  <c r="BC27" i="11"/>
  <c r="BK27" i="11" s="1"/>
  <c r="A27" i="11"/>
  <c r="CH26" i="11"/>
  <c r="CF26" i="11"/>
  <c r="CE26" i="11"/>
  <c r="CD26" i="11"/>
  <c r="CB26" i="11"/>
  <c r="BZ26" i="11"/>
  <c r="BY26" i="11"/>
  <c r="CA26" i="11" s="1"/>
  <c r="CC26" i="11" s="1"/>
  <c r="BX26" i="11"/>
  <c r="BW26" i="11"/>
  <c r="BV26" i="11"/>
  <c r="BT26" i="11"/>
  <c r="BR26" i="11"/>
  <c r="BQ26" i="11"/>
  <c r="BJ26" i="11"/>
  <c r="BO26" i="11" s="1"/>
  <c r="BI26" i="11"/>
  <c r="BN26" i="11" s="1"/>
  <c r="BH26" i="11"/>
  <c r="BG26" i="11"/>
  <c r="BF26" i="11"/>
  <c r="BK26" i="11" s="1"/>
  <c r="BE26" i="11"/>
  <c r="BM26" i="11" s="1"/>
  <c r="BD26" i="11"/>
  <c r="BL26" i="11" s="1"/>
  <c r="BC26" i="11"/>
  <c r="A26" i="11"/>
  <c r="CB25" i="11"/>
  <c r="BZ25" i="11"/>
  <c r="BY25" i="11"/>
  <c r="BT25" i="11"/>
  <c r="BR25" i="11"/>
  <c r="BQ25" i="11"/>
  <c r="BN25" i="11"/>
  <c r="BJ25" i="11"/>
  <c r="BO25" i="11" s="1"/>
  <c r="BI25" i="11"/>
  <c r="BH25" i="11"/>
  <c r="BG25" i="11"/>
  <c r="BF25" i="11"/>
  <c r="BE25" i="11"/>
  <c r="BM25" i="11" s="1"/>
  <c r="BD25" i="11"/>
  <c r="BL25" i="11" s="1"/>
  <c r="BC25" i="11"/>
  <c r="A25" i="11"/>
  <c r="CH24" i="11"/>
  <c r="CF24" i="11"/>
  <c r="CE24" i="11"/>
  <c r="CD24" i="11"/>
  <c r="CB24" i="11"/>
  <c r="BZ24" i="11"/>
  <c r="CA24" i="11" s="1"/>
  <c r="CC24" i="11" s="1"/>
  <c r="BY24" i="11"/>
  <c r="BX24" i="11"/>
  <c r="BW24" i="11"/>
  <c r="BV24" i="11"/>
  <c r="BT24" i="11"/>
  <c r="BS24" i="11"/>
  <c r="BU24" i="11" s="1"/>
  <c r="BR24" i="11"/>
  <c r="BQ24" i="11"/>
  <c r="BO24" i="11"/>
  <c r="BK24" i="11"/>
  <c r="BJ24" i="11"/>
  <c r="BI24" i="11"/>
  <c r="BN24" i="11" s="1"/>
  <c r="BH24" i="11"/>
  <c r="BG24" i="11"/>
  <c r="BF24" i="11"/>
  <c r="BE24" i="11"/>
  <c r="BM24" i="11" s="1"/>
  <c r="BD24" i="11"/>
  <c r="BC24" i="11"/>
  <c r="A24" i="11"/>
  <c r="CB23" i="11"/>
  <c r="BZ23" i="11"/>
  <c r="BY23" i="11"/>
  <c r="BT23" i="11"/>
  <c r="BR23" i="11"/>
  <c r="BQ23" i="11"/>
  <c r="BM23" i="11"/>
  <c r="BJ23" i="11"/>
  <c r="BO23" i="11" s="1"/>
  <c r="BI23" i="11"/>
  <c r="BN23" i="11" s="1"/>
  <c r="BH23" i="11"/>
  <c r="BG23" i="11"/>
  <c r="BF23" i="11"/>
  <c r="BK23" i="11" s="1"/>
  <c r="BE23" i="11"/>
  <c r="BD23" i="11"/>
  <c r="BC23" i="11"/>
  <c r="A23" i="11"/>
  <c r="CH22" i="11"/>
  <c r="CF22" i="11"/>
  <c r="CE22" i="11"/>
  <c r="CD22" i="11"/>
  <c r="CB22" i="11"/>
  <c r="BZ22" i="11"/>
  <c r="BY22" i="11"/>
  <c r="CA22" i="11" s="1"/>
  <c r="BX22" i="11"/>
  <c r="BW22" i="11"/>
  <c r="BV22" i="11"/>
  <c r="BT22" i="11"/>
  <c r="BR22" i="11"/>
  <c r="BS22" i="11" s="1"/>
  <c r="BU22" i="11" s="1"/>
  <c r="BQ22" i="11"/>
  <c r="BJ22" i="11"/>
  <c r="BO22" i="11" s="1"/>
  <c r="BI22" i="11"/>
  <c r="BN22" i="11" s="1"/>
  <c r="BH22" i="11"/>
  <c r="BG22" i="11"/>
  <c r="BF22" i="11"/>
  <c r="BK22" i="11" s="1"/>
  <c r="BE22" i="11"/>
  <c r="BD22" i="11"/>
  <c r="BC22" i="11"/>
  <c r="A22" i="11"/>
  <c r="CB21" i="11"/>
  <c r="BZ21" i="11"/>
  <c r="BY21" i="11"/>
  <c r="BT21" i="11"/>
  <c r="BR21" i="11"/>
  <c r="BQ21" i="11"/>
  <c r="BJ21" i="11"/>
  <c r="BO21" i="11" s="1"/>
  <c r="BI21" i="11"/>
  <c r="BN21" i="11" s="1"/>
  <c r="BH21" i="11"/>
  <c r="BG21" i="11"/>
  <c r="BF21" i="11"/>
  <c r="BE21" i="11"/>
  <c r="BD21" i="11"/>
  <c r="BL21" i="11" s="1"/>
  <c r="BC21" i="11"/>
  <c r="A21" i="11"/>
  <c r="CH20" i="11"/>
  <c r="CF20" i="11"/>
  <c r="CE20" i="11"/>
  <c r="CD20" i="11"/>
  <c r="CB20" i="11"/>
  <c r="BY20" i="11"/>
  <c r="CA20" i="11" s="1"/>
  <c r="BX20" i="11"/>
  <c r="BW20" i="11"/>
  <c r="BV20" i="11"/>
  <c r="BT20" i="11"/>
  <c r="BU20" i="11" s="1"/>
  <c r="BQ20" i="11"/>
  <c r="BS20" i="11" s="1"/>
  <c r="BO20" i="11"/>
  <c r="BJ20" i="11"/>
  <c r="BI20" i="11"/>
  <c r="BN20" i="11" s="1"/>
  <c r="BH20" i="11"/>
  <c r="BM20" i="11" s="1"/>
  <c r="BG20" i="11"/>
  <c r="BF20" i="11"/>
  <c r="BE20" i="11"/>
  <c r="BD20" i="11"/>
  <c r="BL20" i="11" s="1"/>
  <c r="BC20" i="11"/>
  <c r="BK20" i="11" s="1"/>
  <c r="A20" i="11"/>
  <c r="CB19" i="11"/>
  <c r="BZ19" i="11"/>
  <c r="BY19" i="11"/>
  <c r="BT19" i="11"/>
  <c r="BR19" i="11"/>
  <c r="BQ19" i="11"/>
  <c r="BK19" i="11"/>
  <c r="BJ19" i="11"/>
  <c r="BO19" i="11" s="1"/>
  <c r="BI19" i="11"/>
  <c r="BN19" i="11" s="1"/>
  <c r="BH19" i="11"/>
  <c r="BG19" i="11"/>
  <c r="BF19" i="11"/>
  <c r="BE19" i="11"/>
  <c r="BM19" i="11" s="1"/>
  <c r="BD19" i="11"/>
  <c r="BC19" i="11"/>
  <c r="A19" i="11"/>
  <c r="CH18" i="11"/>
  <c r="CF18" i="11"/>
  <c r="CE18" i="11"/>
  <c r="CD18" i="11"/>
  <c r="CB18" i="11"/>
  <c r="BZ18" i="11"/>
  <c r="BY18" i="11"/>
  <c r="BX18" i="11"/>
  <c r="BW18" i="11"/>
  <c r="BV18" i="11"/>
  <c r="BT18" i="11"/>
  <c r="BR18" i="11"/>
  <c r="BQ18" i="11"/>
  <c r="BJ18" i="11"/>
  <c r="BO18" i="11" s="1"/>
  <c r="BI18" i="11"/>
  <c r="BN18" i="11" s="1"/>
  <c r="BH18" i="11"/>
  <c r="BG18" i="11"/>
  <c r="BL18" i="11" s="1"/>
  <c r="BF18" i="11"/>
  <c r="BK18" i="11" s="1"/>
  <c r="BE18" i="11"/>
  <c r="BD18" i="11"/>
  <c r="BC18" i="11"/>
  <c r="A18" i="11"/>
  <c r="CB17" i="11"/>
  <c r="BZ17" i="11"/>
  <c r="BY17" i="11"/>
  <c r="BT17" i="11"/>
  <c r="BR17" i="11"/>
  <c r="BQ17" i="11"/>
  <c r="BJ17" i="11"/>
  <c r="BO17" i="11" s="1"/>
  <c r="BI17" i="11"/>
  <c r="BN17" i="11" s="1"/>
  <c r="BH17" i="11"/>
  <c r="BG17" i="11"/>
  <c r="BF17" i="11"/>
  <c r="BE17" i="11"/>
  <c r="BD17" i="11"/>
  <c r="BC17" i="11"/>
  <c r="A17" i="11"/>
  <c r="CH16" i="11"/>
  <c r="CF16" i="11"/>
  <c r="CE16" i="11"/>
  <c r="CD16" i="11"/>
  <c r="CB16" i="11"/>
  <c r="CC16" i="11" s="1"/>
  <c r="BY16" i="11"/>
  <c r="CA16" i="11" s="1"/>
  <c r="BX16" i="11"/>
  <c r="BW16" i="11"/>
  <c r="BV16" i="11"/>
  <c r="BT16" i="11"/>
  <c r="BQ16" i="11"/>
  <c r="BS16" i="11" s="1"/>
  <c r="BJ16" i="11"/>
  <c r="BO16" i="11" s="1"/>
  <c r="BI16" i="11"/>
  <c r="BN16" i="11" s="1"/>
  <c r="BH16" i="11"/>
  <c r="BM16" i="11" s="1"/>
  <c r="BG16" i="11"/>
  <c r="BF16" i="11"/>
  <c r="BE16" i="11"/>
  <c r="BD16" i="11"/>
  <c r="BC16" i="11"/>
  <c r="BK16" i="11" s="1"/>
  <c r="A16" i="11"/>
  <c r="CB15" i="11"/>
  <c r="BZ15" i="11"/>
  <c r="BY15" i="11"/>
  <c r="BT15" i="11"/>
  <c r="BR15" i="11"/>
  <c r="BQ15" i="11"/>
  <c r="BJ15" i="11"/>
  <c r="BO15" i="11" s="1"/>
  <c r="BI15" i="11"/>
  <c r="BN15" i="11" s="1"/>
  <c r="BH15" i="11"/>
  <c r="BG15" i="11"/>
  <c r="BF15" i="11"/>
  <c r="BE15" i="11"/>
  <c r="BM15" i="11" s="1"/>
  <c r="BD15" i="11"/>
  <c r="BC15" i="11"/>
  <c r="BK15" i="11" s="1"/>
  <c r="A15" i="11"/>
  <c r="CH14" i="11"/>
  <c r="CF14" i="11"/>
  <c r="CE14" i="11"/>
  <c r="CD14" i="11"/>
  <c r="CB14" i="11"/>
  <c r="BY14" i="11"/>
  <c r="CA14" i="11" s="1"/>
  <c r="BX14" i="11"/>
  <c r="BW14" i="11"/>
  <c r="BV14" i="11"/>
  <c r="BT14" i="11"/>
  <c r="BQ14" i="11"/>
  <c r="BS14" i="11" s="1"/>
  <c r="BJ14" i="11"/>
  <c r="BO14" i="11" s="1"/>
  <c r="BI14" i="11"/>
  <c r="BN14" i="11" s="1"/>
  <c r="BH14" i="11"/>
  <c r="BG14" i="11"/>
  <c r="BF14" i="11"/>
  <c r="BE14" i="11"/>
  <c r="BD14" i="11"/>
  <c r="BL14" i="11" s="1"/>
  <c r="BC14" i="11"/>
  <c r="A14" i="11"/>
  <c r="CB13" i="11"/>
  <c r="BZ13" i="11"/>
  <c r="BY13" i="11"/>
  <c r="BT13" i="11"/>
  <c r="BR13" i="11"/>
  <c r="BQ13" i="11"/>
  <c r="BO13" i="11"/>
  <c r="BJ13" i="11"/>
  <c r="BI13" i="11"/>
  <c r="BN13" i="11" s="1"/>
  <c r="BH13" i="11"/>
  <c r="BG13" i="11"/>
  <c r="BF13" i="11"/>
  <c r="BE13" i="11"/>
  <c r="BD13" i="11"/>
  <c r="BC13" i="11"/>
  <c r="A13" i="11"/>
  <c r="CH12" i="11"/>
  <c r="CF12" i="11"/>
  <c r="CE12" i="11"/>
  <c r="CD12" i="11"/>
  <c r="CB12" i="11"/>
  <c r="BY12" i="11"/>
  <c r="CA12" i="11" s="1"/>
  <c r="CC12" i="11" s="1"/>
  <c r="BX12" i="11"/>
  <c r="BW12" i="11"/>
  <c r="BV12" i="11"/>
  <c r="BT12" i="11"/>
  <c r="BQ12" i="11"/>
  <c r="BS12" i="11" s="1"/>
  <c r="BM12" i="11"/>
  <c r="BJ12" i="11"/>
  <c r="BO12" i="11" s="1"/>
  <c r="BI12" i="11"/>
  <c r="BN12" i="11" s="1"/>
  <c r="BH12" i="11"/>
  <c r="BG12" i="11"/>
  <c r="BF12" i="11"/>
  <c r="BK12" i="11" s="1"/>
  <c r="BE12" i="11"/>
  <c r="BD12" i="11"/>
  <c r="BL12" i="11" s="1"/>
  <c r="BC12" i="11"/>
  <c r="A12" i="11"/>
  <c r="CB11" i="11"/>
  <c r="BZ11" i="11"/>
  <c r="BY11" i="11"/>
  <c r="BT11" i="11"/>
  <c r="BR11" i="11"/>
  <c r="BQ11" i="11"/>
  <c r="BJ11" i="11"/>
  <c r="BO11" i="11" s="1"/>
  <c r="BI11" i="11"/>
  <c r="BN11" i="11" s="1"/>
  <c r="BH11" i="11"/>
  <c r="BG11" i="11"/>
  <c r="BF11" i="11"/>
  <c r="BK11" i="11" s="1"/>
  <c r="BE11" i="11"/>
  <c r="BD11" i="11"/>
  <c r="BC11" i="11"/>
  <c r="A11" i="11"/>
  <c r="CH10" i="11"/>
  <c r="CF10" i="11"/>
  <c r="CE10" i="11"/>
  <c r="CD10" i="11"/>
  <c r="CB10" i="11"/>
  <c r="BZ10" i="11"/>
  <c r="BY10" i="11"/>
  <c r="BX10" i="11"/>
  <c r="BW10" i="11"/>
  <c r="BV10" i="11"/>
  <c r="BT10" i="11"/>
  <c r="BR10" i="11"/>
  <c r="BS10" i="11" s="1"/>
  <c r="BQ10" i="11"/>
  <c r="BJ10" i="11"/>
  <c r="BO10" i="11" s="1"/>
  <c r="BI10" i="11"/>
  <c r="BN10" i="11" s="1"/>
  <c r="BH10" i="11"/>
  <c r="BG10" i="11"/>
  <c r="BF10" i="11"/>
  <c r="BE10" i="11"/>
  <c r="BD10" i="11"/>
  <c r="BC10" i="11"/>
  <c r="A10" i="11"/>
  <c r="CB9" i="11"/>
  <c r="BY9" i="11"/>
  <c r="BT9" i="11"/>
  <c r="BQ9" i="11"/>
  <c r="BO9" i="11"/>
  <c r="BN9" i="11"/>
  <c r="BJ9" i="11"/>
  <c r="BI9" i="11"/>
  <c r="BH9" i="11"/>
  <c r="BG9" i="11"/>
  <c r="BL9" i="11" s="1"/>
  <c r="BF9" i="11"/>
  <c r="BE9" i="11"/>
  <c r="BM9" i="11" s="1"/>
  <c r="BD9" i="11"/>
  <c r="BC9" i="11"/>
  <c r="C9" i="11"/>
  <c r="A9" i="11"/>
  <c r="CH8" i="11"/>
  <c r="CF8" i="11"/>
  <c r="CE8" i="11"/>
  <c r="CD8" i="11"/>
  <c r="CB8" i="11"/>
  <c r="BZ8" i="11"/>
  <c r="BY8" i="11"/>
  <c r="CA8" i="11" s="1"/>
  <c r="BX8" i="11"/>
  <c r="BW8" i="11"/>
  <c r="BV8" i="11"/>
  <c r="BT8" i="11"/>
  <c r="BR8" i="11"/>
  <c r="BQ8" i="11"/>
  <c r="BN8" i="11"/>
  <c r="BJ8" i="11"/>
  <c r="BO8" i="11" s="1"/>
  <c r="BI8" i="11"/>
  <c r="BH8" i="11"/>
  <c r="BG8" i="11"/>
  <c r="BF8" i="11"/>
  <c r="BE8" i="11"/>
  <c r="BD8" i="11"/>
  <c r="BL8" i="11" s="1"/>
  <c r="BC8" i="11"/>
  <c r="C8" i="11"/>
  <c r="B8" i="11"/>
  <c r="A8" i="11"/>
  <c r="CB7" i="11"/>
  <c r="CE7" i="11" s="1"/>
  <c r="BY7" i="11"/>
  <c r="BT7" i="11"/>
  <c r="BW7" i="11" s="1"/>
  <c r="BQ7" i="11"/>
  <c r="BJ7" i="11"/>
  <c r="BO7" i="11" s="1"/>
  <c r="BI7" i="11"/>
  <c r="BN7" i="11" s="1"/>
  <c r="BH7" i="11"/>
  <c r="BG7" i="11"/>
  <c r="BF7" i="11"/>
  <c r="BE7" i="11"/>
  <c r="BM7" i="11" s="1"/>
  <c r="BD7" i="11"/>
  <c r="BC7" i="11"/>
  <c r="B7" i="11"/>
  <c r="A7" i="11"/>
  <c r="CH6" i="11"/>
  <c r="CG6" i="11"/>
  <c r="CF6" i="11"/>
  <c r="CE6" i="11"/>
  <c r="CD6" i="11"/>
  <c r="BZ6" i="11"/>
  <c r="BY6" i="11"/>
  <c r="CA6" i="11" s="1"/>
  <c r="CC6" i="11" s="1"/>
  <c r="BX6" i="11"/>
  <c r="BW6" i="11"/>
  <c r="BV6" i="11"/>
  <c r="BR6" i="11"/>
  <c r="BQ6" i="11"/>
  <c r="BO6" i="11"/>
  <c r="BN6" i="11"/>
  <c r="BJ6" i="11"/>
  <c r="BI6" i="11"/>
  <c r="BH6" i="11"/>
  <c r="BG6" i="11"/>
  <c r="BF6" i="11"/>
  <c r="BE6" i="11"/>
  <c r="BD6" i="11"/>
  <c r="BC6" i="11"/>
  <c r="BK6" i="11" s="1"/>
  <c r="B6" i="11"/>
  <c r="A6" i="11"/>
  <c r="BO4" i="11"/>
  <c r="BN4" i="11"/>
  <c r="BM4" i="11"/>
  <c r="BL4" i="11"/>
  <c r="CC68" i="10"/>
  <c r="CC67" i="10"/>
  <c r="CH65" i="10"/>
  <c r="CF65" i="10"/>
  <c r="CE65" i="10"/>
  <c r="CD65" i="10"/>
  <c r="CB65" i="10"/>
  <c r="BZ65" i="10"/>
  <c r="BY65" i="10"/>
  <c r="BX65" i="10"/>
  <c r="BW65" i="10"/>
  <c r="BV65" i="10"/>
  <c r="BT65" i="10"/>
  <c r="BR65" i="10"/>
  <c r="BQ65" i="10"/>
  <c r="BJ65" i="10"/>
  <c r="BO65" i="10" s="1"/>
  <c r="BI65" i="10"/>
  <c r="BN65" i="10" s="1"/>
  <c r="BH65" i="10"/>
  <c r="BG65" i="10"/>
  <c r="BL65" i="10" s="1"/>
  <c r="BF65" i="10"/>
  <c r="BE65" i="10"/>
  <c r="BD65" i="10"/>
  <c r="BC65" i="10"/>
  <c r="A65" i="10"/>
  <c r="CH64" i="10"/>
  <c r="CF64" i="10"/>
  <c r="CE64" i="10"/>
  <c r="CD64" i="10"/>
  <c r="CB64" i="10"/>
  <c r="CA64" i="10"/>
  <c r="BY64" i="10"/>
  <c r="BX64" i="10"/>
  <c r="BW64" i="10"/>
  <c r="BV64" i="10"/>
  <c r="BT64" i="10"/>
  <c r="BQ64" i="10"/>
  <c r="BS64" i="10" s="1"/>
  <c r="BU64" i="10" s="1"/>
  <c r="BJ64" i="10"/>
  <c r="BO64" i="10" s="1"/>
  <c r="BI64" i="10"/>
  <c r="BN64" i="10" s="1"/>
  <c r="BH64" i="10"/>
  <c r="BM64" i="10" s="1"/>
  <c r="BG64" i="10"/>
  <c r="BF64" i="10"/>
  <c r="BE64" i="10"/>
  <c r="BD64" i="10"/>
  <c r="BC64" i="10"/>
  <c r="A64" i="10"/>
  <c r="CB63" i="10"/>
  <c r="BZ63" i="10"/>
  <c r="BY63" i="10"/>
  <c r="BT63" i="10"/>
  <c r="BR63" i="10"/>
  <c r="BQ63" i="10"/>
  <c r="BJ63" i="10"/>
  <c r="BO63" i="10" s="1"/>
  <c r="BI63" i="10"/>
  <c r="BN63" i="10" s="1"/>
  <c r="BH63" i="10"/>
  <c r="BG63" i="10"/>
  <c r="BF63" i="10"/>
  <c r="BE63" i="10"/>
  <c r="BM63" i="10" s="1"/>
  <c r="BD63" i="10"/>
  <c r="BC63" i="10"/>
  <c r="BK63" i="10" s="1"/>
  <c r="A63" i="10"/>
  <c r="CH62" i="10"/>
  <c r="CF62" i="10"/>
  <c r="CE62" i="10"/>
  <c r="CD62" i="10"/>
  <c r="CB62" i="10"/>
  <c r="BY62" i="10"/>
  <c r="CA62" i="10" s="1"/>
  <c r="BX62" i="10"/>
  <c r="BW62" i="10"/>
  <c r="BV62" i="10"/>
  <c r="BT62" i="10"/>
  <c r="BQ62" i="10"/>
  <c r="BS62" i="10" s="1"/>
  <c r="BJ62" i="10"/>
  <c r="BO62" i="10" s="1"/>
  <c r="BI62" i="10"/>
  <c r="BN62" i="10" s="1"/>
  <c r="BH62" i="10"/>
  <c r="BG62" i="10"/>
  <c r="BF62" i="10"/>
  <c r="BE62" i="10"/>
  <c r="BD62" i="10"/>
  <c r="BC62" i="10"/>
  <c r="A62" i="10"/>
  <c r="CB61" i="10"/>
  <c r="BZ61" i="10"/>
  <c r="BY61" i="10"/>
  <c r="BT61" i="10"/>
  <c r="BR61" i="10"/>
  <c r="BQ61" i="10"/>
  <c r="BJ61" i="10"/>
  <c r="BO61" i="10" s="1"/>
  <c r="BI61" i="10"/>
  <c r="BN61" i="10" s="1"/>
  <c r="BH61" i="10"/>
  <c r="BG61" i="10"/>
  <c r="BF61" i="10"/>
  <c r="BE61" i="10"/>
  <c r="BD61" i="10"/>
  <c r="BC61" i="10"/>
  <c r="A61" i="10"/>
  <c r="CH60" i="10"/>
  <c r="CF60" i="10"/>
  <c r="CE60" i="10"/>
  <c r="CD60" i="10"/>
  <c r="CB60" i="10"/>
  <c r="BY60" i="10"/>
  <c r="CA60" i="10" s="1"/>
  <c r="BX60" i="10"/>
  <c r="BW60" i="10"/>
  <c r="BV60" i="10"/>
  <c r="BT60" i="10"/>
  <c r="BQ60" i="10"/>
  <c r="BS60" i="10" s="1"/>
  <c r="BJ60" i="10"/>
  <c r="BO60" i="10" s="1"/>
  <c r="BI60" i="10"/>
  <c r="BN60" i="10" s="1"/>
  <c r="BH60" i="10"/>
  <c r="BG60" i="10"/>
  <c r="BL60" i="10" s="1"/>
  <c r="BF60" i="10"/>
  <c r="BE60" i="10"/>
  <c r="BD60" i="10"/>
  <c r="BC60" i="10"/>
  <c r="A60" i="10"/>
  <c r="CB59" i="10"/>
  <c r="BZ59" i="10"/>
  <c r="BY59" i="10"/>
  <c r="BT59" i="10"/>
  <c r="BR59" i="10"/>
  <c r="BQ59" i="10"/>
  <c r="BO59" i="10"/>
  <c r="BM59" i="10"/>
  <c r="BJ59" i="10"/>
  <c r="BI59" i="10"/>
  <c r="BN59" i="10" s="1"/>
  <c r="BH59" i="10"/>
  <c r="BG59" i="10"/>
  <c r="BF59" i="10"/>
  <c r="BE59" i="10"/>
  <c r="BD59" i="10"/>
  <c r="BC59" i="10"/>
  <c r="BK59" i="10" s="1"/>
  <c r="A59" i="10"/>
  <c r="CH58" i="10"/>
  <c r="CF58" i="10"/>
  <c r="CE58" i="10"/>
  <c r="CD58" i="10"/>
  <c r="CB58" i="10"/>
  <c r="BY58" i="10"/>
  <c r="CA58" i="10" s="1"/>
  <c r="BX58" i="10"/>
  <c r="BW58" i="10"/>
  <c r="BV58" i="10"/>
  <c r="BT58" i="10"/>
  <c r="BQ58" i="10"/>
  <c r="BS58" i="10" s="1"/>
  <c r="BJ58" i="10"/>
  <c r="BO58" i="10" s="1"/>
  <c r="BI58" i="10"/>
  <c r="BN58" i="10" s="1"/>
  <c r="BH58" i="10"/>
  <c r="BG58" i="10"/>
  <c r="BF58" i="10"/>
  <c r="BE58" i="10"/>
  <c r="BD58" i="10"/>
  <c r="BL58" i="10" s="1"/>
  <c r="BC58" i="10"/>
  <c r="A58" i="10"/>
  <c r="CB57" i="10"/>
  <c r="BZ57" i="10"/>
  <c r="BY57" i="10"/>
  <c r="BT57" i="10"/>
  <c r="BR57" i="10"/>
  <c r="BQ57" i="10"/>
  <c r="BJ57" i="10"/>
  <c r="BO57" i="10" s="1"/>
  <c r="BI57" i="10"/>
  <c r="BN57" i="10" s="1"/>
  <c r="BH57" i="10"/>
  <c r="BG57" i="10"/>
  <c r="BF57" i="10"/>
  <c r="BE57" i="10"/>
  <c r="BM57" i="10" s="1"/>
  <c r="BD57" i="10"/>
  <c r="BL57" i="10" s="1"/>
  <c r="BC57" i="10"/>
  <c r="A57" i="10"/>
  <c r="CH56" i="10"/>
  <c r="CF56" i="10"/>
  <c r="CE56" i="10"/>
  <c r="CD56" i="10"/>
  <c r="CB56" i="10"/>
  <c r="BY56" i="10"/>
  <c r="CA56" i="10" s="1"/>
  <c r="CC56" i="10" s="1"/>
  <c r="BX56" i="10"/>
  <c r="BW56" i="10"/>
  <c r="BV56" i="10"/>
  <c r="BT56" i="10"/>
  <c r="BQ56" i="10"/>
  <c r="BS56" i="10" s="1"/>
  <c r="BU56" i="10" s="1"/>
  <c r="BJ56" i="10"/>
  <c r="BO56" i="10" s="1"/>
  <c r="BI56" i="10"/>
  <c r="BN56" i="10" s="1"/>
  <c r="BH56" i="10"/>
  <c r="BG56" i="10"/>
  <c r="BF56" i="10"/>
  <c r="BE56" i="10"/>
  <c r="BM56" i="10" s="1"/>
  <c r="BD56" i="10"/>
  <c r="BC56" i="10"/>
  <c r="BK56" i="10" s="1"/>
  <c r="A56" i="10"/>
  <c r="CB55" i="10"/>
  <c r="BZ55" i="10"/>
  <c r="BY55" i="10"/>
  <c r="BT55" i="10"/>
  <c r="BR55" i="10"/>
  <c r="BQ55" i="10"/>
  <c r="BJ55" i="10"/>
  <c r="BO55" i="10" s="1"/>
  <c r="BI55" i="10"/>
  <c r="BN55" i="10" s="1"/>
  <c r="BH55" i="10"/>
  <c r="BG55" i="10"/>
  <c r="BF55" i="10"/>
  <c r="BE55" i="10"/>
  <c r="BM55" i="10" s="1"/>
  <c r="BD55" i="10"/>
  <c r="BL55" i="10" s="1"/>
  <c r="BC55" i="10"/>
  <c r="A55" i="10"/>
  <c r="CH54" i="10"/>
  <c r="CF54" i="10"/>
  <c r="CE54" i="10"/>
  <c r="CD54" i="10"/>
  <c r="CB54" i="10"/>
  <c r="BY54" i="10"/>
  <c r="CA54" i="10" s="1"/>
  <c r="CC54" i="10" s="1"/>
  <c r="BX54" i="10"/>
  <c r="BW54" i="10"/>
  <c r="BV54" i="10"/>
  <c r="BT54" i="10"/>
  <c r="BQ54" i="10"/>
  <c r="BS54" i="10" s="1"/>
  <c r="BJ54" i="10"/>
  <c r="BO54" i="10" s="1"/>
  <c r="BI54" i="10"/>
  <c r="BN54" i="10" s="1"/>
  <c r="BH54" i="10"/>
  <c r="BG54" i="10"/>
  <c r="BF54" i="10"/>
  <c r="BE54" i="10"/>
  <c r="BM54" i="10" s="1"/>
  <c r="BD54" i="10"/>
  <c r="BL54" i="10" s="1"/>
  <c r="BC54" i="10"/>
  <c r="BK54" i="10" s="1"/>
  <c r="A54" i="10"/>
  <c r="CB53" i="10"/>
  <c r="BZ53" i="10"/>
  <c r="BY53" i="10"/>
  <c r="BT53" i="10"/>
  <c r="BR53" i="10"/>
  <c r="BQ53" i="10"/>
  <c r="BJ53" i="10"/>
  <c r="BO53" i="10" s="1"/>
  <c r="BI53" i="10"/>
  <c r="BN53" i="10" s="1"/>
  <c r="BH53" i="10"/>
  <c r="BG53" i="10"/>
  <c r="BF53" i="10"/>
  <c r="BE53" i="10"/>
  <c r="BM53" i="10" s="1"/>
  <c r="BD53" i="10"/>
  <c r="BC53" i="10"/>
  <c r="A53" i="10"/>
  <c r="CH52" i="10"/>
  <c r="CF52" i="10"/>
  <c r="CE52" i="10"/>
  <c r="CD52" i="10"/>
  <c r="CB52" i="10"/>
  <c r="BY52" i="10"/>
  <c r="BX52" i="10"/>
  <c r="BW52" i="10"/>
  <c r="BV52" i="10"/>
  <c r="BT52" i="10"/>
  <c r="BQ52" i="10"/>
  <c r="BO52" i="10"/>
  <c r="BJ52" i="10"/>
  <c r="BI52" i="10"/>
  <c r="BN52" i="10" s="1"/>
  <c r="BH52" i="10"/>
  <c r="BG52" i="10"/>
  <c r="BF52" i="10"/>
  <c r="BE52" i="10"/>
  <c r="BM52" i="10" s="1"/>
  <c r="BD52" i="10"/>
  <c r="BC52" i="10"/>
  <c r="BK52" i="10" s="1"/>
  <c r="A52" i="10"/>
  <c r="CB51" i="10"/>
  <c r="BZ51" i="10"/>
  <c r="BY51" i="10"/>
  <c r="BT51" i="10"/>
  <c r="BR51" i="10"/>
  <c r="BQ51" i="10"/>
  <c r="BJ51" i="10"/>
  <c r="BO51" i="10" s="1"/>
  <c r="BI51" i="10"/>
  <c r="BN51" i="10" s="1"/>
  <c r="BH51" i="10"/>
  <c r="BM51" i="10" s="1"/>
  <c r="BG51" i="10"/>
  <c r="BF51" i="10"/>
  <c r="BE51" i="10"/>
  <c r="BD51" i="10"/>
  <c r="BC51" i="10"/>
  <c r="A51" i="10"/>
  <c r="CH50" i="10"/>
  <c r="CF50" i="10"/>
  <c r="CE50" i="10"/>
  <c r="CD50" i="10"/>
  <c r="CB50" i="10"/>
  <c r="BY50" i="10"/>
  <c r="CA50" i="10" s="1"/>
  <c r="CC50" i="10" s="1"/>
  <c r="BX50" i="10"/>
  <c r="BW50" i="10"/>
  <c r="BV50" i="10"/>
  <c r="BT50" i="10"/>
  <c r="BS50" i="10"/>
  <c r="BQ50" i="10"/>
  <c r="BJ50" i="10"/>
  <c r="BO50" i="10" s="1"/>
  <c r="BI50" i="10"/>
  <c r="BN50" i="10" s="1"/>
  <c r="BH50" i="10"/>
  <c r="BG50" i="10"/>
  <c r="BF50" i="10"/>
  <c r="BE50" i="10"/>
  <c r="BD50" i="10"/>
  <c r="BL50" i="10" s="1"/>
  <c r="BC50" i="10"/>
  <c r="A50" i="10"/>
  <c r="CB49" i="10"/>
  <c r="BZ49" i="10"/>
  <c r="BY49" i="10"/>
  <c r="BT49" i="10"/>
  <c r="BR49" i="10"/>
  <c r="BQ49" i="10"/>
  <c r="BJ49" i="10"/>
  <c r="BO49" i="10" s="1"/>
  <c r="BI49" i="10"/>
  <c r="BN49" i="10" s="1"/>
  <c r="BH49" i="10"/>
  <c r="BG49" i="10"/>
  <c r="BF49" i="10"/>
  <c r="BE49" i="10"/>
  <c r="BD49" i="10"/>
  <c r="BC49" i="10"/>
  <c r="A49" i="10"/>
  <c r="CH48" i="10"/>
  <c r="CF48" i="10"/>
  <c r="CE48" i="10"/>
  <c r="CD48" i="10"/>
  <c r="CB48" i="10"/>
  <c r="BY48" i="10"/>
  <c r="CA48" i="10" s="1"/>
  <c r="BX48" i="10"/>
  <c r="BW48" i="10"/>
  <c r="BV48" i="10"/>
  <c r="BT48" i="10"/>
  <c r="BQ48" i="10"/>
  <c r="BS48" i="10" s="1"/>
  <c r="BJ48" i="10"/>
  <c r="BO48" i="10" s="1"/>
  <c r="BI48" i="10"/>
  <c r="BN48" i="10" s="1"/>
  <c r="BH48" i="10"/>
  <c r="BG48" i="10"/>
  <c r="BL48" i="10" s="1"/>
  <c r="BF48" i="10"/>
  <c r="BE48" i="10"/>
  <c r="BM48" i="10" s="1"/>
  <c r="BD48" i="10"/>
  <c r="BC48" i="10"/>
  <c r="A48" i="10"/>
  <c r="CB47" i="10"/>
  <c r="BZ47" i="10"/>
  <c r="BY47" i="10"/>
  <c r="BT47" i="10"/>
  <c r="BR47" i="10"/>
  <c r="BQ47" i="10"/>
  <c r="BK47" i="10"/>
  <c r="BJ47" i="10"/>
  <c r="BO47" i="10" s="1"/>
  <c r="BI47" i="10"/>
  <c r="BN47" i="10" s="1"/>
  <c r="BH47" i="10"/>
  <c r="BG47" i="10"/>
  <c r="BF47" i="10"/>
  <c r="BE47" i="10"/>
  <c r="BD47" i="10"/>
  <c r="BC47" i="10"/>
  <c r="A47" i="10"/>
  <c r="CH46" i="10"/>
  <c r="CF46" i="10"/>
  <c r="CE46" i="10"/>
  <c r="CD46" i="10"/>
  <c r="CB46" i="10"/>
  <c r="BY46" i="10"/>
  <c r="CA46" i="10" s="1"/>
  <c r="BX46" i="10"/>
  <c r="BW46" i="10"/>
  <c r="BV46" i="10"/>
  <c r="BT46" i="10"/>
  <c r="BQ46" i="10"/>
  <c r="BS46" i="10" s="1"/>
  <c r="BJ46" i="10"/>
  <c r="BO46" i="10" s="1"/>
  <c r="BI46" i="10"/>
  <c r="BN46" i="10" s="1"/>
  <c r="BH46" i="10"/>
  <c r="BG46" i="10"/>
  <c r="BF46" i="10"/>
  <c r="BE46" i="10"/>
  <c r="BD46" i="10"/>
  <c r="BC46" i="10"/>
  <c r="A46" i="10"/>
  <c r="CB45" i="10"/>
  <c r="BZ45" i="10"/>
  <c r="BY45" i="10"/>
  <c r="BT45" i="10"/>
  <c r="BR45" i="10"/>
  <c r="BQ45" i="10"/>
  <c r="BJ45" i="10"/>
  <c r="BO45" i="10" s="1"/>
  <c r="BI45" i="10"/>
  <c r="BN45" i="10" s="1"/>
  <c r="BH45" i="10"/>
  <c r="BG45" i="10"/>
  <c r="BF45" i="10"/>
  <c r="BE45" i="10"/>
  <c r="BD45" i="10"/>
  <c r="BL45" i="10" s="1"/>
  <c r="BC45" i="10"/>
  <c r="A45" i="10"/>
  <c r="CH44" i="10"/>
  <c r="CF44" i="10"/>
  <c r="CE44" i="10"/>
  <c r="CD44" i="10"/>
  <c r="CB44" i="10"/>
  <c r="BY44" i="10"/>
  <c r="CA44" i="10" s="1"/>
  <c r="BX44" i="10"/>
  <c r="BW44" i="10"/>
  <c r="BV44" i="10"/>
  <c r="BT44" i="10"/>
  <c r="BQ44" i="10"/>
  <c r="BS44" i="10" s="1"/>
  <c r="BJ44" i="10"/>
  <c r="BO44" i="10" s="1"/>
  <c r="BI44" i="10"/>
  <c r="BN44" i="10" s="1"/>
  <c r="BH44" i="10"/>
  <c r="BM44" i="10" s="1"/>
  <c r="BG44" i="10"/>
  <c r="BF44" i="10"/>
  <c r="BE44" i="10"/>
  <c r="BD44" i="10"/>
  <c r="BC44" i="10"/>
  <c r="BK44" i="10" s="1"/>
  <c r="A44" i="10"/>
  <c r="CB43" i="10"/>
  <c r="BZ43" i="10"/>
  <c r="BY43" i="10"/>
  <c r="BT43" i="10"/>
  <c r="BR43" i="10"/>
  <c r="BQ43" i="10"/>
  <c r="BJ43" i="10"/>
  <c r="BO43" i="10" s="1"/>
  <c r="BI43" i="10"/>
  <c r="BN43" i="10" s="1"/>
  <c r="BH43" i="10"/>
  <c r="BG43" i="10"/>
  <c r="BF43" i="10"/>
  <c r="BE43" i="10"/>
  <c r="BM43" i="10" s="1"/>
  <c r="BD43" i="10"/>
  <c r="BC43" i="10"/>
  <c r="A43" i="10"/>
  <c r="CH42" i="10"/>
  <c r="CF42" i="10"/>
  <c r="CE42" i="10"/>
  <c r="CD42" i="10"/>
  <c r="CB42" i="10"/>
  <c r="BY42" i="10"/>
  <c r="BX42" i="10"/>
  <c r="BW42" i="10"/>
  <c r="BV42" i="10"/>
  <c r="BT42" i="10"/>
  <c r="BQ42" i="10"/>
  <c r="BJ42" i="10"/>
  <c r="BO42" i="10" s="1"/>
  <c r="BI42" i="10"/>
  <c r="BN42" i="10" s="1"/>
  <c r="BH42" i="10"/>
  <c r="BG42" i="10"/>
  <c r="BF42" i="10"/>
  <c r="BE42" i="10"/>
  <c r="BD42" i="10"/>
  <c r="BC42" i="10"/>
  <c r="A42" i="10"/>
  <c r="CB41" i="10"/>
  <c r="BZ41" i="10"/>
  <c r="BY41" i="10"/>
  <c r="BT41" i="10"/>
  <c r="BR41" i="10"/>
  <c r="BQ41" i="10"/>
  <c r="BN41" i="10"/>
  <c r="BJ41" i="10"/>
  <c r="BO41" i="10" s="1"/>
  <c r="BI41" i="10"/>
  <c r="BH41" i="10"/>
  <c r="BG41" i="10"/>
  <c r="BF41" i="10"/>
  <c r="BE41" i="10"/>
  <c r="BD41" i="10"/>
  <c r="BL41" i="10" s="1"/>
  <c r="BC41" i="10"/>
  <c r="A41" i="10"/>
  <c r="CH40" i="10"/>
  <c r="CF40" i="10"/>
  <c r="CE40" i="10"/>
  <c r="CD40" i="10"/>
  <c r="CB40" i="10"/>
  <c r="BY40" i="10"/>
  <c r="CA40" i="10" s="1"/>
  <c r="BX40" i="10"/>
  <c r="BW40" i="10"/>
  <c r="BV40" i="10"/>
  <c r="BT40" i="10"/>
  <c r="BQ40" i="10"/>
  <c r="BS40" i="10" s="1"/>
  <c r="BM40" i="10"/>
  <c r="BJ40" i="10"/>
  <c r="BO40" i="10" s="1"/>
  <c r="BI40" i="10"/>
  <c r="BN40" i="10" s="1"/>
  <c r="BH40" i="10"/>
  <c r="BG40" i="10"/>
  <c r="BF40" i="10"/>
  <c r="BE40" i="10"/>
  <c r="BD40" i="10"/>
  <c r="BL40" i="10" s="1"/>
  <c r="BC40" i="10"/>
  <c r="A40" i="10"/>
  <c r="CB39" i="10"/>
  <c r="BZ39" i="10"/>
  <c r="BY39" i="10"/>
  <c r="BT39" i="10"/>
  <c r="BR39" i="10"/>
  <c r="BQ39" i="10"/>
  <c r="BJ39" i="10"/>
  <c r="BO39" i="10" s="1"/>
  <c r="BI39" i="10"/>
  <c r="BN39" i="10" s="1"/>
  <c r="BH39" i="10"/>
  <c r="BG39" i="10"/>
  <c r="BF39" i="10"/>
  <c r="BE39" i="10"/>
  <c r="BD39" i="10"/>
  <c r="BC39" i="10"/>
  <c r="BK39" i="10" s="1"/>
  <c r="A39" i="10"/>
  <c r="CH38" i="10"/>
  <c r="CF38" i="10"/>
  <c r="CE38" i="10"/>
  <c r="CD38" i="10"/>
  <c r="CB38" i="10"/>
  <c r="CA38" i="10"/>
  <c r="BY38" i="10"/>
  <c r="BX38" i="10"/>
  <c r="BW38" i="10"/>
  <c r="BV38" i="10"/>
  <c r="BT38" i="10"/>
  <c r="BQ38" i="10"/>
  <c r="BS38" i="10" s="1"/>
  <c r="BO38" i="10"/>
  <c r="BL38" i="10"/>
  <c r="BJ38" i="10"/>
  <c r="BI38" i="10"/>
  <c r="BN38" i="10" s="1"/>
  <c r="BH38" i="10"/>
  <c r="BG38" i="10"/>
  <c r="BF38" i="10"/>
  <c r="BE38" i="10"/>
  <c r="BD38" i="10"/>
  <c r="BC38" i="10"/>
  <c r="BK38" i="10" s="1"/>
  <c r="A38" i="10"/>
  <c r="CB37" i="10"/>
  <c r="BZ37" i="10"/>
  <c r="BY37" i="10"/>
  <c r="BT37" i="10"/>
  <c r="BR37" i="10"/>
  <c r="BQ37" i="10"/>
  <c r="BJ37" i="10"/>
  <c r="BO37" i="10" s="1"/>
  <c r="BI37" i="10"/>
  <c r="BN37" i="10" s="1"/>
  <c r="BH37" i="10"/>
  <c r="BG37" i="10"/>
  <c r="BF37" i="10"/>
  <c r="BE37" i="10"/>
  <c r="BD37" i="10"/>
  <c r="BL37" i="10" s="1"/>
  <c r="BC37" i="10"/>
  <c r="BK37" i="10" s="1"/>
  <c r="A37" i="10"/>
  <c r="CH36" i="10"/>
  <c r="CF36" i="10"/>
  <c r="CE36" i="10"/>
  <c r="CD36" i="10"/>
  <c r="CB36" i="10"/>
  <c r="BY36" i="10"/>
  <c r="CA36" i="10" s="1"/>
  <c r="BX36" i="10"/>
  <c r="BW36" i="10"/>
  <c r="BV36" i="10"/>
  <c r="BT36" i="10"/>
  <c r="BQ36" i="10"/>
  <c r="BS36" i="10" s="1"/>
  <c r="BU36" i="10" s="1"/>
  <c r="BJ36" i="10"/>
  <c r="BO36" i="10" s="1"/>
  <c r="BI36" i="10"/>
  <c r="BN36" i="10" s="1"/>
  <c r="BH36" i="10"/>
  <c r="BG36" i="10"/>
  <c r="BF36" i="10"/>
  <c r="BE36" i="10"/>
  <c r="BD36" i="10"/>
  <c r="BC36" i="10"/>
  <c r="BK36" i="10" s="1"/>
  <c r="A36" i="10"/>
  <c r="CB35" i="10"/>
  <c r="BZ35" i="10"/>
  <c r="BY35" i="10"/>
  <c r="BT35" i="10"/>
  <c r="BR35" i="10"/>
  <c r="BQ35" i="10"/>
  <c r="BO35" i="10"/>
  <c r="BJ35" i="10"/>
  <c r="BI35" i="10"/>
  <c r="BN35" i="10" s="1"/>
  <c r="BH35" i="10"/>
  <c r="BG35" i="10"/>
  <c r="BF35" i="10"/>
  <c r="BE35" i="10"/>
  <c r="BM35" i="10" s="1"/>
  <c r="BD35" i="10"/>
  <c r="BC35" i="10"/>
  <c r="A35" i="10"/>
  <c r="CH34" i="10"/>
  <c r="CF34" i="10"/>
  <c r="CE34" i="10"/>
  <c r="CD34" i="10"/>
  <c r="CB34" i="10"/>
  <c r="CA34" i="10"/>
  <c r="BY34" i="10"/>
  <c r="BX34" i="10"/>
  <c r="BW34" i="10"/>
  <c r="BV34" i="10"/>
  <c r="BT34" i="10"/>
  <c r="BQ34" i="10"/>
  <c r="BS34" i="10" s="1"/>
  <c r="BU34" i="10" s="1"/>
  <c r="BN34" i="10"/>
  <c r="BJ34" i="10"/>
  <c r="BO34" i="10" s="1"/>
  <c r="BI34" i="10"/>
  <c r="BH34" i="10"/>
  <c r="BG34" i="10"/>
  <c r="BF34" i="10"/>
  <c r="BE34" i="10"/>
  <c r="BM34" i="10" s="1"/>
  <c r="BD34" i="10"/>
  <c r="BL34" i="10" s="1"/>
  <c r="BC34" i="10"/>
  <c r="A34" i="10"/>
  <c r="CB33" i="10"/>
  <c r="BZ33" i="10"/>
  <c r="BY33" i="10"/>
  <c r="BT33" i="10"/>
  <c r="BR33" i="10"/>
  <c r="BQ33" i="10"/>
  <c r="BL33" i="10"/>
  <c r="BJ33" i="10"/>
  <c r="BO33" i="10" s="1"/>
  <c r="BI33" i="10"/>
  <c r="BN33" i="10" s="1"/>
  <c r="BH33" i="10"/>
  <c r="BG33" i="10"/>
  <c r="BF33" i="10"/>
  <c r="BE33" i="10"/>
  <c r="BD33" i="10"/>
  <c r="BC33" i="10"/>
  <c r="BK33" i="10" s="1"/>
  <c r="A33" i="10"/>
  <c r="CH32" i="10"/>
  <c r="CF32" i="10"/>
  <c r="CE32" i="10"/>
  <c r="CD32" i="10"/>
  <c r="CB32" i="10"/>
  <c r="BY32" i="10"/>
  <c r="BX32" i="10"/>
  <c r="BW32" i="10"/>
  <c r="BV32" i="10"/>
  <c r="BT32" i="10"/>
  <c r="BQ32" i="10"/>
  <c r="BJ32" i="10"/>
  <c r="BO32" i="10" s="1"/>
  <c r="BI32" i="10"/>
  <c r="BN32" i="10" s="1"/>
  <c r="BH32" i="10"/>
  <c r="BG32" i="10"/>
  <c r="BF32" i="10"/>
  <c r="BE32" i="10"/>
  <c r="BD32" i="10"/>
  <c r="BC32" i="10"/>
  <c r="A32" i="10"/>
  <c r="CB31" i="10"/>
  <c r="BZ31" i="10"/>
  <c r="BY31" i="10"/>
  <c r="BT31" i="10"/>
  <c r="BR31" i="10"/>
  <c r="BQ31" i="10"/>
  <c r="BJ31" i="10"/>
  <c r="BO31" i="10" s="1"/>
  <c r="BI31" i="10"/>
  <c r="BN31" i="10" s="1"/>
  <c r="BH31" i="10"/>
  <c r="BG31" i="10"/>
  <c r="BF31" i="10"/>
  <c r="BE31" i="10"/>
  <c r="BD31" i="10"/>
  <c r="BC31" i="10"/>
  <c r="A31" i="10"/>
  <c r="CH30" i="10"/>
  <c r="CF30" i="10"/>
  <c r="CE30" i="10"/>
  <c r="CD30" i="10"/>
  <c r="CB30" i="10"/>
  <c r="CA30" i="10"/>
  <c r="CC30" i="10" s="1"/>
  <c r="BY30" i="10"/>
  <c r="BX30" i="10"/>
  <c r="BW30" i="10"/>
  <c r="BV30" i="10"/>
  <c r="BT30" i="10"/>
  <c r="BQ30" i="10"/>
  <c r="BS30" i="10" s="1"/>
  <c r="BN30" i="10"/>
  <c r="BJ30" i="10"/>
  <c r="BO30" i="10" s="1"/>
  <c r="BI30" i="10"/>
  <c r="BH30" i="10"/>
  <c r="BG30" i="10"/>
  <c r="BF30" i="10"/>
  <c r="BK30" i="10" s="1"/>
  <c r="BE30" i="10"/>
  <c r="BD30" i="10"/>
  <c r="BC30" i="10"/>
  <c r="A30" i="10"/>
  <c r="CB29" i="10"/>
  <c r="BZ29" i="10"/>
  <c r="BY29" i="10"/>
  <c r="BT29" i="10"/>
  <c r="BR29" i="10"/>
  <c r="BQ29" i="10"/>
  <c r="BN29" i="10"/>
  <c r="BJ29" i="10"/>
  <c r="BO29" i="10" s="1"/>
  <c r="BI29" i="10"/>
  <c r="BH29" i="10"/>
  <c r="BG29" i="10"/>
  <c r="BL29" i="10" s="1"/>
  <c r="BF29" i="10"/>
  <c r="BE29" i="10"/>
  <c r="BD29" i="10"/>
  <c r="BC29" i="10"/>
  <c r="A29" i="10"/>
  <c r="CH28" i="10"/>
  <c r="CF28" i="10"/>
  <c r="CE28" i="10"/>
  <c r="CD28" i="10"/>
  <c r="CB28" i="10"/>
  <c r="BY28" i="10"/>
  <c r="CA28" i="10" s="1"/>
  <c r="BX28" i="10"/>
  <c r="BW28" i="10"/>
  <c r="BV28" i="10"/>
  <c r="BT28" i="10"/>
  <c r="BQ28" i="10"/>
  <c r="BS28" i="10" s="1"/>
  <c r="BU28" i="10" s="1"/>
  <c r="BJ28" i="10"/>
  <c r="BO28" i="10" s="1"/>
  <c r="BI28" i="10"/>
  <c r="BN28" i="10" s="1"/>
  <c r="BH28" i="10"/>
  <c r="BG28" i="10"/>
  <c r="BF28" i="10"/>
  <c r="BE28" i="10"/>
  <c r="BD28" i="10"/>
  <c r="BL28" i="10" s="1"/>
  <c r="BC28" i="10"/>
  <c r="A28" i="10"/>
  <c r="CB27" i="10"/>
  <c r="BZ27" i="10"/>
  <c r="BY27" i="10"/>
  <c r="BT27" i="10"/>
  <c r="BR27" i="10"/>
  <c r="BQ27" i="10"/>
  <c r="BJ27" i="10"/>
  <c r="BO27" i="10" s="1"/>
  <c r="BI27" i="10"/>
  <c r="BN27" i="10" s="1"/>
  <c r="BH27" i="10"/>
  <c r="BG27" i="10"/>
  <c r="BF27" i="10"/>
  <c r="BE27" i="10"/>
  <c r="BM27" i="10" s="1"/>
  <c r="BD27" i="10"/>
  <c r="BC27" i="10"/>
  <c r="A27" i="10"/>
  <c r="CH26" i="10"/>
  <c r="CF26" i="10"/>
  <c r="CE26" i="10"/>
  <c r="CD26" i="10"/>
  <c r="CB26" i="10"/>
  <c r="BY26" i="10"/>
  <c r="CA26" i="10" s="1"/>
  <c r="BX26" i="10"/>
  <c r="BW26" i="10"/>
  <c r="BV26" i="10"/>
  <c r="BT26" i="10"/>
  <c r="BQ26" i="10"/>
  <c r="BS26" i="10" s="1"/>
  <c r="BL26" i="10"/>
  <c r="BJ26" i="10"/>
  <c r="BO26" i="10" s="1"/>
  <c r="BI26" i="10"/>
  <c r="BN26" i="10" s="1"/>
  <c r="BH26" i="10"/>
  <c r="BG26" i="10"/>
  <c r="BF26" i="10"/>
  <c r="BE26" i="10"/>
  <c r="BD26" i="10"/>
  <c r="BC26" i="10"/>
  <c r="A26" i="10"/>
  <c r="CB25" i="10"/>
  <c r="BZ25" i="10"/>
  <c r="BY25" i="10"/>
  <c r="BT25" i="10"/>
  <c r="BR25" i="10"/>
  <c r="BQ25" i="10"/>
  <c r="BJ25" i="10"/>
  <c r="BO25" i="10" s="1"/>
  <c r="BI25" i="10"/>
  <c r="BN25" i="10" s="1"/>
  <c r="BH25" i="10"/>
  <c r="BG25" i="10"/>
  <c r="BF25" i="10"/>
  <c r="BE25" i="10"/>
  <c r="BD25" i="10"/>
  <c r="BC25" i="10"/>
  <c r="A25" i="10"/>
  <c r="CH24" i="10"/>
  <c r="CF24" i="10"/>
  <c r="CE24" i="10"/>
  <c r="CD24" i="10"/>
  <c r="CB24" i="10"/>
  <c r="BY24" i="10"/>
  <c r="CA24" i="10" s="1"/>
  <c r="BX24" i="10"/>
  <c r="BW24" i="10"/>
  <c r="BV24" i="10"/>
  <c r="BT24" i="10"/>
  <c r="BQ24" i="10"/>
  <c r="BS24" i="10" s="1"/>
  <c r="BU24" i="10" s="1"/>
  <c r="BJ24" i="10"/>
  <c r="BO24" i="10" s="1"/>
  <c r="BI24" i="10"/>
  <c r="BN24" i="10" s="1"/>
  <c r="BH24" i="10"/>
  <c r="BM24" i="10" s="1"/>
  <c r="BG24" i="10"/>
  <c r="BF24" i="10"/>
  <c r="BE24" i="10"/>
  <c r="BD24" i="10"/>
  <c r="BC24" i="10"/>
  <c r="A24" i="10"/>
  <c r="CB23" i="10"/>
  <c r="BZ23" i="10"/>
  <c r="BY23" i="10"/>
  <c r="BT23" i="10"/>
  <c r="BR23" i="10"/>
  <c r="BQ23" i="10"/>
  <c r="BO23" i="10"/>
  <c r="BJ23" i="10"/>
  <c r="BI23" i="10"/>
  <c r="BN23" i="10" s="1"/>
  <c r="BH23" i="10"/>
  <c r="BG23" i="10"/>
  <c r="BF23" i="10"/>
  <c r="BE23" i="10"/>
  <c r="BD23" i="10"/>
  <c r="BC23" i="10"/>
  <c r="BK23" i="10" s="1"/>
  <c r="A23" i="10"/>
  <c r="CH22" i="10"/>
  <c r="CF22" i="10"/>
  <c r="CE22" i="10"/>
  <c r="CD22" i="10"/>
  <c r="CB22" i="10"/>
  <c r="BY22" i="10"/>
  <c r="BX22" i="10"/>
  <c r="BW22" i="10"/>
  <c r="BV22" i="10"/>
  <c r="BT22" i="10"/>
  <c r="BQ22" i="10"/>
  <c r="BN22" i="10"/>
  <c r="BJ22" i="10"/>
  <c r="BO22" i="10" s="1"/>
  <c r="BI22" i="10"/>
  <c r="BH22" i="10"/>
  <c r="BG22" i="10"/>
  <c r="BF22" i="10"/>
  <c r="BE22" i="10"/>
  <c r="BD22" i="10"/>
  <c r="BC22" i="10"/>
  <c r="A22" i="10"/>
  <c r="CB21" i="10"/>
  <c r="BZ21" i="10"/>
  <c r="BY21" i="10"/>
  <c r="BT21" i="10"/>
  <c r="BR21" i="10"/>
  <c r="BQ21" i="10"/>
  <c r="BJ21" i="10"/>
  <c r="BO21" i="10" s="1"/>
  <c r="BI21" i="10"/>
  <c r="BN21" i="10" s="1"/>
  <c r="BH21" i="10"/>
  <c r="BG21" i="10"/>
  <c r="BF21" i="10"/>
  <c r="BE21" i="10"/>
  <c r="BD21" i="10"/>
  <c r="BL21" i="10" s="1"/>
  <c r="BC21" i="10"/>
  <c r="A21" i="10"/>
  <c r="CH20" i="10"/>
  <c r="CF20" i="10"/>
  <c r="CE20" i="10"/>
  <c r="CD20" i="10"/>
  <c r="CB20" i="10"/>
  <c r="BY20" i="10"/>
  <c r="CA20" i="10" s="1"/>
  <c r="BX20" i="10"/>
  <c r="BW20" i="10"/>
  <c r="BV20" i="10"/>
  <c r="BT20" i="10"/>
  <c r="BQ20" i="10"/>
  <c r="BS20" i="10" s="1"/>
  <c r="BJ20" i="10"/>
  <c r="BO20" i="10" s="1"/>
  <c r="BI20" i="10"/>
  <c r="BN20" i="10" s="1"/>
  <c r="BH20" i="10"/>
  <c r="BG20" i="10"/>
  <c r="BF20" i="10"/>
  <c r="BE20" i="10"/>
  <c r="BD20" i="10"/>
  <c r="BL20" i="10" s="1"/>
  <c r="BC20" i="10"/>
  <c r="A20" i="10"/>
  <c r="CB19" i="10"/>
  <c r="BZ19" i="10"/>
  <c r="BY19" i="10"/>
  <c r="BT19" i="10"/>
  <c r="BR19" i="10"/>
  <c r="BQ19" i="10"/>
  <c r="BJ19" i="10"/>
  <c r="BO19" i="10" s="1"/>
  <c r="BI19" i="10"/>
  <c r="BN19" i="10" s="1"/>
  <c r="BH19" i="10"/>
  <c r="BG19" i="10"/>
  <c r="BF19" i="10"/>
  <c r="BE19" i="10"/>
  <c r="BD19" i="10"/>
  <c r="BC19" i="10"/>
  <c r="BK19" i="10" s="1"/>
  <c r="A19" i="10"/>
  <c r="CH18" i="10"/>
  <c r="CF18" i="10"/>
  <c r="CE18" i="10"/>
  <c r="CD18" i="10"/>
  <c r="CB18" i="10"/>
  <c r="CC18" i="10" s="1"/>
  <c r="BY18" i="10"/>
  <c r="CA18" i="10" s="1"/>
  <c r="BX18" i="10"/>
  <c r="BW18" i="10"/>
  <c r="BV18" i="10"/>
  <c r="BT18" i="10"/>
  <c r="BQ18" i="10"/>
  <c r="BS18" i="10" s="1"/>
  <c r="BJ18" i="10"/>
  <c r="BO18" i="10" s="1"/>
  <c r="BI18" i="10"/>
  <c r="BN18" i="10" s="1"/>
  <c r="BH18" i="10"/>
  <c r="BG18" i="10"/>
  <c r="BF18" i="10"/>
  <c r="BE18" i="10"/>
  <c r="BD18" i="10"/>
  <c r="BC18" i="10"/>
  <c r="A18" i="10"/>
  <c r="CB17" i="10"/>
  <c r="BZ17" i="10"/>
  <c r="BY17" i="10"/>
  <c r="BT17" i="10"/>
  <c r="BR17" i="10"/>
  <c r="BQ17" i="10"/>
  <c r="BJ17" i="10"/>
  <c r="BO17" i="10" s="1"/>
  <c r="BI17" i="10"/>
  <c r="BN17" i="10" s="1"/>
  <c r="BH17" i="10"/>
  <c r="BG17" i="10"/>
  <c r="BF17" i="10"/>
  <c r="BE17" i="10"/>
  <c r="BD17" i="10"/>
  <c r="BC17" i="10"/>
  <c r="A17" i="10"/>
  <c r="CH16" i="10"/>
  <c r="CF16" i="10"/>
  <c r="CE16" i="10"/>
  <c r="CD16" i="10"/>
  <c r="CB16" i="10"/>
  <c r="CC16" i="10" s="1"/>
  <c r="BY16" i="10"/>
  <c r="CA16" i="10" s="1"/>
  <c r="BX16" i="10"/>
  <c r="BW16" i="10"/>
  <c r="BV16" i="10"/>
  <c r="BT16" i="10"/>
  <c r="BQ16" i="10"/>
  <c r="BS16" i="10" s="1"/>
  <c r="BU16" i="10" s="1"/>
  <c r="BJ16" i="10"/>
  <c r="BO16" i="10" s="1"/>
  <c r="BI16" i="10"/>
  <c r="BN16" i="10" s="1"/>
  <c r="BH16" i="10"/>
  <c r="BG16" i="10"/>
  <c r="BF16" i="10"/>
  <c r="BE16" i="10"/>
  <c r="BD16" i="10"/>
  <c r="BL16" i="10" s="1"/>
  <c r="BC16" i="10"/>
  <c r="BK16" i="10" s="1"/>
  <c r="A16" i="10"/>
  <c r="CB15" i="10"/>
  <c r="BZ15" i="10"/>
  <c r="BY15" i="10"/>
  <c r="BT15" i="10"/>
  <c r="BR15" i="10"/>
  <c r="BQ15" i="10"/>
  <c r="BJ15" i="10"/>
  <c r="BO15" i="10" s="1"/>
  <c r="BI15" i="10"/>
  <c r="BN15" i="10" s="1"/>
  <c r="BH15" i="10"/>
  <c r="BG15" i="10"/>
  <c r="BF15" i="10"/>
  <c r="BE15" i="10"/>
  <c r="BD15" i="10"/>
  <c r="BC15" i="10"/>
  <c r="A15" i="10"/>
  <c r="CH14" i="10"/>
  <c r="CF14" i="10"/>
  <c r="CE14" i="10"/>
  <c r="CD14" i="10"/>
  <c r="CB14" i="10"/>
  <c r="BY14" i="10"/>
  <c r="CA14" i="10" s="1"/>
  <c r="BX14" i="10"/>
  <c r="BW14" i="10"/>
  <c r="BV14" i="10"/>
  <c r="BT14" i="10"/>
  <c r="BQ14" i="10"/>
  <c r="BS14" i="10" s="1"/>
  <c r="BJ14" i="10"/>
  <c r="BO14" i="10" s="1"/>
  <c r="BI14" i="10"/>
  <c r="BN14" i="10" s="1"/>
  <c r="BH14" i="10"/>
  <c r="BG14" i="10"/>
  <c r="BF14" i="10"/>
  <c r="BE14" i="10"/>
  <c r="BD14" i="10"/>
  <c r="BL14" i="10" s="1"/>
  <c r="BC14" i="10"/>
  <c r="A14" i="10"/>
  <c r="CB13" i="10"/>
  <c r="BZ13" i="10"/>
  <c r="BY13" i="10"/>
  <c r="BT13" i="10"/>
  <c r="BR13" i="10"/>
  <c r="BQ13" i="10"/>
  <c r="BJ13" i="10"/>
  <c r="BO13" i="10" s="1"/>
  <c r="BI13" i="10"/>
  <c r="BN13" i="10" s="1"/>
  <c r="BH13" i="10"/>
  <c r="BG13" i="10"/>
  <c r="BF13" i="10"/>
  <c r="BE13" i="10"/>
  <c r="BD13" i="10"/>
  <c r="BC13" i="10"/>
  <c r="A13" i="10"/>
  <c r="CH12" i="10"/>
  <c r="CF12" i="10"/>
  <c r="CE12" i="10"/>
  <c r="CD12" i="10"/>
  <c r="CB12" i="10"/>
  <c r="BY12" i="10"/>
  <c r="CA12" i="10" s="1"/>
  <c r="CC12" i="10" s="1"/>
  <c r="BX12" i="10"/>
  <c r="BW12" i="10"/>
  <c r="BV12" i="10"/>
  <c r="BT12" i="10"/>
  <c r="BQ12" i="10"/>
  <c r="BS12" i="10" s="1"/>
  <c r="BJ12" i="10"/>
  <c r="BO12" i="10" s="1"/>
  <c r="BI12" i="10"/>
  <c r="BN12" i="10" s="1"/>
  <c r="BH12" i="10"/>
  <c r="BG12" i="10"/>
  <c r="BF12" i="10"/>
  <c r="BE12" i="10"/>
  <c r="BD12" i="10"/>
  <c r="BC12" i="10"/>
  <c r="BK12" i="10" s="1"/>
  <c r="A12" i="10"/>
  <c r="CB11" i="10"/>
  <c r="BZ11" i="10"/>
  <c r="BY11" i="10"/>
  <c r="BT11" i="10"/>
  <c r="BR11" i="10"/>
  <c r="BQ11" i="10"/>
  <c r="BJ11" i="10"/>
  <c r="BO11" i="10" s="1"/>
  <c r="BI11" i="10"/>
  <c r="BN11" i="10" s="1"/>
  <c r="BH11" i="10"/>
  <c r="BG11" i="10"/>
  <c r="BL11" i="10" s="1"/>
  <c r="BF11" i="10"/>
  <c r="BE11" i="10"/>
  <c r="BD11" i="10"/>
  <c r="BC11" i="10"/>
  <c r="A11" i="10"/>
  <c r="CH10" i="10"/>
  <c r="CF10" i="10"/>
  <c r="CE10" i="10"/>
  <c r="CD10" i="10"/>
  <c r="CB10" i="10"/>
  <c r="BY10" i="10"/>
  <c r="CA10" i="10" s="1"/>
  <c r="BX10" i="10"/>
  <c r="BW10" i="10"/>
  <c r="BV10" i="10"/>
  <c r="BT10" i="10"/>
  <c r="BQ10" i="10"/>
  <c r="BS10" i="10" s="1"/>
  <c r="BN10" i="10"/>
  <c r="BJ10" i="10"/>
  <c r="BO10" i="10" s="1"/>
  <c r="BI10" i="10"/>
  <c r="BH10" i="10"/>
  <c r="BG10" i="10"/>
  <c r="BF10" i="10"/>
  <c r="BE10" i="10"/>
  <c r="BD10" i="10"/>
  <c r="BC10" i="10"/>
  <c r="A10" i="10"/>
  <c r="CB9" i="10"/>
  <c r="BZ9" i="10"/>
  <c r="BY9" i="10"/>
  <c r="BT9" i="10"/>
  <c r="BR9" i="10"/>
  <c r="BQ9" i="10"/>
  <c r="BJ9" i="10"/>
  <c r="BO9" i="10" s="1"/>
  <c r="BI9" i="10"/>
  <c r="BN9" i="10" s="1"/>
  <c r="BH9" i="10"/>
  <c r="BG9" i="10"/>
  <c r="BF9" i="10"/>
  <c r="BK9" i="10" s="1"/>
  <c r="BE9" i="10"/>
  <c r="BD9" i="10"/>
  <c r="BL9" i="10" s="1"/>
  <c r="BC9" i="10"/>
  <c r="A9" i="10"/>
  <c r="CH8" i="10"/>
  <c r="CF8" i="10"/>
  <c r="CE8" i="10"/>
  <c r="CD8" i="10"/>
  <c r="CB8" i="10"/>
  <c r="BY8" i="10"/>
  <c r="CA8" i="10" s="1"/>
  <c r="BX8" i="10"/>
  <c r="BW8" i="10"/>
  <c r="BV8" i="10"/>
  <c r="BT8" i="10"/>
  <c r="BQ8" i="10"/>
  <c r="BS8" i="10" s="1"/>
  <c r="BJ8" i="10"/>
  <c r="BO8" i="10" s="1"/>
  <c r="BI8" i="10"/>
  <c r="BN8" i="10" s="1"/>
  <c r="BH8" i="10"/>
  <c r="BG8" i="10"/>
  <c r="BF8" i="10"/>
  <c r="BK8" i="10" s="1"/>
  <c r="BE8" i="10"/>
  <c r="BD8" i="10"/>
  <c r="BL8" i="10" s="1"/>
  <c r="BC8" i="10"/>
  <c r="A8" i="10"/>
  <c r="CB7" i="10"/>
  <c r="BZ7" i="10"/>
  <c r="BY7" i="10"/>
  <c r="BT7" i="10"/>
  <c r="BR7" i="10"/>
  <c r="BQ7" i="10"/>
  <c r="BJ7" i="10"/>
  <c r="BO7" i="10" s="1"/>
  <c r="BI7" i="10"/>
  <c r="BN7" i="10" s="1"/>
  <c r="BH7" i="10"/>
  <c r="BG7" i="10"/>
  <c r="BF7" i="10"/>
  <c r="BE7" i="10"/>
  <c r="BD7" i="10"/>
  <c r="BC7" i="10"/>
  <c r="A7" i="10"/>
  <c r="CH6" i="10"/>
  <c r="CF6" i="10"/>
  <c r="CE6" i="10"/>
  <c r="CD6" i="10"/>
  <c r="CB6" i="10"/>
  <c r="BY6" i="10"/>
  <c r="BX6" i="10"/>
  <c r="BW6" i="10"/>
  <c r="BV6" i="10"/>
  <c r="BT6" i="10"/>
  <c r="BQ6" i="10"/>
  <c r="BJ6" i="10"/>
  <c r="BO6" i="10" s="1"/>
  <c r="BI6" i="10"/>
  <c r="BN6" i="10" s="1"/>
  <c r="BH6" i="10"/>
  <c r="BG6" i="10"/>
  <c r="BF6" i="10"/>
  <c r="BE6" i="10"/>
  <c r="BD6" i="10"/>
  <c r="BL6" i="10" s="1"/>
  <c r="BC6" i="10"/>
  <c r="C6" i="10"/>
  <c r="B6" i="10" s="1"/>
  <c r="A6" i="10"/>
  <c r="BO4" i="10"/>
  <c r="BN4" i="10"/>
  <c r="BM4" i="10"/>
  <c r="BL4" i="10"/>
  <c r="BJ71" i="9"/>
  <c r="BO71" i="9" s="1"/>
  <c r="BI71" i="9"/>
  <c r="BN71" i="9" s="1"/>
  <c r="BH71" i="9"/>
  <c r="BG71" i="9"/>
  <c r="BF71" i="9"/>
  <c r="BE71" i="9"/>
  <c r="BD71" i="9"/>
  <c r="BC71" i="9"/>
  <c r="A71" i="9"/>
  <c r="BJ70" i="9"/>
  <c r="BO70" i="9" s="1"/>
  <c r="BI70" i="9"/>
  <c r="BN70" i="9" s="1"/>
  <c r="BH70" i="9"/>
  <c r="BG70" i="9"/>
  <c r="BF70" i="9"/>
  <c r="BE70" i="9"/>
  <c r="BD70" i="9"/>
  <c r="BC70" i="9"/>
  <c r="A70" i="9"/>
  <c r="BJ69" i="9"/>
  <c r="BO69" i="9" s="1"/>
  <c r="BI69" i="9"/>
  <c r="BN69" i="9" s="1"/>
  <c r="BH69" i="9"/>
  <c r="BG69" i="9"/>
  <c r="BF69" i="9"/>
  <c r="BE69" i="9"/>
  <c r="BD69" i="9"/>
  <c r="BC69" i="9"/>
  <c r="BK69" i="9" s="1"/>
  <c r="A69" i="9"/>
  <c r="BJ68" i="9"/>
  <c r="BO68" i="9" s="1"/>
  <c r="BI68" i="9"/>
  <c r="BN68" i="9" s="1"/>
  <c r="BH68" i="9"/>
  <c r="BG68" i="9"/>
  <c r="BF68" i="9"/>
  <c r="BE68" i="9"/>
  <c r="BD68" i="9"/>
  <c r="BC68" i="9"/>
  <c r="A68" i="9"/>
  <c r="BJ67" i="9"/>
  <c r="BO67" i="9" s="1"/>
  <c r="BI67" i="9"/>
  <c r="BN67" i="9" s="1"/>
  <c r="BH67" i="9"/>
  <c r="BG67" i="9"/>
  <c r="BF67" i="9"/>
  <c r="BE67" i="9"/>
  <c r="BD67" i="9"/>
  <c r="BC67" i="9"/>
  <c r="A67" i="9"/>
  <c r="BJ66" i="9"/>
  <c r="BO66" i="9" s="1"/>
  <c r="BI66" i="9"/>
  <c r="BN66" i="9" s="1"/>
  <c r="BH66" i="9"/>
  <c r="BG66" i="9"/>
  <c r="BF66" i="9"/>
  <c r="BE66" i="9"/>
  <c r="BD66" i="9"/>
  <c r="BC66" i="9"/>
  <c r="A66" i="9"/>
  <c r="BJ65" i="9"/>
  <c r="BO65" i="9" s="1"/>
  <c r="BI65" i="9"/>
  <c r="BN65" i="9" s="1"/>
  <c r="BH65" i="9"/>
  <c r="BG65" i="9"/>
  <c r="BF65" i="9"/>
  <c r="BE65" i="9"/>
  <c r="BD65" i="9"/>
  <c r="BC65" i="9"/>
  <c r="A65" i="9"/>
  <c r="BJ64" i="9"/>
  <c r="BO64" i="9" s="1"/>
  <c r="BI64" i="9"/>
  <c r="BN64" i="9" s="1"/>
  <c r="BH64" i="9"/>
  <c r="BG64" i="9"/>
  <c r="BF64" i="9"/>
  <c r="BE64" i="9"/>
  <c r="BD64" i="9"/>
  <c r="BC64" i="9"/>
  <c r="A64" i="9"/>
  <c r="BJ63" i="9"/>
  <c r="BO63" i="9" s="1"/>
  <c r="BI63" i="9"/>
  <c r="BN63" i="9" s="1"/>
  <c r="BH63" i="9"/>
  <c r="BG63" i="9"/>
  <c r="BF63" i="9"/>
  <c r="BE63" i="9"/>
  <c r="BD63" i="9"/>
  <c r="BC63" i="9"/>
  <c r="A63" i="9"/>
  <c r="BJ62" i="9"/>
  <c r="BO62" i="9" s="1"/>
  <c r="BI62" i="9"/>
  <c r="BN62" i="9" s="1"/>
  <c r="BH62" i="9"/>
  <c r="BG62" i="9"/>
  <c r="BF62" i="9"/>
  <c r="BE62" i="9"/>
  <c r="BD62" i="9"/>
  <c r="BC62" i="9"/>
  <c r="A62" i="9"/>
  <c r="BJ61" i="9"/>
  <c r="BO61" i="9" s="1"/>
  <c r="BI61" i="9"/>
  <c r="BN61" i="9" s="1"/>
  <c r="BH61" i="9"/>
  <c r="BG61" i="9"/>
  <c r="BF61" i="9"/>
  <c r="BE61" i="9"/>
  <c r="BD61" i="9"/>
  <c r="BC61" i="9"/>
  <c r="A61" i="9"/>
  <c r="BJ60" i="9"/>
  <c r="BO60" i="9" s="1"/>
  <c r="BI60" i="9"/>
  <c r="BN60" i="9" s="1"/>
  <c r="BH60" i="9"/>
  <c r="BG60" i="9"/>
  <c r="BF60" i="9"/>
  <c r="BE60" i="9"/>
  <c r="BD60" i="9"/>
  <c r="BC60" i="9"/>
  <c r="A60" i="9"/>
  <c r="BJ59" i="9"/>
  <c r="BO59" i="9" s="1"/>
  <c r="BI59" i="9"/>
  <c r="BN59" i="9" s="1"/>
  <c r="BH59" i="9"/>
  <c r="BG59" i="9"/>
  <c r="BF59" i="9"/>
  <c r="BE59" i="9"/>
  <c r="BD59" i="9"/>
  <c r="BC59" i="9"/>
  <c r="A59" i="9"/>
  <c r="BJ58" i="9"/>
  <c r="BO58" i="9" s="1"/>
  <c r="BI58" i="9"/>
  <c r="BN58" i="9" s="1"/>
  <c r="BH58" i="9"/>
  <c r="BG58" i="9"/>
  <c r="BF58" i="9"/>
  <c r="BE58" i="9"/>
  <c r="BD58" i="9"/>
  <c r="BC58" i="9"/>
  <c r="A58" i="9"/>
  <c r="BJ57" i="9"/>
  <c r="BO57" i="9" s="1"/>
  <c r="BI57" i="9"/>
  <c r="BN57" i="9" s="1"/>
  <c r="BH57" i="9"/>
  <c r="BG57" i="9"/>
  <c r="BF57" i="9"/>
  <c r="BE57" i="9"/>
  <c r="BD57" i="9"/>
  <c r="BC57" i="9"/>
  <c r="A57" i="9"/>
  <c r="BJ56" i="9"/>
  <c r="BO56" i="9" s="1"/>
  <c r="BI56" i="9"/>
  <c r="BN56" i="9" s="1"/>
  <c r="BH56" i="9"/>
  <c r="BG56" i="9"/>
  <c r="BF56" i="9"/>
  <c r="BE56" i="9"/>
  <c r="BD56" i="9"/>
  <c r="BC56" i="9"/>
  <c r="A56" i="9"/>
  <c r="BJ55" i="9"/>
  <c r="BO55" i="9" s="1"/>
  <c r="BI55" i="9"/>
  <c r="BN55" i="9" s="1"/>
  <c r="BH55" i="9"/>
  <c r="BG55" i="9"/>
  <c r="BF55" i="9"/>
  <c r="BE55" i="9"/>
  <c r="BD55" i="9"/>
  <c r="BC55" i="9"/>
  <c r="A55" i="9"/>
  <c r="BJ54" i="9"/>
  <c r="BO54" i="9" s="1"/>
  <c r="BI54" i="9"/>
  <c r="BN54" i="9" s="1"/>
  <c r="BH54" i="9"/>
  <c r="BG54" i="9"/>
  <c r="BF54" i="9"/>
  <c r="BE54" i="9"/>
  <c r="BD54" i="9"/>
  <c r="BC54" i="9"/>
  <c r="A54" i="9"/>
  <c r="BJ53" i="9"/>
  <c r="BO53" i="9" s="1"/>
  <c r="BI53" i="9"/>
  <c r="BN53" i="9" s="1"/>
  <c r="BH53" i="9"/>
  <c r="BG53" i="9"/>
  <c r="BF53" i="9"/>
  <c r="BE53" i="9"/>
  <c r="BD53" i="9"/>
  <c r="BC53" i="9"/>
  <c r="A53" i="9"/>
  <c r="BJ52" i="9"/>
  <c r="BO52" i="9" s="1"/>
  <c r="BI52" i="9"/>
  <c r="BN52" i="9" s="1"/>
  <c r="BH52" i="9"/>
  <c r="BG52" i="9"/>
  <c r="BF52" i="9"/>
  <c r="BE52" i="9"/>
  <c r="BD52" i="9"/>
  <c r="BC52" i="9"/>
  <c r="A52" i="9"/>
  <c r="BJ51" i="9"/>
  <c r="BO51" i="9" s="1"/>
  <c r="BI51" i="9"/>
  <c r="BN51" i="9" s="1"/>
  <c r="BH51" i="9"/>
  <c r="BG51" i="9"/>
  <c r="BF51" i="9"/>
  <c r="BE51" i="9"/>
  <c r="BD51" i="9"/>
  <c r="BC51" i="9"/>
  <c r="A51" i="9"/>
  <c r="BJ50" i="9"/>
  <c r="BO50" i="9" s="1"/>
  <c r="BI50" i="9"/>
  <c r="BN50" i="9" s="1"/>
  <c r="BH50" i="9"/>
  <c r="BG50" i="9"/>
  <c r="BF50" i="9"/>
  <c r="BE50" i="9"/>
  <c r="BD50" i="9"/>
  <c r="BC50" i="9"/>
  <c r="A50" i="9"/>
  <c r="BJ49" i="9"/>
  <c r="BO49" i="9" s="1"/>
  <c r="BI49" i="9"/>
  <c r="BN49" i="9" s="1"/>
  <c r="BH49" i="9"/>
  <c r="BG49" i="9"/>
  <c r="BF49" i="9"/>
  <c r="BE49" i="9"/>
  <c r="BD49" i="9"/>
  <c r="BC49" i="9"/>
  <c r="A49" i="9"/>
  <c r="BJ48" i="9"/>
  <c r="BO48" i="9" s="1"/>
  <c r="BI48" i="9"/>
  <c r="BN48" i="9" s="1"/>
  <c r="BH48" i="9"/>
  <c r="BG48" i="9"/>
  <c r="BF48" i="9"/>
  <c r="BE48" i="9"/>
  <c r="BD48" i="9"/>
  <c r="BC48" i="9"/>
  <c r="A48" i="9"/>
  <c r="BJ47" i="9"/>
  <c r="BO47" i="9" s="1"/>
  <c r="BI47" i="9"/>
  <c r="BN47" i="9" s="1"/>
  <c r="BH47" i="9"/>
  <c r="BG47" i="9"/>
  <c r="BF47" i="9"/>
  <c r="BE47" i="9"/>
  <c r="BD47" i="9"/>
  <c r="BC47" i="9"/>
  <c r="A47" i="9"/>
  <c r="BJ46" i="9"/>
  <c r="BO46" i="9" s="1"/>
  <c r="BI46" i="9"/>
  <c r="BN46" i="9" s="1"/>
  <c r="BH46" i="9"/>
  <c r="BG46" i="9"/>
  <c r="BF46" i="9"/>
  <c r="BE46" i="9"/>
  <c r="BD46" i="9"/>
  <c r="BC46" i="9"/>
  <c r="A46" i="9"/>
  <c r="BJ45" i="9"/>
  <c r="BO45" i="9" s="1"/>
  <c r="BI45" i="9"/>
  <c r="BN45" i="9" s="1"/>
  <c r="BH45" i="9"/>
  <c r="BG45" i="9"/>
  <c r="BF45" i="9"/>
  <c r="BE45" i="9"/>
  <c r="BD45" i="9"/>
  <c r="BC45" i="9"/>
  <c r="A45" i="9"/>
  <c r="BJ44" i="9"/>
  <c r="BO44" i="9" s="1"/>
  <c r="BI44" i="9"/>
  <c r="BN44" i="9" s="1"/>
  <c r="BH44" i="9"/>
  <c r="BG44" i="9"/>
  <c r="BF44" i="9"/>
  <c r="BE44" i="9"/>
  <c r="BD44" i="9"/>
  <c r="BC44" i="9"/>
  <c r="A44" i="9"/>
  <c r="BJ43" i="9"/>
  <c r="BO43" i="9" s="1"/>
  <c r="BI43" i="9"/>
  <c r="BN43" i="9" s="1"/>
  <c r="BH43" i="9"/>
  <c r="BG43" i="9"/>
  <c r="BF43" i="9"/>
  <c r="BE43" i="9"/>
  <c r="BD43" i="9"/>
  <c r="BC43" i="9"/>
  <c r="A43" i="9"/>
  <c r="BJ42" i="9"/>
  <c r="BO42" i="9" s="1"/>
  <c r="BI42" i="9"/>
  <c r="BN42" i="9" s="1"/>
  <c r="BH42" i="9"/>
  <c r="BG42" i="9"/>
  <c r="BF42" i="9"/>
  <c r="BE42" i="9"/>
  <c r="BD42" i="9"/>
  <c r="BC42" i="9"/>
  <c r="A42" i="9"/>
  <c r="BJ41" i="9"/>
  <c r="BO41" i="9" s="1"/>
  <c r="BI41" i="9"/>
  <c r="BN41" i="9" s="1"/>
  <c r="BH41" i="9"/>
  <c r="BG41" i="9"/>
  <c r="BF41" i="9"/>
  <c r="BE41" i="9"/>
  <c r="BD41" i="9"/>
  <c r="BC41" i="9"/>
  <c r="A41" i="9"/>
  <c r="BJ40" i="9"/>
  <c r="BO40" i="9" s="1"/>
  <c r="BI40" i="9"/>
  <c r="BN40" i="9" s="1"/>
  <c r="BH40" i="9"/>
  <c r="BG40" i="9"/>
  <c r="BF40" i="9"/>
  <c r="BE40" i="9"/>
  <c r="BD40" i="9"/>
  <c r="BC40" i="9"/>
  <c r="A40" i="9"/>
  <c r="BJ39" i="9"/>
  <c r="BO39" i="9" s="1"/>
  <c r="BI39" i="9"/>
  <c r="BN39" i="9" s="1"/>
  <c r="BH39" i="9"/>
  <c r="BG39" i="9"/>
  <c r="BF39" i="9"/>
  <c r="BE39" i="9"/>
  <c r="BD39" i="9"/>
  <c r="BC39" i="9"/>
  <c r="A39" i="9"/>
  <c r="BJ38" i="9"/>
  <c r="BO38" i="9" s="1"/>
  <c r="BI38" i="9"/>
  <c r="BN38" i="9" s="1"/>
  <c r="BH38" i="9"/>
  <c r="BG38" i="9"/>
  <c r="BF38" i="9"/>
  <c r="BE38" i="9"/>
  <c r="BD38" i="9"/>
  <c r="BC38" i="9"/>
  <c r="A38" i="9"/>
  <c r="BJ37" i="9"/>
  <c r="BO37" i="9" s="1"/>
  <c r="BI37" i="9"/>
  <c r="BN37" i="9" s="1"/>
  <c r="BH37" i="9"/>
  <c r="BG37" i="9"/>
  <c r="BF37" i="9"/>
  <c r="BE37" i="9"/>
  <c r="BD37" i="9"/>
  <c r="BC37" i="9"/>
  <c r="A37" i="9"/>
  <c r="BJ36" i="9"/>
  <c r="BO36" i="9" s="1"/>
  <c r="BI36" i="9"/>
  <c r="BN36" i="9" s="1"/>
  <c r="BH36" i="9"/>
  <c r="BG36" i="9"/>
  <c r="BF36" i="9"/>
  <c r="BE36" i="9"/>
  <c r="BD36" i="9"/>
  <c r="BC36" i="9"/>
  <c r="A36" i="9"/>
  <c r="BJ35" i="9"/>
  <c r="BO35" i="9" s="1"/>
  <c r="BI35" i="9"/>
  <c r="BN35" i="9" s="1"/>
  <c r="BH35" i="9"/>
  <c r="BG35" i="9"/>
  <c r="BF35" i="9"/>
  <c r="BE35" i="9"/>
  <c r="BD35" i="9"/>
  <c r="BC35" i="9"/>
  <c r="A35" i="9"/>
  <c r="BJ34" i="9"/>
  <c r="BO34" i="9" s="1"/>
  <c r="BI34" i="9"/>
  <c r="BN34" i="9" s="1"/>
  <c r="BH34" i="9"/>
  <c r="BG34" i="9"/>
  <c r="BF34" i="9"/>
  <c r="BE34" i="9"/>
  <c r="BD34" i="9"/>
  <c r="BC34" i="9"/>
  <c r="A34" i="9"/>
  <c r="BJ33" i="9"/>
  <c r="BO33" i="9" s="1"/>
  <c r="BI33" i="9"/>
  <c r="BN33" i="9" s="1"/>
  <c r="BH33" i="9"/>
  <c r="BG33" i="9"/>
  <c r="BF33" i="9"/>
  <c r="BE33" i="9"/>
  <c r="BD33" i="9"/>
  <c r="BC33" i="9"/>
  <c r="A33" i="9"/>
  <c r="BJ32" i="9"/>
  <c r="BO32" i="9" s="1"/>
  <c r="BI32" i="9"/>
  <c r="BN32" i="9" s="1"/>
  <c r="BH32" i="9"/>
  <c r="BG32" i="9"/>
  <c r="BF32" i="9"/>
  <c r="BE32" i="9"/>
  <c r="BD32" i="9"/>
  <c r="BC32" i="9"/>
  <c r="A32" i="9"/>
  <c r="BJ31" i="9"/>
  <c r="BO31" i="9" s="1"/>
  <c r="BI31" i="9"/>
  <c r="BN31" i="9" s="1"/>
  <c r="BH31" i="9"/>
  <c r="BG31" i="9"/>
  <c r="BF31" i="9"/>
  <c r="BE31" i="9"/>
  <c r="BD31" i="9"/>
  <c r="BC31" i="9"/>
  <c r="A31" i="9"/>
  <c r="BJ30" i="9"/>
  <c r="BO30" i="9" s="1"/>
  <c r="BI30" i="9"/>
  <c r="BN30" i="9" s="1"/>
  <c r="BH30" i="9"/>
  <c r="BG30" i="9"/>
  <c r="BF30" i="9"/>
  <c r="BE30" i="9"/>
  <c r="BD30" i="9"/>
  <c r="BC30" i="9"/>
  <c r="A30" i="9"/>
  <c r="BJ29" i="9"/>
  <c r="BO29" i="9" s="1"/>
  <c r="BI29" i="9"/>
  <c r="BN29" i="9" s="1"/>
  <c r="BH29" i="9"/>
  <c r="BG29" i="9"/>
  <c r="BF29" i="9"/>
  <c r="BE29" i="9"/>
  <c r="BD29" i="9"/>
  <c r="BC29" i="9"/>
  <c r="A29" i="9"/>
  <c r="BJ28" i="9"/>
  <c r="BO28" i="9" s="1"/>
  <c r="BI28" i="9"/>
  <c r="BN28" i="9" s="1"/>
  <c r="BH28" i="9"/>
  <c r="BG28" i="9"/>
  <c r="BF28" i="9"/>
  <c r="BE28" i="9"/>
  <c r="BD28" i="9"/>
  <c r="BC28" i="9"/>
  <c r="A28" i="9"/>
  <c r="BJ27" i="9"/>
  <c r="BO27" i="9" s="1"/>
  <c r="BI27" i="9"/>
  <c r="BN27" i="9" s="1"/>
  <c r="BH27" i="9"/>
  <c r="BG27" i="9"/>
  <c r="BF27" i="9"/>
  <c r="BE27" i="9"/>
  <c r="BD27" i="9"/>
  <c r="BC27" i="9"/>
  <c r="A27" i="9"/>
  <c r="BJ26" i="9"/>
  <c r="BO26" i="9" s="1"/>
  <c r="BI26" i="9"/>
  <c r="BN26" i="9" s="1"/>
  <c r="BH26" i="9"/>
  <c r="BG26" i="9"/>
  <c r="BF26" i="9"/>
  <c r="BE26" i="9"/>
  <c r="BD26" i="9"/>
  <c r="BC26" i="9"/>
  <c r="A26" i="9"/>
  <c r="BJ25" i="9"/>
  <c r="BO25" i="9" s="1"/>
  <c r="BI25" i="9"/>
  <c r="BN25" i="9" s="1"/>
  <c r="BH25" i="9"/>
  <c r="BG25" i="9"/>
  <c r="BF25" i="9"/>
  <c r="BE25" i="9"/>
  <c r="BD25" i="9"/>
  <c r="BC25" i="9"/>
  <c r="A25" i="9"/>
  <c r="BJ24" i="9"/>
  <c r="BO24" i="9" s="1"/>
  <c r="BI24" i="9"/>
  <c r="BN24" i="9" s="1"/>
  <c r="BH24" i="9"/>
  <c r="BG24" i="9"/>
  <c r="BF24" i="9"/>
  <c r="BE24" i="9"/>
  <c r="BD24" i="9"/>
  <c r="BC24" i="9"/>
  <c r="A24" i="9"/>
  <c r="BJ23" i="9"/>
  <c r="BO23" i="9" s="1"/>
  <c r="BI23" i="9"/>
  <c r="BN23" i="9" s="1"/>
  <c r="BH23" i="9"/>
  <c r="BG23" i="9"/>
  <c r="BF23" i="9"/>
  <c r="BE23" i="9"/>
  <c r="BD23" i="9"/>
  <c r="BC23" i="9"/>
  <c r="A23" i="9"/>
  <c r="BJ22" i="9"/>
  <c r="BO22" i="9" s="1"/>
  <c r="BI22" i="9"/>
  <c r="BN22" i="9" s="1"/>
  <c r="BH22" i="9"/>
  <c r="BG22" i="9"/>
  <c r="BF22" i="9"/>
  <c r="BE22" i="9"/>
  <c r="BD22" i="9"/>
  <c r="BC22" i="9"/>
  <c r="A22" i="9"/>
  <c r="BJ21" i="9"/>
  <c r="BO21" i="9" s="1"/>
  <c r="BI21" i="9"/>
  <c r="BN21" i="9" s="1"/>
  <c r="BH21" i="9"/>
  <c r="BG21" i="9"/>
  <c r="BF21" i="9"/>
  <c r="BE21" i="9"/>
  <c r="BD21" i="9"/>
  <c r="BC21" i="9"/>
  <c r="A21" i="9"/>
  <c r="BJ20" i="9"/>
  <c r="BO20" i="9" s="1"/>
  <c r="BI20" i="9"/>
  <c r="BN20" i="9" s="1"/>
  <c r="BH20" i="9"/>
  <c r="BG20" i="9"/>
  <c r="BF20" i="9"/>
  <c r="BE20" i="9"/>
  <c r="BD20" i="9"/>
  <c r="BC20" i="9"/>
  <c r="A20" i="9"/>
  <c r="BJ19" i="9"/>
  <c r="BO19" i="9" s="1"/>
  <c r="BI19" i="9"/>
  <c r="BN19" i="9" s="1"/>
  <c r="BH19" i="9"/>
  <c r="BG19" i="9"/>
  <c r="BF19" i="9"/>
  <c r="BE19" i="9"/>
  <c r="BD19" i="9"/>
  <c r="BC19" i="9"/>
  <c r="A19" i="9"/>
  <c r="BJ18" i="9"/>
  <c r="BO18" i="9" s="1"/>
  <c r="BI18" i="9"/>
  <c r="BN18" i="9" s="1"/>
  <c r="BH18" i="9"/>
  <c r="BG18" i="9"/>
  <c r="BF18" i="9"/>
  <c r="BE18" i="9"/>
  <c r="BD18" i="9"/>
  <c r="BC18" i="9"/>
  <c r="A18" i="9"/>
  <c r="BJ17" i="9"/>
  <c r="BO17" i="9" s="1"/>
  <c r="BI17" i="9"/>
  <c r="BN17" i="9" s="1"/>
  <c r="BH17" i="9"/>
  <c r="BG17" i="9"/>
  <c r="BF17" i="9"/>
  <c r="BE17" i="9"/>
  <c r="BD17" i="9"/>
  <c r="BC17" i="9"/>
  <c r="A17" i="9"/>
  <c r="BJ16" i="9"/>
  <c r="BO16" i="9" s="1"/>
  <c r="BI16" i="9"/>
  <c r="BN16" i="9" s="1"/>
  <c r="BH16" i="9"/>
  <c r="BG16" i="9"/>
  <c r="BF16" i="9"/>
  <c r="BE16" i="9"/>
  <c r="BD16" i="9"/>
  <c r="BC16" i="9"/>
  <c r="A16" i="9"/>
  <c r="BJ15" i="9"/>
  <c r="BO15" i="9" s="1"/>
  <c r="BI15" i="9"/>
  <c r="BN15" i="9" s="1"/>
  <c r="BH15" i="9"/>
  <c r="BG15" i="9"/>
  <c r="BF15" i="9"/>
  <c r="BE15" i="9"/>
  <c r="BD15" i="9"/>
  <c r="BC15" i="9"/>
  <c r="A15" i="9"/>
  <c r="BJ14" i="9"/>
  <c r="BO14" i="9" s="1"/>
  <c r="BI14" i="9"/>
  <c r="BN14" i="9" s="1"/>
  <c r="BH14" i="9"/>
  <c r="BG14" i="9"/>
  <c r="BF14" i="9"/>
  <c r="BE14" i="9"/>
  <c r="BD14" i="9"/>
  <c r="BC14" i="9"/>
  <c r="A14" i="9"/>
  <c r="BJ13" i="9"/>
  <c r="BO13" i="9" s="1"/>
  <c r="BI13" i="9"/>
  <c r="BN13" i="9" s="1"/>
  <c r="BH13" i="9"/>
  <c r="BG13" i="9"/>
  <c r="BF13" i="9"/>
  <c r="BE13" i="9"/>
  <c r="BD13" i="9"/>
  <c r="BC13" i="9"/>
  <c r="A13" i="9"/>
  <c r="BJ12" i="9"/>
  <c r="BO12" i="9" s="1"/>
  <c r="BI12" i="9"/>
  <c r="BN12" i="9" s="1"/>
  <c r="BH12" i="9"/>
  <c r="BG12" i="9"/>
  <c r="BF12" i="9"/>
  <c r="BE12" i="9"/>
  <c r="BD12" i="9"/>
  <c r="BC12" i="9"/>
  <c r="A12" i="9"/>
  <c r="BJ11" i="9"/>
  <c r="BO11" i="9" s="1"/>
  <c r="BI11" i="9"/>
  <c r="BN11" i="9" s="1"/>
  <c r="BH11" i="9"/>
  <c r="BG11" i="9"/>
  <c r="BF11" i="9"/>
  <c r="BE11" i="9"/>
  <c r="BD11" i="9"/>
  <c r="BC11" i="9"/>
  <c r="A11" i="9"/>
  <c r="BJ10" i="9"/>
  <c r="BO10" i="9" s="1"/>
  <c r="BI10" i="9"/>
  <c r="BN10" i="9" s="1"/>
  <c r="BH10" i="9"/>
  <c r="BG10" i="9"/>
  <c r="BF10" i="9"/>
  <c r="BE10" i="9"/>
  <c r="BD10" i="9"/>
  <c r="BC10" i="9"/>
  <c r="A10" i="9"/>
  <c r="BJ9" i="9"/>
  <c r="BO9" i="9" s="1"/>
  <c r="BI9" i="9"/>
  <c r="BN9" i="9" s="1"/>
  <c r="BH9" i="9"/>
  <c r="BG9" i="9"/>
  <c r="BF9" i="9"/>
  <c r="BE9" i="9"/>
  <c r="BD9" i="9"/>
  <c r="BC9" i="9"/>
  <c r="A9" i="9"/>
  <c r="CH8" i="9"/>
  <c r="CF8" i="9"/>
  <c r="CE8" i="9"/>
  <c r="CD8" i="9"/>
  <c r="CB8" i="9"/>
  <c r="BY8" i="9"/>
  <c r="CA8" i="9" s="1"/>
  <c r="BX8" i="9"/>
  <c r="BW8" i="9"/>
  <c r="BV8" i="9"/>
  <c r="BT8" i="9"/>
  <c r="BQ8" i="9"/>
  <c r="BS8" i="9" s="1"/>
  <c r="BJ8" i="9"/>
  <c r="BO8" i="9" s="1"/>
  <c r="BI8" i="9"/>
  <c r="BN8" i="9" s="1"/>
  <c r="BH8" i="9"/>
  <c r="BG8" i="9"/>
  <c r="BF8" i="9"/>
  <c r="BE8" i="9"/>
  <c r="BD8" i="9"/>
  <c r="BC8" i="9"/>
  <c r="C8" i="9"/>
  <c r="A8" i="9"/>
  <c r="CG7" i="9"/>
  <c r="CB7" i="9"/>
  <c r="BZ7" i="9"/>
  <c r="BY7" i="9"/>
  <c r="BT7" i="9"/>
  <c r="BR7" i="9"/>
  <c r="BQ7" i="9"/>
  <c r="BJ7" i="9"/>
  <c r="BO7" i="9" s="1"/>
  <c r="BI7" i="9"/>
  <c r="BN7" i="9" s="1"/>
  <c r="BH7" i="9"/>
  <c r="BG7" i="9"/>
  <c r="BF7" i="9"/>
  <c r="BE7" i="9"/>
  <c r="BD7" i="9"/>
  <c r="BC7" i="9"/>
  <c r="B7" i="9"/>
  <c r="A7" i="9"/>
  <c r="CH6" i="9"/>
  <c r="CF6" i="9"/>
  <c r="CE6" i="9"/>
  <c r="CD6" i="9"/>
  <c r="CB6" i="9"/>
  <c r="BY6" i="9"/>
  <c r="BX6" i="9"/>
  <c r="BW6" i="9"/>
  <c r="BV6" i="9"/>
  <c r="BT6" i="9"/>
  <c r="BQ6" i="9"/>
  <c r="BJ6" i="9"/>
  <c r="BO6" i="9" s="1"/>
  <c r="BI6" i="9"/>
  <c r="BN6" i="9" s="1"/>
  <c r="BH6" i="9"/>
  <c r="BG6" i="9"/>
  <c r="BF6" i="9"/>
  <c r="BE6" i="9"/>
  <c r="BD6" i="9"/>
  <c r="BC6" i="9"/>
  <c r="B6" i="9"/>
  <c r="A6" i="9"/>
  <c r="BO4" i="9"/>
  <c r="BN4" i="9"/>
  <c r="BM4" i="9"/>
  <c r="BL4" i="9"/>
  <c r="BL58" i="9" l="1"/>
  <c r="BL11" i="9"/>
  <c r="BL35" i="9"/>
  <c r="BK22" i="9"/>
  <c r="BK50" i="9"/>
  <c r="BL62" i="9"/>
  <c r="BM21" i="9"/>
  <c r="BM25" i="9"/>
  <c r="BM41" i="9"/>
  <c r="BM45" i="9"/>
  <c r="BL8" i="9"/>
  <c r="BK24" i="9"/>
  <c r="BK52" i="9"/>
  <c r="BM64" i="9"/>
  <c r="BL18" i="9"/>
  <c r="BL43" i="9"/>
  <c r="BM71" i="9"/>
  <c r="BK70" i="9"/>
  <c r="BM38" i="9"/>
  <c r="BK49" i="9"/>
  <c r="BL57" i="9"/>
  <c r="BL36" i="9"/>
  <c r="BL40" i="9"/>
  <c r="BK15" i="9"/>
  <c r="BK27" i="9"/>
  <c r="BK47" i="9"/>
  <c r="BL60" i="9"/>
  <c r="BL64" i="9"/>
  <c r="BL51" i="9"/>
  <c r="BM31" i="9"/>
  <c r="BM11" i="9"/>
  <c r="BM19" i="9"/>
  <c r="BM23" i="9"/>
  <c r="BL70" i="9"/>
  <c r="BK62" i="9"/>
  <c r="BK48" i="9"/>
  <c r="BK7" i="9"/>
  <c r="BL47" i="9"/>
  <c r="BM61" i="9"/>
  <c r="BM10" i="9"/>
  <c r="BL7" i="9"/>
  <c r="BK18" i="9"/>
  <c r="BK64" i="9"/>
  <c r="BK30" i="9"/>
  <c r="BK42" i="9"/>
  <c r="BK46" i="9"/>
  <c r="BM51" i="9"/>
  <c r="BL69" i="9"/>
  <c r="BL33" i="9"/>
  <c r="BL50" i="9"/>
  <c r="BM6" i="9"/>
  <c r="BL16" i="9"/>
  <c r="BK29" i="9"/>
  <c r="BM16" i="9"/>
  <c r="BK33" i="9"/>
  <c r="BL48" i="9"/>
  <c r="BM42" i="9"/>
  <c r="BM33" i="9"/>
  <c r="BM20" i="9"/>
  <c r="BK10" i="9"/>
  <c r="BM28" i="9"/>
  <c r="BL32" i="9"/>
  <c r="BK36" i="9"/>
  <c r="BM37" i="9"/>
  <c r="BL46" i="9"/>
  <c r="BS6" i="9"/>
  <c r="BU6" i="9" s="1"/>
  <c r="BL19" i="9"/>
  <c r="BK60" i="9"/>
  <c r="BL65" i="9"/>
  <c r="BL14" i="9"/>
  <c r="BK21" i="9"/>
  <c r="BK25" i="9"/>
  <c r="BL26" i="9"/>
  <c r="BL39" i="9"/>
  <c r="BK43" i="9"/>
  <c r="BL44" i="9"/>
  <c r="BK63" i="9"/>
  <c r="BL6" i="9"/>
  <c r="BK16" i="9"/>
  <c r="BL25" i="9"/>
  <c r="BM39" i="9"/>
  <c r="BM40" i="9"/>
  <c r="BL54" i="9"/>
  <c r="BL59" i="9"/>
  <c r="BM34" i="9"/>
  <c r="BM43" i="9"/>
  <c r="BM49" i="9"/>
  <c r="BK53" i="9"/>
  <c r="BM54" i="9"/>
  <c r="BK58" i="9"/>
  <c r="BM63" i="9"/>
  <c r="CA6" i="9"/>
  <c r="CC6" i="9" s="1"/>
  <c r="BL10" i="9"/>
  <c r="BM22" i="9"/>
  <c r="BK32" i="9"/>
  <c r="BL38" i="9"/>
  <c r="BL45" i="9"/>
  <c r="BM50" i="9"/>
  <c r="BM55" i="9"/>
  <c r="BK55" i="9"/>
  <c r="BL66" i="9"/>
  <c r="BM66" i="9"/>
  <c r="BL53" i="9"/>
  <c r="BM9" i="9"/>
  <c r="BK19" i="9"/>
  <c r="BM53" i="9"/>
  <c r="BK68" i="9"/>
  <c r="C9" i="9"/>
  <c r="B9" i="9" s="1"/>
  <c r="BL15" i="9"/>
  <c r="BL20" i="9"/>
  <c r="BL21" i="9"/>
  <c r="BM32" i="9"/>
  <c r="BK35" i="9"/>
  <c r="BM36" i="9"/>
  <c r="BK40" i="9"/>
  <c r="BL41" i="9"/>
  <c r="BM47" i="9"/>
  <c r="BM70" i="9"/>
  <c r="BM26" i="9"/>
  <c r="BL63" i="9"/>
  <c r="BM8" i="9"/>
  <c r="BL29" i="9"/>
  <c r="BM46" i="9"/>
  <c r="BM52" i="9"/>
  <c r="BK56" i="9"/>
  <c r="BM57" i="9"/>
  <c r="BM62" i="9"/>
  <c r="BK12" i="9"/>
  <c r="BM13" i="9"/>
  <c r="BM29" i="9"/>
  <c r="BK39" i="9"/>
  <c r="BK45" i="9"/>
  <c r="BK51" i="9"/>
  <c r="BL56" i="9"/>
  <c r="BL67" i="9"/>
  <c r="BL12" i="9"/>
  <c r="BM12" i="9"/>
  <c r="BL23" i="9"/>
  <c r="BM30" i="9"/>
  <c r="BL34" i="9"/>
  <c r="BL61" i="9"/>
  <c r="BK66" i="9"/>
  <c r="BM67" i="9"/>
  <c r="BU24" i="12"/>
  <c r="BM13" i="12"/>
  <c r="BK19" i="12"/>
  <c r="BS34" i="12"/>
  <c r="BU34" i="12" s="1"/>
  <c r="BK39" i="12"/>
  <c r="BL44" i="12"/>
  <c r="BL8" i="12"/>
  <c r="CC10" i="12"/>
  <c r="CA12" i="12"/>
  <c r="CC12" i="12" s="1"/>
  <c r="CC42" i="12"/>
  <c r="CA44" i="12"/>
  <c r="CC44" i="12" s="1"/>
  <c r="CC22" i="12"/>
  <c r="CC32" i="12"/>
  <c r="BL9" i="12"/>
  <c r="CA14" i="12"/>
  <c r="BK16" i="12"/>
  <c r="CA18" i="12"/>
  <c r="BU20" i="12"/>
  <c r="CA38" i="12"/>
  <c r="BK40" i="12"/>
  <c r="BM7" i="12"/>
  <c r="BL16" i="12"/>
  <c r="CA28" i="12"/>
  <c r="CC28" i="12" s="1"/>
  <c r="BK30" i="12"/>
  <c r="BU42" i="12"/>
  <c r="BK42" i="12"/>
  <c r="CC6" i="12"/>
  <c r="BK27" i="12"/>
  <c r="BM31" i="12"/>
  <c r="BK32" i="12"/>
  <c r="BK37" i="12"/>
  <c r="BL42" i="12"/>
  <c r="BU10" i="12"/>
  <c r="BK11" i="12"/>
  <c r="BU12" i="12"/>
  <c r="BL32" i="12"/>
  <c r="BL37" i="12"/>
  <c r="BW7" i="12"/>
  <c r="BS8" i="12"/>
  <c r="CA20" i="12"/>
  <c r="BL6" i="11"/>
  <c r="BM10" i="11"/>
  <c r="CA10" i="11"/>
  <c r="CC10" i="11" s="1"/>
  <c r="BL11" i="11"/>
  <c r="BL13" i="11"/>
  <c r="BU14" i="11"/>
  <c r="BL15" i="11"/>
  <c r="BM18" i="11"/>
  <c r="BM21" i="11"/>
  <c r="BK36" i="11"/>
  <c r="CC36" i="11"/>
  <c r="BK38" i="11"/>
  <c r="BK43" i="11"/>
  <c r="BL45" i="11"/>
  <c r="BK49" i="11"/>
  <c r="BM52" i="11"/>
  <c r="CC52" i="11"/>
  <c r="BM54" i="11"/>
  <c r="BM55" i="11"/>
  <c r="BK56" i="11"/>
  <c r="BM6" i="11"/>
  <c r="BK10" i="11"/>
  <c r="BM11" i="11"/>
  <c r="BM13" i="11"/>
  <c r="BK21" i="11"/>
  <c r="BL23" i="11"/>
  <c r="BS28" i="11"/>
  <c r="BU28" i="11" s="1"/>
  <c r="BM30" i="11"/>
  <c r="BU50" i="11"/>
  <c r="BL10" i="11"/>
  <c r="BK13" i="11"/>
  <c r="BK30" i="11"/>
  <c r="BM43" i="11"/>
  <c r="BM48" i="11"/>
  <c r="BK51" i="11"/>
  <c r="CA7" i="11"/>
  <c r="CD7" i="11" s="1"/>
  <c r="CF7" i="11" s="1"/>
  <c r="BK7" i="11"/>
  <c r="BM14" i="11"/>
  <c r="BL16" i="11"/>
  <c r="BU16" i="11"/>
  <c r="BL17" i="11"/>
  <c r="BL22" i="11"/>
  <c r="BK29" i="11"/>
  <c r="BL35" i="11"/>
  <c r="BL39" i="11"/>
  <c r="BL7" i="11"/>
  <c r="BK8" i="11"/>
  <c r="BK14" i="11"/>
  <c r="BM17" i="11"/>
  <c r="BL19" i="11"/>
  <c r="BM22" i="11"/>
  <c r="BL24" i="11"/>
  <c r="BL29" i="11"/>
  <c r="CC32" i="11"/>
  <c r="BM35" i="11"/>
  <c r="BM39" i="11"/>
  <c r="BL40" i="11"/>
  <c r="BL50" i="11"/>
  <c r="BK9" i="11"/>
  <c r="BK17" i="11"/>
  <c r="BL34" i="11"/>
  <c r="BM46" i="11"/>
  <c r="BL47" i="11"/>
  <c r="CC50" i="11"/>
  <c r="BK52" i="11"/>
  <c r="BK55" i="11"/>
  <c r="BM8" i="11"/>
  <c r="BK25" i="11"/>
  <c r="BL31" i="11"/>
  <c r="BM34" i="11"/>
  <c r="BM53" i="11"/>
  <c r="BL55" i="11"/>
  <c r="BS6" i="11"/>
  <c r="BU6" i="11" s="1"/>
  <c r="BS26" i="11"/>
  <c r="BU26" i="11" s="1"/>
  <c r="CC34" i="11"/>
  <c r="BU12" i="10"/>
  <c r="CC28" i="10"/>
  <c r="BK42" i="10"/>
  <c r="BL53" i="10"/>
  <c r="BU54" i="10"/>
  <c r="BK55" i="10"/>
  <c r="BM60" i="10"/>
  <c r="BM61" i="10"/>
  <c r="CC14" i="10"/>
  <c r="BM15" i="10"/>
  <c r="BM19" i="10"/>
  <c r="BM23" i="10"/>
  <c r="BU40" i="10"/>
  <c r="BM13" i="10"/>
  <c r="BK21" i="10"/>
  <c r="BL22" i="10"/>
  <c r="BL23" i="10"/>
  <c r="BK24" i="10"/>
  <c r="BK27" i="10"/>
  <c r="BM37" i="10"/>
  <c r="BM41" i="10"/>
  <c r="BK43" i="10"/>
  <c r="BK57" i="10"/>
  <c r="BS6" i="10"/>
  <c r="BU6" i="10" s="1"/>
  <c r="BM7" i="10"/>
  <c r="BK18" i="10"/>
  <c r="BM20" i="10"/>
  <c r="BK40" i="10"/>
  <c r="BL47" i="10"/>
  <c r="BK61" i="10"/>
  <c r="BK6" i="10"/>
  <c r="BM12" i="10"/>
  <c r="BK20" i="10"/>
  <c r="CC20" i="10"/>
  <c r="BM25" i="10"/>
  <c r="BM26" i="10"/>
  <c r="CC26" i="10"/>
  <c r="BM29" i="10"/>
  <c r="BL63" i="10"/>
  <c r="BU20" i="10"/>
  <c r="CC38" i="10"/>
  <c r="BU48" i="10"/>
  <c r="BM6" i="10"/>
  <c r="BM8" i="10"/>
  <c r="BM28" i="10"/>
  <c r="BM31" i="10"/>
  <c r="BL42" i="10"/>
  <c r="BL44" i="10"/>
  <c r="BL49" i="10"/>
  <c r="BK51" i="10"/>
  <c r="BM58" i="10"/>
  <c r="BK64" i="10"/>
  <c r="BK11" i="10"/>
  <c r="BK15" i="10"/>
  <c r="BL30" i="10"/>
  <c r="BK32" i="10"/>
  <c r="BL46" i="10"/>
  <c r="BM47" i="10"/>
  <c r="BK48" i="10"/>
  <c r="BL51" i="10"/>
  <c r="BL64" i="10"/>
  <c r="BU62" i="10"/>
  <c r="BL32" i="10"/>
  <c r="BK46" i="10"/>
  <c r="BK7" i="10"/>
  <c r="BM10" i="10"/>
  <c r="BK13" i="10"/>
  <c r="BM16" i="10"/>
  <c r="BL19" i="10"/>
  <c r="BL24" i="10"/>
  <c r="BL25" i="10"/>
  <c r="BU30" i="10"/>
  <c r="BK31" i="10"/>
  <c r="BL35" i="10"/>
  <c r="CC46" i="10"/>
  <c r="BL52" i="10"/>
  <c r="BK62" i="10"/>
  <c r="BL7" i="10"/>
  <c r="BL13" i="10"/>
  <c r="BL18" i="10"/>
  <c r="BM22" i="10"/>
  <c r="BL31" i="10"/>
  <c r="CC34" i="10"/>
  <c r="BL36" i="10"/>
  <c r="BL56" i="10"/>
  <c r="BM18" i="10"/>
  <c r="BL27" i="10"/>
  <c r="BM36" i="10"/>
  <c r="BM46" i="10"/>
  <c r="BK49" i="10"/>
  <c r="BK58" i="10"/>
  <c r="CC10" i="10"/>
  <c r="CC64" i="10"/>
  <c r="BU8" i="10"/>
  <c r="BK26" i="10"/>
  <c r="BU10" i="10"/>
  <c r="BK14" i="10"/>
  <c r="BM33" i="10"/>
  <c r="CC36" i="10"/>
  <c r="BM42" i="10"/>
  <c r="BU50" i="10"/>
  <c r="BL62" i="10"/>
  <c r="BU18" i="10"/>
  <c r="CC62" i="10"/>
  <c r="BM14" i="10"/>
  <c r="BM21" i="10"/>
  <c r="BL39" i="10"/>
  <c r="BU44" i="10"/>
  <c r="BU46" i="10"/>
  <c r="BK10" i="10"/>
  <c r="BM11" i="10"/>
  <c r="BK29" i="10"/>
  <c r="BM32" i="10"/>
  <c r="BM38" i="10"/>
  <c r="BM39" i="10"/>
  <c r="BM45" i="10"/>
  <c r="BM49" i="10"/>
  <c r="BM50" i="10"/>
  <c r="CC58" i="10"/>
  <c r="BK60" i="10"/>
  <c r="BU60" i="10"/>
  <c r="BL61" i="10"/>
  <c r="BL10" i="10"/>
  <c r="BL17" i="10"/>
  <c r="BK22" i="10"/>
  <c r="BK28" i="10"/>
  <c r="BK34" i="10"/>
  <c r="BK35" i="10"/>
  <c r="BK41" i="10"/>
  <c r="BK45" i="10"/>
  <c r="BM15" i="9"/>
  <c r="BM24" i="9"/>
  <c r="BK26" i="9"/>
  <c r="BL27" i="9"/>
  <c r="BK8" i="9"/>
  <c r="BK9" i="9"/>
  <c r="BM27" i="9"/>
  <c r="BM44" i="9"/>
  <c r="BM48" i="9"/>
  <c r="BM60" i="9"/>
  <c r="BL68" i="9"/>
  <c r="BK71" i="9"/>
  <c r="BK38" i="9"/>
  <c r="BK57" i="9"/>
  <c r="BM68" i="9"/>
  <c r="BL71" i="9"/>
  <c r="BL55" i="9"/>
  <c r="BM69" i="9"/>
  <c r="BK6" i="9"/>
  <c r="BL13" i="9"/>
  <c r="BM17" i="9"/>
  <c r="BL22" i="9"/>
  <c r="BK34" i="9"/>
  <c r="BK59" i="9"/>
  <c r="BK28" i="9"/>
  <c r="BL42" i="9"/>
  <c r="BS7" i="9"/>
  <c r="BU7" i="9" s="1"/>
  <c r="BK11" i="9"/>
  <c r="BL17" i="9"/>
  <c r="BM56" i="9"/>
  <c r="BK14" i="9"/>
  <c r="BM18" i="9"/>
  <c r="BK37" i="9"/>
  <c r="BL30" i="9"/>
  <c r="BM35" i="9"/>
  <c r="BL37" i="9"/>
  <c r="BK41" i="9"/>
  <c r="BL49" i="9"/>
  <c r="BL52" i="9"/>
  <c r="BM58" i="9"/>
  <c r="BK61" i="9"/>
  <c r="BM65" i="9"/>
  <c r="BK67" i="9"/>
  <c r="CE7" i="9"/>
  <c r="BM7" i="9"/>
  <c r="B8" i="9"/>
  <c r="BK31" i="9"/>
  <c r="BK44" i="9"/>
  <c r="BK54" i="9"/>
  <c r="BM59" i="9"/>
  <c r="BK65" i="9"/>
  <c r="CC8" i="9"/>
  <c r="BL9" i="9"/>
  <c r="BK13" i="9"/>
  <c r="BL24" i="9"/>
  <c r="BL28" i="9"/>
  <c r="BL31" i="9"/>
  <c r="BW7" i="9"/>
  <c r="CA7" i="9"/>
  <c r="BM14" i="9"/>
  <c r="BK20" i="9"/>
  <c r="BU8" i="9"/>
  <c r="BK17" i="9"/>
  <c r="BK23" i="9"/>
  <c r="CA7" i="10"/>
  <c r="CC7" i="10" s="1"/>
  <c r="CC8" i="10"/>
  <c r="BK17" i="10"/>
  <c r="CC24" i="10"/>
  <c r="BK53" i="10"/>
  <c r="BM17" i="10"/>
  <c r="BM30" i="10"/>
  <c r="BU14" i="10"/>
  <c r="C7" i="10"/>
  <c r="BK25" i="10"/>
  <c r="BS8" i="11"/>
  <c r="BS7" i="11"/>
  <c r="BL15" i="10"/>
  <c r="BK50" i="10"/>
  <c r="BL12" i="10"/>
  <c r="CC40" i="10"/>
  <c r="BL43" i="10"/>
  <c r="CC44" i="10"/>
  <c r="CA6" i="10"/>
  <c r="CC6" i="10" s="1"/>
  <c r="BM9" i="10"/>
  <c r="BU26" i="10"/>
  <c r="BU38" i="10"/>
  <c r="CC48" i="10"/>
  <c r="BK65" i="10"/>
  <c r="CC22" i="11"/>
  <c r="BM65" i="10"/>
  <c r="BU8" i="11"/>
  <c r="C10" i="11"/>
  <c r="B9" i="11"/>
  <c r="BU58" i="10"/>
  <c r="CC14" i="11"/>
  <c r="CC20" i="11"/>
  <c r="BL59" i="10"/>
  <c r="BM62" i="10"/>
  <c r="CC8" i="11"/>
  <c r="BU12" i="11"/>
  <c r="BU14" i="12"/>
  <c r="CC60" i="10"/>
  <c r="BS7" i="12"/>
  <c r="BV7" i="12" s="1"/>
  <c r="BX7" i="12" s="1"/>
  <c r="CD7" i="12"/>
  <c r="CF7" i="12" s="1"/>
  <c r="CC7" i="12"/>
  <c r="BU10" i="11"/>
  <c r="BL49" i="11"/>
  <c r="BL21" i="12"/>
  <c r="BL23" i="12"/>
  <c r="BM27" i="12"/>
  <c r="BL36" i="12"/>
  <c r="CA8" i="12"/>
  <c r="CC8" i="12" s="1"/>
  <c r="CC30" i="12"/>
  <c r="BU56" i="11"/>
  <c r="BL11" i="12"/>
  <c r="CC18" i="12"/>
  <c r="CC20" i="12"/>
  <c r="BK43" i="12"/>
  <c r="BU44" i="11"/>
  <c r="BM47" i="11"/>
  <c r="BM11" i="12"/>
  <c r="BL14" i="12"/>
  <c r="BK33" i="12"/>
  <c r="CC38" i="12"/>
  <c r="BS22" i="12"/>
  <c r="BU22" i="12" s="1"/>
  <c r="BM33" i="11"/>
  <c r="CC46" i="11"/>
  <c r="BK20" i="12"/>
  <c r="BK26" i="12"/>
  <c r="BL30" i="12"/>
  <c r="BM40" i="12"/>
  <c r="BU8" i="12"/>
  <c r="CC14" i="12"/>
  <c r="BL20" i="12"/>
  <c r="BM24" i="12"/>
  <c r="BL26" i="12"/>
  <c r="BM30" i="12"/>
  <c r="BU44" i="12"/>
  <c r="BL43" i="11"/>
  <c r="CC44" i="11"/>
  <c r="BK53" i="11"/>
  <c r="C10" i="12"/>
  <c r="BW9" i="12" s="1"/>
  <c r="BM20" i="12"/>
  <c r="BK23" i="12"/>
  <c r="BL27" i="12"/>
  <c r="BK36" i="12"/>
  <c r="CG8" i="12"/>
  <c r="C10" i="9" l="1"/>
  <c r="BU7" i="12"/>
  <c r="CH7" i="12"/>
  <c r="CC7" i="11"/>
  <c r="BV7" i="9"/>
  <c r="BX7" i="9" s="1"/>
  <c r="CD7" i="9"/>
  <c r="CF7" i="9" s="1"/>
  <c r="CC7" i="9"/>
  <c r="BV7" i="11"/>
  <c r="BX7" i="11" s="1"/>
  <c r="BU7" i="11"/>
  <c r="CG8" i="11"/>
  <c r="CH7" i="11"/>
  <c r="CG7" i="10"/>
  <c r="B7" i="10"/>
  <c r="C8" i="10"/>
  <c r="BS7" i="10"/>
  <c r="CE9" i="11"/>
  <c r="BW9" i="11"/>
  <c r="B10" i="11"/>
  <c r="C11" i="11"/>
  <c r="CA9" i="11"/>
  <c r="BS9" i="11"/>
  <c r="C11" i="12"/>
  <c r="B10" i="12"/>
  <c r="CA9" i="12"/>
  <c r="BS9" i="12"/>
  <c r="CE9" i="12"/>
  <c r="CH7" i="9" l="1"/>
  <c r="C11" i="9"/>
  <c r="B10" i="9"/>
  <c r="CA9" i="9"/>
  <c r="CE9" i="9"/>
  <c r="BS9" i="9"/>
  <c r="BW9" i="9"/>
  <c r="B11" i="12"/>
  <c r="C12" i="12"/>
  <c r="BV7" i="10"/>
  <c r="BU7" i="10"/>
  <c r="BV9" i="11"/>
  <c r="BX9" i="11" s="1"/>
  <c r="BU9" i="11"/>
  <c r="C9" i="10"/>
  <c r="B8" i="10"/>
  <c r="CE7" i="10"/>
  <c r="CH9" i="11"/>
  <c r="BV9" i="12"/>
  <c r="BX9" i="12" s="1"/>
  <c r="BU9" i="12"/>
  <c r="CD9" i="11"/>
  <c r="CF9" i="11" s="1"/>
  <c r="CC9" i="11"/>
  <c r="B11" i="11"/>
  <c r="C12" i="11"/>
  <c r="CD9" i="12"/>
  <c r="CH9" i="12" s="1"/>
  <c r="CC9" i="12"/>
  <c r="BS11" i="11"/>
  <c r="BW11" i="12"/>
  <c r="CD7" i="10"/>
  <c r="BW7" i="10"/>
  <c r="BU9" i="9" l="1"/>
  <c r="BV9" i="9"/>
  <c r="BX9" i="9" s="1"/>
  <c r="CC9" i="9"/>
  <c r="CD9" i="9"/>
  <c r="CH9" i="9" s="1"/>
  <c r="C12" i="9"/>
  <c r="CA11" i="9" s="1"/>
  <c r="CC11" i="9" s="1"/>
  <c r="CG9" i="9"/>
  <c r="B11" i="9"/>
  <c r="BX7" i="10"/>
  <c r="CF9" i="12"/>
  <c r="B12" i="12"/>
  <c r="C13" i="12"/>
  <c r="CG10" i="12"/>
  <c r="CE11" i="12"/>
  <c r="BS11" i="12"/>
  <c r="B9" i="10"/>
  <c r="C10" i="10"/>
  <c r="BW9" i="10" s="1"/>
  <c r="B12" i="11"/>
  <c r="C13" i="11"/>
  <c r="CG10" i="11"/>
  <c r="CA11" i="11"/>
  <c r="CF7" i="10"/>
  <c r="CE11" i="11"/>
  <c r="BV11" i="11"/>
  <c r="BU11" i="11"/>
  <c r="CH7" i="10"/>
  <c r="BW11" i="11"/>
  <c r="CA9" i="10"/>
  <c r="CA11" i="12"/>
  <c r="CF9" i="9" l="1"/>
  <c r="C13" i="9"/>
  <c r="BS12" i="9" s="1"/>
  <c r="BU12" i="9" s="1"/>
  <c r="B12" i="9"/>
  <c r="BS11" i="9"/>
  <c r="BU11" i="9" s="1"/>
  <c r="CE9" i="10"/>
  <c r="CC11" i="12"/>
  <c r="CD11" i="12"/>
  <c r="CH11" i="12" s="1"/>
  <c r="C14" i="12"/>
  <c r="BS13" i="12" s="1"/>
  <c r="B13" i="12"/>
  <c r="BX11" i="11"/>
  <c r="CD9" i="10"/>
  <c r="CC9" i="10"/>
  <c r="CF9" i="10"/>
  <c r="CH9" i="10"/>
  <c r="C11" i="10"/>
  <c r="B10" i="10"/>
  <c r="CD11" i="11"/>
  <c r="CH11" i="11" s="1"/>
  <c r="CC11" i="11"/>
  <c r="BV11" i="12"/>
  <c r="BX11" i="12" s="1"/>
  <c r="BU11" i="12"/>
  <c r="CF11" i="12"/>
  <c r="BW13" i="11"/>
  <c r="BS9" i="10"/>
  <c r="C14" i="11"/>
  <c r="B13" i="11"/>
  <c r="CG11" i="11"/>
  <c r="CA13" i="9" l="1"/>
  <c r="CC13" i="9" s="1"/>
  <c r="CG13" i="9"/>
  <c r="CG11" i="9"/>
  <c r="B13" i="9"/>
  <c r="C14" i="9"/>
  <c r="BS13" i="9"/>
  <c r="CA12" i="9"/>
  <c r="CC12" i="9" s="1"/>
  <c r="BV13" i="12"/>
  <c r="BU13" i="12"/>
  <c r="C12" i="10"/>
  <c r="B11" i="10"/>
  <c r="CG9" i="10"/>
  <c r="CA11" i="10"/>
  <c r="CE13" i="12"/>
  <c r="BW13" i="12"/>
  <c r="CA13" i="12"/>
  <c r="CF11" i="11"/>
  <c r="B14" i="12"/>
  <c r="C15" i="12"/>
  <c r="CG12" i="12"/>
  <c r="CE11" i="10"/>
  <c r="BV9" i="10"/>
  <c r="BX9" i="10" s="1"/>
  <c r="BU9" i="10"/>
  <c r="B14" i="11"/>
  <c r="C15" i="11"/>
  <c r="CE13" i="11"/>
  <c r="BS13" i="11"/>
  <c r="BW11" i="10"/>
  <c r="CA13" i="11"/>
  <c r="BV13" i="9" l="1"/>
  <c r="BU13" i="9"/>
  <c r="B14" i="9"/>
  <c r="C15" i="9"/>
  <c r="CE13" i="9"/>
  <c r="CD13" i="9"/>
  <c r="BW13" i="9"/>
  <c r="C17" i="12"/>
  <c r="B15" i="12"/>
  <c r="C16" i="12"/>
  <c r="BW15" i="12" s="1"/>
  <c r="CD11" i="10"/>
  <c r="CF11" i="10" s="1"/>
  <c r="CC11" i="10"/>
  <c r="CD13" i="12"/>
  <c r="CH13" i="12" s="1"/>
  <c r="CC13" i="12"/>
  <c r="B12" i="10"/>
  <c r="C13" i="10"/>
  <c r="BS11" i="10"/>
  <c r="BV13" i="11"/>
  <c r="BX13" i="11" s="1"/>
  <c r="BU13" i="11"/>
  <c r="C17" i="11"/>
  <c r="B15" i="11"/>
  <c r="C16" i="11"/>
  <c r="CG15" i="11"/>
  <c r="CG13" i="11"/>
  <c r="CA15" i="12"/>
  <c r="CD13" i="11"/>
  <c r="CH13" i="11" s="1"/>
  <c r="CC13" i="11"/>
  <c r="BX13" i="12"/>
  <c r="CF13" i="9" l="1"/>
  <c r="CH13" i="9"/>
  <c r="C17" i="9"/>
  <c r="CG15" i="9" s="1"/>
  <c r="B15" i="9"/>
  <c r="C16" i="9"/>
  <c r="CA15" i="9" s="1"/>
  <c r="BX13" i="9"/>
  <c r="BS15" i="12"/>
  <c r="CH11" i="10"/>
  <c r="BU15" i="12"/>
  <c r="CF13" i="12"/>
  <c r="BV11" i="10"/>
  <c r="BX11" i="10" s="1"/>
  <c r="BU11" i="10"/>
  <c r="CC15" i="12"/>
  <c r="C14" i="10"/>
  <c r="B13" i="10"/>
  <c r="CG11" i="10"/>
  <c r="CF13" i="11"/>
  <c r="CE13" i="10"/>
  <c r="CA17" i="12"/>
  <c r="B16" i="12"/>
  <c r="BS17" i="12"/>
  <c r="CG14" i="12"/>
  <c r="BS16" i="12"/>
  <c r="BU16" i="12" s="1"/>
  <c r="B17" i="11"/>
  <c r="C18" i="11"/>
  <c r="BS17" i="11" s="1"/>
  <c r="CA13" i="10"/>
  <c r="CA16" i="12"/>
  <c r="CC16" i="12" s="1"/>
  <c r="CA17" i="11"/>
  <c r="B16" i="11"/>
  <c r="CA15" i="11"/>
  <c r="CE15" i="11"/>
  <c r="BW15" i="11"/>
  <c r="BS15" i="11"/>
  <c r="CE15" i="12"/>
  <c r="B17" i="12"/>
  <c r="C18" i="12"/>
  <c r="BW17" i="12" s="1"/>
  <c r="BS15" i="9" l="1"/>
  <c r="BU15" i="9" s="1"/>
  <c r="BW15" i="9"/>
  <c r="CD15" i="9"/>
  <c r="CC15" i="9"/>
  <c r="B16" i="9"/>
  <c r="C18" i="9"/>
  <c r="CA17" i="9" s="1"/>
  <c r="B17" i="9"/>
  <c r="CE15" i="9"/>
  <c r="CF15" i="9" s="1"/>
  <c r="BW17" i="11"/>
  <c r="CE17" i="11"/>
  <c r="CD15" i="12"/>
  <c r="CH15" i="12" s="1"/>
  <c r="CC17" i="11"/>
  <c r="CD17" i="12"/>
  <c r="CH17" i="12" s="1"/>
  <c r="CC17" i="12"/>
  <c r="BU15" i="11"/>
  <c r="BV15" i="11"/>
  <c r="BX15" i="11" s="1"/>
  <c r="CE17" i="12"/>
  <c r="B14" i="10"/>
  <c r="C15" i="10"/>
  <c r="BW13" i="10"/>
  <c r="CH13" i="10" s="1"/>
  <c r="BS13" i="10"/>
  <c r="BV15" i="12"/>
  <c r="BX15" i="12" s="1"/>
  <c r="CG18" i="12"/>
  <c r="CG16" i="12"/>
  <c r="C19" i="12"/>
  <c r="B18" i="12"/>
  <c r="CD13" i="10"/>
  <c r="CF13" i="10" s="1"/>
  <c r="CC13" i="10"/>
  <c r="CD15" i="11"/>
  <c r="CH15" i="11" s="1"/>
  <c r="CC15" i="11"/>
  <c r="BU17" i="11"/>
  <c r="B18" i="11"/>
  <c r="CA19" i="11"/>
  <c r="C19" i="11"/>
  <c r="BS19" i="11" s="1"/>
  <c r="BV17" i="12"/>
  <c r="BX17" i="12" s="1"/>
  <c r="BU17" i="12"/>
  <c r="BV15" i="9" l="1"/>
  <c r="BX15" i="9" s="1"/>
  <c r="CH15" i="9"/>
  <c r="CD17" i="9"/>
  <c r="CC17" i="9"/>
  <c r="B18" i="9"/>
  <c r="C19" i="9"/>
  <c r="BS17" i="9"/>
  <c r="BW17" i="9"/>
  <c r="CH17" i="9" s="1"/>
  <c r="CE17" i="9"/>
  <c r="CF17" i="9" s="1"/>
  <c r="CF15" i="11"/>
  <c r="C16" i="10"/>
  <c r="B15" i="10"/>
  <c r="C17" i="10"/>
  <c r="CG15" i="10"/>
  <c r="CG13" i="10"/>
  <c r="CF15" i="12"/>
  <c r="BV13" i="10"/>
  <c r="BX13" i="10" s="1"/>
  <c r="BU13" i="10"/>
  <c r="B19" i="11"/>
  <c r="C20" i="11"/>
  <c r="CD19" i="11" s="1"/>
  <c r="CG17" i="11"/>
  <c r="CG19" i="11"/>
  <c r="BS18" i="11"/>
  <c r="CA18" i="11"/>
  <c r="C20" i="12"/>
  <c r="CA19" i="12" s="1"/>
  <c r="B19" i="12"/>
  <c r="BS19" i="12"/>
  <c r="CC19" i="11"/>
  <c r="CF17" i="12"/>
  <c r="BU19" i="11"/>
  <c r="BV19" i="11"/>
  <c r="CG17" i="9" l="1"/>
  <c r="C20" i="9"/>
  <c r="BW19" i="9" s="1"/>
  <c r="B19" i="9"/>
  <c r="BV17" i="9"/>
  <c r="BX17" i="9" s="1"/>
  <c r="BU17" i="9"/>
  <c r="CE19" i="9"/>
  <c r="BS19" i="9"/>
  <c r="CD19" i="12"/>
  <c r="CC19" i="12"/>
  <c r="BU18" i="11"/>
  <c r="BV17" i="11"/>
  <c r="BX17" i="11" s="1"/>
  <c r="B16" i="10"/>
  <c r="BS17" i="10"/>
  <c r="CE17" i="10"/>
  <c r="BS15" i="10"/>
  <c r="CE15" i="10"/>
  <c r="BW15" i="10"/>
  <c r="CA15" i="10"/>
  <c r="CC18" i="11"/>
  <c r="CD17" i="11"/>
  <c r="C21" i="11"/>
  <c r="CA21" i="11" s="1"/>
  <c r="C22" i="11"/>
  <c r="B20" i="11"/>
  <c r="BW19" i="11"/>
  <c r="CH19" i="11" s="1"/>
  <c r="CE19" i="11"/>
  <c r="CF19" i="11" s="1"/>
  <c r="BV19" i="12"/>
  <c r="BU19" i="12"/>
  <c r="C21" i="12"/>
  <c r="B21" i="12" s="1"/>
  <c r="B20" i="12"/>
  <c r="C22" i="12"/>
  <c r="CA21" i="12" s="1"/>
  <c r="B17" i="10"/>
  <c r="C18" i="10"/>
  <c r="BW17" i="10" s="1"/>
  <c r="CE19" i="12"/>
  <c r="BW19" i="12"/>
  <c r="CA19" i="9" l="1"/>
  <c r="CC19" i="9" s="1"/>
  <c r="BU19" i="9"/>
  <c r="BV19" i="9"/>
  <c r="BX19" i="9" s="1"/>
  <c r="B20" i="9"/>
  <c r="C22" i="9"/>
  <c r="C21" i="9"/>
  <c r="CF19" i="12"/>
  <c r="CH19" i="12"/>
  <c r="CG20" i="12"/>
  <c r="BW21" i="12"/>
  <c r="CA17" i="10"/>
  <c r="CD17" i="10" s="1"/>
  <c r="CF17" i="10" s="1"/>
  <c r="CD21" i="12"/>
  <c r="CC21" i="12"/>
  <c r="BX19" i="12"/>
  <c r="B21" i="11"/>
  <c r="CH21" i="12"/>
  <c r="BV15" i="10"/>
  <c r="BX15" i="10" s="1"/>
  <c r="BU15" i="10"/>
  <c r="BW21" i="11"/>
  <c r="CH21" i="11" s="1"/>
  <c r="CE21" i="11"/>
  <c r="CF21" i="11" s="1"/>
  <c r="CF17" i="11"/>
  <c r="CH17" i="11"/>
  <c r="C23" i="12"/>
  <c r="B22" i="12"/>
  <c r="BS21" i="12"/>
  <c r="BS21" i="11"/>
  <c r="CD21" i="11"/>
  <c r="CC21" i="11"/>
  <c r="BV17" i="10"/>
  <c r="BX17" i="10" s="1"/>
  <c r="BU17" i="10"/>
  <c r="BX19" i="11"/>
  <c r="CD15" i="10"/>
  <c r="CH15" i="10" s="1"/>
  <c r="CC15" i="10"/>
  <c r="CC17" i="10"/>
  <c r="CE21" i="12"/>
  <c r="CF21" i="12" s="1"/>
  <c r="C19" i="10"/>
  <c r="B18" i="10"/>
  <c r="B22" i="11"/>
  <c r="C23" i="11"/>
  <c r="CD19" i="9" l="1"/>
  <c r="CF19" i="9" s="1"/>
  <c r="CA21" i="9"/>
  <c r="CC21" i="9" s="1"/>
  <c r="CE21" i="9"/>
  <c r="BW21" i="9"/>
  <c r="C23" i="9"/>
  <c r="B22" i="9"/>
  <c r="BS21" i="9"/>
  <c r="CH19" i="9"/>
  <c r="CG19" i="9"/>
  <c r="B21" i="9"/>
  <c r="CF15" i="10"/>
  <c r="CH17" i="10"/>
  <c r="C24" i="12"/>
  <c r="B23" i="12"/>
  <c r="CG21" i="11"/>
  <c r="BV21" i="11"/>
  <c r="BX21" i="11" s="1"/>
  <c r="BU21" i="11"/>
  <c r="BV21" i="12"/>
  <c r="BX21" i="12" s="1"/>
  <c r="BU21" i="12"/>
  <c r="B23" i="11"/>
  <c r="C24" i="11"/>
  <c r="CE23" i="11" s="1"/>
  <c r="B19" i="10"/>
  <c r="C20" i="10"/>
  <c r="CG17" i="10"/>
  <c r="CE23" i="12"/>
  <c r="CA19" i="10"/>
  <c r="CD21" i="9" l="1"/>
  <c r="CF21" i="9" s="1"/>
  <c r="B23" i="9"/>
  <c r="C24" i="9"/>
  <c r="BW23" i="9" s="1"/>
  <c r="BV21" i="9"/>
  <c r="BX21" i="9" s="1"/>
  <c r="BU21" i="9"/>
  <c r="CE23" i="9"/>
  <c r="CG21" i="9"/>
  <c r="C25" i="11"/>
  <c r="B24" i="11"/>
  <c r="BW23" i="11"/>
  <c r="CA23" i="11"/>
  <c r="B24" i="12"/>
  <c r="C25" i="12"/>
  <c r="CG22" i="12"/>
  <c r="BS23" i="12"/>
  <c r="CA23" i="12"/>
  <c r="CD19" i="10"/>
  <c r="CC19" i="10"/>
  <c r="BW23" i="12"/>
  <c r="BS23" i="11"/>
  <c r="C22" i="10"/>
  <c r="C21" i="10"/>
  <c r="B20" i="10"/>
  <c r="BW19" i="10"/>
  <c r="BS19" i="10"/>
  <c r="CE19" i="10"/>
  <c r="CF19" i="10" s="1"/>
  <c r="CA23" i="9" l="1"/>
  <c r="CC23" i="9" s="1"/>
  <c r="BS23" i="9"/>
  <c r="BU23" i="9" s="1"/>
  <c r="CH21" i="9"/>
  <c r="C25" i="9"/>
  <c r="CA24" i="9" s="1"/>
  <c r="CC24" i="9" s="1"/>
  <c r="B24" i="9"/>
  <c r="BS21" i="10"/>
  <c r="BU21" i="10" s="1"/>
  <c r="BV19" i="10"/>
  <c r="BX19" i="10" s="1"/>
  <c r="BU19" i="10"/>
  <c r="C26" i="11"/>
  <c r="CE25" i="11" s="1"/>
  <c r="B25" i="11"/>
  <c r="CG23" i="11"/>
  <c r="CH19" i="10"/>
  <c r="B21" i="10"/>
  <c r="CG19" i="10"/>
  <c r="C26" i="12"/>
  <c r="CA25" i="12" s="1"/>
  <c r="B25" i="12"/>
  <c r="CD23" i="11"/>
  <c r="CF23" i="11" s="1"/>
  <c r="CC23" i="11"/>
  <c r="B22" i="10"/>
  <c r="C23" i="10"/>
  <c r="CG23" i="10" s="1"/>
  <c r="CD23" i="12"/>
  <c r="CF23" i="12" s="1"/>
  <c r="CC23" i="12"/>
  <c r="CE21" i="10"/>
  <c r="BV23" i="12"/>
  <c r="BX23" i="12" s="1"/>
  <c r="BU23" i="12"/>
  <c r="BU23" i="11"/>
  <c r="BV23" i="11"/>
  <c r="BX23" i="11" s="1"/>
  <c r="CA21" i="10"/>
  <c r="BW21" i="10"/>
  <c r="CG25" i="9" l="1"/>
  <c r="CG23" i="9"/>
  <c r="C26" i="9"/>
  <c r="CE25" i="9" s="1"/>
  <c r="B25" i="9"/>
  <c r="CD23" i="9"/>
  <c r="BS25" i="9"/>
  <c r="CA25" i="9"/>
  <c r="BS24" i="9"/>
  <c r="CH23" i="12"/>
  <c r="BW25" i="11"/>
  <c r="BS25" i="11"/>
  <c r="BU25" i="11" s="1"/>
  <c r="CA22" i="10"/>
  <c r="CC22" i="10" s="1"/>
  <c r="BS22" i="10"/>
  <c r="BU22" i="10" s="1"/>
  <c r="CG21" i="10"/>
  <c r="BS23" i="10"/>
  <c r="CA23" i="10"/>
  <c r="CC23" i="10" s="1"/>
  <c r="CD21" i="10"/>
  <c r="CH21" i="10" s="1"/>
  <c r="CC21" i="10"/>
  <c r="BV25" i="11"/>
  <c r="BX25" i="11" s="1"/>
  <c r="B26" i="12"/>
  <c r="C27" i="12"/>
  <c r="CA26" i="12" s="1"/>
  <c r="BS27" i="12"/>
  <c r="BW25" i="12"/>
  <c r="CG24" i="12"/>
  <c r="CE25" i="12"/>
  <c r="CC25" i="12"/>
  <c r="BV21" i="10"/>
  <c r="BX21" i="10" s="1"/>
  <c r="CH23" i="11"/>
  <c r="B23" i="10"/>
  <c r="C24" i="10"/>
  <c r="B26" i="11"/>
  <c r="C27" i="11"/>
  <c r="CA25" i="11"/>
  <c r="BS25" i="12"/>
  <c r="BU24" i="9" l="1"/>
  <c r="BV23" i="9"/>
  <c r="BX23" i="9" s="1"/>
  <c r="CH23" i="9"/>
  <c r="CF23" i="9"/>
  <c r="BV25" i="9"/>
  <c r="BU25" i="9"/>
  <c r="C27" i="9"/>
  <c r="B26" i="9"/>
  <c r="CD25" i="9"/>
  <c r="CF25" i="9" s="1"/>
  <c r="CC25" i="9"/>
  <c r="BW25" i="9"/>
  <c r="BV23" i="10"/>
  <c r="CF21" i="10"/>
  <c r="BU23" i="10"/>
  <c r="CC26" i="12"/>
  <c r="CD25" i="12"/>
  <c r="CF25" i="12" s="1"/>
  <c r="BU27" i="12"/>
  <c r="BU25" i="12"/>
  <c r="B27" i="12"/>
  <c r="C28" i="12"/>
  <c r="BS26" i="12"/>
  <c r="BU26" i="12" s="1"/>
  <c r="CD25" i="11"/>
  <c r="CC25" i="11"/>
  <c r="B27" i="11"/>
  <c r="C28" i="11"/>
  <c r="CG25" i="11"/>
  <c r="CA27" i="12"/>
  <c r="C25" i="10"/>
  <c r="B24" i="10"/>
  <c r="BW23" i="10"/>
  <c r="CH23" i="10" s="1"/>
  <c r="CE23" i="10"/>
  <c r="CH25" i="12"/>
  <c r="CD23" i="10"/>
  <c r="CH25" i="9" l="1"/>
  <c r="BX25" i="9"/>
  <c r="B27" i="9"/>
  <c r="C28" i="9"/>
  <c r="CE27" i="9" s="1"/>
  <c r="B28" i="12"/>
  <c r="C29" i="12"/>
  <c r="CG26" i="12"/>
  <c r="CG28" i="12"/>
  <c r="BV25" i="12"/>
  <c r="BX25" i="12" s="1"/>
  <c r="B25" i="10"/>
  <c r="C26" i="10"/>
  <c r="CH25" i="11"/>
  <c r="CF25" i="11"/>
  <c r="BW27" i="12"/>
  <c r="BV27" i="12"/>
  <c r="BX23" i="10"/>
  <c r="CD27" i="12"/>
  <c r="CC27" i="12"/>
  <c r="CE27" i="12"/>
  <c r="CF23" i="10"/>
  <c r="B28" i="11"/>
  <c r="C29" i="11"/>
  <c r="BS27" i="11"/>
  <c r="CA27" i="11"/>
  <c r="CE27" i="11"/>
  <c r="BW27" i="11"/>
  <c r="BS27" i="9" l="1"/>
  <c r="BU27" i="9" s="1"/>
  <c r="C29" i="9"/>
  <c r="B28" i="9"/>
  <c r="CA27" i="9"/>
  <c r="BW27" i="9"/>
  <c r="BX27" i="12"/>
  <c r="B29" i="12"/>
  <c r="C30" i="12"/>
  <c r="BV27" i="11"/>
  <c r="BX27" i="11" s="1"/>
  <c r="BU27" i="11"/>
  <c r="CE29" i="12"/>
  <c r="BW29" i="12"/>
  <c r="CF27" i="12"/>
  <c r="B26" i="10"/>
  <c r="C27" i="10"/>
  <c r="CA25" i="10"/>
  <c r="CE25" i="10"/>
  <c r="BS25" i="10"/>
  <c r="BW25" i="10"/>
  <c r="CA29" i="12"/>
  <c r="C30" i="11"/>
  <c r="B29" i="11"/>
  <c r="CG27" i="11"/>
  <c r="CH27" i="12"/>
  <c r="CD27" i="11"/>
  <c r="CF27" i="11" s="1"/>
  <c r="CC27" i="11"/>
  <c r="BS29" i="12"/>
  <c r="BV27" i="9" l="1"/>
  <c r="CC27" i="9"/>
  <c r="CD27" i="9"/>
  <c r="CF27" i="9" s="1"/>
  <c r="CG27" i="9"/>
  <c r="B29" i="9"/>
  <c r="C30" i="9"/>
  <c r="BW29" i="9" s="1"/>
  <c r="BX27" i="9"/>
  <c r="BV29" i="12"/>
  <c r="BX29" i="12" s="1"/>
  <c r="BU29" i="12"/>
  <c r="CH27" i="11"/>
  <c r="BV25" i="10"/>
  <c r="BX25" i="10" s="1"/>
  <c r="BU25" i="10"/>
  <c r="B27" i="10"/>
  <c r="C28" i="10"/>
  <c r="CG25" i="10"/>
  <c r="CD29" i="12"/>
  <c r="CH29" i="12" s="1"/>
  <c r="CC29" i="12"/>
  <c r="C31" i="12"/>
  <c r="B30" i="12"/>
  <c r="CD25" i="10"/>
  <c r="CH25" i="10" s="1"/>
  <c r="CC25" i="10"/>
  <c r="B30" i="11"/>
  <c r="C31" i="11"/>
  <c r="CA31" i="11"/>
  <c r="BW29" i="11"/>
  <c r="BS29" i="11"/>
  <c r="CA29" i="11"/>
  <c r="BW27" i="10"/>
  <c r="CE29" i="11"/>
  <c r="BS29" i="9" l="1"/>
  <c r="BU29" i="9" s="1"/>
  <c r="CA29" i="9"/>
  <c r="CC29" i="9" s="1"/>
  <c r="BV29" i="9"/>
  <c r="BX29" i="9" s="1"/>
  <c r="B30" i="9"/>
  <c r="CE29" i="9"/>
  <c r="C31" i="9"/>
  <c r="CH27" i="9"/>
  <c r="CF29" i="12"/>
  <c r="CF25" i="10"/>
  <c r="C29" i="10"/>
  <c r="B28" i="10"/>
  <c r="CE27" i="10"/>
  <c r="CA27" i="10"/>
  <c r="CC29" i="11"/>
  <c r="CC31" i="11"/>
  <c r="C33" i="11"/>
  <c r="C32" i="11"/>
  <c r="B31" i="11"/>
  <c r="CG29" i="11"/>
  <c r="CA30" i="11"/>
  <c r="CC30" i="11" s="1"/>
  <c r="BS30" i="11"/>
  <c r="BU30" i="11" s="1"/>
  <c r="CG31" i="11"/>
  <c r="BS31" i="11"/>
  <c r="B31" i="12"/>
  <c r="C33" i="12"/>
  <c r="B33" i="12" s="1"/>
  <c r="C32" i="12"/>
  <c r="BV29" i="11"/>
  <c r="BX29" i="11" s="1"/>
  <c r="BU29" i="11"/>
  <c r="BS27" i="10"/>
  <c r="CD29" i="9" l="1"/>
  <c r="CH29" i="9" s="1"/>
  <c r="C32" i="9"/>
  <c r="C33" i="9"/>
  <c r="CG31" i="9" s="1"/>
  <c r="CG29" i="9"/>
  <c r="B31" i="9"/>
  <c r="CE31" i="9"/>
  <c r="BW31" i="9"/>
  <c r="BS31" i="9"/>
  <c r="CA31" i="9"/>
  <c r="BV27" i="10"/>
  <c r="BX27" i="10" s="1"/>
  <c r="BU27" i="10"/>
  <c r="CD27" i="10"/>
  <c r="CH27" i="10" s="1"/>
  <c r="CC27" i="10"/>
  <c r="B32" i="11"/>
  <c r="C34" i="11"/>
  <c r="BS33" i="11" s="1"/>
  <c r="BW31" i="11"/>
  <c r="CE31" i="11"/>
  <c r="C34" i="12"/>
  <c r="B32" i="12"/>
  <c r="CE31" i="12"/>
  <c r="BW31" i="12"/>
  <c r="CA31" i="12"/>
  <c r="BS31" i="12"/>
  <c r="CG30" i="12"/>
  <c r="CD31" i="11"/>
  <c r="B29" i="10"/>
  <c r="C30" i="10"/>
  <c r="CG27" i="10"/>
  <c r="BV31" i="11"/>
  <c r="BX31" i="11" s="1"/>
  <c r="BU31" i="11"/>
  <c r="CD29" i="11"/>
  <c r="B33" i="11"/>
  <c r="CF29" i="9" l="1"/>
  <c r="CD31" i="9"/>
  <c r="CH31" i="9" s="1"/>
  <c r="CC31" i="9"/>
  <c r="BU31" i="9"/>
  <c r="BV31" i="9"/>
  <c r="BX31" i="9" s="1"/>
  <c r="C34" i="9"/>
  <c r="CA33" i="9" s="1"/>
  <c r="B32" i="9"/>
  <c r="CF31" i="9"/>
  <c r="B33" i="9"/>
  <c r="BV33" i="11"/>
  <c r="BU33" i="11"/>
  <c r="B34" i="12"/>
  <c r="C35" i="12"/>
  <c r="CA33" i="11"/>
  <c r="BW33" i="11"/>
  <c r="C35" i="11"/>
  <c r="B34" i="11"/>
  <c r="CG32" i="12"/>
  <c r="BW33" i="12"/>
  <c r="BV31" i="12"/>
  <c r="BX31" i="12" s="1"/>
  <c r="BU31" i="12"/>
  <c r="BS33" i="12"/>
  <c r="CF31" i="11"/>
  <c r="CF27" i="10"/>
  <c r="CH29" i="11"/>
  <c r="CF29" i="11"/>
  <c r="B30" i="10"/>
  <c r="C31" i="10"/>
  <c r="CA29" i="10"/>
  <c r="BW29" i="10"/>
  <c r="BS29" i="10"/>
  <c r="CE29" i="10"/>
  <c r="CE33" i="12"/>
  <c r="CH31" i="11"/>
  <c r="CC31" i="12"/>
  <c r="CD31" i="12"/>
  <c r="CF31" i="12" s="1"/>
  <c r="CA33" i="12"/>
  <c r="CE33" i="11"/>
  <c r="BS33" i="9" l="1"/>
  <c r="BU33" i="9" s="1"/>
  <c r="CD33" i="9"/>
  <c r="CC33" i="9"/>
  <c r="CE33" i="9"/>
  <c r="C35" i="9"/>
  <c r="B34" i="9"/>
  <c r="BW33" i="9"/>
  <c r="CH33" i="9" s="1"/>
  <c r="C36" i="12"/>
  <c r="CE35" i="12" s="1"/>
  <c r="B35" i="12"/>
  <c r="C33" i="10"/>
  <c r="CG31" i="10" s="1"/>
  <c r="C32" i="10"/>
  <c r="BS31" i="10" s="1"/>
  <c r="B31" i="10"/>
  <c r="CG29" i="10"/>
  <c r="CD33" i="11"/>
  <c r="CH33" i="11" s="1"/>
  <c r="CC33" i="11"/>
  <c r="CA31" i="10"/>
  <c r="CH33" i="12"/>
  <c r="BV33" i="12"/>
  <c r="BX33" i="12" s="1"/>
  <c r="BU33" i="12"/>
  <c r="CH31" i="12"/>
  <c r="BS35" i="12"/>
  <c r="B35" i="11"/>
  <c r="C36" i="11"/>
  <c r="CG33" i="11"/>
  <c r="BW31" i="10"/>
  <c r="BV29" i="10"/>
  <c r="BX29" i="10" s="1"/>
  <c r="BU29" i="10"/>
  <c r="CD29" i="10"/>
  <c r="CF29" i="10" s="1"/>
  <c r="CC29" i="10"/>
  <c r="CD33" i="12"/>
  <c r="CF33" i="12" s="1"/>
  <c r="CC33" i="12"/>
  <c r="BX33" i="11"/>
  <c r="CF33" i="9" l="1"/>
  <c r="BV33" i="9"/>
  <c r="BX33" i="9" s="1"/>
  <c r="B35" i="9"/>
  <c r="C36" i="9"/>
  <c r="BS35" i="9" s="1"/>
  <c r="CG33" i="9"/>
  <c r="CF33" i="11"/>
  <c r="BS32" i="10"/>
  <c r="BU32" i="10" s="1"/>
  <c r="CE31" i="10"/>
  <c r="CA32" i="10"/>
  <c r="CC32" i="10" s="1"/>
  <c r="BV31" i="10"/>
  <c r="BX31" i="10" s="1"/>
  <c r="BU31" i="10"/>
  <c r="CA35" i="12"/>
  <c r="CD31" i="10"/>
  <c r="CH31" i="10" s="1"/>
  <c r="CC31" i="10"/>
  <c r="CH29" i="10"/>
  <c r="BU35" i="12"/>
  <c r="B33" i="10"/>
  <c r="C37" i="11"/>
  <c r="B36" i="11"/>
  <c r="CA35" i="11"/>
  <c r="BW35" i="11"/>
  <c r="BS35" i="11"/>
  <c r="CG33" i="10"/>
  <c r="B36" i="12"/>
  <c r="C37" i="12"/>
  <c r="CA36" i="12" s="1"/>
  <c r="CC36" i="12" s="1"/>
  <c r="CG34" i="12"/>
  <c r="BW35" i="12"/>
  <c r="BS33" i="10"/>
  <c r="B32" i="10"/>
  <c r="CA33" i="10"/>
  <c r="C34" i="10"/>
  <c r="BW33" i="10" s="1"/>
  <c r="CE35" i="11"/>
  <c r="CA35" i="9" l="1"/>
  <c r="CE35" i="9"/>
  <c r="C37" i="9"/>
  <c r="BS37" i="9" s="1"/>
  <c r="B36" i="9"/>
  <c r="CC35" i="9"/>
  <c r="BU35" i="9"/>
  <c r="BW35" i="9"/>
  <c r="CF31" i="10"/>
  <c r="B34" i="10"/>
  <c r="C35" i="10"/>
  <c r="BV35" i="11"/>
  <c r="BX35" i="11" s="1"/>
  <c r="BU35" i="11"/>
  <c r="B37" i="12"/>
  <c r="C38" i="12"/>
  <c r="CE37" i="12" s="1"/>
  <c r="CD33" i="10"/>
  <c r="CH33" i="10" s="1"/>
  <c r="CC33" i="10"/>
  <c r="B37" i="11"/>
  <c r="C38" i="11"/>
  <c r="CG35" i="11"/>
  <c r="CD35" i="12"/>
  <c r="CF35" i="12" s="1"/>
  <c r="CC35" i="12"/>
  <c r="BS36" i="12"/>
  <c r="CD35" i="11"/>
  <c r="CH35" i="11" s="1"/>
  <c r="CC35" i="11"/>
  <c r="BS37" i="12"/>
  <c r="BV33" i="10"/>
  <c r="BX33" i="10" s="1"/>
  <c r="BU33" i="10"/>
  <c r="CE33" i="10"/>
  <c r="CA37" i="12"/>
  <c r="BS36" i="9" l="1"/>
  <c r="BU36" i="9" s="1"/>
  <c r="CA37" i="9"/>
  <c r="CC37" i="9" s="1"/>
  <c r="BU37" i="9"/>
  <c r="B37" i="9"/>
  <c r="C38" i="9"/>
  <c r="CE37" i="9" s="1"/>
  <c r="CG35" i="9"/>
  <c r="CG37" i="9"/>
  <c r="CA36" i="9"/>
  <c r="BW37" i="12"/>
  <c r="CF33" i="10"/>
  <c r="CD37" i="12"/>
  <c r="CF37" i="12" s="1"/>
  <c r="CC37" i="12"/>
  <c r="CF35" i="11"/>
  <c r="BU37" i="12"/>
  <c r="BV37" i="12"/>
  <c r="BX37" i="12" s="1"/>
  <c r="CH35" i="12"/>
  <c r="C39" i="11"/>
  <c r="B38" i="11"/>
  <c r="BW37" i="11"/>
  <c r="CA37" i="11"/>
  <c r="CH37" i="12"/>
  <c r="C39" i="12"/>
  <c r="B38" i="12"/>
  <c r="CG38" i="12"/>
  <c r="CG36" i="12"/>
  <c r="BS37" i="11"/>
  <c r="CE37" i="11"/>
  <c r="B35" i="10"/>
  <c r="C36" i="10"/>
  <c r="CA35" i="10" s="1"/>
  <c r="BU36" i="12"/>
  <c r="BV35" i="12"/>
  <c r="BX35" i="12" s="1"/>
  <c r="BV35" i="9" l="1"/>
  <c r="BX35" i="9" s="1"/>
  <c r="CC36" i="9"/>
  <c r="CD35" i="9"/>
  <c r="C39" i="9"/>
  <c r="B38" i="9"/>
  <c r="BW37" i="9"/>
  <c r="CD37" i="9"/>
  <c r="BV37" i="9"/>
  <c r="BV37" i="11"/>
  <c r="BX37" i="11" s="1"/>
  <c r="BU37" i="11"/>
  <c r="CD37" i="11"/>
  <c r="CH37" i="11" s="1"/>
  <c r="CC37" i="11"/>
  <c r="B39" i="11"/>
  <c r="C40" i="11"/>
  <c r="CG37" i="11"/>
  <c r="B39" i="12"/>
  <c r="C40" i="12"/>
  <c r="BW39" i="12"/>
  <c r="CD35" i="10"/>
  <c r="CC35" i="10"/>
  <c r="B36" i="10"/>
  <c r="C37" i="10"/>
  <c r="BW35" i="10"/>
  <c r="CH35" i="10" s="1"/>
  <c r="BS35" i="10"/>
  <c r="CE35" i="10"/>
  <c r="CF35" i="10" s="1"/>
  <c r="BX37" i="9" l="1"/>
  <c r="CH37" i="9"/>
  <c r="B39" i="9"/>
  <c r="C40" i="9"/>
  <c r="BW39" i="9" s="1"/>
  <c r="CF35" i="9"/>
  <c r="CH35" i="9"/>
  <c r="CF37" i="9"/>
  <c r="CF37" i="11"/>
  <c r="BV35" i="10"/>
  <c r="BX35" i="10" s="1"/>
  <c r="BU35" i="10"/>
  <c r="B37" i="10"/>
  <c r="C38" i="10"/>
  <c r="CG35" i="10"/>
  <c r="BS37" i="10"/>
  <c r="CE37" i="10"/>
  <c r="C41" i="11"/>
  <c r="B40" i="11"/>
  <c r="CA39" i="11"/>
  <c r="BS39" i="11"/>
  <c r="BW39" i="11"/>
  <c r="CE39" i="11"/>
  <c r="C41" i="12"/>
  <c r="B40" i="12"/>
  <c r="CE39" i="12"/>
  <c r="CA39" i="12"/>
  <c r="BS39" i="12"/>
  <c r="CE39" i="9" l="1"/>
  <c r="CA39" i="9"/>
  <c r="CC39" i="9" s="1"/>
  <c r="C41" i="9"/>
  <c r="B40" i="9"/>
  <c r="BS39" i="9"/>
  <c r="CD39" i="9"/>
  <c r="CF39" i="9" s="1"/>
  <c r="C39" i="10"/>
  <c r="B38" i="10"/>
  <c r="CA37" i="10"/>
  <c r="BW37" i="10"/>
  <c r="B41" i="11"/>
  <c r="C42" i="11"/>
  <c r="CG39" i="11"/>
  <c r="CD39" i="11"/>
  <c r="CH39" i="11" s="1"/>
  <c r="CC39" i="11"/>
  <c r="BV37" i="10"/>
  <c r="BU37" i="10"/>
  <c r="B41" i="12"/>
  <c r="C42" i="12"/>
  <c r="BV39" i="12"/>
  <c r="BX39" i="12" s="1"/>
  <c r="BU39" i="12"/>
  <c r="CD39" i="12"/>
  <c r="CH39" i="12" s="1"/>
  <c r="CC39" i="12"/>
  <c r="BV39" i="11"/>
  <c r="BX39" i="11" s="1"/>
  <c r="BU39" i="11"/>
  <c r="BV39" i="9" l="1"/>
  <c r="BX39" i="9" s="1"/>
  <c r="BU39" i="9"/>
  <c r="CG39" i="9"/>
  <c r="B41" i="9"/>
  <c r="C42" i="9"/>
  <c r="CA41" i="9" s="1"/>
  <c r="CH39" i="9"/>
  <c r="CF39" i="11"/>
  <c r="CD37" i="10"/>
  <c r="CF37" i="10" s="1"/>
  <c r="CC37" i="10"/>
  <c r="B42" i="12"/>
  <c r="C43" i="12"/>
  <c r="CE41" i="12"/>
  <c r="CA41" i="12"/>
  <c r="BS41" i="12"/>
  <c r="CG40" i="12"/>
  <c r="BW41" i="12"/>
  <c r="BX37" i="10"/>
  <c r="B39" i="10"/>
  <c r="C40" i="10"/>
  <c r="CG37" i="10"/>
  <c r="CH37" i="10"/>
  <c r="C43" i="11"/>
  <c r="BS42" i="11" s="1"/>
  <c r="BU42" i="11" s="1"/>
  <c r="B42" i="11"/>
  <c r="BS41" i="11"/>
  <c r="BW41" i="11"/>
  <c r="CA41" i="11"/>
  <c r="CE41" i="11"/>
  <c r="CA39" i="10"/>
  <c r="CF39" i="12"/>
  <c r="B42" i="9" l="1"/>
  <c r="C43" i="9"/>
  <c r="BS41" i="9"/>
  <c r="CD41" i="9"/>
  <c r="CC41" i="9"/>
  <c r="CE41" i="9"/>
  <c r="BW41" i="9"/>
  <c r="BS43" i="11"/>
  <c r="C44" i="12"/>
  <c r="B43" i="12"/>
  <c r="CC41" i="11"/>
  <c r="BV41" i="12"/>
  <c r="BX41" i="12" s="1"/>
  <c r="BU41" i="12"/>
  <c r="CD41" i="12"/>
  <c r="CF41" i="12" s="1"/>
  <c r="CC41" i="12"/>
  <c r="B43" i="11"/>
  <c r="C44" i="11"/>
  <c r="C45" i="11"/>
  <c r="CG43" i="11"/>
  <c r="CA42" i="11"/>
  <c r="CC42" i="11" s="1"/>
  <c r="CG41" i="11"/>
  <c r="CD39" i="10"/>
  <c r="CC39" i="10"/>
  <c r="BV41" i="11"/>
  <c r="BX41" i="11" s="1"/>
  <c r="BU41" i="11"/>
  <c r="CE43" i="11"/>
  <c r="BW43" i="11"/>
  <c r="B40" i="10"/>
  <c r="C41" i="10"/>
  <c r="BS39" i="10"/>
  <c r="CE39" i="10"/>
  <c r="BW39" i="10"/>
  <c r="CA43" i="11"/>
  <c r="CH41" i="9" l="1"/>
  <c r="CF41" i="9"/>
  <c r="B43" i="9"/>
  <c r="CG41" i="9"/>
  <c r="C45" i="9"/>
  <c r="CG43" i="9" s="1"/>
  <c r="C44" i="9"/>
  <c r="BW43" i="9" s="1"/>
  <c r="BU41" i="9"/>
  <c r="BV41" i="9"/>
  <c r="BX41" i="9" s="1"/>
  <c r="CA43" i="9"/>
  <c r="CE43" i="9"/>
  <c r="CH39" i="10"/>
  <c r="CF39" i="10"/>
  <c r="BV39" i="10"/>
  <c r="BX39" i="10" s="1"/>
  <c r="BU39" i="10"/>
  <c r="B41" i="10"/>
  <c r="C42" i="10"/>
  <c r="CG39" i="10"/>
  <c r="B45" i="11"/>
  <c r="CH41" i="12"/>
  <c r="B44" i="12"/>
  <c r="C45" i="12"/>
  <c r="B45" i="12" s="1"/>
  <c r="BW45" i="12"/>
  <c r="BS45" i="12"/>
  <c r="CA45" i="12"/>
  <c r="CE45" i="12"/>
  <c r="CG42" i="12"/>
  <c r="BW43" i="12"/>
  <c r="CG44" i="12"/>
  <c r="BS43" i="12"/>
  <c r="CA43" i="12"/>
  <c r="CE43" i="12"/>
  <c r="C46" i="11"/>
  <c r="BS45" i="11" s="1"/>
  <c r="B44" i="11"/>
  <c r="CD43" i="11"/>
  <c r="CF43" i="11" s="1"/>
  <c r="CC43" i="11"/>
  <c r="CD41" i="11"/>
  <c r="BV43" i="11"/>
  <c r="BX43" i="11" s="1"/>
  <c r="BU43" i="11"/>
  <c r="BS43" i="9" l="1"/>
  <c r="BU43" i="9" s="1"/>
  <c r="CC43" i="9"/>
  <c r="CD43" i="9"/>
  <c r="CF43" i="9" s="1"/>
  <c r="B44" i="9"/>
  <c r="C46" i="9"/>
  <c r="CE45" i="9" s="1"/>
  <c r="B45" i="9"/>
  <c r="CE45" i="11"/>
  <c r="BW45" i="11"/>
  <c r="CA45" i="11"/>
  <c r="CD45" i="11" s="1"/>
  <c r="CD43" i="12"/>
  <c r="CC43" i="12"/>
  <c r="CH43" i="12"/>
  <c r="CF43" i="12"/>
  <c r="CF45" i="12"/>
  <c r="C43" i="10"/>
  <c r="BS43" i="10"/>
  <c r="B42" i="10"/>
  <c r="CA41" i="10"/>
  <c r="CD45" i="12"/>
  <c r="CC45" i="12"/>
  <c r="C47" i="11"/>
  <c r="B46" i="11"/>
  <c r="BV45" i="12"/>
  <c r="BX45" i="12" s="1"/>
  <c r="BU45" i="12"/>
  <c r="BW41" i="10"/>
  <c r="CH45" i="12"/>
  <c r="BV43" i="12"/>
  <c r="BX43" i="12" s="1"/>
  <c r="BU43" i="12"/>
  <c r="CH43" i="11"/>
  <c r="CF41" i="11"/>
  <c r="CH41" i="11"/>
  <c r="CE41" i="10"/>
  <c r="BU45" i="11"/>
  <c r="BV45" i="11"/>
  <c r="BX45" i="11" s="1"/>
  <c r="BS41" i="10"/>
  <c r="BV43" i="9" l="1"/>
  <c r="BX43" i="9" s="1"/>
  <c r="CH43" i="9"/>
  <c r="BW45" i="9"/>
  <c r="BS45" i="9"/>
  <c r="CA45" i="9"/>
  <c r="B46" i="9"/>
  <c r="C47" i="9"/>
  <c r="CH45" i="11"/>
  <c r="CF45" i="11"/>
  <c r="CC45" i="11"/>
  <c r="BU43" i="10"/>
  <c r="B43" i="10"/>
  <c r="C44" i="10"/>
  <c r="BV43" i="10" s="1"/>
  <c r="C45" i="10"/>
  <c r="CG41" i="10"/>
  <c r="CG43" i="10"/>
  <c r="CA43" i="10"/>
  <c r="BS42" i="10"/>
  <c r="BU42" i="10" s="1"/>
  <c r="BU41" i="10"/>
  <c r="B47" i="11"/>
  <c r="C48" i="11"/>
  <c r="CG45" i="11"/>
  <c r="CA47" i="11"/>
  <c r="CC41" i="10"/>
  <c r="CE43" i="10"/>
  <c r="CA42" i="10"/>
  <c r="CC42" i="10" s="1"/>
  <c r="BV45" i="9" l="1"/>
  <c r="BX45" i="9" s="1"/>
  <c r="BU45" i="9"/>
  <c r="CG45" i="9"/>
  <c r="B47" i="9"/>
  <c r="C48" i="9"/>
  <c r="BW47" i="9" s="1"/>
  <c r="CC45" i="9"/>
  <c r="CD45" i="9"/>
  <c r="CF45" i="9" s="1"/>
  <c r="BV41" i="10"/>
  <c r="BX41" i="10" s="1"/>
  <c r="CD41" i="10"/>
  <c r="CF41" i="10" s="1"/>
  <c r="CD47" i="11"/>
  <c r="CC47" i="11"/>
  <c r="CD43" i="10"/>
  <c r="CF43" i="10" s="1"/>
  <c r="CC43" i="10"/>
  <c r="C49" i="11"/>
  <c r="B48" i="11"/>
  <c r="CE47" i="11"/>
  <c r="CF47" i="11" s="1"/>
  <c r="BW47" i="11"/>
  <c r="CH47" i="11" s="1"/>
  <c r="BS47" i="11"/>
  <c r="CH41" i="10"/>
  <c r="C46" i="10"/>
  <c r="BW45" i="10" s="1"/>
  <c r="BS45" i="10"/>
  <c r="B44" i="10"/>
  <c r="CA45" i="10"/>
  <c r="BW43" i="10"/>
  <c r="BX43" i="10" s="1"/>
  <c r="B45" i="10"/>
  <c r="CE47" i="9" l="1"/>
  <c r="B48" i="9"/>
  <c r="BS47" i="9"/>
  <c r="CA47" i="9"/>
  <c r="C49" i="9"/>
  <c r="CH45" i="9"/>
  <c r="CE45" i="10"/>
  <c r="BV45" i="10"/>
  <c r="BX45" i="10" s="1"/>
  <c r="BU45" i="10"/>
  <c r="CD45" i="10"/>
  <c r="CH45" i="10" s="1"/>
  <c r="CC45" i="10"/>
  <c r="CF45" i="10"/>
  <c r="BV47" i="11"/>
  <c r="BX47" i="11" s="1"/>
  <c r="BU47" i="11"/>
  <c r="C50" i="11"/>
  <c r="CE49" i="11" s="1"/>
  <c r="B49" i="11"/>
  <c r="CG47" i="11"/>
  <c r="B46" i="10"/>
  <c r="C47" i="10"/>
  <c r="CH43" i="10"/>
  <c r="CG47" i="9" l="1"/>
  <c r="CG49" i="9"/>
  <c r="C50" i="9"/>
  <c r="B49" i="9"/>
  <c r="BS48" i="9"/>
  <c r="BU48" i="9" s="1"/>
  <c r="BW49" i="9"/>
  <c r="CC47" i="9"/>
  <c r="BS49" i="9"/>
  <c r="BU47" i="9"/>
  <c r="CA49" i="9"/>
  <c r="CA48" i="9"/>
  <c r="CC48" i="9" s="1"/>
  <c r="B47" i="10"/>
  <c r="C48" i="10"/>
  <c r="CG45" i="10"/>
  <c r="B50" i="11"/>
  <c r="C51" i="11"/>
  <c r="CA49" i="11"/>
  <c r="BS49" i="11"/>
  <c r="BW49" i="11"/>
  <c r="CD47" i="9" l="1"/>
  <c r="CH47" i="9" s="1"/>
  <c r="BV47" i="9"/>
  <c r="BX47" i="9" s="1"/>
  <c r="B50" i="9"/>
  <c r="C51" i="9"/>
  <c r="CF47" i="9"/>
  <c r="BV49" i="9"/>
  <c r="BX49" i="9" s="1"/>
  <c r="BU49" i="9"/>
  <c r="CD49" i="9"/>
  <c r="CH49" i="9" s="1"/>
  <c r="CC49" i="9"/>
  <c r="CE49" i="9"/>
  <c r="CD49" i="11"/>
  <c r="CF49" i="11" s="1"/>
  <c r="CC49" i="11"/>
  <c r="BV49" i="11"/>
  <c r="BX49" i="11" s="1"/>
  <c r="BU49" i="11"/>
  <c r="C52" i="11"/>
  <c r="B51" i="11"/>
  <c r="CG49" i="11"/>
  <c r="C49" i="10"/>
  <c r="B48" i="10"/>
  <c r="CE47" i="10"/>
  <c r="BS51" i="11"/>
  <c r="BS47" i="10"/>
  <c r="CA47" i="10"/>
  <c r="CH49" i="11"/>
  <c r="BW47" i="10"/>
  <c r="B51" i="9" l="1"/>
  <c r="C52" i="9"/>
  <c r="CA51" i="9" s="1"/>
  <c r="CF49" i="9"/>
  <c r="CD47" i="10"/>
  <c r="CC47" i="10"/>
  <c r="CF47" i="10"/>
  <c r="B49" i="10"/>
  <c r="C50" i="10"/>
  <c r="CE49" i="10" s="1"/>
  <c r="CG47" i="10"/>
  <c r="BV51" i="11"/>
  <c r="BU51" i="11"/>
  <c r="C53" i="11"/>
  <c r="B52" i="11"/>
  <c r="CA51" i="11"/>
  <c r="CE51" i="11"/>
  <c r="BV47" i="10"/>
  <c r="BX47" i="10" s="1"/>
  <c r="BU47" i="10"/>
  <c r="CH47" i="10"/>
  <c r="BW51" i="11"/>
  <c r="BS51" i="9" l="1"/>
  <c r="BU51" i="9" s="1"/>
  <c r="CE51" i="9"/>
  <c r="CC51" i="9"/>
  <c r="CD51" i="9"/>
  <c r="C53" i="9"/>
  <c r="B52" i="9"/>
  <c r="BW51" i="9"/>
  <c r="CH51" i="9" s="1"/>
  <c r="BX51" i="11"/>
  <c r="CD51" i="11"/>
  <c r="CH51" i="11" s="1"/>
  <c r="CC51" i="11"/>
  <c r="CF51" i="11"/>
  <c r="B50" i="10"/>
  <c r="C51" i="10"/>
  <c r="BW49" i="10"/>
  <c r="BS49" i="10"/>
  <c r="C54" i="11"/>
  <c r="B53" i="11"/>
  <c r="CG51" i="11"/>
  <c r="CA49" i="10"/>
  <c r="BV51" i="9" l="1"/>
  <c r="BX51" i="9" s="1"/>
  <c r="CF51" i="9"/>
  <c r="B53" i="9"/>
  <c r="C54" i="9"/>
  <c r="CE53" i="9" s="1"/>
  <c r="CG51" i="9"/>
  <c r="CD49" i="10"/>
  <c r="CF49" i="10" s="1"/>
  <c r="CC49" i="10"/>
  <c r="B51" i="10"/>
  <c r="C52" i="10"/>
  <c r="CG49" i="10"/>
  <c r="BS51" i="10"/>
  <c r="BS55" i="11"/>
  <c r="B54" i="11"/>
  <c r="CA55" i="11"/>
  <c r="C55" i="11"/>
  <c r="BS53" i="11"/>
  <c r="CE53" i="11"/>
  <c r="BW53" i="11"/>
  <c r="CA53" i="11"/>
  <c r="CH49" i="10"/>
  <c r="BV49" i="10"/>
  <c r="BX49" i="10" s="1"/>
  <c r="BU49" i="10"/>
  <c r="BW53" i="9" l="1"/>
  <c r="B54" i="9"/>
  <c r="C55" i="9"/>
  <c r="CA53" i="9"/>
  <c r="BS53" i="9"/>
  <c r="C53" i="10"/>
  <c r="B52" i="10"/>
  <c r="BS53" i="10"/>
  <c r="CE51" i="10"/>
  <c r="CA51" i="10"/>
  <c r="BU51" i="10"/>
  <c r="BS52" i="10"/>
  <c r="BU52" i="10" s="1"/>
  <c r="CD55" i="11"/>
  <c r="CC55" i="11"/>
  <c r="BV55" i="11"/>
  <c r="BU55" i="11"/>
  <c r="BV53" i="11"/>
  <c r="BX53" i="11" s="1"/>
  <c r="BU53" i="11"/>
  <c r="C57" i="11"/>
  <c r="B57" i="11" s="1"/>
  <c r="C56" i="11"/>
  <c r="B55" i="11"/>
  <c r="CA54" i="11"/>
  <c r="CC54" i="11" s="1"/>
  <c r="CG55" i="11"/>
  <c r="BS54" i="11"/>
  <c r="BU54" i="11" s="1"/>
  <c r="CG53" i="11"/>
  <c r="CD53" i="11"/>
  <c r="CH53" i="11" s="1"/>
  <c r="CC53" i="11"/>
  <c r="BW51" i="10"/>
  <c r="BW55" i="11"/>
  <c r="BV53" i="9" l="1"/>
  <c r="BX53" i="9" s="1"/>
  <c r="BU53" i="9"/>
  <c r="CG53" i="9"/>
  <c r="C57" i="9"/>
  <c r="CG55" i="9" s="1"/>
  <c r="C56" i="9"/>
  <c r="B55" i="9"/>
  <c r="CD53" i="9"/>
  <c r="CC53" i="9"/>
  <c r="CA55" i="9"/>
  <c r="CE55" i="9"/>
  <c r="BW55" i="9"/>
  <c r="CF53" i="11"/>
  <c r="BV51" i="10"/>
  <c r="BX51" i="10" s="1"/>
  <c r="CH55" i="11"/>
  <c r="CC51" i="10"/>
  <c r="CG57" i="11"/>
  <c r="BU53" i="10"/>
  <c r="BX55" i="11"/>
  <c r="B53" i="10"/>
  <c r="C54" i="10"/>
  <c r="BV53" i="10" s="1"/>
  <c r="CG51" i="10"/>
  <c r="CG53" i="10"/>
  <c r="CA52" i="10"/>
  <c r="CC52" i="10" s="1"/>
  <c r="CA57" i="11"/>
  <c r="BS57" i="11"/>
  <c r="B56" i="11"/>
  <c r="BW57" i="11"/>
  <c r="CE57" i="11"/>
  <c r="CE55" i="11"/>
  <c r="CF55" i="11" s="1"/>
  <c r="CA53" i="10"/>
  <c r="CH53" i="9" l="1"/>
  <c r="CF53" i="9"/>
  <c r="B57" i="9"/>
  <c r="CD55" i="9"/>
  <c r="CF55" i="9" s="1"/>
  <c r="CC55" i="9"/>
  <c r="B56" i="9"/>
  <c r="C58" i="9"/>
  <c r="CA57" i="9" s="1"/>
  <c r="BS55" i="9"/>
  <c r="CD51" i="10"/>
  <c r="BV57" i="11"/>
  <c r="BX57" i="11" s="1"/>
  <c r="BU57" i="11"/>
  <c r="B54" i="10"/>
  <c r="C55" i="10"/>
  <c r="BW53" i="10"/>
  <c r="CH53" i="10" s="1"/>
  <c r="CE53" i="10"/>
  <c r="CD57" i="11"/>
  <c r="CH57" i="11" s="1"/>
  <c r="CC57" i="11"/>
  <c r="CF57" i="11"/>
  <c r="CD53" i="10"/>
  <c r="CC53" i="10"/>
  <c r="CE57" i="9" l="1"/>
  <c r="BW57" i="9"/>
  <c r="CH55" i="9"/>
  <c r="CD57" i="9"/>
  <c r="CC57" i="9"/>
  <c r="B58" i="9"/>
  <c r="C59" i="9"/>
  <c r="BU55" i="9"/>
  <c r="BV55" i="9"/>
  <c r="BX55" i="9" s="1"/>
  <c r="BS57" i="9"/>
  <c r="CF51" i="10"/>
  <c r="CH51" i="10"/>
  <c r="C57" i="10"/>
  <c r="C56" i="10"/>
  <c r="BS55" i="10" s="1"/>
  <c r="B55" i="10"/>
  <c r="CF53" i="10"/>
  <c r="BX53" i="10"/>
  <c r="CH57" i="9" l="1"/>
  <c r="CF57" i="9"/>
  <c r="B59" i="9"/>
  <c r="C60" i="9"/>
  <c r="BW59" i="9" s="1"/>
  <c r="CG57" i="9"/>
  <c r="BU57" i="9"/>
  <c r="BV57" i="9"/>
  <c r="BX57" i="9" s="1"/>
  <c r="BS59" i="9"/>
  <c r="BV55" i="10"/>
  <c r="BU55" i="10"/>
  <c r="B57" i="10"/>
  <c r="CA55" i="10"/>
  <c r="B56" i="10"/>
  <c r="C58" i="10"/>
  <c r="CA57" i="10" s="1"/>
  <c r="CE57" i="10"/>
  <c r="CE55" i="10"/>
  <c r="CG55" i="10"/>
  <c r="BW55" i="10"/>
  <c r="BU59" i="9" l="1"/>
  <c r="B60" i="9"/>
  <c r="CA59" i="9"/>
  <c r="C62" i="9"/>
  <c r="C61" i="9"/>
  <c r="CE59" i="9"/>
  <c r="BS57" i="10"/>
  <c r="BU57" i="10" s="1"/>
  <c r="CD57" i="10"/>
  <c r="CC57" i="10"/>
  <c r="CF57" i="10"/>
  <c r="BW57" i="10"/>
  <c r="CH57" i="10" s="1"/>
  <c r="CD55" i="10"/>
  <c r="CF55" i="10" s="1"/>
  <c r="CC55" i="10"/>
  <c r="C59" i="10"/>
  <c r="B58" i="10"/>
  <c r="BX55" i="10"/>
  <c r="CG61" i="9" l="1"/>
  <c r="B61" i="9"/>
  <c r="CG59" i="9"/>
  <c r="CE61" i="9"/>
  <c r="B62" i="9"/>
  <c r="C63" i="9"/>
  <c r="CA61" i="9"/>
  <c r="BW61" i="9"/>
  <c r="CC59" i="9"/>
  <c r="BS61" i="9"/>
  <c r="CA60" i="9"/>
  <c r="CC60" i="9" s="1"/>
  <c r="BS60" i="9"/>
  <c r="BV57" i="10"/>
  <c r="CH55" i="10"/>
  <c r="C60" i="10"/>
  <c r="B59" i="10"/>
  <c r="CG57" i="10"/>
  <c r="BX57" i="10"/>
  <c r="BS59" i="10"/>
  <c r="BW59" i="10"/>
  <c r="CA59" i="10"/>
  <c r="BV61" i="9" l="1"/>
  <c r="BX61" i="9" s="1"/>
  <c r="BU61" i="9"/>
  <c r="BU60" i="9"/>
  <c r="BV59" i="9"/>
  <c r="BX59" i="9" s="1"/>
  <c r="B63" i="9"/>
  <c r="C64" i="9"/>
  <c r="CE63" i="9" s="1"/>
  <c r="CD59" i="9"/>
  <c r="CD61" i="9"/>
  <c r="CF61" i="9" s="1"/>
  <c r="CC61" i="9"/>
  <c r="C62" i="10"/>
  <c r="C61" i="10"/>
  <c r="B60" i="10"/>
  <c r="CE59" i="10"/>
  <c r="CD59" i="10"/>
  <c r="CH59" i="10" s="1"/>
  <c r="CC59" i="10"/>
  <c r="BV59" i="10"/>
  <c r="BX59" i="10" s="1"/>
  <c r="BU59" i="10"/>
  <c r="BW63" i="9" l="1"/>
  <c r="CH61" i="9"/>
  <c r="CH59" i="9"/>
  <c r="CF59" i="9"/>
  <c r="C65" i="9"/>
  <c r="B64" i="9"/>
  <c r="CA63" i="9"/>
  <c r="BS63" i="9"/>
  <c r="B61" i="10"/>
  <c r="CG59" i="10"/>
  <c r="BS61" i="10"/>
  <c r="BW61" i="10"/>
  <c r="CA61" i="10"/>
  <c r="CF59" i="10"/>
  <c r="CE61" i="10"/>
  <c r="B62" i="10"/>
  <c r="C63" i="10"/>
  <c r="BU63" i="9" l="1"/>
  <c r="CG63" i="9"/>
  <c r="B65" i="9"/>
  <c r="C66" i="9"/>
  <c r="BW65" i="9" s="1"/>
  <c r="BS64" i="9"/>
  <c r="BU64" i="9" s="1"/>
  <c r="CA64" i="9"/>
  <c r="CC64" i="9" s="1"/>
  <c r="CC63" i="9"/>
  <c r="C64" i="10"/>
  <c r="B63" i="10"/>
  <c r="CG61" i="10"/>
  <c r="BV61" i="10"/>
  <c r="BX61" i="10" s="1"/>
  <c r="BU61" i="10"/>
  <c r="CD61" i="10"/>
  <c r="CH61" i="10" s="1"/>
  <c r="CC61" i="10"/>
  <c r="CD63" i="9" l="1"/>
  <c r="B66" i="9"/>
  <c r="C67" i="9"/>
  <c r="BS65" i="9"/>
  <c r="BV63" i="9"/>
  <c r="BX63" i="9" s="1"/>
  <c r="CA65" i="9"/>
  <c r="CE65" i="9"/>
  <c r="CF61" i="10"/>
  <c r="C65" i="10"/>
  <c r="BS65" i="10" s="1"/>
  <c r="BU65" i="10" s="1"/>
  <c r="B64" i="10"/>
  <c r="CE63" i="10"/>
  <c r="CA63" i="10"/>
  <c r="BW63" i="10"/>
  <c r="BS63" i="10"/>
  <c r="BU65" i="9" l="1"/>
  <c r="BV65" i="9"/>
  <c r="BX65" i="9" s="1"/>
  <c r="CD65" i="9"/>
  <c r="CH65" i="9" s="1"/>
  <c r="CC65" i="9"/>
  <c r="C68" i="9"/>
  <c r="CG65" i="9"/>
  <c r="B67" i="9"/>
  <c r="CH63" i="9"/>
  <c r="CF63" i="9"/>
  <c r="BV63" i="10"/>
  <c r="BX63" i="10" s="1"/>
  <c r="BU63" i="10"/>
  <c r="CD63" i="10"/>
  <c r="CH63" i="10" s="1"/>
  <c r="CC63" i="10"/>
  <c r="B65" i="10"/>
  <c r="CG65" i="10"/>
  <c r="CG63" i="10"/>
  <c r="CA65" i="10"/>
  <c r="CC65" i="10" s="1"/>
  <c r="B68" i="9" l="1"/>
  <c r="C69" i="9"/>
  <c r="BS69" i="9" s="1"/>
  <c r="CF65" i="9"/>
  <c r="BS67" i="9"/>
  <c r="BU67" i="9" s="1"/>
  <c r="CA67" i="9"/>
  <c r="CC67" i="9" s="1"/>
  <c r="CF63" i="10"/>
  <c r="CA68" i="9" l="1"/>
  <c r="CC68" i="9" s="1"/>
  <c r="BU69" i="9"/>
  <c r="CA69" i="9"/>
  <c r="CG67" i="9"/>
  <c r="CG69" i="9"/>
  <c r="C70" i="9"/>
  <c r="BW69" i="9" s="1"/>
  <c r="B69" i="9"/>
  <c r="BS68" i="9"/>
  <c r="BU68" i="9" s="1"/>
  <c r="B70" i="9" l="1"/>
  <c r="C71" i="9"/>
  <c r="CD69" i="9"/>
  <c r="CH69" i="9" s="1"/>
  <c r="CC69" i="9"/>
  <c r="CE69" i="9"/>
  <c r="BV69" i="9"/>
  <c r="BX69" i="9" s="1"/>
  <c r="BY6" i="5"/>
  <c r="BT6" i="5"/>
  <c r="BW6" i="5" s="1"/>
  <c r="BX6" i="5" s="1"/>
  <c r="BS6" i="5"/>
  <c r="BV6" i="5" s="1"/>
  <c r="BQ6" i="5"/>
  <c r="BO6" i="5"/>
  <c r="BN6" i="5"/>
  <c r="BP6" i="5" s="1"/>
  <c r="BR6" i="5" s="1"/>
  <c r="BP67" i="6"/>
  <c r="BP66" i="6"/>
  <c r="BP65" i="6"/>
  <c r="BP64" i="6"/>
  <c r="BP63" i="6"/>
  <c r="BP62" i="6"/>
  <c r="BP61" i="6"/>
  <c r="BP60" i="6"/>
  <c r="BP59" i="6"/>
  <c r="BP58" i="6"/>
  <c r="BP57" i="6"/>
  <c r="BP56" i="6"/>
  <c r="BP55" i="6"/>
  <c r="BP54" i="6"/>
  <c r="BP53" i="6"/>
  <c r="BP52" i="6"/>
  <c r="BP51" i="6"/>
  <c r="BP50" i="6"/>
  <c r="BP49" i="6"/>
  <c r="BP48" i="6"/>
  <c r="BP47" i="6"/>
  <c r="BP46" i="6"/>
  <c r="BP45" i="6"/>
  <c r="BP44" i="6"/>
  <c r="BP43" i="6"/>
  <c r="BP42" i="6"/>
  <c r="BP41" i="6"/>
  <c r="BP40" i="6"/>
  <c r="BP39" i="6"/>
  <c r="BP38" i="6"/>
  <c r="BP37" i="6"/>
  <c r="BP36" i="6"/>
  <c r="BP35" i="6"/>
  <c r="BP34" i="6"/>
  <c r="BP33" i="6"/>
  <c r="BP32" i="6"/>
  <c r="BP31" i="6"/>
  <c r="BP30" i="6"/>
  <c r="BP29" i="6"/>
  <c r="BP28" i="6"/>
  <c r="BP27" i="6"/>
  <c r="BP26" i="6"/>
  <c r="BP25" i="6"/>
  <c r="BP24" i="6"/>
  <c r="BP23" i="6"/>
  <c r="BP22" i="6"/>
  <c r="BP21" i="6"/>
  <c r="BP20" i="6"/>
  <c r="BP19" i="6"/>
  <c r="BP18" i="6"/>
  <c r="BP17" i="6"/>
  <c r="BP16" i="6"/>
  <c r="BP15" i="6"/>
  <c r="BP14" i="6"/>
  <c r="BP13" i="6"/>
  <c r="BP12" i="6"/>
  <c r="BP11" i="6"/>
  <c r="BP10" i="6"/>
  <c r="BP9" i="6"/>
  <c r="BP8" i="6"/>
  <c r="BP7" i="6"/>
  <c r="BP6" i="6"/>
  <c r="BP67" i="5"/>
  <c r="BP66" i="5"/>
  <c r="BP65" i="5"/>
  <c r="BP64" i="5"/>
  <c r="BP63" i="5"/>
  <c r="BP62" i="5"/>
  <c r="BP61" i="5"/>
  <c r="BP60" i="5"/>
  <c r="BP59" i="5"/>
  <c r="BP58" i="5"/>
  <c r="BP57" i="5"/>
  <c r="BP56" i="5"/>
  <c r="BP55" i="5"/>
  <c r="BP54" i="5"/>
  <c r="BP53" i="5"/>
  <c r="BP52" i="5"/>
  <c r="BP51" i="5"/>
  <c r="BP50" i="5"/>
  <c r="BP49" i="5"/>
  <c r="BP48" i="5"/>
  <c r="BP47" i="5"/>
  <c r="BP46" i="5"/>
  <c r="BP45" i="5"/>
  <c r="BP44" i="5"/>
  <c r="BP43" i="5"/>
  <c r="BP42" i="5"/>
  <c r="BP41" i="5"/>
  <c r="BP40" i="5"/>
  <c r="BP39" i="5"/>
  <c r="BP38" i="5"/>
  <c r="BP37" i="5"/>
  <c r="BP36" i="5"/>
  <c r="BP35" i="5"/>
  <c r="BP34" i="5"/>
  <c r="BP33" i="5"/>
  <c r="BP32" i="5"/>
  <c r="BP31" i="5"/>
  <c r="BP30" i="5"/>
  <c r="BP29" i="5"/>
  <c r="BP28" i="5"/>
  <c r="BP27" i="5"/>
  <c r="BP26" i="5"/>
  <c r="BP25" i="5"/>
  <c r="BP24" i="5"/>
  <c r="BP23" i="5"/>
  <c r="BP22" i="5"/>
  <c r="BP21" i="5"/>
  <c r="BP20" i="5"/>
  <c r="BP19" i="5"/>
  <c r="BP18" i="5"/>
  <c r="BP17" i="5"/>
  <c r="BP16" i="5"/>
  <c r="BP15" i="5"/>
  <c r="BP14" i="5"/>
  <c r="BP13" i="5"/>
  <c r="BP12" i="5"/>
  <c r="BP11" i="5"/>
  <c r="BP10" i="5"/>
  <c r="BP9" i="5"/>
  <c r="BP8" i="5"/>
  <c r="BP7" i="5"/>
  <c r="BP67" i="2"/>
  <c r="BP66" i="2"/>
  <c r="BP65" i="2"/>
  <c r="BP64" i="2"/>
  <c r="BP63" i="2"/>
  <c r="BP62" i="2"/>
  <c r="BP61" i="2"/>
  <c r="BP60" i="2"/>
  <c r="BP59" i="2"/>
  <c r="BP58" i="2"/>
  <c r="BP57" i="2"/>
  <c r="BP56" i="2"/>
  <c r="BP55" i="2"/>
  <c r="BP54" i="2"/>
  <c r="BP53" i="2"/>
  <c r="BP52" i="2"/>
  <c r="BP51" i="2"/>
  <c r="BP50" i="2"/>
  <c r="BP49" i="2"/>
  <c r="BP48" i="2"/>
  <c r="BP47" i="2"/>
  <c r="BP46" i="2"/>
  <c r="BP45" i="2"/>
  <c r="BP44" i="2"/>
  <c r="BP43" i="2"/>
  <c r="BP42" i="2"/>
  <c r="BP41" i="2"/>
  <c r="BP40" i="2"/>
  <c r="BP39" i="2"/>
  <c r="BP38" i="2"/>
  <c r="BP37" i="2"/>
  <c r="BP36" i="2"/>
  <c r="BP35" i="2"/>
  <c r="BP34" i="2"/>
  <c r="BP33" i="2"/>
  <c r="BP32" i="2"/>
  <c r="BP31" i="2"/>
  <c r="BP30" i="2"/>
  <c r="BP29" i="2"/>
  <c r="BP28" i="2"/>
  <c r="BP27" i="2"/>
  <c r="BP26" i="2"/>
  <c r="BP25" i="2"/>
  <c r="BP24" i="2"/>
  <c r="BP23" i="2"/>
  <c r="BP22" i="2"/>
  <c r="BP21" i="2"/>
  <c r="BP20" i="2"/>
  <c r="BP19" i="2"/>
  <c r="BP18" i="2"/>
  <c r="BP17" i="2"/>
  <c r="BP16" i="2"/>
  <c r="BP15" i="2"/>
  <c r="BP14" i="2"/>
  <c r="BP13" i="2"/>
  <c r="BP12" i="2"/>
  <c r="BP11" i="2"/>
  <c r="BP10" i="2"/>
  <c r="BP9" i="2"/>
  <c r="BP8" i="2"/>
  <c r="BP7" i="2"/>
  <c r="BP6" i="2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R63" i="1"/>
  <c r="BR67" i="1"/>
  <c r="C32" i="2"/>
  <c r="B32" i="2" s="1"/>
  <c r="C33" i="2"/>
  <c r="B33" i="2" s="1"/>
  <c r="C34" i="2"/>
  <c r="B34" i="2" s="1"/>
  <c r="C35" i="2"/>
  <c r="B35" i="2" s="1"/>
  <c r="C36" i="2"/>
  <c r="B36" i="2" s="1"/>
  <c r="C37" i="2"/>
  <c r="B37" i="2" s="1"/>
  <c r="C38" i="2"/>
  <c r="B38" i="2" s="1"/>
  <c r="C39" i="2"/>
  <c r="B39" i="2" s="1"/>
  <c r="C41" i="2"/>
  <c r="B41" i="2" s="1"/>
  <c r="C43" i="2"/>
  <c r="C45" i="2" s="1"/>
  <c r="C64" i="2"/>
  <c r="B64" i="2" s="1"/>
  <c r="C65" i="2"/>
  <c r="B65" i="2" s="1"/>
  <c r="C66" i="2"/>
  <c r="B66" i="2" s="1"/>
  <c r="C6" i="2"/>
  <c r="B6" i="2" s="1"/>
  <c r="C7" i="2"/>
  <c r="B7" i="2" s="1"/>
  <c r="C8" i="2"/>
  <c r="B8" i="2" s="1"/>
  <c r="C9" i="2"/>
  <c r="B9" i="2" s="1"/>
  <c r="C10" i="2"/>
  <c r="B10" i="2" s="1"/>
  <c r="C11" i="2"/>
  <c r="B11" i="2" s="1"/>
  <c r="C12" i="2"/>
  <c r="B12" i="2" s="1"/>
  <c r="C13" i="2"/>
  <c r="B13" i="2" s="1"/>
  <c r="C14" i="2"/>
  <c r="B14" i="2" s="1"/>
  <c r="C15" i="2"/>
  <c r="B15" i="2" s="1"/>
  <c r="C16" i="2"/>
  <c r="C18" i="2" s="1"/>
  <c r="C17" i="2"/>
  <c r="C19" i="2" s="1"/>
  <c r="B45" i="1"/>
  <c r="C67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Z60" i="2"/>
  <c r="BH60" i="2" s="1"/>
  <c r="BA60" i="2"/>
  <c r="BB60" i="2"/>
  <c r="BC60" i="2"/>
  <c r="BD60" i="2"/>
  <c r="BE60" i="2"/>
  <c r="BF60" i="2"/>
  <c r="BG60" i="2"/>
  <c r="BK60" i="2"/>
  <c r="BL60" i="2"/>
  <c r="AZ61" i="2"/>
  <c r="BA61" i="2"/>
  <c r="BB61" i="2"/>
  <c r="BC61" i="2"/>
  <c r="BD61" i="2"/>
  <c r="BE61" i="2"/>
  <c r="BF61" i="2"/>
  <c r="BK61" i="2" s="1"/>
  <c r="BG61" i="2"/>
  <c r="BL61" i="2" s="1"/>
  <c r="AZ62" i="2"/>
  <c r="BA62" i="2"/>
  <c r="BB62" i="2"/>
  <c r="BC62" i="2"/>
  <c r="BD62" i="2"/>
  <c r="BE62" i="2"/>
  <c r="BF62" i="2"/>
  <c r="BK62" i="2" s="1"/>
  <c r="BG62" i="2"/>
  <c r="BL62" i="2" s="1"/>
  <c r="BH62" i="2"/>
  <c r="AZ63" i="2"/>
  <c r="BA63" i="2"/>
  <c r="BB63" i="2"/>
  <c r="BC63" i="2"/>
  <c r="BD63" i="2"/>
  <c r="BE63" i="2"/>
  <c r="BF63" i="2"/>
  <c r="BK63" i="2" s="1"/>
  <c r="BG63" i="2"/>
  <c r="BL63" i="2" s="1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AZ65" i="2"/>
  <c r="BH65" i="2" s="1"/>
  <c r="BA65" i="2"/>
  <c r="BI65" i="2" s="1"/>
  <c r="BB65" i="2"/>
  <c r="BJ65" i="2" s="1"/>
  <c r="BC65" i="2"/>
  <c r="BD65" i="2"/>
  <c r="BE65" i="2"/>
  <c r="BF65" i="2"/>
  <c r="BK65" i="2" s="1"/>
  <c r="BG65" i="2"/>
  <c r="BL65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AZ67" i="2"/>
  <c r="BH67" i="2" s="1"/>
  <c r="BA67" i="2"/>
  <c r="BI67" i="2" s="1"/>
  <c r="BB67" i="2"/>
  <c r="BJ67" i="2" s="1"/>
  <c r="BC67" i="2"/>
  <c r="BD67" i="2"/>
  <c r="BE67" i="2"/>
  <c r="BF67" i="2"/>
  <c r="BG67" i="2"/>
  <c r="BK67" i="2"/>
  <c r="BL67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AZ69" i="2"/>
  <c r="BH69" i="2" s="1"/>
  <c r="BA69" i="2"/>
  <c r="BI69" i="2" s="1"/>
  <c r="BB69" i="2"/>
  <c r="BJ69" i="2" s="1"/>
  <c r="BC69" i="2"/>
  <c r="BD69" i="2"/>
  <c r="BE69" i="2"/>
  <c r="BF69" i="2"/>
  <c r="BG69" i="2"/>
  <c r="BK69" i="2"/>
  <c r="BL69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A67" i="1"/>
  <c r="B67" i="1"/>
  <c r="BT67" i="1"/>
  <c r="BW67" i="1" s="1"/>
  <c r="BS67" i="1"/>
  <c r="BU67" i="1" s="1"/>
  <c r="BQ67" i="1"/>
  <c r="BN67" i="1"/>
  <c r="BO60" i="1"/>
  <c r="BR60" i="1"/>
  <c r="BQ60" i="1"/>
  <c r="BS60" i="1"/>
  <c r="BT60" i="1"/>
  <c r="BU60" i="1"/>
  <c r="BY60" i="1"/>
  <c r="BV62" i="1"/>
  <c r="BW62" i="1"/>
  <c r="BO62" i="1"/>
  <c r="BR62" i="1"/>
  <c r="BQ62" i="1"/>
  <c r="BS62" i="1"/>
  <c r="BU62" i="1" s="1"/>
  <c r="BT62" i="1"/>
  <c r="BY62" i="1"/>
  <c r="BQ63" i="1"/>
  <c r="BS63" i="1"/>
  <c r="BT63" i="1"/>
  <c r="BU63" i="1"/>
  <c r="BV63" i="1"/>
  <c r="BW63" i="1"/>
  <c r="BX63" i="1"/>
  <c r="BQ65" i="1"/>
  <c r="BS65" i="1"/>
  <c r="BT65" i="1"/>
  <c r="BU65" i="1"/>
  <c r="BO66" i="1"/>
  <c r="BR65" i="1" s="1"/>
  <c r="BR66" i="1"/>
  <c r="BQ66" i="1"/>
  <c r="BS66" i="1"/>
  <c r="BV65" i="1" s="1"/>
  <c r="BT66" i="1"/>
  <c r="BW65" i="1" s="1"/>
  <c r="BX65" i="1" s="1"/>
  <c r="BV66" i="1"/>
  <c r="BW66" i="1"/>
  <c r="BX66" i="1"/>
  <c r="BY66" i="1"/>
  <c r="BG62" i="1"/>
  <c r="BL62" i="1" s="1"/>
  <c r="BF62" i="1"/>
  <c r="BK62" i="1" s="1"/>
  <c r="BE62" i="1"/>
  <c r="BD62" i="1"/>
  <c r="BC62" i="1"/>
  <c r="BB62" i="1"/>
  <c r="BA62" i="1"/>
  <c r="AZ62" i="1"/>
  <c r="BH62" i="1" s="1"/>
  <c r="CF69" i="9" l="1"/>
  <c r="B71" i="9"/>
  <c r="CG71" i="9"/>
  <c r="CA71" i="9"/>
  <c r="CE71" i="9"/>
  <c r="BW71" i="9"/>
  <c r="BS71" i="9"/>
  <c r="BU6" i="5"/>
  <c r="B45" i="2"/>
  <c r="C47" i="2"/>
  <c r="B43" i="2"/>
  <c r="C40" i="2"/>
  <c r="B19" i="2"/>
  <c r="C21" i="2"/>
  <c r="B18" i="2"/>
  <c r="C20" i="2"/>
  <c r="B17" i="2"/>
  <c r="B16" i="2"/>
  <c r="BI60" i="2"/>
  <c r="BJ60" i="2"/>
  <c r="BJ62" i="2"/>
  <c r="BI62" i="2"/>
  <c r="BJ61" i="2"/>
  <c r="BI61" i="2"/>
  <c r="BH61" i="2"/>
  <c r="BH63" i="2"/>
  <c r="BJ63" i="2"/>
  <c r="BI63" i="2"/>
  <c r="BX67" i="1"/>
  <c r="BV67" i="1"/>
  <c r="BX62" i="1"/>
  <c r="BU66" i="1"/>
  <c r="BV60" i="1"/>
  <c r="BW60" i="1"/>
  <c r="BX60" i="1" s="1"/>
  <c r="BJ62" i="1"/>
  <c r="BI62" i="1"/>
  <c r="BN8" i="6"/>
  <c r="BO8" i="6"/>
  <c r="BQ8" i="6"/>
  <c r="BS8" i="6"/>
  <c r="BU8" i="6" s="1"/>
  <c r="BT8" i="6"/>
  <c r="BN9" i="6"/>
  <c r="BQ9" i="6"/>
  <c r="BS9" i="6"/>
  <c r="BT9" i="6"/>
  <c r="BU9" i="6"/>
  <c r="BV9" i="6"/>
  <c r="BW9" i="6"/>
  <c r="BX9" i="6"/>
  <c r="BN10" i="6"/>
  <c r="BO10" i="6"/>
  <c r="BQ10" i="6"/>
  <c r="BS10" i="6"/>
  <c r="BT10" i="6"/>
  <c r="BU10" i="6"/>
  <c r="BN11" i="6"/>
  <c r="BR11" i="6"/>
  <c r="BQ11" i="6"/>
  <c r="BS11" i="6"/>
  <c r="BU11" i="6" s="1"/>
  <c r="BT11" i="6"/>
  <c r="BV11" i="6"/>
  <c r="BW11" i="6"/>
  <c r="BX11" i="6"/>
  <c r="BN12" i="6"/>
  <c r="BO12" i="6"/>
  <c r="BQ12" i="6"/>
  <c r="BS12" i="6"/>
  <c r="BT12" i="6"/>
  <c r="BN13" i="6"/>
  <c r="BQ13" i="6"/>
  <c r="BR13" i="6"/>
  <c r="BS13" i="6"/>
  <c r="BT13" i="6"/>
  <c r="BU13" i="6"/>
  <c r="BV13" i="6"/>
  <c r="BW13" i="6"/>
  <c r="BX13" i="6"/>
  <c r="BN14" i="6"/>
  <c r="BO14" i="6"/>
  <c r="BQ14" i="6"/>
  <c r="BS14" i="6"/>
  <c r="BT14" i="6"/>
  <c r="BN15" i="6"/>
  <c r="BQ15" i="6"/>
  <c r="BS15" i="6"/>
  <c r="BT15" i="6"/>
  <c r="BU15" i="6"/>
  <c r="BN16" i="6"/>
  <c r="BO16" i="6"/>
  <c r="BQ16" i="6"/>
  <c r="BS16" i="6"/>
  <c r="BT16" i="6"/>
  <c r="BN17" i="6"/>
  <c r="BQ17" i="6"/>
  <c r="BS17" i="6"/>
  <c r="BT17" i="6"/>
  <c r="BU17" i="6"/>
  <c r="BN18" i="6"/>
  <c r="BO18" i="6"/>
  <c r="BQ18" i="6"/>
  <c r="BS18" i="6"/>
  <c r="BT18" i="6"/>
  <c r="BU18" i="6"/>
  <c r="BN19" i="6"/>
  <c r="BQ19" i="6"/>
  <c r="BS19" i="6"/>
  <c r="BT19" i="6"/>
  <c r="BN20" i="6"/>
  <c r="BO20" i="6"/>
  <c r="BQ20" i="6"/>
  <c r="BS20" i="6"/>
  <c r="BT20" i="6"/>
  <c r="BN21" i="6"/>
  <c r="BQ21" i="6"/>
  <c r="BS21" i="6"/>
  <c r="BT21" i="6"/>
  <c r="BN22" i="6"/>
  <c r="BO22" i="6"/>
  <c r="BQ22" i="6"/>
  <c r="BS22" i="6"/>
  <c r="BT22" i="6"/>
  <c r="BU22" i="6"/>
  <c r="BN23" i="6"/>
  <c r="BQ23" i="6"/>
  <c r="BS23" i="6"/>
  <c r="BT23" i="6"/>
  <c r="BU23" i="6"/>
  <c r="BN24" i="6"/>
  <c r="BO24" i="6"/>
  <c r="BQ24" i="6"/>
  <c r="BS24" i="6"/>
  <c r="BT24" i="6"/>
  <c r="BN25" i="6"/>
  <c r="BQ25" i="6"/>
  <c r="BS25" i="6"/>
  <c r="BT25" i="6"/>
  <c r="BN26" i="6"/>
  <c r="BO26" i="6"/>
  <c r="BQ26" i="6"/>
  <c r="BS26" i="6"/>
  <c r="BT26" i="6"/>
  <c r="BU26" i="6"/>
  <c r="BN27" i="6"/>
  <c r="BQ27" i="6"/>
  <c r="BS27" i="6"/>
  <c r="BT27" i="6"/>
  <c r="BN28" i="6"/>
  <c r="BO28" i="6"/>
  <c r="BQ28" i="6"/>
  <c r="BS28" i="6"/>
  <c r="BU28" i="6" s="1"/>
  <c r="BT28" i="6"/>
  <c r="BN29" i="6"/>
  <c r="BQ29" i="6"/>
  <c r="BS29" i="6"/>
  <c r="BT29" i="6"/>
  <c r="BN30" i="6"/>
  <c r="BO30" i="6"/>
  <c r="BQ30" i="6"/>
  <c r="BS30" i="6"/>
  <c r="BU30" i="6" s="1"/>
  <c r="BT30" i="6"/>
  <c r="BN31" i="6"/>
  <c r="BQ31" i="6"/>
  <c r="BS31" i="6"/>
  <c r="BT31" i="6"/>
  <c r="BU31" i="6"/>
  <c r="BN32" i="6"/>
  <c r="BO32" i="6"/>
  <c r="BQ32" i="6"/>
  <c r="BS32" i="6"/>
  <c r="BT32" i="6"/>
  <c r="BN33" i="6"/>
  <c r="BQ33" i="6"/>
  <c r="BS33" i="6"/>
  <c r="BT33" i="6"/>
  <c r="BN34" i="6"/>
  <c r="BO34" i="6"/>
  <c r="BQ34" i="6"/>
  <c r="BS34" i="6"/>
  <c r="BT34" i="6"/>
  <c r="BN35" i="6"/>
  <c r="BQ35" i="6"/>
  <c r="BS35" i="6"/>
  <c r="BT35" i="6"/>
  <c r="BN36" i="6"/>
  <c r="BO36" i="6"/>
  <c r="BQ36" i="6"/>
  <c r="BS36" i="6"/>
  <c r="BT36" i="6"/>
  <c r="BN37" i="6"/>
  <c r="BQ37" i="6"/>
  <c r="BS37" i="6"/>
  <c r="BT37" i="6"/>
  <c r="BN38" i="6"/>
  <c r="BO38" i="6"/>
  <c r="BQ38" i="6"/>
  <c r="BS38" i="6"/>
  <c r="BT38" i="6"/>
  <c r="BN39" i="6"/>
  <c r="BQ39" i="6"/>
  <c r="BS39" i="6"/>
  <c r="BU39" i="6" s="1"/>
  <c r="BT39" i="6"/>
  <c r="BN40" i="6"/>
  <c r="BO40" i="6"/>
  <c r="BQ40" i="6"/>
  <c r="BS40" i="6"/>
  <c r="BT40" i="6"/>
  <c r="BU40" i="6"/>
  <c r="BN41" i="6"/>
  <c r="BQ41" i="6"/>
  <c r="BS41" i="6"/>
  <c r="BT41" i="6"/>
  <c r="BN42" i="6"/>
  <c r="BO42" i="6"/>
  <c r="BQ42" i="6"/>
  <c r="BS42" i="6"/>
  <c r="BU42" i="6" s="1"/>
  <c r="BT42" i="6"/>
  <c r="BN43" i="6"/>
  <c r="BQ43" i="6"/>
  <c r="BS43" i="6"/>
  <c r="BT43" i="6"/>
  <c r="BN44" i="6"/>
  <c r="BO44" i="6"/>
  <c r="BQ44" i="6"/>
  <c r="BS44" i="6"/>
  <c r="BT44" i="6"/>
  <c r="BX7" i="6"/>
  <c r="BW7" i="6"/>
  <c r="BV7" i="6"/>
  <c r="BT7" i="6"/>
  <c r="BS7" i="6"/>
  <c r="BU7" i="6" s="1"/>
  <c r="BQ7" i="6"/>
  <c r="BN7" i="6"/>
  <c r="BR7" i="6" s="1"/>
  <c r="BY6" i="6"/>
  <c r="BT6" i="6"/>
  <c r="BW6" i="6" s="1"/>
  <c r="BS6" i="6"/>
  <c r="BV6" i="6" s="1"/>
  <c r="BQ6" i="6"/>
  <c r="BO6" i="6"/>
  <c r="BN6" i="6"/>
  <c r="AZ15" i="6"/>
  <c r="BH15" i="6" s="1"/>
  <c r="BA15" i="6"/>
  <c r="BB15" i="6"/>
  <c r="BC15" i="6"/>
  <c r="BD15" i="6"/>
  <c r="BE15" i="6"/>
  <c r="BF15" i="6"/>
  <c r="BG15" i="6"/>
  <c r="BL15" i="6" s="1"/>
  <c r="BI15" i="6"/>
  <c r="BJ15" i="6"/>
  <c r="BK15" i="6"/>
  <c r="AZ16" i="6"/>
  <c r="BH16" i="6" s="1"/>
  <c r="BA16" i="6"/>
  <c r="BB16" i="6"/>
  <c r="BC16" i="6"/>
  <c r="BD16" i="6"/>
  <c r="BE16" i="6"/>
  <c r="BF16" i="6"/>
  <c r="BK16" i="6" s="1"/>
  <c r="BG16" i="6"/>
  <c r="BL16" i="6" s="1"/>
  <c r="BI16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AZ18" i="6"/>
  <c r="BH18" i="6" s="1"/>
  <c r="BA18" i="6"/>
  <c r="BB18" i="6"/>
  <c r="BC18" i="6"/>
  <c r="BD18" i="6"/>
  <c r="BE18" i="6"/>
  <c r="BF18" i="6"/>
  <c r="BK18" i="6" s="1"/>
  <c r="BG18" i="6"/>
  <c r="BL18" i="6" s="1"/>
  <c r="AZ19" i="6"/>
  <c r="BA19" i="6"/>
  <c r="BB19" i="6"/>
  <c r="BC19" i="6"/>
  <c r="BD19" i="6"/>
  <c r="BE19" i="6"/>
  <c r="BF19" i="6"/>
  <c r="BG19" i="6"/>
  <c r="BI19" i="6"/>
  <c r="BJ19" i="6"/>
  <c r="BK19" i="6"/>
  <c r="BL19" i="6"/>
  <c r="AZ20" i="6"/>
  <c r="BA20" i="6"/>
  <c r="BB20" i="6"/>
  <c r="BC20" i="6"/>
  <c r="BD20" i="6"/>
  <c r="BE20" i="6"/>
  <c r="BF20" i="6"/>
  <c r="BK20" i="6" s="1"/>
  <c r="BG20" i="6"/>
  <c r="BL20" i="6"/>
  <c r="AZ21" i="6"/>
  <c r="BA21" i="6"/>
  <c r="BB21" i="6"/>
  <c r="BC21" i="6"/>
  <c r="BD21" i="6"/>
  <c r="BE21" i="6"/>
  <c r="BF21" i="6"/>
  <c r="BG21" i="6"/>
  <c r="BK21" i="6"/>
  <c r="BL21" i="6"/>
  <c r="AZ22" i="6"/>
  <c r="BA22" i="6"/>
  <c r="BB22" i="6"/>
  <c r="BC22" i="6"/>
  <c r="BD22" i="6"/>
  <c r="BE22" i="6"/>
  <c r="BF22" i="6"/>
  <c r="BG22" i="6"/>
  <c r="BK22" i="6"/>
  <c r="BL22" i="6"/>
  <c r="AZ23" i="6"/>
  <c r="BA23" i="6"/>
  <c r="BB23" i="6"/>
  <c r="BC23" i="6"/>
  <c r="BD23" i="6"/>
  <c r="BE23" i="6"/>
  <c r="BF23" i="6"/>
  <c r="BG23" i="6"/>
  <c r="BK23" i="6"/>
  <c r="BL23" i="6"/>
  <c r="AZ24" i="6"/>
  <c r="BA24" i="6"/>
  <c r="BB24" i="6"/>
  <c r="BC24" i="6"/>
  <c r="BD24" i="6"/>
  <c r="BE24" i="6"/>
  <c r="BF24" i="6"/>
  <c r="BG24" i="6"/>
  <c r="BK24" i="6"/>
  <c r="BL24" i="6"/>
  <c r="AZ25" i="6"/>
  <c r="BA25" i="6"/>
  <c r="BB25" i="6"/>
  <c r="BC25" i="6"/>
  <c r="BD25" i="6"/>
  <c r="BE25" i="6"/>
  <c r="BF25" i="6"/>
  <c r="BG25" i="6"/>
  <c r="BK25" i="6"/>
  <c r="BL25" i="6"/>
  <c r="AZ26" i="6"/>
  <c r="BA26" i="6"/>
  <c r="BB26" i="6"/>
  <c r="BC26" i="6"/>
  <c r="BD26" i="6"/>
  <c r="BI26" i="6" s="1"/>
  <c r="BE26" i="6"/>
  <c r="BJ26" i="6" s="1"/>
  <c r="BF26" i="6"/>
  <c r="BG26" i="6"/>
  <c r="BL26" i="6" s="1"/>
  <c r="BK26" i="6"/>
  <c r="AZ27" i="6"/>
  <c r="BA27" i="6"/>
  <c r="BB27" i="6"/>
  <c r="BC27" i="6"/>
  <c r="BD27" i="6"/>
  <c r="BE27" i="6"/>
  <c r="BF27" i="6"/>
  <c r="BK27" i="6" s="1"/>
  <c r="BG27" i="6"/>
  <c r="BL27" i="6" s="1"/>
  <c r="AZ28" i="6"/>
  <c r="BA28" i="6"/>
  <c r="BB28" i="6"/>
  <c r="BC28" i="6"/>
  <c r="BH28" i="6" s="1"/>
  <c r="BD28" i="6"/>
  <c r="BI28" i="6" s="1"/>
  <c r="BE28" i="6"/>
  <c r="BJ28" i="6" s="1"/>
  <c r="BF28" i="6"/>
  <c r="BG28" i="6"/>
  <c r="BL28" i="6" s="1"/>
  <c r="BK28" i="6"/>
  <c r="AZ29" i="6"/>
  <c r="BA29" i="6"/>
  <c r="BB29" i="6"/>
  <c r="BC29" i="6"/>
  <c r="BD29" i="6"/>
  <c r="BE29" i="6"/>
  <c r="BF29" i="6"/>
  <c r="BK29" i="6" s="1"/>
  <c r="BG29" i="6"/>
  <c r="BL29" i="6" s="1"/>
  <c r="AZ30" i="6"/>
  <c r="BA30" i="6"/>
  <c r="BB30" i="6"/>
  <c r="BC30" i="6"/>
  <c r="BD30" i="6"/>
  <c r="BE30" i="6"/>
  <c r="BF30" i="6"/>
  <c r="BK30" i="6" s="1"/>
  <c r="BG30" i="6"/>
  <c r="BL30" i="6" s="1"/>
  <c r="AZ31" i="6"/>
  <c r="BA31" i="6"/>
  <c r="BB31" i="6"/>
  <c r="BC31" i="6"/>
  <c r="BD31" i="6"/>
  <c r="BE31" i="6"/>
  <c r="BF31" i="6"/>
  <c r="BK31" i="6" s="1"/>
  <c r="BG31" i="6"/>
  <c r="BL31" i="6" s="1"/>
  <c r="AZ32" i="6"/>
  <c r="BH32" i="6" s="1"/>
  <c r="BA32" i="6"/>
  <c r="BI32" i="6" s="1"/>
  <c r="BB32" i="6"/>
  <c r="BC32" i="6"/>
  <c r="BD32" i="6"/>
  <c r="BE32" i="6"/>
  <c r="BF32" i="6"/>
  <c r="BK32" i="6" s="1"/>
  <c r="BG32" i="6"/>
  <c r="BL32" i="6" s="1"/>
  <c r="BJ32" i="6"/>
  <c r="AZ33" i="6"/>
  <c r="BA33" i="6"/>
  <c r="BB33" i="6"/>
  <c r="BC33" i="6"/>
  <c r="BD33" i="6"/>
  <c r="BE33" i="6"/>
  <c r="BF33" i="6"/>
  <c r="BK33" i="6" s="1"/>
  <c r="BG33" i="6"/>
  <c r="BL33" i="6" s="1"/>
  <c r="AZ34" i="6"/>
  <c r="BH34" i="6" s="1"/>
  <c r="BA34" i="6"/>
  <c r="BI34" i="6" s="1"/>
  <c r="BB34" i="6"/>
  <c r="BJ34" i="6" s="1"/>
  <c r="BC34" i="6"/>
  <c r="BD34" i="6"/>
  <c r="BE34" i="6"/>
  <c r="BF34" i="6"/>
  <c r="BK34" i="6" s="1"/>
  <c r="BG34" i="6"/>
  <c r="BL34" i="6"/>
  <c r="AZ35" i="6"/>
  <c r="BA35" i="6"/>
  <c r="BB35" i="6"/>
  <c r="BC35" i="6"/>
  <c r="BD35" i="6"/>
  <c r="BE35" i="6"/>
  <c r="BF35" i="6"/>
  <c r="BK35" i="6" s="1"/>
  <c r="BG35" i="6"/>
  <c r="BL35" i="6" s="1"/>
  <c r="AZ36" i="6"/>
  <c r="BH36" i="6" s="1"/>
  <c r="BA36" i="6"/>
  <c r="BI36" i="6" s="1"/>
  <c r="BB36" i="6"/>
  <c r="BJ36" i="6" s="1"/>
  <c r="BC36" i="6"/>
  <c r="BD36" i="6"/>
  <c r="BE36" i="6"/>
  <c r="BF36" i="6"/>
  <c r="BK36" i="6" s="1"/>
  <c r="BG36" i="6"/>
  <c r="BL36" i="6" s="1"/>
  <c r="AZ37" i="6"/>
  <c r="BA37" i="6"/>
  <c r="BB37" i="6"/>
  <c r="BC37" i="6"/>
  <c r="BD37" i="6"/>
  <c r="BE37" i="6"/>
  <c r="BF37" i="6"/>
  <c r="BK37" i="6" s="1"/>
  <c r="BG37" i="6"/>
  <c r="BL37" i="6" s="1"/>
  <c r="AZ38" i="6"/>
  <c r="BH38" i="6" s="1"/>
  <c r="BA38" i="6"/>
  <c r="BI38" i="6" s="1"/>
  <c r="BB38" i="6"/>
  <c r="BJ38" i="6" s="1"/>
  <c r="BC38" i="6"/>
  <c r="BD38" i="6"/>
  <c r="BE38" i="6"/>
  <c r="BF38" i="6"/>
  <c r="BK38" i="6" s="1"/>
  <c r="BG38" i="6"/>
  <c r="BL38" i="6" s="1"/>
  <c r="AZ39" i="6"/>
  <c r="BA39" i="6"/>
  <c r="BB39" i="6"/>
  <c r="BC39" i="6"/>
  <c r="BD39" i="6"/>
  <c r="BE39" i="6"/>
  <c r="BF39" i="6"/>
  <c r="BK39" i="6" s="1"/>
  <c r="BG39" i="6"/>
  <c r="BL39" i="6" s="1"/>
  <c r="AZ40" i="6"/>
  <c r="BH40" i="6" s="1"/>
  <c r="BA40" i="6"/>
  <c r="BB40" i="6"/>
  <c r="BC40" i="6"/>
  <c r="BD40" i="6"/>
  <c r="BI40" i="6" s="1"/>
  <c r="BE40" i="6"/>
  <c r="BJ40" i="6" s="1"/>
  <c r="BF40" i="6"/>
  <c r="BK40" i="6" s="1"/>
  <c r="BG40" i="6"/>
  <c r="BL40" i="6" s="1"/>
  <c r="AZ41" i="6"/>
  <c r="BH41" i="6" s="1"/>
  <c r="BA41" i="6"/>
  <c r="BB41" i="6"/>
  <c r="BC41" i="6"/>
  <c r="BD41" i="6"/>
  <c r="BE41" i="6"/>
  <c r="BF41" i="6"/>
  <c r="BK41" i="6" s="1"/>
  <c r="BG41" i="6"/>
  <c r="BL41" i="6" s="1"/>
  <c r="AZ42" i="6"/>
  <c r="BA42" i="6"/>
  <c r="BB42" i="6"/>
  <c r="BC42" i="6"/>
  <c r="BD42" i="6"/>
  <c r="BE42" i="6"/>
  <c r="BF42" i="6"/>
  <c r="BK42" i="6" s="1"/>
  <c r="BG42" i="6"/>
  <c r="BL42" i="6" s="1"/>
  <c r="AZ43" i="6"/>
  <c r="BH43" i="6" s="1"/>
  <c r="BA43" i="6"/>
  <c r="BI43" i="6" s="1"/>
  <c r="BB43" i="6"/>
  <c r="BJ43" i="6" s="1"/>
  <c r="BC43" i="6"/>
  <c r="BD43" i="6"/>
  <c r="BE43" i="6"/>
  <c r="BF43" i="6"/>
  <c r="BK43" i="6" s="1"/>
  <c r="BG43" i="6"/>
  <c r="BL43" i="6" s="1"/>
  <c r="AZ44" i="6"/>
  <c r="BA44" i="6"/>
  <c r="BB44" i="6"/>
  <c r="BC44" i="6"/>
  <c r="BD44" i="6"/>
  <c r="BE44" i="6"/>
  <c r="BF44" i="6"/>
  <c r="BK44" i="6" s="1"/>
  <c r="BG44" i="6"/>
  <c r="BL44" i="6"/>
  <c r="BQ11" i="5"/>
  <c r="BS11" i="5"/>
  <c r="BT11" i="5"/>
  <c r="BV11" i="5"/>
  <c r="BW11" i="5"/>
  <c r="BX11" i="5"/>
  <c r="BO12" i="5"/>
  <c r="BQ12" i="5"/>
  <c r="BS12" i="5"/>
  <c r="BU12" i="5" s="1"/>
  <c r="BT12" i="5"/>
  <c r="BQ13" i="5"/>
  <c r="BS13" i="5"/>
  <c r="BT13" i="5"/>
  <c r="BV13" i="5"/>
  <c r="BW13" i="5"/>
  <c r="BX13" i="5"/>
  <c r="BO14" i="5"/>
  <c r="BQ14" i="5"/>
  <c r="BS14" i="5"/>
  <c r="BT14" i="5"/>
  <c r="BQ15" i="5"/>
  <c r="BS15" i="5"/>
  <c r="BT15" i="5"/>
  <c r="BV15" i="5"/>
  <c r="BW15" i="5"/>
  <c r="BX15" i="5"/>
  <c r="BO16" i="5"/>
  <c r="BQ16" i="5"/>
  <c r="BS16" i="5"/>
  <c r="BU16" i="5" s="1"/>
  <c r="BT16" i="5"/>
  <c r="BQ17" i="5"/>
  <c r="BS17" i="5"/>
  <c r="BT17" i="5"/>
  <c r="BO18" i="5"/>
  <c r="BQ18" i="5"/>
  <c r="BS18" i="5"/>
  <c r="BT18" i="5"/>
  <c r="BQ19" i="5"/>
  <c r="BS19" i="5"/>
  <c r="BT19" i="5"/>
  <c r="BU19" i="5"/>
  <c r="BO20" i="5"/>
  <c r="BQ20" i="5"/>
  <c r="BS20" i="5"/>
  <c r="BT20" i="5"/>
  <c r="BU20" i="5"/>
  <c r="BQ21" i="5"/>
  <c r="BS21" i="5"/>
  <c r="BT21" i="5"/>
  <c r="BO22" i="5"/>
  <c r="BQ22" i="5"/>
  <c r="BS22" i="5"/>
  <c r="BT22" i="5"/>
  <c r="BQ23" i="5"/>
  <c r="BS23" i="5"/>
  <c r="BT23" i="5"/>
  <c r="BO24" i="5"/>
  <c r="BQ24" i="5"/>
  <c r="BS24" i="5"/>
  <c r="BT24" i="5"/>
  <c r="BQ25" i="5"/>
  <c r="BS25" i="5"/>
  <c r="BT25" i="5"/>
  <c r="BO26" i="5"/>
  <c r="BQ26" i="5"/>
  <c r="BS26" i="5"/>
  <c r="BT26" i="5"/>
  <c r="BQ27" i="5"/>
  <c r="BS27" i="5"/>
  <c r="BT27" i="5"/>
  <c r="BO28" i="5"/>
  <c r="BQ28" i="5"/>
  <c r="BS28" i="5"/>
  <c r="BT28" i="5"/>
  <c r="BQ29" i="5"/>
  <c r="BS29" i="5"/>
  <c r="BT29" i="5"/>
  <c r="BO30" i="5"/>
  <c r="BQ30" i="5"/>
  <c r="BS30" i="5"/>
  <c r="BU30" i="5" s="1"/>
  <c r="BT30" i="5"/>
  <c r="BQ31" i="5"/>
  <c r="BS31" i="5"/>
  <c r="BT31" i="5"/>
  <c r="BO32" i="5"/>
  <c r="BQ32" i="5"/>
  <c r="BS32" i="5"/>
  <c r="BT32" i="5"/>
  <c r="BU32" i="5"/>
  <c r="BQ33" i="5"/>
  <c r="BS33" i="5"/>
  <c r="BT33" i="5"/>
  <c r="BO34" i="5"/>
  <c r="BQ34" i="5"/>
  <c r="BS34" i="5"/>
  <c r="BU34" i="5" s="1"/>
  <c r="BT34" i="5"/>
  <c r="BQ35" i="5"/>
  <c r="BS35" i="5"/>
  <c r="BT35" i="5"/>
  <c r="BO36" i="5"/>
  <c r="BQ36" i="5"/>
  <c r="BS36" i="5"/>
  <c r="BT36" i="5"/>
  <c r="BQ37" i="5"/>
  <c r="BS37" i="5"/>
  <c r="BT37" i="5"/>
  <c r="BO38" i="5"/>
  <c r="BQ38" i="5"/>
  <c r="BS38" i="5"/>
  <c r="BT38" i="5"/>
  <c r="BQ39" i="5"/>
  <c r="BS39" i="5"/>
  <c r="BT39" i="5"/>
  <c r="BO40" i="5"/>
  <c r="BQ40" i="5"/>
  <c r="BS40" i="5"/>
  <c r="BU40" i="5" s="1"/>
  <c r="BT40" i="5"/>
  <c r="BQ41" i="5"/>
  <c r="BS41" i="5"/>
  <c r="BT41" i="5"/>
  <c r="BO42" i="5"/>
  <c r="BQ42" i="5"/>
  <c r="BS42" i="5"/>
  <c r="BT42" i="5"/>
  <c r="BU42" i="5"/>
  <c r="BQ43" i="5"/>
  <c r="BS43" i="5"/>
  <c r="BU43" i="5" s="1"/>
  <c r="BT43" i="5"/>
  <c r="BO44" i="5"/>
  <c r="BQ44" i="5"/>
  <c r="BS44" i="5"/>
  <c r="BT44" i="5"/>
  <c r="BU44" i="5"/>
  <c r="BQ45" i="5"/>
  <c r="BS45" i="5"/>
  <c r="BT45" i="5"/>
  <c r="BO46" i="5"/>
  <c r="BQ46" i="5"/>
  <c r="BS46" i="5"/>
  <c r="BU46" i="5" s="1"/>
  <c r="BT46" i="5"/>
  <c r="BQ47" i="5"/>
  <c r="BS47" i="5"/>
  <c r="BT47" i="5"/>
  <c r="BO48" i="5"/>
  <c r="BQ48" i="5"/>
  <c r="BS48" i="5"/>
  <c r="BT48" i="5"/>
  <c r="BQ49" i="5"/>
  <c r="BS49" i="5"/>
  <c r="BT49" i="5"/>
  <c r="BO50" i="5"/>
  <c r="BQ50" i="5"/>
  <c r="BS50" i="5"/>
  <c r="BT50" i="5"/>
  <c r="BQ51" i="5"/>
  <c r="BS51" i="5"/>
  <c r="BT51" i="5"/>
  <c r="BO52" i="5"/>
  <c r="BQ52" i="5"/>
  <c r="BS52" i="5"/>
  <c r="BT52" i="5"/>
  <c r="BQ53" i="5"/>
  <c r="BS53" i="5"/>
  <c r="BT53" i="5"/>
  <c r="BO54" i="5"/>
  <c r="BQ54" i="5"/>
  <c r="BS54" i="5"/>
  <c r="BU54" i="5" s="1"/>
  <c r="BT54" i="5"/>
  <c r="BQ55" i="5"/>
  <c r="BS55" i="5"/>
  <c r="BU55" i="5" s="1"/>
  <c r="BT55" i="5"/>
  <c r="BO56" i="5"/>
  <c r="BQ56" i="5"/>
  <c r="BS56" i="5"/>
  <c r="BU56" i="5" s="1"/>
  <c r="BT56" i="5"/>
  <c r="AZ17" i="5"/>
  <c r="BA17" i="5"/>
  <c r="BB17" i="5"/>
  <c r="BC17" i="5"/>
  <c r="BD17" i="5"/>
  <c r="BE17" i="5"/>
  <c r="BJ17" i="5" s="1"/>
  <c r="BF17" i="5"/>
  <c r="BK17" i="5" s="1"/>
  <c r="BG17" i="5"/>
  <c r="BL17" i="5" s="1"/>
  <c r="AZ18" i="5"/>
  <c r="BH18" i="5" s="1"/>
  <c r="BA18" i="5"/>
  <c r="BI18" i="5" s="1"/>
  <c r="BB18" i="5"/>
  <c r="BJ18" i="5" s="1"/>
  <c r="BC18" i="5"/>
  <c r="BD18" i="5"/>
  <c r="BE18" i="5"/>
  <c r="BF18" i="5"/>
  <c r="BK18" i="5" s="1"/>
  <c r="BG18" i="5"/>
  <c r="BL18" i="5" s="1"/>
  <c r="AZ19" i="5"/>
  <c r="BA19" i="5"/>
  <c r="BB19" i="5"/>
  <c r="BC19" i="5"/>
  <c r="BD19" i="5"/>
  <c r="BE19" i="5"/>
  <c r="BF19" i="5"/>
  <c r="BK19" i="5" s="1"/>
  <c r="BG19" i="5"/>
  <c r="BL19" i="5"/>
  <c r="AZ20" i="5"/>
  <c r="BA20" i="5"/>
  <c r="BB20" i="5"/>
  <c r="BC20" i="5"/>
  <c r="BD20" i="5"/>
  <c r="BE20" i="5"/>
  <c r="BF20" i="5"/>
  <c r="BK20" i="5" s="1"/>
  <c r="BG20" i="5"/>
  <c r="BL20" i="5" s="1"/>
  <c r="BH20" i="5"/>
  <c r="AZ21" i="5"/>
  <c r="BA21" i="5"/>
  <c r="BB21" i="5"/>
  <c r="BC21" i="5"/>
  <c r="BH21" i="5" s="1"/>
  <c r="BD21" i="5"/>
  <c r="BI21" i="5" s="1"/>
  <c r="BE21" i="5"/>
  <c r="BF21" i="5"/>
  <c r="BK21" i="5" s="1"/>
  <c r="BG21" i="5"/>
  <c r="BL21" i="5" s="1"/>
  <c r="AZ22" i="5"/>
  <c r="BA22" i="5"/>
  <c r="BB22" i="5"/>
  <c r="BC22" i="5"/>
  <c r="BD22" i="5"/>
  <c r="BE22" i="5"/>
  <c r="BF22" i="5"/>
  <c r="BK22" i="5" s="1"/>
  <c r="BG22" i="5"/>
  <c r="BL22" i="5"/>
  <c r="AZ23" i="5"/>
  <c r="BH23" i="5" s="1"/>
  <c r="BA23" i="5"/>
  <c r="BI23" i="5" s="1"/>
  <c r="BB23" i="5"/>
  <c r="BJ23" i="5" s="1"/>
  <c r="BC23" i="5"/>
  <c r="BD23" i="5"/>
  <c r="BE23" i="5"/>
  <c r="BF23" i="5"/>
  <c r="BK23" i="5" s="1"/>
  <c r="BG23" i="5"/>
  <c r="BL23" i="5" s="1"/>
  <c r="AZ24" i="5"/>
  <c r="BA24" i="5"/>
  <c r="BB24" i="5"/>
  <c r="BC24" i="5"/>
  <c r="BD24" i="5"/>
  <c r="BE24" i="5"/>
  <c r="BF24" i="5"/>
  <c r="BK24" i="5" s="1"/>
  <c r="BG24" i="5"/>
  <c r="BL24" i="5" s="1"/>
  <c r="AZ25" i="5"/>
  <c r="BA25" i="5"/>
  <c r="BB25" i="5"/>
  <c r="BJ25" i="5" s="1"/>
  <c r="BC25" i="5"/>
  <c r="BD25" i="5"/>
  <c r="BE25" i="5"/>
  <c r="BF25" i="5"/>
  <c r="BK25" i="5" s="1"/>
  <c r="BG25" i="5"/>
  <c r="BL25" i="5" s="1"/>
  <c r="BH25" i="5"/>
  <c r="BI25" i="5"/>
  <c r="AZ26" i="5"/>
  <c r="BA26" i="5"/>
  <c r="BB26" i="5"/>
  <c r="BC26" i="5"/>
  <c r="BD26" i="5"/>
  <c r="BE26" i="5"/>
  <c r="BF26" i="5"/>
  <c r="BK26" i="5" s="1"/>
  <c r="BG26" i="5"/>
  <c r="BL26" i="5" s="1"/>
  <c r="AZ27" i="5"/>
  <c r="BA27" i="5"/>
  <c r="BB27" i="5"/>
  <c r="BC27" i="5"/>
  <c r="BD27" i="5"/>
  <c r="BE27" i="5"/>
  <c r="BF27" i="5"/>
  <c r="BG27" i="5"/>
  <c r="BL27" i="5" s="1"/>
  <c r="BH27" i="5"/>
  <c r="BI27" i="5"/>
  <c r="BJ27" i="5"/>
  <c r="BK27" i="5"/>
  <c r="AZ28" i="5"/>
  <c r="BA28" i="5"/>
  <c r="BB28" i="5"/>
  <c r="BC28" i="5"/>
  <c r="BD28" i="5"/>
  <c r="BE28" i="5"/>
  <c r="BF28" i="5"/>
  <c r="BK28" i="5" s="1"/>
  <c r="BG28" i="5"/>
  <c r="BL28" i="5" s="1"/>
  <c r="AZ29" i="5"/>
  <c r="BA29" i="5"/>
  <c r="BB29" i="5"/>
  <c r="BC29" i="5"/>
  <c r="BD29" i="5"/>
  <c r="BE29" i="5"/>
  <c r="BF29" i="5"/>
  <c r="BG29" i="5"/>
  <c r="BL29" i="5" s="1"/>
  <c r="BJ29" i="5"/>
  <c r="BK29" i="5"/>
  <c r="AZ30" i="5"/>
  <c r="BA30" i="5"/>
  <c r="BB30" i="5"/>
  <c r="BC30" i="5"/>
  <c r="BD30" i="5"/>
  <c r="BE30" i="5"/>
  <c r="BF30" i="5"/>
  <c r="BK30" i="5" s="1"/>
  <c r="BG30" i="5"/>
  <c r="BL30" i="5" s="1"/>
  <c r="AZ31" i="5"/>
  <c r="BA31" i="5"/>
  <c r="BB31" i="5"/>
  <c r="BC31" i="5"/>
  <c r="BH31" i="5" s="1"/>
  <c r="BD31" i="5"/>
  <c r="BI31" i="5" s="1"/>
  <c r="BE31" i="5"/>
  <c r="BF31" i="5"/>
  <c r="BK31" i="5" s="1"/>
  <c r="BG31" i="5"/>
  <c r="BL31" i="5" s="1"/>
  <c r="AZ32" i="5"/>
  <c r="BA32" i="5"/>
  <c r="BB32" i="5"/>
  <c r="BC32" i="5"/>
  <c r="BH32" i="5" s="1"/>
  <c r="BD32" i="5"/>
  <c r="BI32" i="5" s="1"/>
  <c r="BE32" i="5"/>
  <c r="BJ32" i="5" s="1"/>
  <c r="BF32" i="5"/>
  <c r="BG32" i="5"/>
  <c r="BK32" i="5"/>
  <c r="BL32" i="5"/>
  <c r="AZ33" i="5"/>
  <c r="BA33" i="5"/>
  <c r="BB33" i="5"/>
  <c r="BC33" i="5"/>
  <c r="BD33" i="5"/>
  <c r="BE33" i="5"/>
  <c r="BF33" i="5"/>
  <c r="BK33" i="5" s="1"/>
  <c r="BG33" i="5"/>
  <c r="BL33" i="5" s="1"/>
  <c r="AZ34" i="5"/>
  <c r="BA34" i="5"/>
  <c r="BB34" i="5"/>
  <c r="BC34" i="5"/>
  <c r="BD34" i="5"/>
  <c r="BE34" i="5"/>
  <c r="BF34" i="5"/>
  <c r="BK34" i="5" s="1"/>
  <c r="BG34" i="5"/>
  <c r="BL34" i="5" s="1"/>
  <c r="AZ35" i="5"/>
  <c r="BA35" i="5"/>
  <c r="BB35" i="5"/>
  <c r="BC35" i="5"/>
  <c r="BD35" i="5"/>
  <c r="BE35" i="5"/>
  <c r="BF35" i="5"/>
  <c r="BK35" i="5" s="1"/>
  <c r="BG35" i="5"/>
  <c r="BL35" i="5"/>
  <c r="AZ36" i="5"/>
  <c r="BA36" i="5"/>
  <c r="BB36" i="5"/>
  <c r="BC36" i="5"/>
  <c r="BD36" i="5"/>
  <c r="BE36" i="5"/>
  <c r="BF36" i="5"/>
  <c r="BK36" i="5" s="1"/>
  <c r="BG36" i="5"/>
  <c r="BL36" i="5" s="1"/>
  <c r="AZ37" i="5"/>
  <c r="BA37" i="5"/>
  <c r="BB37" i="5"/>
  <c r="BC37" i="5"/>
  <c r="BD37" i="5"/>
  <c r="BE37" i="5"/>
  <c r="BF37" i="5"/>
  <c r="BK37" i="5" s="1"/>
  <c r="BG37" i="5"/>
  <c r="BL37" i="5" s="1"/>
  <c r="AZ38" i="5"/>
  <c r="BA38" i="5"/>
  <c r="BB38" i="5"/>
  <c r="BC38" i="5"/>
  <c r="BD38" i="5"/>
  <c r="BI38" i="5" s="1"/>
  <c r="BE38" i="5"/>
  <c r="BJ38" i="5" s="1"/>
  <c r="BF38" i="5"/>
  <c r="BG38" i="5"/>
  <c r="BK38" i="5"/>
  <c r="BL38" i="5"/>
  <c r="AZ39" i="5"/>
  <c r="BA39" i="5"/>
  <c r="BB39" i="5"/>
  <c r="BC39" i="5"/>
  <c r="BD39" i="5"/>
  <c r="BE39" i="5"/>
  <c r="BF39" i="5"/>
  <c r="BK39" i="5" s="1"/>
  <c r="BG39" i="5"/>
  <c r="BL39" i="5" s="1"/>
  <c r="AZ40" i="5"/>
  <c r="BA40" i="5"/>
  <c r="BB40" i="5"/>
  <c r="BC40" i="5"/>
  <c r="BH40" i="5" s="1"/>
  <c r="BD40" i="5"/>
  <c r="BI40" i="5" s="1"/>
  <c r="BE40" i="5"/>
  <c r="BJ40" i="5" s="1"/>
  <c r="BF40" i="5"/>
  <c r="BK40" i="5" s="1"/>
  <c r="BG40" i="5"/>
  <c r="BL40" i="5" s="1"/>
  <c r="AZ41" i="5"/>
  <c r="BA41" i="5"/>
  <c r="BB41" i="5"/>
  <c r="BC41" i="5"/>
  <c r="BD41" i="5"/>
  <c r="BI41" i="5" s="1"/>
  <c r="BE41" i="5"/>
  <c r="BJ41" i="5" s="1"/>
  <c r="BF41" i="5"/>
  <c r="BK41" i="5" s="1"/>
  <c r="BG41" i="5"/>
  <c r="BL41" i="5" s="1"/>
  <c r="AZ42" i="5"/>
  <c r="BA42" i="5"/>
  <c r="BI42" i="5" s="1"/>
  <c r="BB42" i="5"/>
  <c r="BC42" i="5"/>
  <c r="BD42" i="5"/>
  <c r="BE42" i="5"/>
  <c r="BJ42" i="5" s="1"/>
  <c r="BF42" i="5"/>
  <c r="BK42" i="5" s="1"/>
  <c r="BG42" i="5"/>
  <c r="BL42" i="5" s="1"/>
  <c r="AZ43" i="5"/>
  <c r="BA43" i="5"/>
  <c r="BB43" i="5"/>
  <c r="BC43" i="5"/>
  <c r="BH43" i="5" s="1"/>
  <c r="BD43" i="5"/>
  <c r="BE43" i="5"/>
  <c r="BF43" i="5"/>
  <c r="BK43" i="5" s="1"/>
  <c r="BG43" i="5"/>
  <c r="BL43" i="5" s="1"/>
  <c r="AZ44" i="5"/>
  <c r="BA44" i="5"/>
  <c r="BB44" i="5"/>
  <c r="BC44" i="5"/>
  <c r="BD44" i="5"/>
  <c r="BE44" i="5"/>
  <c r="BF44" i="5"/>
  <c r="BK44" i="5" s="1"/>
  <c r="BG44" i="5"/>
  <c r="BL44" i="5" s="1"/>
  <c r="AZ45" i="5"/>
  <c r="BA45" i="5"/>
  <c r="BB45" i="5"/>
  <c r="BC45" i="5"/>
  <c r="BH45" i="5" s="1"/>
  <c r="BD45" i="5"/>
  <c r="BE45" i="5"/>
  <c r="BF45" i="5"/>
  <c r="BK45" i="5" s="1"/>
  <c r="BG45" i="5"/>
  <c r="BL45" i="5"/>
  <c r="AZ46" i="5"/>
  <c r="BA46" i="5"/>
  <c r="BB46" i="5"/>
  <c r="BC46" i="5"/>
  <c r="BD46" i="5"/>
  <c r="BE46" i="5"/>
  <c r="BF46" i="5"/>
  <c r="BK46" i="5" s="1"/>
  <c r="BG46" i="5"/>
  <c r="BL46" i="5" s="1"/>
  <c r="AZ47" i="5"/>
  <c r="BA47" i="5"/>
  <c r="BB47" i="5"/>
  <c r="BC47" i="5"/>
  <c r="BD47" i="5"/>
  <c r="BE47" i="5"/>
  <c r="BF47" i="5"/>
  <c r="BK47" i="5" s="1"/>
  <c r="BG47" i="5"/>
  <c r="BL47" i="5" s="1"/>
  <c r="AZ48" i="5"/>
  <c r="BA48" i="5"/>
  <c r="BB48" i="5"/>
  <c r="BC48" i="5"/>
  <c r="BD48" i="5"/>
  <c r="BE48" i="5"/>
  <c r="BF48" i="5"/>
  <c r="BK48" i="5" s="1"/>
  <c r="BG48" i="5"/>
  <c r="BL48" i="5" s="1"/>
  <c r="AZ49" i="5"/>
  <c r="BA49" i="5"/>
  <c r="BB49" i="5"/>
  <c r="BC49" i="5"/>
  <c r="BH49" i="5" s="1"/>
  <c r="BD49" i="5"/>
  <c r="BI49" i="5" s="1"/>
  <c r="BE49" i="5"/>
  <c r="BJ49" i="5" s="1"/>
  <c r="BF49" i="5"/>
  <c r="BK49" i="5" s="1"/>
  <c r="BG49" i="5"/>
  <c r="BL49" i="5" s="1"/>
  <c r="AZ50" i="5"/>
  <c r="BA50" i="5"/>
  <c r="BB50" i="5"/>
  <c r="BC50" i="5"/>
  <c r="BD50" i="5"/>
  <c r="BE50" i="5"/>
  <c r="BF50" i="5"/>
  <c r="BG50" i="5"/>
  <c r="BL50" i="5" s="1"/>
  <c r="BK50" i="5"/>
  <c r="AZ51" i="5"/>
  <c r="BA51" i="5"/>
  <c r="BB51" i="5"/>
  <c r="BC51" i="5"/>
  <c r="BD51" i="5"/>
  <c r="BE51" i="5"/>
  <c r="BF51" i="5"/>
  <c r="BG51" i="5"/>
  <c r="BL51" i="5" s="1"/>
  <c r="BK51" i="5"/>
  <c r="AZ52" i="5"/>
  <c r="BA52" i="5"/>
  <c r="BB52" i="5"/>
  <c r="BC52" i="5"/>
  <c r="BD52" i="5"/>
  <c r="BE52" i="5"/>
  <c r="BF52" i="5"/>
  <c r="BK52" i="5" s="1"/>
  <c r="BG52" i="5"/>
  <c r="BL52" i="5" s="1"/>
  <c r="AZ53" i="5"/>
  <c r="BA53" i="5"/>
  <c r="BB53" i="5"/>
  <c r="BC53" i="5"/>
  <c r="BD53" i="5"/>
  <c r="BE53" i="5"/>
  <c r="BF53" i="5"/>
  <c r="BK53" i="5" s="1"/>
  <c r="BG53" i="5"/>
  <c r="BL53" i="5" s="1"/>
  <c r="AZ54" i="5"/>
  <c r="BA54" i="5"/>
  <c r="BB54" i="5"/>
  <c r="BC54" i="5"/>
  <c r="BH54" i="5" s="1"/>
  <c r="BD54" i="5"/>
  <c r="BI54" i="5" s="1"/>
  <c r="BE54" i="5"/>
  <c r="BJ54" i="5" s="1"/>
  <c r="BF54" i="5"/>
  <c r="BK54" i="5" s="1"/>
  <c r="BG54" i="5"/>
  <c r="BL54" i="5" s="1"/>
  <c r="AZ55" i="5"/>
  <c r="BA55" i="5"/>
  <c r="BB55" i="5"/>
  <c r="BC55" i="5"/>
  <c r="BD55" i="5"/>
  <c r="BE55" i="5"/>
  <c r="BF55" i="5"/>
  <c r="BK55" i="5" s="1"/>
  <c r="BG55" i="5"/>
  <c r="BL55" i="5" s="1"/>
  <c r="BI55" i="5"/>
  <c r="AZ56" i="5"/>
  <c r="BA56" i="5"/>
  <c r="BB56" i="5"/>
  <c r="BC56" i="5"/>
  <c r="BD56" i="5"/>
  <c r="BI56" i="5" s="1"/>
  <c r="BE56" i="5"/>
  <c r="BJ56" i="5" s="1"/>
  <c r="BF56" i="5"/>
  <c r="BG56" i="5"/>
  <c r="BK56" i="5"/>
  <c r="BL56" i="5"/>
  <c r="BN10" i="2"/>
  <c r="BO10" i="2"/>
  <c r="BQ10" i="2"/>
  <c r="BS10" i="2"/>
  <c r="BT10" i="2"/>
  <c r="BU10" i="2"/>
  <c r="BN11" i="2"/>
  <c r="BQ11" i="2"/>
  <c r="BS11" i="2"/>
  <c r="BT11" i="2"/>
  <c r="BV11" i="2"/>
  <c r="BW11" i="2"/>
  <c r="BX11" i="2"/>
  <c r="BN12" i="2"/>
  <c r="BO12" i="2"/>
  <c r="BQ12" i="2"/>
  <c r="BS12" i="2"/>
  <c r="BT12" i="2"/>
  <c r="BN13" i="2"/>
  <c r="BR13" i="2"/>
  <c r="BQ13" i="2"/>
  <c r="BS13" i="2"/>
  <c r="BT13" i="2"/>
  <c r="BU13" i="2"/>
  <c r="BV13" i="2"/>
  <c r="BW13" i="2"/>
  <c r="BX13" i="2"/>
  <c r="BN14" i="2"/>
  <c r="BO14" i="2"/>
  <c r="BQ14" i="2"/>
  <c r="BS14" i="2"/>
  <c r="BT14" i="2"/>
  <c r="BU14" i="2" s="1"/>
  <c r="BN15" i="2"/>
  <c r="BR15" i="2"/>
  <c r="BQ15" i="2"/>
  <c r="BS15" i="2"/>
  <c r="BU15" i="2" s="1"/>
  <c r="BT15" i="2"/>
  <c r="BV15" i="2"/>
  <c r="BW15" i="2"/>
  <c r="BX15" i="2"/>
  <c r="BN16" i="2"/>
  <c r="BO16" i="2"/>
  <c r="BQ16" i="2"/>
  <c r="BS16" i="2"/>
  <c r="BT16" i="2"/>
  <c r="BN17" i="2"/>
  <c r="BR17" i="2"/>
  <c r="BQ17" i="2"/>
  <c r="BS17" i="2"/>
  <c r="BU17" i="2" s="1"/>
  <c r="BT17" i="2"/>
  <c r="BV17" i="2"/>
  <c r="BW17" i="2"/>
  <c r="BX17" i="2"/>
  <c r="BN18" i="2"/>
  <c r="BO18" i="2"/>
  <c r="BQ18" i="2"/>
  <c r="BS18" i="2"/>
  <c r="BT18" i="2"/>
  <c r="BU18" i="2"/>
  <c r="BN19" i="2"/>
  <c r="BQ19" i="2"/>
  <c r="BR19" i="2"/>
  <c r="BS19" i="2"/>
  <c r="BT19" i="2"/>
  <c r="BU19" i="2"/>
  <c r="BV19" i="2"/>
  <c r="BW19" i="2"/>
  <c r="BX19" i="2"/>
  <c r="BN20" i="2"/>
  <c r="BO20" i="2"/>
  <c r="BQ20" i="2"/>
  <c r="BS20" i="2"/>
  <c r="BU20" i="2" s="1"/>
  <c r="BT20" i="2"/>
  <c r="BN21" i="2"/>
  <c r="BQ21" i="2"/>
  <c r="BS21" i="2"/>
  <c r="BT21" i="2"/>
  <c r="BU21" i="2"/>
  <c r="BN22" i="2"/>
  <c r="BO22" i="2"/>
  <c r="BQ22" i="2"/>
  <c r="BS22" i="2"/>
  <c r="BT22" i="2"/>
  <c r="BU22" i="2" s="1"/>
  <c r="BN23" i="2"/>
  <c r="BQ23" i="2"/>
  <c r="BS23" i="2"/>
  <c r="BT23" i="2"/>
  <c r="BN24" i="2"/>
  <c r="BO24" i="2"/>
  <c r="BQ24" i="2"/>
  <c r="BS24" i="2"/>
  <c r="BT24" i="2"/>
  <c r="BU24" i="2" s="1"/>
  <c r="BN25" i="2"/>
  <c r="BQ25" i="2"/>
  <c r="BS25" i="2"/>
  <c r="BT25" i="2"/>
  <c r="BN26" i="2"/>
  <c r="BO26" i="2"/>
  <c r="BQ26" i="2"/>
  <c r="BS26" i="2"/>
  <c r="BT26" i="2"/>
  <c r="BN27" i="2"/>
  <c r="BQ27" i="2"/>
  <c r="BS27" i="2"/>
  <c r="BT27" i="2"/>
  <c r="BU27" i="2" s="1"/>
  <c r="BN28" i="2"/>
  <c r="BO28" i="2"/>
  <c r="BQ28" i="2"/>
  <c r="BS28" i="2"/>
  <c r="BT28" i="2"/>
  <c r="BU28" i="2"/>
  <c r="BN29" i="2"/>
  <c r="BQ29" i="2"/>
  <c r="BS29" i="2"/>
  <c r="BT29" i="2"/>
  <c r="BN30" i="2"/>
  <c r="BO30" i="2"/>
  <c r="BQ30" i="2"/>
  <c r="BS30" i="2"/>
  <c r="BU30" i="2" s="1"/>
  <c r="BT30" i="2"/>
  <c r="BN31" i="2"/>
  <c r="BQ31" i="2"/>
  <c r="BS31" i="2"/>
  <c r="BT31" i="2"/>
  <c r="BW31" i="2" s="1"/>
  <c r="BU31" i="2"/>
  <c r="BN32" i="2"/>
  <c r="BO32" i="2"/>
  <c r="BQ32" i="2"/>
  <c r="BS32" i="2"/>
  <c r="BT32" i="2"/>
  <c r="BU32" i="2"/>
  <c r="BN33" i="2"/>
  <c r="BQ33" i="2"/>
  <c r="BS33" i="2"/>
  <c r="BT33" i="2"/>
  <c r="BV33" i="2"/>
  <c r="BW33" i="2"/>
  <c r="BX33" i="2"/>
  <c r="BN34" i="2"/>
  <c r="BO34" i="2"/>
  <c r="BQ34" i="2"/>
  <c r="BS34" i="2"/>
  <c r="BT34" i="2"/>
  <c r="BU34" i="2"/>
  <c r="BN35" i="2"/>
  <c r="BQ35" i="2"/>
  <c r="BS35" i="2"/>
  <c r="BT35" i="2"/>
  <c r="BN36" i="2"/>
  <c r="BO36" i="2"/>
  <c r="BQ36" i="2"/>
  <c r="BS36" i="2"/>
  <c r="BV35" i="2" s="1"/>
  <c r="BT36" i="2"/>
  <c r="BW37" i="2" s="1"/>
  <c r="BN37" i="2"/>
  <c r="BR37" i="2"/>
  <c r="BQ37" i="2"/>
  <c r="BS37" i="2"/>
  <c r="BT37" i="2"/>
  <c r="BN38" i="2"/>
  <c r="BO38" i="2"/>
  <c r="BQ38" i="2"/>
  <c r="BS38" i="2"/>
  <c r="BU38" i="2" s="1"/>
  <c r="BT38" i="2"/>
  <c r="BN39" i="2"/>
  <c r="BQ39" i="2"/>
  <c r="BS39" i="2"/>
  <c r="BT39" i="2"/>
  <c r="BU39" i="2"/>
  <c r="BN40" i="2"/>
  <c r="BO40" i="2"/>
  <c r="BQ40" i="2"/>
  <c r="BS40" i="2"/>
  <c r="BT40" i="2"/>
  <c r="BN41" i="2"/>
  <c r="BQ41" i="2"/>
  <c r="BS41" i="2"/>
  <c r="BU41" i="2" s="1"/>
  <c r="BT41" i="2"/>
  <c r="BN42" i="2"/>
  <c r="BO42" i="2"/>
  <c r="BQ42" i="2"/>
  <c r="BS42" i="2"/>
  <c r="BT42" i="2"/>
  <c r="BN43" i="2"/>
  <c r="BQ43" i="2"/>
  <c r="BS43" i="2"/>
  <c r="BU43" i="2" s="1"/>
  <c r="BT43" i="2"/>
  <c r="BN44" i="2"/>
  <c r="BO44" i="2"/>
  <c r="BQ44" i="2"/>
  <c r="BS44" i="2"/>
  <c r="BT44" i="2"/>
  <c r="BU44" i="2" s="1"/>
  <c r="BN45" i="2"/>
  <c r="BQ45" i="2"/>
  <c r="BS45" i="2"/>
  <c r="BT45" i="2"/>
  <c r="BU45" i="2"/>
  <c r="BN46" i="2"/>
  <c r="BO46" i="2"/>
  <c r="BQ46" i="2"/>
  <c r="BS46" i="2"/>
  <c r="BT46" i="2"/>
  <c r="BU46" i="2"/>
  <c r="BN47" i="2"/>
  <c r="BQ47" i="2"/>
  <c r="BS47" i="2"/>
  <c r="BT47" i="2"/>
  <c r="BN48" i="2"/>
  <c r="BO48" i="2"/>
  <c r="BQ48" i="2"/>
  <c r="BS48" i="2"/>
  <c r="BT48" i="2"/>
  <c r="BN49" i="2"/>
  <c r="BQ49" i="2"/>
  <c r="BS49" i="2"/>
  <c r="BT49" i="2"/>
  <c r="BN50" i="2"/>
  <c r="BO50" i="2"/>
  <c r="BQ50" i="2"/>
  <c r="BS50" i="2"/>
  <c r="BT50" i="2"/>
  <c r="BN51" i="2"/>
  <c r="BQ51" i="2"/>
  <c r="BS51" i="2"/>
  <c r="BT51" i="2"/>
  <c r="BN52" i="2"/>
  <c r="BO52" i="2"/>
  <c r="BQ52" i="2"/>
  <c r="BS52" i="2"/>
  <c r="BT52" i="2"/>
  <c r="BN53" i="2"/>
  <c r="BQ53" i="2"/>
  <c r="BS53" i="2"/>
  <c r="BT53" i="2"/>
  <c r="BN54" i="2"/>
  <c r="BO54" i="2"/>
  <c r="BQ54" i="2"/>
  <c r="BS54" i="2"/>
  <c r="BT54" i="2"/>
  <c r="BN55" i="2"/>
  <c r="BQ55" i="2"/>
  <c r="BS55" i="2"/>
  <c r="BT55" i="2"/>
  <c r="BN56" i="2"/>
  <c r="BO56" i="2"/>
  <c r="BQ56" i="2"/>
  <c r="BS56" i="2"/>
  <c r="BT56" i="2"/>
  <c r="BN57" i="2"/>
  <c r="BQ57" i="2"/>
  <c r="BS57" i="2"/>
  <c r="BT57" i="2"/>
  <c r="BN58" i="2"/>
  <c r="BO58" i="2"/>
  <c r="BQ58" i="2"/>
  <c r="BS58" i="2"/>
  <c r="BT58" i="2"/>
  <c r="BN59" i="2"/>
  <c r="BQ59" i="2"/>
  <c r="BS59" i="2"/>
  <c r="BT59" i="2"/>
  <c r="BN60" i="2"/>
  <c r="BO60" i="2"/>
  <c r="BQ60" i="2"/>
  <c r="BS60" i="2"/>
  <c r="BT60" i="2"/>
  <c r="BN61" i="2"/>
  <c r="BQ61" i="2"/>
  <c r="BS61" i="2"/>
  <c r="BU61" i="2" s="1"/>
  <c r="BT61" i="2"/>
  <c r="BN62" i="2"/>
  <c r="BO62" i="2"/>
  <c r="BQ62" i="2"/>
  <c r="BS62" i="2"/>
  <c r="BT62" i="2"/>
  <c r="BN63" i="2"/>
  <c r="BQ63" i="2"/>
  <c r="BS63" i="2"/>
  <c r="BU63" i="2" s="1"/>
  <c r="BT63" i="2"/>
  <c r="BV63" i="2"/>
  <c r="BW63" i="2"/>
  <c r="BX63" i="2"/>
  <c r="AZ9" i="2"/>
  <c r="BA9" i="2"/>
  <c r="BB9" i="2"/>
  <c r="BC9" i="2"/>
  <c r="BD9" i="2"/>
  <c r="BE9" i="2"/>
  <c r="BJ9" i="2" s="1"/>
  <c r="BF9" i="2"/>
  <c r="BK9" i="2" s="1"/>
  <c r="BG9" i="2"/>
  <c r="BL9" i="2" s="1"/>
  <c r="BH9" i="2"/>
  <c r="BI9" i="2"/>
  <c r="AZ10" i="2"/>
  <c r="BA10" i="2"/>
  <c r="BB10" i="2"/>
  <c r="BC10" i="2"/>
  <c r="BD10" i="2"/>
  <c r="BE10" i="2"/>
  <c r="BF10" i="2"/>
  <c r="BK10" i="2" s="1"/>
  <c r="BG10" i="2"/>
  <c r="BL10" i="2" s="1"/>
  <c r="BH10" i="2"/>
  <c r="BI10" i="2"/>
  <c r="BJ10" i="2"/>
  <c r="AZ11" i="2"/>
  <c r="BA11" i="2"/>
  <c r="BB11" i="2"/>
  <c r="BC11" i="2"/>
  <c r="BD11" i="2"/>
  <c r="BE11" i="2"/>
  <c r="BF11" i="2"/>
  <c r="BK11" i="2" s="1"/>
  <c r="BG11" i="2"/>
  <c r="BL11" i="2" s="1"/>
  <c r="AZ12" i="2"/>
  <c r="BA12" i="2"/>
  <c r="BI12" i="2" s="1"/>
  <c r="BB12" i="2"/>
  <c r="BJ12" i="2" s="1"/>
  <c r="BC12" i="2"/>
  <c r="BD12" i="2"/>
  <c r="BE12" i="2"/>
  <c r="BF12" i="2"/>
  <c r="BK12" i="2" s="1"/>
  <c r="BG12" i="2"/>
  <c r="BL12" i="2" s="1"/>
  <c r="BH12" i="2"/>
  <c r="AZ13" i="2"/>
  <c r="BA13" i="2"/>
  <c r="BB13" i="2"/>
  <c r="BC13" i="2"/>
  <c r="BH13" i="2" s="1"/>
  <c r="BD13" i="2"/>
  <c r="BE13" i="2"/>
  <c r="BJ13" i="2" s="1"/>
  <c r="BF13" i="2"/>
  <c r="BG13" i="2"/>
  <c r="BL13" i="2" s="1"/>
  <c r="BK13" i="2"/>
  <c r="AZ14" i="2"/>
  <c r="BA14" i="2"/>
  <c r="BB14" i="2"/>
  <c r="BC14" i="2"/>
  <c r="BD14" i="2"/>
  <c r="BE14" i="2"/>
  <c r="BF14" i="2"/>
  <c r="BK14" i="2" s="1"/>
  <c r="BG14" i="2"/>
  <c r="BL14" i="2" s="1"/>
  <c r="AZ15" i="2"/>
  <c r="BA15" i="2"/>
  <c r="BB15" i="2"/>
  <c r="BC15" i="2"/>
  <c r="BH15" i="2" s="1"/>
  <c r="BD15" i="2"/>
  <c r="BE15" i="2"/>
  <c r="BF15" i="2"/>
  <c r="BG15" i="2"/>
  <c r="BI15" i="2"/>
  <c r="BJ15" i="2"/>
  <c r="BK15" i="2"/>
  <c r="BL15" i="2"/>
  <c r="AZ16" i="2"/>
  <c r="BH16" i="2" s="1"/>
  <c r="BA16" i="2"/>
  <c r="BI16" i="2" s="1"/>
  <c r="BB16" i="2"/>
  <c r="BJ16" i="2" s="1"/>
  <c r="BC16" i="2"/>
  <c r="BD16" i="2"/>
  <c r="BE16" i="2"/>
  <c r="BF16" i="2"/>
  <c r="BG16" i="2"/>
  <c r="BK16" i="2"/>
  <c r="BL16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AZ18" i="2"/>
  <c r="BH18" i="2" s="1"/>
  <c r="BA18" i="2"/>
  <c r="BI18" i="2" s="1"/>
  <c r="BB18" i="2"/>
  <c r="BJ18" i="2" s="1"/>
  <c r="BC18" i="2"/>
  <c r="BD18" i="2"/>
  <c r="BE18" i="2"/>
  <c r="BF18" i="2"/>
  <c r="BG18" i="2"/>
  <c r="BK18" i="2"/>
  <c r="BL18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AZ20" i="2"/>
  <c r="BA20" i="2"/>
  <c r="BI20" i="2" s="1"/>
  <c r="BB20" i="2"/>
  <c r="BJ20" i="2" s="1"/>
  <c r="BC20" i="2"/>
  <c r="BD20" i="2"/>
  <c r="BE20" i="2"/>
  <c r="BF20" i="2"/>
  <c r="BK20" i="2" s="1"/>
  <c r="BG20" i="2"/>
  <c r="BL20" i="2" s="1"/>
  <c r="AZ22" i="2"/>
  <c r="BH22" i="2" s="1"/>
  <c r="BA22" i="2"/>
  <c r="BB22" i="2"/>
  <c r="BC22" i="2"/>
  <c r="BD22" i="2"/>
  <c r="BE22" i="2"/>
  <c r="BF22" i="2"/>
  <c r="BK22" i="2" s="1"/>
  <c r="BG22" i="2"/>
  <c r="BL22" i="2" s="1"/>
  <c r="AZ23" i="2"/>
  <c r="BA23" i="2"/>
  <c r="BB23" i="2"/>
  <c r="BC23" i="2"/>
  <c r="BD23" i="2"/>
  <c r="BE23" i="2"/>
  <c r="BF23" i="2"/>
  <c r="BK23" i="2" s="1"/>
  <c r="BG23" i="2"/>
  <c r="BL23" i="2" s="1"/>
  <c r="BH23" i="2"/>
  <c r="BI23" i="2"/>
  <c r="AZ24" i="2"/>
  <c r="BA24" i="2"/>
  <c r="BB24" i="2"/>
  <c r="BC24" i="2"/>
  <c r="BH24" i="2" s="1"/>
  <c r="BD24" i="2"/>
  <c r="BI24" i="2" s="1"/>
  <c r="BE24" i="2"/>
  <c r="BF24" i="2"/>
  <c r="BK24" i="2" s="1"/>
  <c r="BG24" i="2"/>
  <c r="BL24" i="2"/>
  <c r="AZ25" i="2"/>
  <c r="BA25" i="2"/>
  <c r="BB25" i="2"/>
  <c r="BC25" i="2"/>
  <c r="BD25" i="2"/>
  <c r="BE25" i="2"/>
  <c r="BF25" i="2"/>
  <c r="BK25" i="2" s="1"/>
  <c r="BG25" i="2"/>
  <c r="BL25" i="2" s="1"/>
  <c r="AZ26" i="2"/>
  <c r="BA26" i="2"/>
  <c r="BB26" i="2"/>
  <c r="BC26" i="2"/>
  <c r="BD26" i="2"/>
  <c r="BE26" i="2"/>
  <c r="BF26" i="2"/>
  <c r="BG26" i="2"/>
  <c r="BJ26" i="2"/>
  <c r="BK26" i="2"/>
  <c r="BL26" i="2"/>
  <c r="AZ27" i="2"/>
  <c r="BA27" i="2"/>
  <c r="BB27" i="2"/>
  <c r="BC27" i="2"/>
  <c r="BD27" i="2"/>
  <c r="BE27" i="2"/>
  <c r="BF27" i="2"/>
  <c r="BK27" i="2" s="1"/>
  <c r="BG27" i="2"/>
  <c r="BL27" i="2" s="1"/>
  <c r="AZ28" i="2"/>
  <c r="BA28" i="2"/>
  <c r="BB28" i="2"/>
  <c r="BC28" i="2"/>
  <c r="BH28" i="2" s="1"/>
  <c r="BD28" i="2"/>
  <c r="BE28" i="2"/>
  <c r="BF28" i="2"/>
  <c r="BG28" i="2"/>
  <c r="BI28" i="2"/>
  <c r="BJ28" i="2"/>
  <c r="BK28" i="2"/>
  <c r="BL28" i="2"/>
  <c r="AZ29" i="2"/>
  <c r="BA29" i="2"/>
  <c r="BB29" i="2"/>
  <c r="BC29" i="2"/>
  <c r="BD29" i="2"/>
  <c r="BE29" i="2"/>
  <c r="BF29" i="2"/>
  <c r="BK29" i="2" s="1"/>
  <c r="BG29" i="2"/>
  <c r="BL29" i="2" s="1"/>
  <c r="AZ30" i="2"/>
  <c r="BA30" i="2"/>
  <c r="BI30" i="2" s="1"/>
  <c r="BB30" i="2"/>
  <c r="BC30" i="2"/>
  <c r="BD30" i="2"/>
  <c r="BE30" i="2"/>
  <c r="BJ30" i="2" s="1"/>
  <c r="BF30" i="2"/>
  <c r="BK30" i="2" s="1"/>
  <c r="BG30" i="2"/>
  <c r="BH30" i="2"/>
  <c r="BL30" i="2"/>
  <c r="AZ31" i="2"/>
  <c r="BA31" i="2"/>
  <c r="BB31" i="2"/>
  <c r="BJ31" i="2" s="1"/>
  <c r="BC31" i="2"/>
  <c r="BD31" i="2"/>
  <c r="BE31" i="2"/>
  <c r="BF31" i="2"/>
  <c r="BK31" i="2" s="1"/>
  <c r="BG31" i="2"/>
  <c r="BL31" i="2" s="1"/>
  <c r="AZ32" i="2"/>
  <c r="BA32" i="2"/>
  <c r="BI32" i="2" s="1"/>
  <c r="BB32" i="2"/>
  <c r="BC32" i="2"/>
  <c r="BD32" i="2"/>
  <c r="BE32" i="2"/>
  <c r="BF32" i="2"/>
  <c r="BK32" i="2" s="1"/>
  <c r="BG32" i="2"/>
  <c r="BL32" i="2" s="1"/>
  <c r="BJ32" i="2"/>
  <c r="AZ33" i="2"/>
  <c r="BH33" i="2" s="1"/>
  <c r="BA33" i="2"/>
  <c r="BI33" i="2" s="1"/>
  <c r="BB33" i="2"/>
  <c r="BC33" i="2"/>
  <c r="BD33" i="2"/>
  <c r="BE33" i="2"/>
  <c r="BF33" i="2"/>
  <c r="BK33" i="2" s="1"/>
  <c r="BG33" i="2"/>
  <c r="BL33" i="2" s="1"/>
  <c r="AZ34" i="2"/>
  <c r="BA34" i="2"/>
  <c r="BB34" i="2"/>
  <c r="BJ34" i="2" s="1"/>
  <c r="BC34" i="2"/>
  <c r="BD34" i="2"/>
  <c r="BE34" i="2"/>
  <c r="BF34" i="2"/>
  <c r="BK34" i="2" s="1"/>
  <c r="BG34" i="2"/>
  <c r="BL34" i="2" s="1"/>
  <c r="AZ35" i="2"/>
  <c r="BA35" i="2"/>
  <c r="BB35" i="2"/>
  <c r="BC35" i="2"/>
  <c r="BD35" i="2"/>
  <c r="BI35" i="2" s="1"/>
  <c r="BE35" i="2"/>
  <c r="BJ35" i="2" s="1"/>
  <c r="BF35" i="2"/>
  <c r="BK35" i="2" s="1"/>
  <c r="BG35" i="2"/>
  <c r="BL35" i="2" s="1"/>
  <c r="AZ36" i="2"/>
  <c r="BA36" i="2"/>
  <c r="BB36" i="2"/>
  <c r="BC36" i="2"/>
  <c r="BD36" i="2"/>
  <c r="BE36" i="2"/>
  <c r="BF36" i="2"/>
  <c r="BK36" i="2" s="1"/>
  <c r="BG36" i="2"/>
  <c r="BL36" i="2" s="1"/>
  <c r="AZ37" i="2"/>
  <c r="BA37" i="2"/>
  <c r="BB37" i="2"/>
  <c r="BC37" i="2"/>
  <c r="BD37" i="2"/>
  <c r="BE37" i="2"/>
  <c r="BF37" i="2"/>
  <c r="BG37" i="2"/>
  <c r="BL37" i="2" s="1"/>
  <c r="BK37" i="2"/>
  <c r="AZ38" i="2"/>
  <c r="BA38" i="2"/>
  <c r="BB38" i="2"/>
  <c r="BC38" i="2"/>
  <c r="BD38" i="2"/>
  <c r="BE38" i="2"/>
  <c r="BF38" i="2"/>
  <c r="BK38" i="2" s="1"/>
  <c r="BG38" i="2"/>
  <c r="BL38" i="2"/>
  <c r="AZ39" i="2"/>
  <c r="BA39" i="2"/>
  <c r="BI39" i="2" s="1"/>
  <c r="BB39" i="2"/>
  <c r="BJ39" i="2" s="1"/>
  <c r="BC39" i="2"/>
  <c r="BD39" i="2"/>
  <c r="BE39" i="2"/>
  <c r="BF39" i="2"/>
  <c r="BK39" i="2" s="1"/>
  <c r="BG39" i="2"/>
  <c r="BL39" i="2" s="1"/>
  <c r="AZ40" i="2"/>
  <c r="BA40" i="2"/>
  <c r="BB40" i="2"/>
  <c r="BC40" i="2"/>
  <c r="BD40" i="2"/>
  <c r="BE40" i="2"/>
  <c r="BF40" i="2"/>
  <c r="BK40" i="2" s="1"/>
  <c r="BG40" i="2"/>
  <c r="BL40" i="2" s="1"/>
  <c r="AZ41" i="2"/>
  <c r="BA41" i="2"/>
  <c r="BB41" i="2"/>
  <c r="BC41" i="2"/>
  <c r="BD41" i="2"/>
  <c r="BE41" i="2"/>
  <c r="BF41" i="2"/>
  <c r="BK41" i="2" s="1"/>
  <c r="BG41" i="2"/>
  <c r="BL41" i="2" s="1"/>
  <c r="AZ42" i="2"/>
  <c r="BA42" i="2"/>
  <c r="BB42" i="2"/>
  <c r="BC42" i="2"/>
  <c r="BD42" i="2"/>
  <c r="BE42" i="2"/>
  <c r="BF42" i="2"/>
  <c r="BK42" i="2" s="1"/>
  <c r="BG42" i="2"/>
  <c r="BL42" i="2" s="1"/>
  <c r="AZ43" i="2"/>
  <c r="BA43" i="2"/>
  <c r="BB43" i="2"/>
  <c r="BC43" i="2"/>
  <c r="BD43" i="2"/>
  <c r="BE43" i="2"/>
  <c r="BF43" i="2"/>
  <c r="BK43" i="2" s="1"/>
  <c r="BG43" i="2"/>
  <c r="BL43" i="2"/>
  <c r="AZ44" i="2"/>
  <c r="BA44" i="2"/>
  <c r="BB44" i="2"/>
  <c r="BC44" i="2"/>
  <c r="BD44" i="2"/>
  <c r="BE44" i="2"/>
  <c r="BF44" i="2"/>
  <c r="BK44" i="2" s="1"/>
  <c r="BG44" i="2"/>
  <c r="BL44" i="2" s="1"/>
  <c r="AZ45" i="2"/>
  <c r="BA45" i="2"/>
  <c r="BB45" i="2"/>
  <c r="BC45" i="2"/>
  <c r="BD45" i="2"/>
  <c r="BE45" i="2"/>
  <c r="BF45" i="2"/>
  <c r="BK45" i="2" s="1"/>
  <c r="BG45" i="2"/>
  <c r="BL45" i="2" s="1"/>
  <c r="AZ46" i="2"/>
  <c r="BH46" i="2" s="1"/>
  <c r="BA46" i="2"/>
  <c r="BB46" i="2"/>
  <c r="BC46" i="2"/>
  <c r="BD46" i="2"/>
  <c r="BE46" i="2"/>
  <c r="BF46" i="2"/>
  <c r="BK46" i="2" s="1"/>
  <c r="BG46" i="2"/>
  <c r="BL46" i="2" s="1"/>
  <c r="AZ47" i="2"/>
  <c r="BA47" i="2"/>
  <c r="BB47" i="2"/>
  <c r="BC47" i="2"/>
  <c r="BD47" i="2"/>
  <c r="BE47" i="2"/>
  <c r="BF47" i="2"/>
  <c r="BK47" i="2" s="1"/>
  <c r="BG47" i="2"/>
  <c r="BL47" i="2" s="1"/>
  <c r="AZ48" i="2"/>
  <c r="BA48" i="2"/>
  <c r="BB48" i="2"/>
  <c r="BC48" i="2"/>
  <c r="BH48" i="2" s="1"/>
  <c r="BD48" i="2"/>
  <c r="BI48" i="2" s="1"/>
  <c r="BE48" i="2"/>
  <c r="BF48" i="2"/>
  <c r="BK48" i="2" s="1"/>
  <c r="BG48" i="2"/>
  <c r="BL48" i="2" s="1"/>
  <c r="AZ49" i="2"/>
  <c r="BA49" i="2"/>
  <c r="BB49" i="2"/>
  <c r="BC49" i="2"/>
  <c r="BD49" i="2"/>
  <c r="BE49" i="2"/>
  <c r="BF49" i="2"/>
  <c r="BK49" i="2" s="1"/>
  <c r="BG49" i="2"/>
  <c r="BL49" i="2" s="1"/>
  <c r="AZ50" i="2"/>
  <c r="BA50" i="2"/>
  <c r="BB50" i="2"/>
  <c r="BC50" i="2"/>
  <c r="BD50" i="2"/>
  <c r="BE50" i="2"/>
  <c r="BF50" i="2"/>
  <c r="BK50" i="2" s="1"/>
  <c r="BG50" i="2"/>
  <c r="BL50" i="2" s="1"/>
  <c r="AZ51" i="2"/>
  <c r="BA51" i="2"/>
  <c r="BB51" i="2"/>
  <c r="BC51" i="2"/>
  <c r="BD51" i="2"/>
  <c r="BE51" i="2"/>
  <c r="BF51" i="2"/>
  <c r="BK51" i="2" s="1"/>
  <c r="BG51" i="2"/>
  <c r="BL51" i="2" s="1"/>
  <c r="AZ52" i="2"/>
  <c r="BA52" i="2"/>
  <c r="BB52" i="2"/>
  <c r="BC52" i="2"/>
  <c r="BD52" i="2"/>
  <c r="BE52" i="2"/>
  <c r="BF52" i="2"/>
  <c r="BK52" i="2" s="1"/>
  <c r="BG52" i="2"/>
  <c r="BL52" i="2" s="1"/>
  <c r="AZ53" i="2"/>
  <c r="BA53" i="2"/>
  <c r="BB53" i="2"/>
  <c r="BC53" i="2"/>
  <c r="BD53" i="2"/>
  <c r="BE53" i="2"/>
  <c r="BF53" i="2"/>
  <c r="BK53" i="2" s="1"/>
  <c r="BG53" i="2"/>
  <c r="BL53" i="2" s="1"/>
  <c r="AZ54" i="2"/>
  <c r="BA54" i="2"/>
  <c r="BB54" i="2"/>
  <c r="BC54" i="2"/>
  <c r="BD54" i="2"/>
  <c r="BE54" i="2"/>
  <c r="BF54" i="2"/>
  <c r="BK54" i="2" s="1"/>
  <c r="BG54" i="2"/>
  <c r="BL54" i="2" s="1"/>
  <c r="AZ55" i="2"/>
  <c r="BA55" i="2"/>
  <c r="BB55" i="2"/>
  <c r="BC55" i="2"/>
  <c r="BD55" i="2"/>
  <c r="BE55" i="2"/>
  <c r="BJ55" i="2" s="1"/>
  <c r="BF55" i="2"/>
  <c r="BK55" i="2" s="1"/>
  <c r="BG55" i="2"/>
  <c r="BL55" i="2" s="1"/>
  <c r="AZ56" i="2"/>
  <c r="BA56" i="2"/>
  <c r="BB56" i="2"/>
  <c r="BC56" i="2"/>
  <c r="BD56" i="2"/>
  <c r="BE56" i="2"/>
  <c r="BF56" i="2"/>
  <c r="BK56" i="2" s="1"/>
  <c r="BG56" i="2"/>
  <c r="BL56" i="2" s="1"/>
  <c r="AZ57" i="2"/>
  <c r="BA57" i="2"/>
  <c r="BB57" i="2"/>
  <c r="BC57" i="2"/>
  <c r="BD57" i="2"/>
  <c r="BE57" i="2"/>
  <c r="BF57" i="2"/>
  <c r="BK57" i="2" s="1"/>
  <c r="BG57" i="2"/>
  <c r="BL57" i="2" s="1"/>
  <c r="AZ58" i="2"/>
  <c r="BA58" i="2"/>
  <c r="BB58" i="2"/>
  <c r="BC58" i="2"/>
  <c r="BD58" i="2"/>
  <c r="BE58" i="2"/>
  <c r="BF58" i="2"/>
  <c r="BK58" i="2" s="1"/>
  <c r="BG58" i="2"/>
  <c r="BL58" i="2" s="1"/>
  <c r="AZ59" i="2"/>
  <c r="BA59" i="2"/>
  <c r="BB59" i="2"/>
  <c r="BC59" i="2"/>
  <c r="BD59" i="2"/>
  <c r="BE59" i="2"/>
  <c r="BF59" i="2"/>
  <c r="BK59" i="2" s="1"/>
  <c r="BG59" i="2"/>
  <c r="BL59" i="2" s="1"/>
  <c r="BN63" i="1"/>
  <c r="AZ63" i="1"/>
  <c r="BA63" i="1"/>
  <c r="BB63" i="1"/>
  <c r="BC63" i="1"/>
  <c r="BD63" i="1"/>
  <c r="BI63" i="1" s="1"/>
  <c r="BE63" i="1"/>
  <c r="BJ63" i="1" s="1"/>
  <c r="BF63" i="1"/>
  <c r="BK63" i="1" s="1"/>
  <c r="BG63" i="1"/>
  <c r="BL63" i="1" s="1"/>
  <c r="AZ65" i="1"/>
  <c r="BA65" i="1"/>
  <c r="BB65" i="1"/>
  <c r="BC65" i="1"/>
  <c r="BD65" i="1"/>
  <c r="BE65" i="1"/>
  <c r="BJ65" i="1" s="1"/>
  <c r="BF65" i="1"/>
  <c r="BK65" i="1" s="1"/>
  <c r="BG65" i="1"/>
  <c r="BL65" i="1"/>
  <c r="AZ66" i="1"/>
  <c r="BH66" i="1" s="1"/>
  <c r="BA66" i="1"/>
  <c r="BB66" i="1"/>
  <c r="BC66" i="1"/>
  <c r="BD66" i="1"/>
  <c r="BE66" i="1"/>
  <c r="BF66" i="1"/>
  <c r="BK66" i="1" s="1"/>
  <c r="BG66" i="1"/>
  <c r="BL66" i="1" s="1"/>
  <c r="AZ67" i="1"/>
  <c r="BA67" i="1"/>
  <c r="BB67" i="1"/>
  <c r="BC67" i="1"/>
  <c r="BD67" i="1"/>
  <c r="BE67" i="1"/>
  <c r="BF67" i="1"/>
  <c r="BK67" i="1" s="1"/>
  <c r="BG67" i="1"/>
  <c r="BH67" i="1"/>
  <c r="BI67" i="1"/>
  <c r="BJ67" i="1"/>
  <c r="BL67" i="1"/>
  <c r="C68" i="1"/>
  <c r="C69" i="1"/>
  <c r="BN65" i="1"/>
  <c r="BN66" i="1"/>
  <c r="AZ58" i="1"/>
  <c r="BA58" i="1"/>
  <c r="BB58" i="1"/>
  <c r="BC58" i="1"/>
  <c r="BD58" i="1"/>
  <c r="BE58" i="1"/>
  <c r="BF58" i="1"/>
  <c r="BK58" i="1" s="1"/>
  <c r="BG58" i="1"/>
  <c r="BL58" i="1"/>
  <c r="AZ59" i="1"/>
  <c r="BA59" i="1"/>
  <c r="BB59" i="1"/>
  <c r="BC59" i="1"/>
  <c r="BD59" i="1"/>
  <c r="BE59" i="1"/>
  <c r="BF59" i="1"/>
  <c r="BK59" i="1" s="1"/>
  <c r="BG59" i="1"/>
  <c r="BL59" i="1" s="1"/>
  <c r="AZ60" i="1"/>
  <c r="BA60" i="1"/>
  <c r="BB60" i="1"/>
  <c r="BC60" i="1"/>
  <c r="BD60" i="1"/>
  <c r="BE60" i="1"/>
  <c r="BF60" i="1"/>
  <c r="BK60" i="1" s="1"/>
  <c r="BG60" i="1"/>
  <c r="BL60" i="1" s="1"/>
  <c r="AZ46" i="1"/>
  <c r="BA46" i="1"/>
  <c r="BB46" i="1"/>
  <c r="BC46" i="1"/>
  <c r="BD46" i="1"/>
  <c r="BE46" i="1"/>
  <c r="BF46" i="1"/>
  <c r="BK46" i="1" s="1"/>
  <c r="BG46" i="1"/>
  <c r="BL46" i="1" s="1"/>
  <c r="AZ47" i="1"/>
  <c r="BA47" i="1"/>
  <c r="BB47" i="1"/>
  <c r="BC47" i="1"/>
  <c r="BD47" i="1"/>
  <c r="BE47" i="1"/>
  <c r="BF47" i="1"/>
  <c r="BK47" i="1" s="1"/>
  <c r="BG47" i="1"/>
  <c r="BL47" i="1" s="1"/>
  <c r="AZ48" i="1"/>
  <c r="BA48" i="1"/>
  <c r="BB48" i="1"/>
  <c r="BC48" i="1"/>
  <c r="BD48" i="1"/>
  <c r="BE48" i="1"/>
  <c r="BF48" i="1"/>
  <c r="BK48" i="1" s="1"/>
  <c r="BG48" i="1"/>
  <c r="BL48" i="1" s="1"/>
  <c r="AZ49" i="1"/>
  <c r="BA49" i="1"/>
  <c r="BB49" i="1"/>
  <c r="BC49" i="1"/>
  <c r="BD49" i="1"/>
  <c r="BE49" i="1"/>
  <c r="BF49" i="1"/>
  <c r="BK49" i="1" s="1"/>
  <c r="BG49" i="1"/>
  <c r="BL49" i="1" s="1"/>
  <c r="AZ50" i="1"/>
  <c r="BA50" i="1"/>
  <c r="BB50" i="1"/>
  <c r="BC50" i="1"/>
  <c r="BD50" i="1"/>
  <c r="BE50" i="1"/>
  <c r="BF50" i="1"/>
  <c r="BK50" i="1" s="1"/>
  <c r="BG50" i="1"/>
  <c r="BL50" i="1" s="1"/>
  <c r="AZ51" i="1"/>
  <c r="BA51" i="1"/>
  <c r="BB51" i="1"/>
  <c r="BC51" i="1"/>
  <c r="BD51" i="1"/>
  <c r="BE51" i="1"/>
  <c r="BF51" i="1"/>
  <c r="BK51" i="1" s="1"/>
  <c r="BG51" i="1"/>
  <c r="BL51" i="1" s="1"/>
  <c r="AZ52" i="1"/>
  <c r="BA52" i="1"/>
  <c r="BB52" i="1"/>
  <c r="BC52" i="1"/>
  <c r="BD52" i="1"/>
  <c r="BE52" i="1"/>
  <c r="BF52" i="1"/>
  <c r="BG52" i="1"/>
  <c r="BL52" i="1" s="1"/>
  <c r="BK52" i="1"/>
  <c r="AZ53" i="1"/>
  <c r="BA53" i="1"/>
  <c r="BB53" i="1"/>
  <c r="BC53" i="1"/>
  <c r="BD53" i="1"/>
  <c r="BE53" i="1"/>
  <c r="BF53" i="1"/>
  <c r="BK53" i="1" s="1"/>
  <c r="BG53" i="1"/>
  <c r="BL53" i="1"/>
  <c r="AZ54" i="1"/>
  <c r="BA54" i="1"/>
  <c r="BB54" i="1"/>
  <c r="BC54" i="1"/>
  <c r="BD54" i="1"/>
  <c r="BE54" i="1"/>
  <c r="BF54" i="1"/>
  <c r="BK54" i="1" s="1"/>
  <c r="BG54" i="1"/>
  <c r="BL54" i="1"/>
  <c r="AZ55" i="1"/>
  <c r="BA55" i="1"/>
  <c r="BB55" i="1"/>
  <c r="BC55" i="1"/>
  <c r="BD55" i="1"/>
  <c r="BE55" i="1"/>
  <c r="BF55" i="1"/>
  <c r="BK55" i="1" s="1"/>
  <c r="BG55" i="1"/>
  <c r="BL55" i="1" s="1"/>
  <c r="AZ56" i="1"/>
  <c r="BA56" i="1"/>
  <c r="BB56" i="1"/>
  <c r="BC56" i="1"/>
  <c r="BD56" i="1"/>
  <c r="BE56" i="1"/>
  <c r="BF56" i="1"/>
  <c r="BK56" i="1" s="1"/>
  <c r="BG56" i="1"/>
  <c r="BL56" i="1" s="1"/>
  <c r="AZ34" i="1"/>
  <c r="BA34" i="1"/>
  <c r="BB34" i="1"/>
  <c r="BC34" i="1"/>
  <c r="BD34" i="1"/>
  <c r="BE34" i="1"/>
  <c r="BF34" i="1"/>
  <c r="BG34" i="1"/>
  <c r="BL34" i="1" s="1"/>
  <c r="BK34" i="1"/>
  <c r="AZ35" i="1"/>
  <c r="BA35" i="1"/>
  <c r="BB35" i="1"/>
  <c r="BC35" i="1"/>
  <c r="BD35" i="1"/>
  <c r="BE35" i="1"/>
  <c r="BF35" i="1"/>
  <c r="BK35" i="1" s="1"/>
  <c r="BG35" i="1"/>
  <c r="BL35" i="1" s="1"/>
  <c r="AZ36" i="1"/>
  <c r="BA36" i="1"/>
  <c r="BB36" i="1"/>
  <c r="BC36" i="1"/>
  <c r="BD36" i="1"/>
  <c r="BE36" i="1"/>
  <c r="BF36" i="1"/>
  <c r="BG36" i="1"/>
  <c r="BL36" i="1" s="1"/>
  <c r="BK36" i="1"/>
  <c r="AZ37" i="1"/>
  <c r="BA37" i="1"/>
  <c r="BB37" i="1"/>
  <c r="BC37" i="1"/>
  <c r="BD37" i="1"/>
  <c r="BE37" i="1"/>
  <c r="BF37" i="1"/>
  <c r="BK37" i="1" s="1"/>
  <c r="BG37" i="1"/>
  <c r="BL37" i="1" s="1"/>
  <c r="AZ38" i="1"/>
  <c r="BA38" i="1"/>
  <c r="BB38" i="1"/>
  <c r="BC38" i="1"/>
  <c r="BD38" i="1"/>
  <c r="BE38" i="1"/>
  <c r="BF38" i="1"/>
  <c r="BK38" i="1" s="1"/>
  <c r="BG38" i="1"/>
  <c r="BL38" i="1" s="1"/>
  <c r="AZ39" i="1"/>
  <c r="BA39" i="1"/>
  <c r="BB39" i="1"/>
  <c r="BC39" i="1"/>
  <c r="BD39" i="1"/>
  <c r="BE39" i="1"/>
  <c r="BF39" i="1"/>
  <c r="BK39" i="1" s="1"/>
  <c r="BG39" i="1"/>
  <c r="BL39" i="1" s="1"/>
  <c r="AZ40" i="1"/>
  <c r="BA40" i="1"/>
  <c r="BB40" i="1"/>
  <c r="BC40" i="1"/>
  <c r="BD40" i="1"/>
  <c r="BE40" i="1"/>
  <c r="BF40" i="1"/>
  <c r="BG40" i="1"/>
  <c r="BK40" i="1"/>
  <c r="BL40" i="1"/>
  <c r="AZ41" i="1"/>
  <c r="BA41" i="1"/>
  <c r="BB41" i="1"/>
  <c r="BC41" i="1"/>
  <c r="BD41" i="1"/>
  <c r="BE41" i="1"/>
  <c r="BF41" i="1"/>
  <c r="BK41" i="1" s="1"/>
  <c r="BG41" i="1"/>
  <c r="BL41" i="1" s="1"/>
  <c r="AZ42" i="1"/>
  <c r="BA42" i="1"/>
  <c r="BB42" i="1"/>
  <c r="BC42" i="1"/>
  <c r="BD42" i="1"/>
  <c r="BE42" i="1"/>
  <c r="BF42" i="1"/>
  <c r="BK42" i="1" s="1"/>
  <c r="BG42" i="1"/>
  <c r="BL42" i="1" s="1"/>
  <c r="AZ43" i="1"/>
  <c r="BA43" i="1"/>
  <c r="BB43" i="1"/>
  <c r="BC43" i="1"/>
  <c r="BD43" i="1"/>
  <c r="BE43" i="1"/>
  <c r="BF43" i="1"/>
  <c r="BK43" i="1" s="1"/>
  <c r="BG43" i="1"/>
  <c r="BL43" i="1" s="1"/>
  <c r="AZ44" i="1"/>
  <c r="BA44" i="1"/>
  <c r="BB44" i="1"/>
  <c r="BC44" i="1"/>
  <c r="BD44" i="1"/>
  <c r="BE44" i="1"/>
  <c r="BF44" i="1"/>
  <c r="BK44" i="1" s="1"/>
  <c r="BG44" i="1"/>
  <c r="BL44" i="1" s="1"/>
  <c r="AZ22" i="1"/>
  <c r="BA22" i="1"/>
  <c r="BB22" i="1"/>
  <c r="BC22" i="1"/>
  <c r="BD22" i="1"/>
  <c r="BE22" i="1"/>
  <c r="BF22" i="1"/>
  <c r="BK22" i="1" s="1"/>
  <c r="BG22" i="1"/>
  <c r="BL22" i="1" s="1"/>
  <c r="AZ23" i="1"/>
  <c r="BA23" i="1"/>
  <c r="BB23" i="1"/>
  <c r="BC23" i="1"/>
  <c r="BD23" i="1"/>
  <c r="BE23" i="1"/>
  <c r="BF23" i="1"/>
  <c r="BK23" i="1" s="1"/>
  <c r="BG23" i="1"/>
  <c r="BL23" i="1" s="1"/>
  <c r="AZ24" i="1"/>
  <c r="BA24" i="1"/>
  <c r="BB24" i="1"/>
  <c r="BC24" i="1"/>
  <c r="BD24" i="1"/>
  <c r="BE24" i="1"/>
  <c r="BF24" i="1"/>
  <c r="BK24" i="1" s="1"/>
  <c r="BG24" i="1"/>
  <c r="BL24" i="1" s="1"/>
  <c r="AZ25" i="1"/>
  <c r="BA25" i="1"/>
  <c r="BB25" i="1"/>
  <c r="BC25" i="1"/>
  <c r="BD25" i="1"/>
  <c r="BE25" i="1"/>
  <c r="BF25" i="1"/>
  <c r="BK25" i="1" s="1"/>
  <c r="BG25" i="1"/>
  <c r="BL25" i="1" s="1"/>
  <c r="AZ26" i="1"/>
  <c r="BA26" i="1"/>
  <c r="BB26" i="1"/>
  <c r="BC26" i="1"/>
  <c r="BD26" i="1"/>
  <c r="BE26" i="1"/>
  <c r="BF26" i="1"/>
  <c r="BK26" i="1" s="1"/>
  <c r="BG26" i="1"/>
  <c r="BL26" i="1" s="1"/>
  <c r="AZ27" i="1"/>
  <c r="BA27" i="1"/>
  <c r="BB27" i="1"/>
  <c r="BC27" i="1"/>
  <c r="BD27" i="1"/>
  <c r="BE27" i="1"/>
  <c r="BF27" i="1"/>
  <c r="BK27" i="1" s="1"/>
  <c r="BG27" i="1"/>
  <c r="BL27" i="1" s="1"/>
  <c r="AZ28" i="1"/>
  <c r="BA28" i="1"/>
  <c r="BB28" i="1"/>
  <c r="BC28" i="1"/>
  <c r="BD28" i="1"/>
  <c r="BE28" i="1"/>
  <c r="BF28" i="1"/>
  <c r="BK28" i="1" s="1"/>
  <c r="BG28" i="1"/>
  <c r="BL28" i="1" s="1"/>
  <c r="AZ29" i="1"/>
  <c r="BA29" i="1"/>
  <c r="BB29" i="1"/>
  <c r="BC29" i="1"/>
  <c r="BD29" i="1"/>
  <c r="BE29" i="1"/>
  <c r="BF29" i="1"/>
  <c r="BK29" i="1" s="1"/>
  <c r="BG29" i="1"/>
  <c r="BL29" i="1" s="1"/>
  <c r="AZ30" i="1"/>
  <c r="BA30" i="1"/>
  <c r="BB30" i="1"/>
  <c r="BC30" i="1"/>
  <c r="BD30" i="1"/>
  <c r="BE30" i="1"/>
  <c r="BF30" i="1"/>
  <c r="BK30" i="1" s="1"/>
  <c r="BG30" i="1"/>
  <c r="BL30" i="1"/>
  <c r="AZ31" i="1"/>
  <c r="BA31" i="1"/>
  <c r="BB31" i="1"/>
  <c r="BC31" i="1"/>
  <c r="BD31" i="1"/>
  <c r="BE31" i="1"/>
  <c r="BF31" i="1"/>
  <c r="BK31" i="1" s="1"/>
  <c r="BG31" i="1"/>
  <c r="BL31" i="1"/>
  <c r="AZ32" i="1"/>
  <c r="BA32" i="1"/>
  <c r="BB32" i="1"/>
  <c r="BC32" i="1"/>
  <c r="BD32" i="1"/>
  <c r="BE32" i="1"/>
  <c r="BF32" i="1"/>
  <c r="BK32" i="1" s="1"/>
  <c r="BG32" i="1"/>
  <c r="BL32" i="1" s="1"/>
  <c r="AZ9" i="1"/>
  <c r="BA9" i="1"/>
  <c r="BB9" i="1"/>
  <c r="BC9" i="1"/>
  <c r="BD9" i="1"/>
  <c r="BE9" i="1"/>
  <c r="BF9" i="1"/>
  <c r="BK9" i="1" s="1"/>
  <c r="BG9" i="1"/>
  <c r="BL9" i="1" s="1"/>
  <c r="AZ10" i="1"/>
  <c r="BA10" i="1"/>
  <c r="BI10" i="1" s="1"/>
  <c r="BB10" i="1"/>
  <c r="BC10" i="1"/>
  <c r="BD10" i="1"/>
  <c r="BE10" i="1"/>
  <c r="BJ10" i="1" s="1"/>
  <c r="BF10" i="1"/>
  <c r="BK10" i="1" s="1"/>
  <c r="BG10" i="1"/>
  <c r="BL10" i="1" s="1"/>
  <c r="AZ11" i="1"/>
  <c r="BA11" i="1"/>
  <c r="BB11" i="1"/>
  <c r="BC11" i="1"/>
  <c r="BD11" i="1"/>
  <c r="BE11" i="1"/>
  <c r="BF11" i="1"/>
  <c r="BK11" i="1" s="1"/>
  <c r="BG11" i="1"/>
  <c r="BL11" i="1" s="1"/>
  <c r="AZ12" i="1"/>
  <c r="BA12" i="1"/>
  <c r="BB12" i="1"/>
  <c r="BC12" i="1"/>
  <c r="BD12" i="1"/>
  <c r="BE12" i="1"/>
  <c r="BF12" i="1"/>
  <c r="BK12" i="1" s="1"/>
  <c r="BG12" i="1"/>
  <c r="BL12" i="1" s="1"/>
  <c r="AZ13" i="1"/>
  <c r="BA13" i="1"/>
  <c r="BB13" i="1"/>
  <c r="BC13" i="1"/>
  <c r="BD13" i="1"/>
  <c r="BE13" i="1"/>
  <c r="BJ13" i="1" s="1"/>
  <c r="BF13" i="1"/>
  <c r="BK13" i="1" s="1"/>
  <c r="BG13" i="1"/>
  <c r="BL13" i="1" s="1"/>
  <c r="AZ14" i="1"/>
  <c r="BA14" i="1"/>
  <c r="BB14" i="1"/>
  <c r="BC14" i="1"/>
  <c r="BD14" i="1"/>
  <c r="BE14" i="1"/>
  <c r="BF14" i="1"/>
  <c r="BK14" i="1" s="1"/>
  <c r="BG14" i="1"/>
  <c r="BL14" i="1" s="1"/>
  <c r="AZ15" i="1"/>
  <c r="BA15" i="1"/>
  <c r="BB15" i="1"/>
  <c r="BC15" i="1"/>
  <c r="BH15" i="1" s="1"/>
  <c r="BD15" i="1"/>
  <c r="BI15" i="1" s="1"/>
  <c r="BE15" i="1"/>
  <c r="BF15" i="1"/>
  <c r="BK15" i="1" s="1"/>
  <c r="BG15" i="1"/>
  <c r="BL15" i="1"/>
  <c r="AZ16" i="1"/>
  <c r="BA16" i="1"/>
  <c r="BB16" i="1"/>
  <c r="BC16" i="1"/>
  <c r="BD16" i="1"/>
  <c r="BE16" i="1"/>
  <c r="BF16" i="1"/>
  <c r="BK16" i="1" s="1"/>
  <c r="BG16" i="1"/>
  <c r="BL16" i="1" s="1"/>
  <c r="AZ17" i="1"/>
  <c r="BA17" i="1"/>
  <c r="BB17" i="1"/>
  <c r="BC17" i="1"/>
  <c r="BD17" i="1"/>
  <c r="BE17" i="1"/>
  <c r="BJ17" i="1" s="1"/>
  <c r="BF17" i="1"/>
  <c r="BK17" i="1" s="1"/>
  <c r="BG17" i="1"/>
  <c r="BL17" i="1" s="1"/>
  <c r="AZ18" i="1"/>
  <c r="BA18" i="1"/>
  <c r="BB18" i="1"/>
  <c r="BC18" i="1"/>
  <c r="BD18" i="1"/>
  <c r="BE18" i="1"/>
  <c r="BF18" i="1"/>
  <c r="BK18" i="1" s="1"/>
  <c r="BG18" i="1"/>
  <c r="BL18" i="1" s="1"/>
  <c r="AZ19" i="1"/>
  <c r="BA19" i="1"/>
  <c r="BB19" i="1"/>
  <c r="BC19" i="1"/>
  <c r="BD19" i="1"/>
  <c r="BE19" i="1"/>
  <c r="BF19" i="1"/>
  <c r="BK19" i="1" s="1"/>
  <c r="BG19" i="1"/>
  <c r="BL19" i="1" s="1"/>
  <c r="AZ20" i="1"/>
  <c r="BA20" i="1"/>
  <c r="BB20" i="1"/>
  <c r="BC20" i="1"/>
  <c r="BD20" i="1"/>
  <c r="BE20" i="1"/>
  <c r="BF20" i="1"/>
  <c r="BK20" i="1" s="1"/>
  <c r="BG20" i="1"/>
  <c r="BL20" i="1" s="1"/>
  <c r="A6" i="1"/>
  <c r="B6" i="1"/>
  <c r="A7" i="1"/>
  <c r="B7" i="1"/>
  <c r="A8" i="1"/>
  <c r="C8" i="1"/>
  <c r="C9" i="1" s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BN8" i="1"/>
  <c r="BO8" i="1"/>
  <c r="BQ8" i="1"/>
  <c r="BS8" i="1"/>
  <c r="BT8" i="1"/>
  <c r="BN9" i="1"/>
  <c r="BQ9" i="1"/>
  <c r="BS9" i="1"/>
  <c r="BT9" i="1"/>
  <c r="BV9" i="1"/>
  <c r="BW9" i="1"/>
  <c r="BX9" i="1"/>
  <c r="BN10" i="1"/>
  <c r="BO10" i="1"/>
  <c r="BQ10" i="1"/>
  <c r="BS10" i="1"/>
  <c r="BT10" i="1"/>
  <c r="BN11" i="1"/>
  <c r="BQ11" i="1"/>
  <c r="BS11" i="1"/>
  <c r="BT11" i="1"/>
  <c r="BV11" i="1"/>
  <c r="BW11" i="1"/>
  <c r="BX11" i="1"/>
  <c r="BN12" i="1"/>
  <c r="BO12" i="1"/>
  <c r="BQ12" i="1"/>
  <c r="BS12" i="1"/>
  <c r="BT12" i="1"/>
  <c r="BU12" i="1"/>
  <c r="BN13" i="1"/>
  <c r="BQ13" i="1"/>
  <c r="BS13" i="1"/>
  <c r="BT13" i="1"/>
  <c r="BV13" i="1"/>
  <c r="BW13" i="1"/>
  <c r="BX13" i="1"/>
  <c r="BN14" i="1"/>
  <c r="BO14" i="1"/>
  <c r="BQ14" i="1"/>
  <c r="BS14" i="1"/>
  <c r="BT14" i="1"/>
  <c r="BN15" i="1"/>
  <c r="BQ15" i="1"/>
  <c r="BS15" i="1"/>
  <c r="BU15" i="1" s="1"/>
  <c r="BT15" i="1"/>
  <c r="BV15" i="1"/>
  <c r="BW15" i="1"/>
  <c r="BX15" i="1"/>
  <c r="BN16" i="1"/>
  <c r="BO16" i="1"/>
  <c r="BQ16" i="1"/>
  <c r="BS16" i="1"/>
  <c r="BT16" i="1"/>
  <c r="BN17" i="1"/>
  <c r="BQ17" i="1"/>
  <c r="BS17" i="1"/>
  <c r="BT17" i="1"/>
  <c r="BV17" i="1"/>
  <c r="BW17" i="1"/>
  <c r="BX17" i="1"/>
  <c r="BN18" i="1"/>
  <c r="BO18" i="1"/>
  <c r="BQ18" i="1"/>
  <c r="BS18" i="1"/>
  <c r="BT18" i="1"/>
  <c r="BN19" i="1"/>
  <c r="BQ19" i="1"/>
  <c r="BS19" i="1"/>
  <c r="BT19" i="1"/>
  <c r="BV19" i="1"/>
  <c r="BW19" i="1"/>
  <c r="BX19" i="1"/>
  <c r="BN20" i="1"/>
  <c r="BO20" i="1"/>
  <c r="BQ20" i="1"/>
  <c r="BS20" i="1"/>
  <c r="BT20" i="1"/>
  <c r="BN22" i="1"/>
  <c r="BO22" i="1"/>
  <c r="BQ22" i="1"/>
  <c r="BS22" i="1"/>
  <c r="BT22" i="1"/>
  <c r="BN23" i="1"/>
  <c r="BQ23" i="1"/>
  <c r="BS23" i="1"/>
  <c r="BT23" i="1"/>
  <c r="BN24" i="1"/>
  <c r="BO24" i="1"/>
  <c r="BQ24" i="1"/>
  <c r="BS24" i="1"/>
  <c r="BT24" i="1"/>
  <c r="BN25" i="1"/>
  <c r="BQ25" i="1"/>
  <c r="BS25" i="1"/>
  <c r="BT25" i="1"/>
  <c r="BN26" i="1"/>
  <c r="BO26" i="1"/>
  <c r="BQ26" i="1"/>
  <c r="BS26" i="1"/>
  <c r="BT26" i="1"/>
  <c r="BU26" i="1" s="1"/>
  <c r="BN27" i="1"/>
  <c r="BQ27" i="1"/>
  <c r="BS27" i="1"/>
  <c r="BT27" i="1"/>
  <c r="BN28" i="1"/>
  <c r="BO28" i="1"/>
  <c r="BQ28" i="1"/>
  <c r="BS28" i="1"/>
  <c r="BT28" i="1"/>
  <c r="BN29" i="1"/>
  <c r="BQ29" i="1"/>
  <c r="BS29" i="1"/>
  <c r="BT29" i="1"/>
  <c r="BN30" i="1"/>
  <c r="BO30" i="1"/>
  <c r="BQ30" i="1"/>
  <c r="BS30" i="1"/>
  <c r="BT30" i="1"/>
  <c r="BN31" i="1"/>
  <c r="BQ31" i="1"/>
  <c r="BS31" i="1"/>
  <c r="BT31" i="1"/>
  <c r="BN32" i="1"/>
  <c r="BO32" i="1"/>
  <c r="BQ32" i="1"/>
  <c r="BS32" i="1"/>
  <c r="BT32" i="1"/>
  <c r="BU32" i="1"/>
  <c r="BN34" i="1"/>
  <c r="BO34" i="1"/>
  <c r="BQ34" i="1"/>
  <c r="BS34" i="1"/>
  <c r="BT34" i="1"/>
  <c r="BN35" i="1"/>
  <c r="BQ35" i="1"/>
  <c r="BS35" i="1"/>
  <c r="BT35" i="1"/>
  <c r="BN36" i="1"/>
  <c r="BO36" i="1"/>
  <c r="BQ36" i="1"/>
  <c r="BS36" i="1"/>
  <c r="BT36" i="1"/>
  <c r="BN37" i="1"/>
  <c r="BQ37" i="1"/>
  <c r="BS37" i="1"/>
  <c r="BT37" i="1"/>
  <c r="BN38" i="1"/>
  <c r="BO38" i="1"/>
  <c r="BQ38" i="1"/>
  <c r="BS38" i="1"/>
  <c r="BT38" i="1"/>
  <c r="BN39" i="1"/>
  <c r="BQ39" i="1"/>
  <c r="BS39" i="1"/>
  <c r="BT39" i="1"/>
  <c r="BN40" i="1"/>
  <c r="BO40" i="1"/>
  <c r="BQ40" i="1"/>
  <c r="BS40" i="1"/>
  <c r="BT40" i="1"/>
  <c r="BN41" i="1"/>
  <c r="BQ41" i="1"/>
  <c r="BS41" i="1"/>
  <c r="BT41" i="1"/>
  <c r="BN42" i="1"/>
  <c r="BO42" i="1"/>
  <c r="BQ42" i="1"/>
  <c r="BS42" i="1"/>
  <c r="BT42" i="1"/>
  <c r="BN43" i="1"/>
  <c r="BQ43" i="1"/>
  <c r="BS43" i="1"/>
  <c r="BT43" i="1"/>
  <c r="BN44" i="1"/>
  <c r="BO44" i="1"/>
  <c r="BQ44" i="1"/>
  <c r="BS44" i="1"/>
  <c r="BT44" i="1"/>
  <c r="BN46" i="1"/>
  <c r="BO46" i="1"/>
  <c r="BQ46" i="1"/>
  <c r="BS46" i="1"/>
  <c r="BT46" i="1"/>
  <c r="BN47" i="1"/>
  <c r="BQ47" i="1"/>
  <c r="BS47" i="1"/>
  <c r="BT47" i="1"/>
  <c r="BN48" i="1"/>
  <c r="BO48" i="1"/>
  <c r="BQ48" i="1"/>
  <c r="BS48" i="1"/>
  <c r="BT48" i="1"/>
  <c r="BN49" i="1"/>
  <c r="BQ49" i="1"/>
  <c r="BS49" i="1"/>
  <c r="BT49" i="1"/>
  <c r="BN50" i="1"/>
  <c r="BO50" i="1"/>
  <c r="BQ50" i="1"/>
  <c r="BS50" i="1"/>
  <c r="BT50" i="1"/>
  <c r="BN51" i="1"/>
  <c r="BQ51" i="1"/>
  <c r="BS51" i="1"/>
  <c r="BT51" i="1"/>
  <c r="BN52" i="1"/>
  <c r="BO52" i="1"/>
  <c r="BQ52" i="1"/>
  <c r="BS52" i="1"/>
  <c r="BT52" i="1"/>
  <c r="BN53" i="1"/>
  <c r="BQ53" i="1"/>
  <c r="BS53" i="1"/>
  <c r="BT53" i="1"/>
  <c r="BN54" i="1"/>
  <c r="BO54" i="1"/>
  <c r="BQ54" i="1"/>
  <c r="BS54" i="1"/>
  <c r="BT54" i="1"/>
  <c r="BN55" i="1"/>
  <c r="BQ55" i="1"/>
  <c r="BS55" i="1"/>
  <c r="BT55" i="1"/>
  <c r="BN56" i="1"/>
  <c r="BO56" i="1"/>
  <c r="BQ56" i="1"/>
  <c r="BS56" i="1"/>
  <c r="BT56" i="1"/>
  <c r="BN58" i="1"/>
  <c r="BO58" i="1"/>
  <c r="BQ58" i="1"/>
  <c r="BS58" i="1"/>
  <c r="BT58" i="1"/>
  <c r="BN59" i="1"/>
  <c r="BQ59" i="1"/>
  <c r="BS59" i="1"/>
  <c r="BT59" i="1"/>
  <c r="BN60" i="1"/>
  <c r="BX7" i="1"/>
  <c r="BW7" i="1"/>
  <c r="BV7" i="1"/>
  <c r="BT7" i="1"/>
  <c r="BS7" i="1"/>
  <c r="BQ7" i="1"/>
  <c r="BN7" i="1"/>
  <c r="BR7" i="1" s="1"/>
  <c r="BY6" i="1"/>
  <c r="BT6" i="1"/>
  <c r="BS6" i="1"/>
  <c r="BQ6" i="1"/>
  <c r="BO6" i="1"/>
  <c r="BN6" i="1"/>
  <c r="BG6" i="1"/>
  <c r="BL6" i="1" s="1"/>
  <c r="BF6" i="1"/>
  <c r="BK6" i="1" s="1"/>
  <c r="BE6" i="1"/>
  <c r="BD6" i="1"/>
  <c r="BC6" i="1"/>
  <c r="BB6" i="1"/>
  <c r="BA6" i="1"/>
  <c r="BI6" i="1" s="1"/>
  <c r="AZ6" i="1"/>
  <c r="C67" i="8"/>
  <c r="C66" i="8"/>
  <c r="B66" i="8" s="1"/>
  <c r="A66" i="8"/>
  <c r="C65" i="8"/>
  <c r="B65" i="8"/>
  <c r="A65" i="8"/>
  <c r="C64" i="8"/>
  <c r="B64" i="8" s="1"/>
  <c r="A64" i="8"/>
  <c r="C63" i="8"/>
  <c r="B63" i="8" s="1"/>
  <c r="A63" i="8"/>
  <c r="C62" i="8"/>
  <c r="B62" i="8"/>
  <c r="A62" i="8"/>
  <c r="C61" i="8"/>
  <c r="B61" i="8"/>
  <c r="C60" i="8"/>
  <c r="B60" i="8" s="1"/>
  <c r="A60" i="8"/>
  <c r="C59" i="8"/>
  <c r="B59" i="8" s="1"/>
  <c r="A59" i="8"/>
  <c r="C58" i="8"/>
  <c r="B58" i="8"/>
  <c r="A58" i="8"/>
  <c r="C57" i="8"/>
  <c r="B57" i="8" s="1"/>
  <c r="A57" i="8"/>
  <c r="C56" i="8"/>
  <c r="B56" i="8" s="1"/>
  <c r="A56" i="8"/>
  <c r="C55" i="8"/>
  <c r="B55" i="8" s="1"/>
  <c r="A55" i="8"/>
  <c r="C54" i="8"/>
  <c r="B54" i="8" s="1"/>
  <c r="A54" i="8"/>
  <c r="C53" i="8"/>
  <c r="B53" i="8" s="1"/>
  <c r="A53" i="8"/>
  <c r="C52" i="8"/>
  <c r="B52" i="8"/>
  <c r="A52" i="8"/>
  <c r="C51" i="8"/>
  <c r="B51" i="8" s="1"/>
  <c r="A51" i="8"/>
  <c r="C50" i="8"/>
  <c r="B50" i="8" s="1"/>
  <c r="A50" i="8"/>
  <c r="C49" i="8"/>
  <c r="B49" i="8" s="1"/>
  <c r="A49" i="8"/>
  <c r="C48" i="8"/>
  <c r="B48" i="8"/>
  <c r="A48" i="8"/>
  <c r="C47" i="8"/>
  <c r="B47" i="8" s="1"/>
  <c r="A47" i="8"/>
  <c r="C46" i="8"/>
  <c r="B46" i="8" s="1"/>
  <c r="A46" i="8"/>
  <c r="C45" i="8"/>
  <c r="B45" i="8" s="1"/>
  <c r="A45" i="8"/>
  <c r="C44" i="8"/>
  <c r="B44" i="8" s="1"/>
  <c r="A44" i="8"/>
  <c r="C43" i="8"/>
  <c r="B43" i="8" s="1"/>
  <c r="A43" i="8"/>
  <c r="C42" i="8"/>
  <c r="B42" i="8"/>
  <c r="A42" i="8"/>
  <c r="C41" i="8"/>
  <c r="B41" i="8" s="1"/>
  <c r="A41" i="8"/>
  <c r="BG40" i="8"/>
  <c r="BL40" i="8" s="1"/>
  <c r="BF40" i="8"/>
  <c r="BK40" i="8" s="1"/>
  <c r="BE40" i="8"/>
  <c r="BD40" i="8"/>
  <c r="BC40" i="8"/>
  <c r="BB40" i="8"/>
  <c r="BJ40" i="8" s="1"/>
  <c r="BA40" i="8"/>
  <c r="AZ40" i="8"/>
  <c r="A40" i="8"/>
  <c r="BI39" i="8"/>
  <c r="BH39" i="8"/>
  <c r="BG39" i="8"/>
  <c r="BL39" i="8" s="1"/>
  <c r="BF39" i="8"/>
  <c r="BK39" i="8" s="1"/>
  <c r="BE39" i="8"/>
  <c r="BD39" i="8"/>
  <c r="BC39" i="8"/>
  <c r="BB39" i="8"/>
  <c r="BA39" i="8"/>
  <c r="AZ39" i="8"/>
  <c r="A39" i="8"/>
  <c r="BG38" i="8"/>
  <c r="BL38" i="8" s="1"/>
  <c r="BF38" i="8"/>
  <c r="BK38" i="8" s="1"/>
  <c r="BE38" i="8"/>
  <c r="BD38" i="8"/>
  <c r="BC38" i="8"/>
  <c r="BB38" i="8"/>
  <c r="BJ38" i="8" s="1"/>
  <c r="BA38" i="8"/>
  <c r="BI38" i="8" s="1"/>
  <c r="AZ38" i="8"/>
  <c r="A38" i="8"/>
  <c r="BG37" i="8"/>
  <c r="BL37" i="8" s="1"/>
  <c r="BF37" i="8"/>
  <c r="BK37" i="8" s="1"/>
  <c r="BE37" i="8"/>
  <c r="BD37" i="8"/>
  <c r="BC37" i="8"/>
  <c r="BB37" i="8"/>
  <c r="BA37" i="8"/>
  <c r="AZ37" i="8"/>
  <c r="A37" i="8"/>
  <c r="BG36" i="8"/>
  <c r="BL36" i="8" s="1"/>
  <c r="BF36" i="8"/>
  <c r="BK36" i="8" s="1"/>
  <c r="BE36" i="8"/>
  <c r="BD36" i="8"/>
  <c r="BC36" i="8"/>
  <c r="BB36" i="8"/>
  <c r="BA36" i="8"/>
  <c r="AZ36" i="8"/>
  <c r="A36" i="8"/>
  <c r="BG35" i="8"/>
  <c r="BL35" i="8" s="1"/>
  <c r="BF35" i="8"/>
  <c r="BK35" i="8" s="1"/>
  <c r="BE35" i="8"/>
  <c r="BD35" i="8"/>
  <c r="BC35" i="8"/>
  <c r="BB35" i="8"/>
  <c r="BJ35" i="8" s="1"/>
  <c r="BA35" i="8"/>
  <c r="AZ35" i="8"/>
  <c r="A35" i="8"/>
  <c r="BG34" i="8"/>
  <c r="BL34" i="8" s="1"/>
  <c r="BF34" i="8"/>
  <c r="BK34" i="8" s="1"/>
  <c r="BE34" i="8"/>
  <c r="BD34" i="8"/>
  <c r="BC34" i="8"/>
  <c r="BB34" i="8"/>
  <c r="BJ34" i="8" s="1"/>
  <c r="BA34" i="8"/>
  <c r="BI34" i="8" s="1"/>
  <c r="AZ34" i="8"/>
  <c r="BH34" i="8" s="1"/>
  <c r="A34" i="8"/>
  <c r="BG33" i="8"/>
  <c r="BL33" i="8" s="1"/>
  <c r="BF33" i="8"/>
  <c r="BK33" i="8" s="1"/>
  <c r="BE33" i="8"/>
  <c r="BD33" i="8"/>
  <c r="BC33" i="8"/>
  <c r="BB33" i="8"/>
  <c r="BA33" i="8"/>
  <c r="BI33" i="8" s="1"/>
  <c r="AZ33" i="8"/>
  <c r="A33" i="8"/>
  <c r="BG32" i="8"/>
  <c r="BL32" i="8" s="1"/>
  <c r="BF32" i="8"/>
  <c r="BK32" i="8" s="1"/>
  <c r="BE32" i="8"/>
  <c r="BD32" i="8"/>
  <c r="BC32" i="8"/>
  <c r="BB32" i="8"/>
  <c r="BA32" i="8"/>
  <c r="AZ32" i="8"/>
  <c r="A32" i="8"/>
  <c r="A31" i="8"/>
  <c r="BG30" i="8"/>
  <c r="BL30" i="8" s="1"/>
  <c r="BF30" i="8"/>
  <c r="BK30" i="8" s="1"/>
  <c r="BE30" i="8"/>
  <c r="BD30" i="8"/>
  <c r="BC30" i="8"/>
  <c r="BB30" i="8"/>
  <c r="BJ30" i="8" s="1"/>
  <c r="BA30" i="8"/>
  <c r="BI30" i="8" s="1"/>
  <c r="AZ30" i="8"/>
  <c r="BH30" i="8" s="1"/>
  <c r="A30" i="8"/>
  <c r="BG29" i="8"/>
  <c r="BL29" i="8" s="1"/>
  <c r="BF29" i="8"/>
  <c r="BK29" i="8" s="1"/>
  <c r="BE29" i="8"/>
  <c r="BD29" i="8"/>
  <c r="BC29" i="8"/>
  <c r="BB29" i="8"/>
  <c r="BA29" i="8"/>
  <c r="BI29" i="8" s="1"/>
  <c r="AZ29" i="8"/>
  <c r="A29" i="8"/>
  <c r="BG28" i="8"/>
  <c r="BL28" i="8" s="1"/>
  <c r="BF28" i="8"/>
  <c r="BK28" i="8" s="1"/>
  <c r="BE28" i="8"/>
  <c r="BD28" i="8"/>
  <c r="BC28" i="8"/>
  <c r="BB28" i="8"/>
  <c r="BA28" i="8"/>
  <c r="AZ28" i="8"/>
  <c r="A28" i="8"/>
  <c r="BG27" i="8"/>
  <c r="BL27" i="8" s="1"/>
  <c r="BF27" i="8"/>
  <c r="BK27" i="8" s="1"/>
  <c r="BE27" i="8"/>
  <c r="BD27" i="8"/>
  <c r="BC27" i="8"/>
  <c r="BB27" i="8"/>
  <c r="BJ27" i="8" s="1"/>
  <c r="BA27" i="8"/>
  <c r="BI27" i="8" s="1"/>
  <c r="AZ27" i="8"/>
  <c r="A27" i="8"/>
  <c r="BG26" i="8"/>
  <c r="BL26" i="8" s="1"/>
  <c r="BF26" i="8"/>
  <c r="BK26" i="8" s="1"/>
  <c r="BE26" i="8"/>
  <c r="BD26" i="8"/>
  <c r="BC26" i="8"/>
  <c r="BB26" i="8"/>
  <c r="BA26" i="8"/>
  <c r="BI26" i="8" s="1"/>
  <c r="AZ26" i="8"/>
  <c r="BH26" i="8" s="1"/>
  <c r="A26" i="8"/>
  <c r="BG25" i="8"/>
  <c r="BL25" i="8" s="1"/>
  <c r="BF25" i="8"/>
  <c r="BK25" i="8" s="1"/>
  <c r="BE25" i="8"/>
  <c r="BD25" i="8"/>
  <c r="BC25" i="8"/>
  <c r="BB25" i="8"/>
  <c r="BA25" i="8"/>
  <c r="AZ25" i="8"/>
  <c r="A25" i="8"/>
  <c r="BG24" i="8"/>
  <c r="BL24" i="8" s="1"/>
  <c r="BF24" i="8"/>
  <c r="BK24" i="8" s="1"/>
  <c r="BE24" i="8"/>
  <c r="BD24" i="8"/>
  <c r="BC24" i="8"/>
  <c r="BB24" i="8"/>
  <c r="BJ24" i="8" s="1"/>
  <c r="BA24" i="8"/>
  <c r="AZ24" i="8"/>
  <c r="A24" i="8"/>
  <c r="A23" i="8"/>
  <c r="BG22" i="8"/>
  <c r="BL22" i="8" s="1"/>
  <c r="BF22" i="8"/>
  <c r="BK22" i="8" s="1"/>
  <c r="BE22" i="8"/>
  <c r="BD22" i="8"/>
  <c r="BC22" i="8"/>
  <c r="BB22" i="8"/>
  <c r="BA22" i="8"/>
  <c r="BI22" i="8" s="1"/>
  <c r="AZ22" i="8"/>
  <c r="BH22" i="8" s="1"/>
  <c r="A22" i="8"/>
  <c r="BG21" i="8"/>
  <c r="BL21" i="8" s="1"/>
  <c r="BF21" i="8"/>
  <c r="BK21" i="8" s="1"/>
  <c r="BE21" i="8"/>
  <c r="BD21" i="8"/>
  <c r="BC21" i="8"/>
  <c r="BB21" i="8"/>
  <c r="BJ21" i="8" s="1"/>
  <c r="BA21" i="8"/>
  <c r="AZ21" i="8"/>
  <c r="A21" i="8"/>
  <c r="BH20" i="8"/>
  <c r="BG20" i="8"/>
  <c r="BL20" i="8" s="1"/>
  <c r="BF20" i="8"/>
  <c r="BK20" i="8" s="1"/>
  <c r="BE20" i="8"/>
  <c r="BD20" i="8"/>
  <c r="BC20" i="8"/>
  <c r="BB20" i="8"/>
  <c r="BA20" i="8"/>
  <c r="BI20" i="8" s="1"/>
  <c r="AZ20" i="8"/>
  <c r="A20" i="8"/>
  <c r="BG19" i="8"/>
  <c r="BL19" i="8" s="1"/>
  <c r="BF19" i="8"/>
  <c r="BK19" i="8" s="1"/>
  <c r="BE19" i="8"/>
  <c r="BD19" i="8"/>
  <c r="BC19" i="8"/>
  <c r="BB19" i="8"/>
  <c r="BJ19" i="8" s="1"/>
  <c r="BA19" i="8"/>
  <c r="BI19" i="8" s="1"/>
  <c r="AZ19" i="8"/>
  <c r="BH19" i="8" s="1"/>
  <c r="A19" i="8"/>
  <c r="BG18" i="8"/>
  <c r="BL18" i="8" s="1"/>
  <c r="BF18" i="8"/>
  <c r="BK18" i="8" s="1"/>
  <c r="BE18" i="8"/>
  <c r="BD18" i="8"/>
  <c r="BC18" i="8"/>
  <c r="BB18" i="8"/>
  <c r="BA18" i="8"/>
  <c r="AZ18" i="8"/>
  <c r="A18" i="8"/>
  <c r="BG17" i="8"/>
  <c r="BL17" i="8" s="1"/>
  <c r="BF17" i="8"/>
  <c r="BK17" i="8" s="1"/>
  <c r="BE17" i="8"/>
  <c r="BD17" i="8"/>
  <c r="BC17" i="8"/>
  <c r="BB17" i="8"/>
  <c r="BA17" i="8"/>
  <c r="AZ17" i="8"/>
  <c r="A17" i="8"/>
  <c r="BG16" i="8"/>
  <c r="BL16" i="8" s="1"/>
  <c r="BF16" i="8"/>
  <c r="BK16" i="8" s="1"/>
  <c r="BE16" i="8"/>
  <c r="BD16" i="8"/>
  <c r="BC16" i="8"/>
  <c r="BB16" i="8"/>
  <c r="BJ16" i="8" s="1"/>
  <c r="BA16" i="8"/>
  <c r="BI16" i="8" s="1"/>
  <c r="AZ16" i="8"/>
  <c r="BH16" i="8" s="1"/>
  <c r="A16" i="8"/>
  <c r="A15" i="8"/>
  <c r="BG14" i="8"/>
  <c r="BL14" i="8" s="1"/>
  <c r="BF14" i="8"/>
  <c r="BK14" i="8" s="1"/>
  <c r="BE14" i="8"/>
  <c r="BD14" i="8"/>
  <c r="BC14" i="8"/>
  <c r="BB14" i="8"/>
  <c r="BJ14" i="8" s="1"/>
  <c r="BA14" i="8"/>
  <c r="BI14" i="8" s="1"/>
  <c r="AZ14" i="8"/>
  <c r="A14" i="8"/>
  <c r="BG13" i="8"/>
  <c r="BL13" i="8" s="1"/>
  <c r="BF13" i="8"/>
  <c r="BK13" i="8" s="1"/>
  <c r="BE13" i="8"/>
  <c r="BJ13" i="8" s="1"/>
  <c r="BD13" i="8"/>
  <c r="BI13" i="8" s="1"/>
  <c r="BC13" i="8"/>
  <c r="BH13" i="8" s="1"/>
  <c r="BB13" i="8"/>
  <c r="BA13" i="8"/>
  <c r="AZ13" i="8"/>
  <c r="A13" i="8"/>
  <c r="BG12" i="8"/>
  <c r="BL12" i="8" s="1"/>
  <c r="BF12" i="8"/>
  <c r="BK12" i="8" s="1"/>
  <c r="BE12" i="8"/>
  <c r="BD12" i="8"/>
  <c r="BC12" i="8"/>
  <c r="BB12" i="8"/>
  <c r="BJ12" i="8" s="1"/>
  <c r="BA12" i="8"/>
  <c r="BI12" i="8" s="1"/>
  <c r="AZ12" i="8"/>
  <c r="BH12" i="8" s="1"/>
  <c r="A12" i="8"/>
  <c r="BG11" i="8"/>
  <c r="BL11" i="8" s="1"/>
  <c r="BF11" i="8"/>
  <c r="BK11" i="8" s="1"/>
  <c r="BE11" i="8"/>
  <c r="BD11" i="8"/>
  <c r="BC11" i="8"/>
  <c r="BB11" i="8"/>
  <c r="BJ11" i="8" s="1"/>
  <c r="BA11" i="8"/>
  <c r="BI11" i="8" s="1"/>
  <c r="AZ11" i="8"/>
  <c r="BH11" i="8" s="1"/>
  <c r="A11" i="8"/>
  <c r="BG10" i="8"/>
  <c r="BL10" i="8" s="1"/>
  <c r="BF10" i="8"/>
  <c r="BK10" i="8" s="1"/>
  <c r="BE10" i="8"/>
  <c r="BD10" i="8"/>
  <c r="BC10" i="8"/>
  <c r="BB10" i="8"/>
  <c r="BJ10" i="8" s="1"/>
  <c r="BA10" i="8"/>
  <c r="BI10" i="8" s="1"/>
  <c r="AZ10" i="8"/>
  <c r="BH10" i="8" s="1"/>
  <c r="A10" i="8"/>
  <c r="BG9" i="8"/>
  <c r="BL9" i="8" s="1"/>
  <c r="BF9" i="8"/>
  <c r="BK9" i="8" s="1"/>
  <c r="BE9" i="8"/>
  <c r="BD9" i="8"/>
  <c r="BC9" i="8"/>
  <c r="BB9" i="8"/>
  <c r="BA9" i="8"/>
  <c r="AZ9" i="8"/>
  <c r="A9" i="8"/>
  <c r="BG8" i="8"/>
  <c r="BL8" i="8" s="1"/>
  <c r="BF8" i="8"/>
  <c r="BK8" i="8" s="1"/>
  <c r="BE8" i="8"/>
  <c r="BD8" i="8"/>
  <c r="BC8" i="8"/>
  <c r="BB8" i="8"/>
  <c r="BJ8" i="8" s="1"/>
  <c r="BA8" i="8"/>
  <c r="AZ8" i="8"/>
  <c r="BH8" i="8" s="1"/>
  <c r="C8" i="8"/>
  <c r="B8" i="8"/>
  <c r="A8" i="8"/>
  <c r="BG7" i="8"/>
  <c r="BL7" i="8" s="1"/>
  <c r="BF7" i="8"/>
  <c r="BK7" i="8" s="1"/>
  <c r="BE7" i="8"/>
  <c r="BD7" i="8"/>
  <c r="BC7" i="8"/>
  <c r="BB7" i="8"/>
  <c r="BJ7" i="8" s="1"/>
  <c r="BA7" i="8"/>
  <c r="BI7" i="8" s="1"/>
  <c r="AZ7" i="8"/>
  <c r="BH7" i="8" s="1"/>
  <c r="B7" i="8"/>
  <c r="A7" i="8"/>
  <c r="BG6" i="8"/>
  <c r="BL6" i="8" s="1"/>
  <c r="BF6" i="8"/>
  <c r="BK6" i="8" s="1"/>
  <c r="BE6" i="8"/>
  <c r="BD6" i="8"/>
  <c r="BC6" i="8"/>
  <c r="BB6" i="8"/>
  <c r="BJ6" i="8" s="1"/>
  <c r="BA6" i="8"/>
  <c r="BI6" i="8" s="1"/>
  <c r="AZ6" i="8"/>
  <c r="BH6" i="8" s="1"/>
  <c r="B6" i="8"/>
  <c r="A6" i="8"/>
  <c r="BL4" i="8"/>
  <c r="BK4" i="8"/>
  <c r="BJ4" i="8"/>
  <c r="BI4" i="8"/>
  <c r="C67" i="7"/>
  <c r="BX66" i="7"/>
  <c r="BW66" i="7"/>
  <c r="BV66" i="7"/>
  <c r="BU66" i="7"/>
  <c r="BT66" i="7"/>
  <c r="BS66" i="7"/>
  <c r="BQ66" i="7"/>
  <c r="BO66" i="7"/>
  <c r="BN66" i="7"/>
  <c r="C66" i="7"/>
  <c r="BY66" i="7" s="1"/>
  <c r="B66" i="7"/>
  <c r="A66" i="7"/>
  <c r="BX65" i="7"/>
  <c r="BW65" i="7"/>
  <c r="BV65" i="7"/>
  <c r="BT65" i="7"/>
  <c r="BS65" i="7"/>
  <c r="BU65" i="7" s="1"/>
  <c r="BQ65" i="7"/>
  <c r="BO65" i="7"/>
  <c r="BN65" i="7"/>
  <c r="C65" i="7"/>
  <c r="B65" i="7" s="1"/>
  <c r="A65" i="7"/>
  <c r="BX64" i="7"/>
  <c r="BW64" i="7"/>
  <c r="BV64" i="7"/>
  <c r="BT64" i="7"/>
  <c r="BS64" i="7"/>
  <c r="BU64" i="7" s="1"/>
  <c r="BQ64" i="7"/>
  <c r="BO64" i="7"/>
  <c r="BN64" i="7"/>
  <c r="C64" i="7"/>
  <c r="B64" i="7"/>
  <c r="A64" i="7"/>
  <c r="BX63" i="7"/>
  <c r="BW63" i="7"/>
  <c r="BV63" i="7"/>
  <c r="BT63" i="7"/>
  <c r="BS63" i="7"/>
  <c r="BU63" i="7" s="1"/>
  <c r="BQ63" i="7"/>
  <c r="BO63" i="7"/>
  <c r="BN63" i="7"/>
  <c r="C63" i="7"/>
  <c r="B63" i="7" s="1"/>
  <c r="A63" i="7"/>
  <c r="BX62" i="7"/>
  <c r="BW62" i="7"/>
  <c r="BV62" i="7"/>
  <c r="BT62" i="7"/>
  <c r="BS62" i="7"/>
  <c r="BU62" i="7" s="1"/>
  <c r="BQ62" i="7"/>
  <c r="BO62" i="7"/>
  <c r="BN62" i="7"/>
  <c r="C62" i="7"/>
  <c r="B62" i="7" s="1"/>
  <c r="A62" i="7"/>
  <c r="BX61" i="7"/>
  <c r="BW61" i="7"/>
  <c r="BV61" i="7"/>
  <c r="BO61" i="7"/>
  <c r="C61" i="7"/>
  <c r="C60" i="7"/>
  <c r="B60" i="7" s="1"/>
  <c r="A60" i="7"/>
  <c r="C59" i="7"/>
  <c r="B59" i="7" s="1"/>
  <c r="A59" i="7"/>
  <c r="C58" i="7"/>
  <c r="B58" i="7"/>
  <c r="A58" i="7"/>
  <c r="C57" i="7"/>
  <c r="B57" i="7" s="1"/>
  <c r="A57" i="7"/>
  <c r="BG56" i="7"/>
  <c r="BL56" i="7" s="1"/>
  <c r="BF56" i="7"/>
  <c r="BK56" i="7" s="1"/>
  <c r="BE56" i="7"/>
  <c r="BD56" i="7"/>
  <c r="BC56" i="7"/>
  <c r="BB56" i="7"/>
  <c r="BJ56" i="7" s="1"/>
  <c r="BA56" i="7"/>
  <c r="BI56" i="7" s="1"/>
  <c r="AZ56" i="7"/>
  <c r="BH56" i="7" s="1"/>
  <c r="A56" i="7"/>
  <c r="BG55" i="7"/>
  <c r="BL55" i="7" s="1"/>
  <c r="BF55" i="7"/>
  <c r="BK55" i="7" s="1"/>
  <c r="BE55" i="7"/>
  <c r="BD55" i="7"/>
  <c r="BC55" i="7"/>
  <c r="BB55" i="7"/>
  <c r="BA55" i="7"/>
  <c r="BI55" i="7" s="1"/>
  <c r="AZ55" i="7"/>
  <c r="BH55" i="7" s="1"/>
  <c r="A55" i="7"/>
  <c r="BG54" i="7"/>
  <c r="BL54" i="7" s="1"/>
  <c r="BF54" i="7"/>
  <c r="BK54" i="7" s="1"/>
  <c r="BE54" i="7"/>
  <c r="BD54" i="7"/>
  <c r="BC54" i="7"/>
  <c r="BB54" i="7"/>
  <c r="BA54" i="7"/>
  <c r="AZ54" i="7"/>
  <c r="A54" i="7"/>
  <c r="A53" i="7"/>
  <c r="BH52" i="7"/>
  <c r="BG52" i="7"/>
  <c r="BL52" i="7" s="1"/>
  <c r="BF52" i="7"/>
  <c r="BK52" i="7" s="1"/>
  <c r="BE52" i="7"/>
  <c r="BJ52" i="7" s="1"/>
  <c r="BD52" i="7"/>
  <c r="BI52" i="7" s="1"/>
  <c r="BC52" i="7"/>
  <c r="BB52" i="7"/>
  <c r="BA52" i="7"/>
  <c r="AZ52" i="7"/>
  <c r="A52" i="7"/>
  <c r="BG51" i="7"/>
  <c r="BL51" i="7" s="1"/>
  <c r="BF51" i="7"/>
  <c r="BK51" i="7" s="1"/>
  <c r="BE51" i="7"/>
  <c r="BD51" i="7"/>
  <c r="BI51" i="7" s="1"/>
  <c r="BC51" i="7"/>
  <c r="BH51" i="7" s="1"/>
  <c r="BB51" i="7"/>
  <c r="BJ51" i="7" s="1"/>
  <c r="BA51" i="7"/>
  <c r="AZ51" i="7"/>
  <c r="A51" i="7"/>
  <c r="BG50" i="7"/>
  <c r="BL50" i="7" s="1"/>
  <c r="BF50" i="7"/>
  <c r="BK50" i="7" s="1"/>
  <c r="BE50" i="7"/>
  <c r="BD50" i="7"/>
  <c r="BC50" i="7"/>
  <c r="BB50" i="7"/>
  <c r="BA50" i="7"/>
  <c r="BI50" i="7" s="1"/>
  <c r="AZ50" i="7"/>
  <c r="A50" i="7"/>
  <c r="BG49" i="7"/>
  <c r="BL49" i="7" s="1"/>
  <c r="BF49" i="7"/>
  <c r="BK49" i="7" s="1"/>
  <c r="BE49" i="7"/>
  <c r="BD49" i="7"/>
  <c r="BC49" i="7"/>
  <c r="BB49" i="7"/>
  <c r="BA49" i="7"/>
  <c r="AZ49" i="7"/>
  <c r="BH49" i="7" s="1"/>
  <c r="A49" i="7"/>
  <c r="BG48" i="7"/>
  <c r="BL48" i="7" s="1"/>
  <c r="BF48" i="7"/>
  <c r="BK48" i="7" s="1"/>
  <c r="BE48" i="7"/>
  <c r="BD48" i="7"/>
  <c r="BI48" i="7" s="1"/>
  <c r="BC48" i="7"/>
  <c r="BH48" i="7" s="1"/>
  <c r="BB48" i="7"/>
  <c r="BA48" i="7"/>
  <c r="AZ48" i="7"/>
  <c r="A48" i="7"/>
  <c r="BG47" i="7"/>
  <c r="BL47" i="7" s="1"/>
  <c r="BF47" i="7"/>
  <c r="BK47" i="7" s="1"/>
  <c r="BE47" i="7"/>
  <c r="BD47" i="7"/>
  <c r="BC47" i="7"/>
  <c r="BB47" i="7"/>
  <c r="BA47" i="7"/>
  <c r="AZ47" i="7"/>
  <c r="BH47" i="7" s="1"/>
  <c r="A47" i="7"/>
  <c r="BG46" i="7"/>
  <c r="BL46" i="7" s="1"/>
  <c r="BF46" i="7"/>
  <c r="BK46" i="7" s="1"/>
  <c r="BE46" i="7"/>
  <c r="BD46" i="7"/>
  <c r="BC46" i="7"/>
  <c r="BB46" i="7"/>
  <c r="BA46" i="7"/>
  <c r="AZ46" i="7"/>
  <c r="A46" i="7"/>
  <c r="BG45" i="7"/>
  <c r="BL45" i="7" s="1"/>
  <c r="BF45" i="7"/>
  <c r="BK45" i="7" s="1"/>
  <c r="BE45" i="7"/>
  <c r="BD45" i="7"/>
  <c r="BC45" i="7"/>
  <c r="BB45" i="7"/>
  <c r="BJ45" i="7" s="1"/>
  <c r="BA45" i="7"/>
  <c r="BI45" i="7" s="1"/>
  <c r="AZ45" i="7"/>
  <c r="A45" i="7"/>
  <c r="BG44" i="7"/>
  <c r="BL44" i="7" s="1"/>
  <c r="BF44" i="7"/>
  <c r="BK44" i="7" s="1"/>
  <c r="BE44" i="7"/>
  <c r="BD44" i="7"/>
  <c r="BC44" i="7"/>
  <c r="BB44" i="7"/>
  <c r="BJ44" i="7" s="1"/>
  <c r="BA44" i="7"/>
  <c r="BI44" i="7" s="1"/>
  <c r="AZ44" i="7"/>
  <c r="A44" i="7"/>
  <c r="BG43" i="7"/>
  <c r="BL43" i="7" s="1"/>
  <c r="BF43" i="7"/>
  <c r="BK43" i="7" s="1"/>
  <c r="BE43" i="7"/>
  <c r="BD43" i="7"/>
  <c r="BC43" i="7"/>
  <c r="BB43" i="7"/>
  <c r="BA43" i="7"/>
  <c r="AZ43" i="7"/>
  <c r="A43" i="7"/>
  <c r="BG42" i="7"/>
  <c r="BL42" i="7" s="1"/>
  <c r="BF42" i="7"/>
  <c r="BK42" i="7" s="1"/>
  <c r="BE42" i="7"/>
  <c r="BD42" i="7"/>
  <c r="BC42" i="7"/>
  <c r="BB42" i="7"/>
  <c r="BJ42" i="7" s="1"/>
  <c r="BA42" i="7"/>
  <c r="BI42" i="7" s="1"/>
  <c r="AZ42" i="7"/>
  <c r="BH42" i="7" s="1"/>
  <c r="A42" i="7"/>
  <c r="A41" i="7"/>
  <c r="BG40" i="7"/>
  <c r="BL40" i="7" s="1"/>
  <c r="BF40" i="7"/>
  <c r="BK40" i="7" s="1"/>
  <c r="BE40" i="7"/>
  <c r="BD40" i="7"/>
  <c r="BC40" i="7"/>
  <c r="BB40" i="7"/>
  <c r="BJ40" i="7" s="1"/>
  <c r="BA40" i="7"/>
  <c r="AZ40" i="7"/>
  <c r="A40" i="7"/>
  <c r="BG39" i="7"/>
  <c r="BL39" i="7" s="1"/>
  <c r="BF39" i="7"/>
  <c r="BK39" i="7" s="1"/>
  <c r="BE39" i="7"/>
  <c r="BD39" i="7"/>
  <c r="BC39" i="7"/>
  <c r="BB39" i="7"/>
  <c r="BA39" i="7"/>
  <c r="AZ39" i="7"/>
  <c r="A39" i="7"/>
  <c r="BG38" i="7"/>
  <c r="BL38" i="7" s="1"/>
  <c r="BF38" i="7"/>
  <c r="BK38" i="7" s="1"/>
  <c r="BE38" i="7"/>
  <c r="BJ38" i="7" s="1"/>
  <c r="BD38" i="7"/>
  <c r="BI38" i="7" s="1"/>
  <c r="BC38" i="7"/>
  <c r="BH38" i="7" s="1"/>
  <c r="BB38" i="7"/>
  <c r="BA38" i="7"/>
  <c r="AZ38" i="7"/>
  <c r="A38" i="7"/>
  <c r="BG37" i="7"/>
  <c r="BL37" i="7" s="1"/>
  <c r="BF37" i="7"/>
  <c r="BK37" i="7" s="1"/>
  <c r="BE37" i="7"/>
  <c r="BD37" i="7"/>
  <c r="BC37" i="7"/>
  <c r="BB37" i="7"/>
  <c r="BA37" i="7"/>
  <c r="BI37" i="7" s="1"/>
  <c r="AZ37" i="7"/>
  <c r="BH37" i="7" s="1"/>
  <c r="A37" i="7"/>
  <c r="BG36" i="7"/>
  <c r="BL36" i="7" s="1"/>
  <c r="BF36" i="7"/>
  <c r="BK36" i="7" s="1"/>
  <c r="BE36" i="7"/>
  <c r="BD36" i="7"/>
  <c r="BC36" i="7"/>
  <c r="BB36" i="7"/>
  <c r="BJ36" i="7" s="1"/>
  <c r="BA36" i="7"/>
  <c r="BI36" i="7" s="1"/>
  <c r="AZ36" i="7"/>
  <c r="BH36" i="7" s="1"/>
  <c r="A36" i="7"/>
  <c r="BK35" i="7"/>
  <c r="BG35" i="7"/>
  <c r="BL35" i="7" s="1"/>
  <c r="BF35" i="7"/>
  <c r="BE35" i="7"/>
  <c r="BD35" i="7"/>
  <c r="BC35" i="7"/>
  <c r="BB35" i="7"/>
  <c r="BA35" i="7"/>
  <c r="BI35" i="7" s="1"/>
  <c r="AZ35" i="7"/>
  <c r="BH35" i="7" s="1"/>
  <c r="A35" i="7"/>
  <c r="BG34" i="7"/>
  <c r="BL34" i="7" s="1"/>
  <c r="BF34" i="7"/>
  <c r="BK34" i="7" s="1"/>
  <c r="BE34" i="7"/>
  <c r="BD34" i="7"/>
  <c r="BI34" i="7" s="1"/>
  <c r="BC34" i="7"/>
  <c r="BB34" i="7"/>
  <c r="BJ34" i="7" s="1"/>
  <c r="BA34" i="7"/>
  <c r="AZ34" i="7"/>
  <c r="A34" i="7"/>
  <c r="BG33" i="7"/>
  <c r="BL33" i="7" s="1"/>
  <c r="BF33" i="7"/>
  <c r="BK33" i="7" s="1"/>
  <c r="BE33" i="7"/>
  <c r="BD33" i="7"/>
  <c r="BC33" i="7"/>
  <c r="BB33" i="7"/>
  <c r="BA33" i="7"/>
  <c r="AZ33" i="7"/>
  <c r="BH33" i="7" s="1"/>
  <c r="A33" i="7"/>
  <c r="BG32" i="7"/>
  <c r="BL32" i="7" s="1"/>
  <c r="BF32" i="7"/>
  <c r="BK32" i="7" s="1"/>
  <c r="BE32" i="7"/>
  <c r="BD32" i="7"/>
  <c r="BC32" i="7"/>
  <c r="BB32" i="7"/>
  <c r="BJ32" i="7" s="1"/>
  <c r="BA32" i="7"/>
  <c r="BI32" i="7" s="1"/>
  <c r="AZ32" i="7"/>
  <c r="BH32" i="7" s="1"/>
  <c r="A32" i="7"/>
  <c r="BG31" i="7"/>
  <c r="BL31" i="7" s="1"/>
  <c r="BF31" i="7"/>
  <c r="BK31" i="7" s="1"/>
  <c r="BE31" i="7"/>
  <c r="BJ31" i="7" s="1"/>
  <c r="BD31" i="7"/>
  <c r="BC31" i="7"/>
  <c r="BB31" i="7"/>
  <c r="BA31" i="7"/>
  <c r="BI31" i="7" s="1"/>
  <c r="AZ31" i="7"/>
  <c r="BH31" i="7" s="1"/>
  <c r="A31" i="7"/>
  <c r="BG30" i="7"/>
  <c r="BL30" i="7" s="1"/>
  <c r="BF30" i="7"/>
  <c r="BK30" i="7" s="1"/>
  <c r="BE30" i="7"/>
  <c r="BD30" i="7"/>
  <c r="BC30" i="7"/>
  <c r="BB30" i="7"/>
  <c r="BJ30" i="7" s="1"/>
  <c r="BA30" i="7"/>
  <c r="BI30" i="7" s="1"/>
  <c r="AZ30" i="7"/>
  <c r="BH30" i="7" s="1"/>
  <c r="A30" i="7"/>
  <c r="A29" i="7"/>
  <c r="BG28" i="7"/>
  <c r="BL28" i="7" s="1"/>
  <c r="BF28" i="7"/>
  <c r="BK28" i="7" s="1"/>
  <c r="BE28" i="7"/>
  <c r="BD28" i="7"/>
  <c r="BC28" i="7"/>
  <c r="BB28" i="7"/>
  <c r="BJ28" i="7" s="1"/>
  <c r="BA28" i="7"/>
  <c r="BI28" i="7" s="1"/>
  <c r="AZ28" i="7"/>
  <c r="BH28" i="7" s="1"/>
  <c r="A28" i="7"/>
  <c r="BG27" i="7"/>
  <c r="BL27" i="7" s="1"/>
  <c r="BF27" i="7"/>
  <c r="BK27" i="7" s="1"/>
  <c r="BE27" i="7"/>
  <c r="BD27" i="7"/>
  <c r="BC27" i="7"/>
  <c r="BB27" i="7"/>
  <c r="BJ27" i="7" s="1"/>
  <c r="BA27" i="7"/>
  <c r="BI27" i="7" s="1"/>
  <c r="AZ27" i="7"/>
  <c r="A27" i="7"/>
  <c r="BG26" i="7"/>
  <c r="BL26" i="7" s="1"/>
  <c r="BF26" i="7"/>
  <c r="BK26" i="7" s="1"/>
  <c r="BE26" i="7"/>
  <c r="BD26" i="7"/>
  <c r="BC26" i="7"/>
  <c r="BB26" i="7"/>
  <c r="BJ26" i="7" s="1"/>
  <c r="BA26" i="7"/>
  <c r="BI26" i="7" s="1"/>
  <c r="AZ26" i="7"/>
  <c r="A26" i="7"/>
  <c r="BG25" i="7"/>
  <c r="BL25" i="7" s="1"/>
  <c r="BF25" i="7"/>
  <c r="BK25" i="7" s="1"/>
  <c r="BE25" i="7"/>
  <c r="BD25" i="7"/>
  <c r="BC25" i="7"/>
  <c r="BB25" i="7"/>
  <c r="BJ25" i="7" s="1"/>
  <c r="BA25" i="7"/>
  <c r="BI25" i="7" s="1"/>
  <c r="AZ25" i="7"/>
  <c r="BH25" i="7" s="1"/>
  <c r="A25" i="7"/>
  <c r="BI24" i="7"/>
  <c r="BG24" i="7"/>
  <c r="BL24" i="7" s="1"/>
  <c r="BF24" i="7"/>
  <c r="BK24" i="7" s="1"/>
  <c r="BE24" i="7"/>
  <c r="BD24" i="7"/>
  <c r="BC24" i="7"/>
  <c r="BB24" i="7"/>
  <c r="BA24" i="7"/>
  <c r="AZ24" i="7"/>
  <c r="BH24" i="7" s="1"/>
  <c r="A24" i="7"/>
  <c r="BK23" i="7"/>
  <c r="BJ23" i="7"/>
  <c r="BI23" i="7"/>
  <c r="BH23" i="7"/>
  <c r="BG23" i="7"/>
  <c r="BL23" i="7" s="1"/>
  <c r="BF23" i="7"/>
  <c r="BE23" i="7"/>
  <c r="BD23" i="7"/>
  <c r="BC23" i="7"/>
  <c r="BB23" i="7"/>
  <c r="BA23" i="7"/>
  <c r="AZ23" i="7"/>
  <c r="A23" i="7"/>
  <c r="BG22" i="7"/>
  <c r="BL22" i="7" s="1"/>
  <c r="BF22" i="7"/>
  <c r="BK22" i="7" s="1"/>
  <c r="BE22" i="7"/>
  <c r="BD22" i="7"/>
  <c r="BC22" i="7"/>
  <c r="BB22" i="7"/>
  <c r="BA22" i="7"/>
  <c r="AZ22" i="7"/>
  <c r="BH22" i="7" s="1"/>
  <c r="A22" i="7"/>
  <c r="BG21" i="7"/>
  <c r="BL21" i="7" s="1"/>
  <c r="BF21" i="7"/>
  <c r="BK21" i="7" s="1"/>
  <c r="BE21" i="7"/>
  <c r="BD21" i="7"/>
  <c r="BC21" i="7"/>
  <c r="BB21" i="7"/>
  <c r="BA21" i="7"/>
  <c r="BI21" i="7" s="1"/>
  <c r="AZ21" i="7"/>
  <c r="BH21" i="7" s="1"/>
  <c r="A21" i="7"/>
  <c r="BG20" i="7"/>
  <c r="BL20" i="7" s="1"/>
  <c r="BF20" i="7"/>
  <c r="BK20" i="7" s="1"/>
  <c r="BE20" i="7"/>
  <c r="BD20" i="7"/>
  <c r="BC20" i="7"/>
  <c r="BB20" i="7"/>
  <c r="BA20" i="7"/>
  <c r="AZ20" i="7"/>
  <c r="BH20" i="7" s="1"/>
  <c r="A20" i="7"/>
  <c r="BG19" i="7"/>
  <c r="BL19" i="7" s="1"/>
  <c r="BF19" i="7"/>
  <c r="BK19" i="7" s="1"/>
  <c r="BE19" i="7"/>
  <c r="BD19" i="7"/>
  <c r="BC19" i="7"/>
  <c r="BB19" i="7"/>
  <c r="BJ19" i="7" s="1"/>
  <c r="BA19" i="7"/>
  <c r="BI19" i="7" s="1"/>
  <c r="AZ19" i="7"/>
  <c r="BH19" i="7" s="1"/>
  <c r="A19" i="7"/>
  <c r="BG18" i="7"/>
  <c r="BL18" i="7" s="1"/>
  <c r="BF18" i="7"/>
  <c r="BK18" i="7" s="1"/>
  <c r="BE18" i="7"/>
  <c r="BD18" i="7"/>
  <c r="BC18" i="7"/>
  <c r="BB18" i="7"/>
  <c r="BJ18" i="7" s="1"/>
  <c r="BA18" i="7"/>
  <c r="AZ18" i="7"/>
  <c r="A18" i="7"/>
  <c r="A17" i="7"/>
  <c r="BG16" i="7"/>
  <c r="BL16" i="7" s="1"/>
  <c r="BF16" i="7"/>
  <c r="BK16" i="7" s="1"/>
  <c r="BE16" i="7"/>
  <c r="BD16" i="7"/>
  <c r="BC16" i="7"/>
  <c r="BB16" i="7"/>
  <c r="BA16" i="7"/>
  <c r="BI16" i="7" s="1"/>
  <c r="AZ16" i="7"/>
  <c r="A16" i="7"/>
  <c r="BG15" i="7"/>
  <c r="BL15" i="7" s="1"/>
  <c r="BF15" i="7"/>
  <c r="BK15" i="7" s="1"/>
  <c r="BE15" i="7"/>
  <c r="BD15" i="7"/>
  <c r="BC15" i="7"/>
  <c r="BB15" i="7"/>
  <c r="BJ15" i="7" s="1"/>
  <c r="BA15" i="7"/>
  <c r="AZ15" i="7"/>
  <c r="A15" i="7"/>
  <c r="BG14" i="7"/>
  <c r="BL14" i="7" s="1"/>
  <c r="BF14" i="7"/>
  <c r="BK14" i="7" s="1"/>
  <c r="BE14" i="7"/>
  <c r="BD14" i="7"/>
  <c r="BC14" i="7"/>
  <c r="BB14" i="7"/>
  <c r="BJ14" i="7" s="1"/>
  <c r="BA14" i="7"/>
  <c r="AZ14" i="7"/>
  <c r="A14" i="7"/>
  <c r="BG13" i="7"/>
  <c r="BL13" i="7" s="1"/>
  <c r="BF13" i="7"/>
  <c r="BK13" i="7" s="1"/>
  <c r="BE13" i="7"/>
  <c r="BD13" i="7"/>
  <c r="BC13" i="7"/>
  <c r="BB13" i="7"/>
  <c r="BA13" i="7"/>
  <c r="AZ13" i="7"/>
  <c r="A13" i="7"/>
  <c r="BG12" i="7"/>
  <c r="BL12" i="7" s="1"/>
  <c r="BF12" i="7"/>
  <c r="BK12" i="7" s="1"/>
  <c r="BE12" i="7"/>
  <c r="BD12" i="7"/>
  <c r="BC12" i="7"/>
  <c r="BB12" i="7"/>
  <c r="BA12" i="7"/>
  <c r="AZ12" i="7"/>
  <c r="A12" i="7"/>
  <c r="BG11" i="7"/>
  <c r="BL11" i="7" s="1"/>
  <c r="BF11" i="7"/>
  <c r="BK11" i="7" s="1"/>
  <c r="BE11" i="7"/>
  <c r="BD11" i="7"/>
  <c r="BC11" i="7"/>
  <c r="BB11" i="7"/>
  <c r="BA11" i="7"/>
  <c r="AZ11" i="7"/>
  <c r="A11" i="7"/>
  <c r="BG10" i="7"/>
  <c r="BL10" i="7" s="1"/>
  <c r="BF10" i="7"/>
  <c r="BK10" i="7" s="1"/>
  <c r="BE10" i="7"/>
  <c r="BD10" i="7"/>
  <c r="BC10" i="7"/>
  <c r="BB10" i="7"/>
  <c r="BA10" i="7"/>
  <c r="AZ10" i="7"/>
  <c r="A10" i="7"/>
  <c r="BG9" i="7"/>
  <c r="BL9" i="7" s="1"/>
  <c r="BF9" i="7"/>
  <c r="BK9" i="7" s="1"/>
  <c r="BE9" i="7"/>
  <c r="BD9" i="7"/>
  <c r="BC9" i="7"/>
  <c r="BB9" i="7"/>
  <c r="BA9" i="7"/>
  <c r="AZ9" i="7"/>
  <c r="A9" i="7"/>
  <c r="BG8" i="7"/>
  <c r="BL8" i="7" s="1"/>
  <c r="BF8" i="7"/>
  <c r="BK8" i="7" s="1"/>
  <c r="BE8" i="7"/>
  <c r="BD8" i="7"/>
  <c r="BC8" i="7"/>
  <c r="BB8" i="7"/>
  <c r="BA8" i="7"/>
  <c r="AZ8" i="7"/>
  <c r="C8" i="7"/>
  <c r="B8" i="7" s="1"/>
  <c r="A8" i="7"/>
  <c r="BG7" i="7"/>
  <c r="BL7" i="7" s="1"/>
  <c r="BF7" i="7"/>
  <c r="BK7" i="7" s="1"/>
  <c r="BE7" i="7"/>
  <c r="BD7" i="7"/>
  <c r="BC7" i="7"/>
  <c r="BB7" i="7"/>
  <c r="BA7" i="7"/>
  <c r="AZ7" i="7"/>
  <c r="BH7" i="7" s="1"/>
  <c r="B7" i="7"/>
  <c r="A7" i="7"/>
  <c r="BG6" i="7"/>
  <c r="BL6" i="7" s="1"/>
  <c r="BF6" i="7"/>
  <c r="BK6" i="7" s="1"/>
  <c r="BE6" i="7"/>
  <c r="BD6" i="7"/>
  <c r="BC6" i="7"/>
  <c r="BB6" i="7"/>
  <c r="BA6" i="7"/>
  <c r="AZ6" i="7"/>
  <c r="B6" i="7"/>
  <c r="A6" i="7"/>
  <c r="BL4" i="7"/>
  <c r="BK4" i="7"/>
  <c r="BJ4" i="7"/>
  <c r="BI4" i="7"/>
  <c r="BU71" i="9" l="1"/>
  <c r="BV71" i="9"/>
  <c r="BX71" i="9" s="1"/>
  <c r="CD71" i="9"/>
  <c r="CH71" i="9" s="1"/>
  <c r="CC71" i="9"/>
  <c r="BU35" i="6"/>
  <c r="BJ44" i="6"/>
  <c r="BI44" i="6"/>
  <c r="BH39" i="6"/>
  <c r="BU44" i="6"/>
  <c r="BU41" i="6"/>
  <c r="BU27" i="6"/>
  <c r="BJ25" i="6"/>
  <c r="BI30" i="6"/>
  <c r="BI25" i="6"/>
  <c r="BU37" i="6"/>
  <c r="BI42" i="6"/>
  <c r="BJ37" i="6"/>
  <c r="BH42" i="6"/>
  <c r="BU34" i="6"/>
  <c r="BU29" i="6"/>
  <c r="BH30" i="6"/>
  <c r="BU43" i="6"/>
  <c r="BU20" i="6"/>
  <c r="BH29" i="6"/>
  <c r="BH21" i="6"/>
  <c r="BI20" i="6"/>
  <c r="BJ39" i="6"/>
  <c r="BH20" i="6"/>
  <c r="BU36" i="6"/>
  <c r="BI39" i="6"/>
  <c r="BI27" i="6"/>
  <c r="BJ29" i="6"/>
  <c r="BI29" i="6"/>
  <c r="BI31" i="6"/>
  <c r="BJ21" i="6"/>
  <c r="BJ23" i="6"/>
  <c r="BJ27" i="6"/>
  <c r="BH27" i="6"/>
  <c r="BJ22" i="6"/>
  <c r="BJ41" i="6"/>
  <c r="BI41" i="6"/>
  <c r="BU19" i="6"/>
  <c r="BI21" i="6"/>
  <c r="BI23" i="6"/>
  <c r="BJ16" i="6"/>
  <c r="BH25" i="6"/>
  <c r="BI22" i="6"/>
  <c r="BU24" i="6"/>
  <c r="BJ24" i="6"/>
  <c r="BJ31" i="6"/>
  <c r="BH19" i="6"/>
  <c r="BJ30" i="6"/>
  <c r="BH23" i="6"/>
  <c r="BH56" i="5"/>
  <c r="BJ55" i="5"/>
  <c r="BH55" i="5"/>
  <c r="BU41" i="5"/>
  <c r="BH41" i="5"/>
  <c r="BH47" i="5"/>
  <c r="BU52" i="5"/>
  <c r="BU48" i="5"/>
  <c r="BI45" i="5"/>
  <c r="BU36" i="5"/>
  <c r="BI52" i="5"/>
  <c r="BI51" i="5"/>
  <c r="BI29" i="5"/>
  <c r="BH51" i="5"/>
  <c r="BH29" i="5"/>
  <c r="BJ34" i="5"/>
  <c r="BI34" i="5"/>
  <c r="BJ53" i="5"/>
  <c r="BJ39" i="5"/>
  <c r="BI36" i="5"/>
  <c r="BU33" i="5"/>
  <c r="BU45" i="5"/>
  <c r="BH33" i="5"/>
  <c r="BI53" i="5"/>
  <c r="BH42" i="5"/>
  <c r="BH36" i="5"/>
  <c r="BJ35" i="5"/>
  <c r="BU31" i="5"/>
  <c r="BJ51" i="5"/>
  <c r="BH53" i="5"/>
  <c r="BJ36" i="5"/>
  <c r="BU17" i="5"/>
  <c r="BI17" i="5"/>
  <c r="BJ20" i="5"/>
  <c r="BI20" i="5"/>
  <c r="BU24" i="5"/>
  <c r="BU53" i="5"/>
  <c r="BU29" i="5"/>
  <c r="BU25" i="5"/>
  <c r="BJ45" i="5"/>
  <c r="BU18" i="5"/>
  <c r="BH17" i="5"/>
  <c r="BJ52" i="5"/>
  <c r="BJ47" i="5"/>
  <c r="BI47" i="5"/>
  <c r="BU28" i="5"/>
  <c r="BJ44" i="5"/>
  <c r="BI44" i="5"/>
  <c r="BH44" i="5"/>
  <c r="BH26" i="5"/>
  <c r="BJ43" i="5"/>
  <c r="BI30" i="5"/>
  <c r="BH28" i="5"/>
  <c r="BU21" i="5"/>
  <c r="BH38" i="5"/>
  <c r="BI28" i="5"/>
  <c r="BJ21" i="5"/>
  <c r="BI43" i="5"/>
  <c r="BI33" i="5"/>
  <c r="BH30" i="5"/>
  <c r="B40" i="2"/>
  <c r="C42" i="2"/>
  <c r="B47" i="2"/>
  <c r="C49" i="2"/>
  <c r="B21" i="2"/>
  <c r="C23" i="2"/>
  <c r="B20" i="2"/>
  <c r="C22" i="2"/>
  <c r="BU56" i="2"/>
  <c r="BJ59" i="2"/>
  <c r="BI56" i="2"/>
  <c r="BH56" i="2"/>
  <c r="BU57" i="2"/>
  <c r="BH57" i="2"/>
  <c r="BU55" i="2"/>
  <c r="BU59" i="2"/>
  <c r="BH54" i="2"/>
  <c r="BU62" i="2"/>
  <c r="BI50" i="2"/>
  <c r="BH50" i="2"/>
  <c r="BI53" i="2"/>
  <c r="BJ58" i="2"/>
  <c r="BI58" i="2"/>
  <c r="BH58" i="2"/>
  <c r="BJ46" i="2"/>
  <c r="BU51" i="2"/>
  <c r="BU54" i="2"/>
  <c r="BJ44" i="2"/>
  <c r="BU48" i="2"/>
  <c r="BU52" i="2"/>
  <c r="BI57" i="2"/>
  <c r="BI59" i="2"/>
  <c r="BU42" i="2"/>
  <c r="BI44" i="2"/>
  <c r="BU35" i="2"/>
  <c r="BJ52" i="2"/>
  <c r="BI52" i="2"/>
  <c r="BH52" i="2"/>
  <c r="BJ48" i="2"/>
  <c r="BH32" i="2"/>
  <c r="BI34" i="2"/>
  <c r="BI45" i="2"/>
  <c r="BH34" i="2"/>
  <c r="BX31" i="2"/>
  <c r="BH45" i="2"/>
  <c r="BU58" i="2"/>
  <c r="BH47" i="2"/>
  <c r="BU37" i="2"/>
  <c r="BJ53" i="2"/>
  <c r="BV31" i="2"/>
  <c r="BI54" i="2"/>
  <c r="BU47" i="2"/>
  <c r="BW35" i="2"/>
  <c r="BX35" i="2" s="1"/>
  <c r="BI51" i="2"/>
  <c r="BJ43" i="2"/>
  <c r="BH51" i="2"/>
  <c r="BI43" i="2"/>
  <c r="BU23" i="2"/>
  <c r="BJ56" i="2"/>
  <c r="BH43" i="2"/>
  <c r="BJ45" i="2"/>
  <c r="BU33" i="2"/>
  <c r="BJ36" i="2"/>
  <c r="BU36" i="2"/>
  <c r="BI46" i="2"/>
  <c r="BR33" i="2"/>
  <c r="BH36" i="2"/>
  <c r="BJ51" i="2"/>
  <c r="BH37" i="2"/>
  <c r="BU49" i="2"/>
  <c r="BV37" i="2"/>
  <c r="BX37" i="2" s="1"/>
  <c r="BJ50" i="2"/>
  <c r="BI37" i="2"/>
  <c r="BI47" i="2"/>
  <c r="BJ25" i="2"/>
  <c r="BJ22" i="2"/>
  <c r="BJ54" i="2"/>
  <c r="BJ41" i="2"/>
  <c r="BI41" i="2"/>
  <c r="BH41" i="2"/>
  <c r="BI25" i="2"/>
  <c r="BH25" i="2"/>
  <c r="BI65" i="1"/>
  <c r="BH65" i="1"/>
  <c r="BI34" i="1"/>
  <c r="BH63" i="1"/>
  <c r="BI44" i="1"/>
  <c r="BH58" i="1"/>
  <c r="BH44" i="1"/>
  <c r="BJ42" i="1"/>
  <c r="BJ41" i="1"/>
  <c r="BU41" i="1"/>
  <c r="BJ66" i="1"/>
  <c r="BI66" i="1"/>
  <c r="BI18" i="1"/>
  <c r="BU17" i="1"/>
  <c r="BI38" i="1"/>
  <c r="BI14" i="1"/>
  <c r="BH32" i="1"/>
  <c r="BJ19" i="1"/>
  <c r="BI13" i="1"/>
  <c r="BJ58" i="1"/>
  <c r="BH17" i="1"/>
  <c r="BH14" i="1"/>
  <c r="BH13" i="1"/>
  <c r="BJ40" i="1"/>
  <c r="BJ34" i="1"/>
  <c r="BW6" i="1"/>
  <c r="BI58" i="1"/>
  <c r="BJ18" i="1"/>
  <c r="BI51" i="1"/>
  <c r="BJ9" i="1"/>
  <c r="BH39" i="1"/>
  <c r="BI36" i="1"/>
  <c r="BH30" i="1"/>
  <c r="BH44" i="6"/>
  <c r="BJ42" i="6"/>
  <c r="BH31" i="6"/>
  <c r="BJ33" i="6"/>
  <c r="BJ35" i="6"/>
  <c r="BI33" i="6"/>
  <c r="BI35" i="6"/>
  <c r="BH33" i="6"/>
  <c r="BI37" i="6"/>
  <c r="BH35" i="6"/>
  <c r="BJ18" i="6"/>
  <c r="BH37" i="6"/>
  <c r="BI18" i="6"/>
  <c r="BJ20" i="6"/>
  <c r="BI24" i="6"/>
  <c r="BH22" i="6"/>
  <c r="BH24" i="6"/>
  <c r="BR9" i="6"/>
  <c r="BU14" i="6"/>
  <c r="BU38" i="6"/>
  <c r="BU33" i="6"/>
  <c r="BU21" i="6"/>
  <c r="BU32" i="6"/>
  <c r="BU12" i="6"/>
  <c r="BU25" i="6"/>
  <c r="BH26" i="6"/>
  <c r="BR6" i="6"/>
  <c r="BU16" i="6"/>
  <c r="BJ50" i="5"/>
  <c r="BH50" i="5"/>
  <c r="BH52" i="5"/>
  <c r="BU37" i="5"/>
  <c r="BI48" i="5"/>
  <c r="BU23" i="5"/>
  <c r="BI50" i="5"/>
  <c r="BH48" i="5"/>
  <c r="BU11" i="5"/>
  <c r="BU49" i="5"/>
  <c r="BH34" i="5"/>
  <c r="BU22" i="5"/>
  <c r="BU50" i="5"/>
  <c r="BJ37" i="5"/>
  <c r="BU38" i="5"/>
  <c r="BI37" i="5"/>
  <c r="BJ46" i="5"/>
  <c r="BU26" i="5"/>
  <c r="BH39" i="5"/>
  <c r="BJ28" i="5"/>
  <c r="BJ24" i="5"/>
  <c r="BH22" i="5"/>
  <c r="BJ19" i="5"/>
  <c r="BH35" i="5"/>
  <c r="BI39" i="5"/>
  <c r="BU35" i="5"/>
  <c r="BJ31" i="5"/>
  <c r="BJ22" i="5"/>
  <c r="BI22" i="5"/>
  <c r="BJ26" i="5"/>
  <c r="BI24" i="5"/>
  <c r="BI19" i="5"/>
  <c r="BI35" i="5"/>
  <c r="BI46" i="5"/>
  <c r="BU14" i="5"/>
  <c r="BH46" i="5"/>
  <c r="BU13" i="5"/>
  <c r="BJ33" i="5"/>
  <c r="BI26" i="5"/>
  <c r="BH24" i="5"/>
  <c r="BH19" i="5"/>
  <c r="BU47" i="5"/>
  <c r="BH37" i="5"/>
  <c r="BJ48" i="5"/>
  <c r="BJ30" i="5"/>
  <c r="BU60" i="2"/>
  <c r="BH20" i="2"/>
  <c r="BJ27" i="2"/>
  <c r="BU16" i="2"/>
  <c r="BJ47" i="2"/>
  <c r="BI27" i="2"/>
  <c r="BI29" i="2"/>
  <c r="BJ38" i="2"/>
  <c r="BH29" i="2"/>
  <c r="BI38" i="2"/>
  <c r="BJ49" i="2"/>
  <c r="BI49" i="2"/>
  <c r="BJ42" i="2"/>
  <c r="BI40" i="2"/>
  <c r="BH49" i="2"/>
  <c r="BI42" i="2"/>
  <c r="BH40" i="2"/>
  <c r="BH35" i="2"/>
  <c r="BH42" i="2"/>
  <c r="BI26" i="2"/>
  <c r="BU53" i="2"/>
  <c r="BU50" i="2"/>
  <c r="BU25" i="2"/>
  <c r="BH44" i="2"/>
  <c r="BJ37" i="2"/>
  <c r="BH26" i="2"/>
  <c r="BU29" i="2"/>
  <c r="BJ24" i="2"/>
  <c r="BH27" i="2"/>
  <c r="BI31" i="2"/>
  <c r="BH31" i="2"/>
  <c r="BR35" i="2"/>
  <c r="BU40" i="2"/>
  <c r="BH55" i="2"/>
  <c r="BI36" i="2"/>
  <c r="BJ33" i="2"/>
  <c r="BI13" i="2"/>
  <c r="BH38" i="2"/>
  <c r="BU12" i="2"/>
  <c r="BJ14" i="2"/>
  <c r="BJ11" i="2"/>
  <c r="BI55" i="2"/>
  <c r="BH53" i="2"/>
  <c r="BH39" i="2"/>
  <c r="BI14" i="2"/>
  <c r="BI11" i="2"/>
  <c r="BJ40" i="2"/>
  <c r="BJ23" i="2"/>
  <c r="BH14" i="2"/>
  <c r="BH11" i="2"/>
  <c r="BR11" i="2"/>
  <c r="BI22" i="2"/>
  <c r="BJ29" i="2"/>
  <c r="BU26" i="2"/>
  <c r="BJ57" i="2"/>
  <c r="BH59" i="2"/>
  <c r="BU11" i="2"/>
  <c r="BH29" i="1"/>
  <c r="BJ26" i="1"/>
  <c r="BJ23" i="1"/>
  <c r="BJ35" i="1"/>
  <c r="BI50" i="1"/>
  <c r="BI47" i="1"/>
  <c r="BJ60" i="1"/>
  <c r="BI23" i="1"/>
  <c r="BH38" i="1"/>
  <c r="BI35" i="1"/>
  <c r="BH50" i="1"/>
  <c r="BH35" i="1"/>
  <c r="BJ22" i="1"/>
  <c r="BH28" i="1"/>
  <c r="BH25" i="1"/>
  <c r="BU25" i="1"/>
  <c r="BU36" i="1"/>
  <c r="BH19" i="1"/>
  <c r="BU50" i="1"/>
  <c r="BH12" i="1"/>
  <c r="BJ28" i="1"/>
  <c r="BJ59" i="1"/>
  <c r="BI54" i="1"/>
  <c r="BI40" i="1"/>
  <c r="BI59" i="1"/>
  <c r="BI30" i="1"/>
  <c r="BH54" i="1"/>
  <c r="BI17" i="1"/>
  <c r="BJ14" i="1"/>
  <c r="BJ11" i="1"/>
  <c r="BJ32" i="1"/>
  <c r="BI24" i="1"/>
  <c r="BJ51" i="1"/>
  <c r="BH48" i="1"/>
  <c r="BJ29" i="1"/>
  <c r="BH18" i="1"/>
  <c r="BU22" i="1"/>
  <c r="BI32" i="1"/>
  <c r="BV6" i="1"/>
  <c r="BJ30" i="1"/>
  <c r="BI22" i="1"/>
  <c r="BU29" i="1"/>
  <c r="BJ16" i="1"/>
  <c r="BI37" i="1"/>
  <c r="BJ52" i="1"/>
  <c r="BI60" i="1"/>
  <c r="BU18" i="1"/>
  <c r="BI16" i="1"/>
  <c r="BJ27" i="1"/>
  <c r="BJ24" i="1"/>
  <c r="BI42" i="1"/>
  <c r="BH37" i="1"/>
  <c r="BI52" i="1"/>
  <c r="BH60" i="1"/>
  <c r="BH16" i="1"/>
  <c r="BI27" i="1"/>
  <c r="BH42" i="1"/>
  <c r="BH52" i="1"/>
  <c r="BU10" i="1"/>
  <c r="BH10" i="1"/>
  <c r="BH27" i="1"/>
  <c r="BH24" i="1"/>
  <c r="BI49" i="1"/>
  <c r="BH46" i="1"/>
  <c r="BU28" i="1"/>
  <c r="BJ39" i="1"/>
  <c r="BH49" i="1"/>
  <c r="BJ46" i="1"/>
  <c r="BJ44" i="1"/>
  <c r="BH34" i="1"/>
  <c r="BJ54" i="1"/>
  <c r="BI46" i="1"/>
  <c r="BJ37" i="1"/>
  <c r="BJ36" i="1"/>
  <c r="BH59" i="1"/>
  <c r="BH40" i="1"/>
  <c r="BU16" i="1"/>
  <c r="BH23" i="1"/>
  <c r="BH56" i="1"/>
  <c r="BU37" i="1"/>
  <c r="BU31" i="1"/>
  <c r="BI9" i="1"/>
  <c r="BH9" i="1"/>
  <c r="BI28" i="1"/>
  <c r="BJ38" i="1"/>
  <c r="BJ50" i="1"/>
  <c r="BH11" i="1"/>
  <c r="BH22" i="1"/>
  <c r="BH47" i="1"/>
  <c r="BU24" i="1"/>
  <c r="BI19" i="1"/>
  <c r="BH55" i="1"/>
  <c r="BJ20" i="1"/>
  <c r="BJ15" i="1"/>
  <c r="BI31" i="1"/>
  <c r="BI26" i="1"/>
  <c r="BU49" i="1"/>
  <c r="BI20" i="1"/>
  <c r="BJ12" i="1"/>
  <c r="BH31" i="1"/>
  <c r="BH26" i="1"/>
  <c r="BH36" i="1"/>
  <c r="BJ56" i="1"/>
  <c r="BJ48" i="1"/>
  <c r="BI12" i="1"/>
  <c r="BI56" i="1"/>
  <c r="BI48" i="1"/>
  <c r="BU53" i="1"/>
  <c r="BJ47" i="1"/>
  <c r="BJ25" i="1"/>
  <c r="BI25" i="1"/>
  <c r="BI11" i="1"/>
  <c r="BJ31" i="1"/>
  <c r="BI29" i="1"/>
  <c r="BU7" i="1"/>
  <c r="BR13" i="1"/>
  <c r="BU9" i="1"/>
  <c r="BR15" i="1"/>
  <c r="BH20" i="1"/>
  <c r="BI39" i="1"/>
  <c r="BJ43" i="1"/>
  <c r="BI41" i="1"/>
  <c r="BI43" i="1"/>
  <c r="BH41" i="1"/>
  <c r="BH43" i="1"/>
  <c r="BJ49" i="1"/>
  <c r="BU44" i="1"/>
  <c r="BJ53" i="1"/>
  <c r="BH51" i="1"/>
  <c r="BJ55" i="1"/>
  <c r="BI53" i="1"/>
  <c r="BI55" i="1"/>
  <c r="BH53" i="1"/>
  <c r="BR6" i="1"/>
  <c r="BX6" i="6"/>
  <c r="BU6" i="6"/>
  <c r="BU51" i="5"/>
  <c r="BU39" i="5"/>
  <c r="BU27" i="5"/>
  <c r="BU15" i="5"/>
  <c r="BU47" i="1"/>
  <c r="BU56" i="1"/>
  <c r="BU34" i="1"/>
  <c r="BU42" i="1"/>
  <c r="B9" i="1"/>
  <c r="C10" i="1"/>
  <c r="B10" i="1" s="1"/>
  <c r="BU23" i="1"/>
  <c r="BU59" i="1"/>
  <c r="BU8" i="1"/>
  <c r="BJ6" i="1"/>
  <c r="BR9" i="1"/>
  <c r="BH6" i="1"/>
  <c r="BU20" i="1"/>
  <c r="BU40" i="1"/>
  <c r="BU39" i="1"/>
  <c r="BR19" i="1"/>
  <c r="B8" i="1"/>
  <c r="BU52" i="1"/>
  <c r="BU13" i="1"/>
  <c r="BR11" i="1"/>
  <c r="BU43" i="1"/>
  <c r="BU55" i="1"/>
  <c r="BU58" i="1"/>
  <c r="BR17" i="1"/>
  <c r="BW8" i="1"/>
  <c r="BU48" i="1"/>
  <c r="BV8" i="1"/>
  <c r="BU51" i="1"/>
  <c r="BU14" i="1"/>
  <c r="BU11" i="1"/>
  <c r="BU30" i="1"/>
  <c r="BU38" i="1"/>
  <c r="BU54" i="1"/>
  <c r="BU19" i="1"/>
  <c r="BU46" i="1"/>
  <c r="BR8" i="1"/>
  <c r="BU27" i="1"/>
  <c r="BU35" i="1"/>
  <c r="BU6" i="1"/>
  <c r="BJ33" i="8"/>
  <c r="BH37" i="8"/>
  <c r="BI37" i="8"/>
  <c r="BJ37" i="8"/>
  <c r="BH36" i="8"/>
  <c r="BI36" i="8"/>
  <c r="BH33" i="8"/>
  <c r="BJ36" i="8"/>
  <c r="BH40" i="8"/>
  <c r="BI32" i="8"/>
  <c r="BH32" i="8"/>
  <c r="BH35" i="8"/>
  <c r="BJ39" i="8"/>
  <c r="BJ32" i="8"/>
  <c r="BI40" i="8"/>
  <c r="BI35" i="8"/>
  <c r="BH38" i="8"/>
  <c r="BJ25" i="8"/>
  <c r="BH29" i="8"/>
  <c r="BJ26" i="8"/>
  <c r="BH25" i="8"/>
  <c r="BI25" i="8"/>
  <c r="BH28" i="8"/>
  <c r="BI24" i="8"/>
  <c r="BJ29" i="8"/>
  <c r="BI28" i="8"/>
  <c r="BJ28" i="8"/>
  <c r="BH27" i="8"/>
  <c r="BH24" i="8"/>
  <c r="BH17" i="8"/>
  <c r="BJ20" i="8"/>
  <c r="BI17" i="8"/>
  <c r="BJ17" i="8"/>
  <c r="BI21" i="8"/>
  <c r="BH18" i="8"/>
  <c r="BJ22" i="8"/>
  <c r="BI18" i="8"/>
  <c r="BH21" i="8"/>
  <c r="BJ18" i="8"/>
  <c r="BI9" i="8"/>
  <c r="BJ9" i="8"/>
  <c r="BI8" i="8"/>
  <c r="BH14" i="8"/>
  <c r="BH9" i="8"/>
  <c r="BJ55" i="7"/>
  <c r="BH54" i="7"/>
  <c r="BI54" i="7"/>
  <c r="BJ54" i="7"/>
  <c r="BI47" i="7"/>
  <c r="BH44" i="7"/>
  <c r="BI46" i="7"/>
  <c r="BI49" i="7"/>
  <c r="BJ46" i="7"/>
  <c r="BJ49" i="7"/>
  <c r="BH46" i="7"/>
  <c r="BJ47" i="7"/>
  <c r="BH43" i="7"/>
  <c r="BI43" i="7"/>
  <c r="BJ43" i="7"/>
  <c r="BH45" i="7"/>
  <c r="BJ48" i="7"/>
  <c r="BI40" i="7"/>
  <c r="BI39" i="7"/>
  <c r="BJ39" i="7"/>
  <c r="BJ37" i="7"/>
  <c r="BJ33" i="7"/>
  <c r="BH34" i="7"/>
  <c r="BH40" i="7"/>
  <c r="BH39" i="7"/>
  <c r="BJ21" i="7"/>
  <c r="BH18" i="7"/>
  <c r="BI18" i="7"/>
  <c r="BH27" i="7"/>
  <c r="BI20" i="7"/>
  <c r="BJ20" i="7"/>
  <c r="BJ24" i="7"/>
  <c r="BH26" i="7"/>
  <c r="BH14" i="7"/>
  <c r="BI14" i="7"/>
  <c r="BJ11" i="7"/>
  <c r="BJ6" i="7"/>
  <c r="BJ16" i="7"/>
  <c r="BH15" i="7"/>
  <c r="BJ9" i="7"/>
  <c r="BH8" i="7"/>
  <c r="BI8" i="7"/>
  <c r="BJ8" i="7"/>
  <c r="BH13" i="7"/>
  <c r="BH16" i="7"/>
  <c r="BP61" i="7"/>
  <c r="BH6" i="7"/>
  <c r="BI10" i="7"/>
  <c r="BJ7" i="7"/>
  <c r="BJ10" i="7"/>
  <c r="BI9" i="7"/>
  <c r="BI15" i="7"/>
  <c r="BP63" i="7"/>
  <c r="BR63" i="7" s="1"/>
  <c r="BI11" i="7"/>
  <c r="BI7" i="7"/>
  <c r="BH10" i="7"/>
  <c r="BH11" i="7"/>
  <c r="BH12" i="7"/>
  <c r="BI6" i="7"/>
  <c r="BH9" i="7"/>
  <c r="BI12" i="7"/>
  <c r="C9" i="8"/>
  <c r="B61" i="7"/>
  <c r="BY62" i="7"/>
  <c r="BP65" i="7"/>
  <c r="BR65" i="7" s="1"/>
  <c r="BP64" i="7"/>
  <c r="BR64" i="7" s="1"/>
  <c r="BY64" i="7"/>
  <c r="BI13" i="7"/>
  <c r="BP62" i="7"/>
  <c r="BR62" i="7" s="1"/>
  <c r="BJ13" i="7"/>
  <c r="BI22" i="7"/>
  <c r="BJ12" i="7"/>
  <c r="BJ22" i="7"/>
  <c r="BI33" i="7"/>
  <c r="BJ35" i="7"/>
  <c r="BH50" i="7"/>
  <c r="BJ50" i="7"/>
  <c r="BP66" i="7"/>
  <c r="BR66" i="7" s="1"/>
  <c r="C9" i="7"/>
  <c r="BN33" i="5"/>
  <c r="BN21" i="5"/>
  <c r="BY6" i="2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AZ18" i="3"/>
  <c r="BA18" i="3"/>
  <c r="BB18" i="3"/>
  <c r="BC18" i="3"/>
  <c r="BD18" i="3"/>
  <c r="BE18" i="3"/>
  <c r="BF18" i="3"/>
  <c r="BK18" i="3" s="1"/>
  <c r="BG18" i="3"/>
  <c r="BL18" i="3" s="1"/>
  <c r="BH18" i="3"/>
  <c r="BI18" i="3"/>
  <c r="BJ18" i="3"/>
  <c r="AZ19" i="3"/>
  <c r="BA19" i="3"/>
  <c r="BB19" i="3"/>
  <c r="BC19" i="3"/>
  <c r="BD19" i="3"/>
  <c r="BE19" i="3"/>
  <c r="BF19" i="3"/>
  <c r="BG19" i="3"/>
  <c r="BL19" i="3" s="1"/>
  <c r="BH19" i="3"/>
  <c r="BI19" i="3"/>
  <c r="BJ19" i="3"/>
  <c r="BK19" i="3"/>
  <c r="AZ20" i="3"/>
  <c r="BA20" i="3"/>
  <c r="BB20" i="3"/>
  <c r="BC20" i="3"/>
  <c r="BD20" i="3"/>
  <c r="BE20" i="3"/>
  <c r="BF20" i="3"/>
  <c r="BK20" i="3" s="1"/>
  <c r="BG20" i="3"/>
  <c r="BL20" i="3" s="1"/>
  <c r="BH20" i="3"/>
  <c r="BI20" i="3"/>
  <c r="BJ20" i="3"/>
  <c r="AZ21" i="3"/>
  <c r="BA21" i="3"/>
  <c r="BB21" i="3"/>
  <c r="BC21" i="3"/>
  <c r="BD21" i="3"/>
  <c r="BE21" i="3"/>
  <c r="BF21" i="3"/>
  <c r="BG21" i="3"/>
  <c r="BL21" i="3" s="1"/>
  <c r="BH21" i="3"/>
  <c r="BI21" i="3"/>
  <c r="BJ21" i="3"/>
  <c r="BK21" i="3"/>
  <c r="AZ23" i="3"/>
  <c r="BA23" i="3"/>
  <c r="BB23" i="3"/>
  <c r="BC23" i="3"/>
  <c r="BD23" i="3"/>
  <c r="BE23" i="3"/>
  <c r="BF23" i="3"/>
  <c r="BK23" i="3" s="1"/>
  <c r="BG23" i="3"/>
  <c r="BL23" i="3" s="1"/>
  <c r="BH23" i="3"/>
  <c r="BI23" i="3"/>
  <c r="BJ23" i="3"/>
  <c r="AZ24" i="3"/>
  <c r="BA24" i="3"/>
  <c r="BB24" i="3"/>
  <c r="BJ24" i="3" s="1"/>
  <c r="BC24" i="3"/>
  <c r="BD24" i="3"/>
  <c r="BI24" i="3" s="1"/>
  <c r="BE24" i="3"/>
  <c r="BF24" i="3"/>
  <c r="BK24" i="3" s="1"/>
  <c r="BG24" i="3"/>
  <c r="BL24" i="3" s="1"/>
  <c r="BH24" i="3"/>
  <c r="AZ25" i="3"/>
  <c r="BA25" i="3"/>
  <c r="BB25" i="3"/>
  <c r="BJ25" i="3" s="1"/>
  <c r="BC25" i="3"/>
  <c r="BD25" i="3"/>
  <c r="BE25" i="3"/>
  <c r="BF25" i="3"/>
  <c r="BK25" i="3" s="1"/>
  <c r="BG25" i="3"/>
  <c r="BL25" i="3" s="1"/>
  <c r="BH25" i="3"/>
  <c r="BI25" i="3"/>
  <c r="AZ26" i="3"/>
  <c r="BA26" i="3"/>
  <c r="BI26" i="3" s="1"/>
  <c r="BB26" i="3"/>
  <c r="BJ26" i="3" s="1"/>
  <c r="BC26" i="3"/>
  <c r="BD26" i="3"/>
  <c r="BE26" i="3"/>
  <c r="BF26" i="3"/>
  <c r="BK26" i="3" s="1"/>
  <c r="BG26" i="3"/>
  <c r="BL26" i="3" s="1"/>
  <c r="BH26" i="3"/>
  <c r="AZ27" i="3"/>
  <c r="BA27" i="3"/>
  <c r="BI27" i="3" s="1"/>
  <c r="BB27" i="3"/>
  <c r="BJ27" i="3" s="1"/>
  <c r="BC27" i="3"/>
  <c r="BD27" i="3"/>
  <c r="BE27" i="3"/>
  <c r="BF27" i="3"/>
  <c r="BK27" i="3" s="1"/>
  <c r="BG27" i="3"/>
  <c r="BL27" i="3" s="1"/>
  <c r="BH27" i="3"/>
  <c r="AZ28" i="3"/>
  <c r="BH28" i="3" s="1"/>
  <c r="BA28" i="3"/>
  <c r="BI28" i="3" s="1"/>
  <c r="BB28" i="3"/>
  <c r="BJ28" i="3" s="1"/>
  <c r="BC28" i="3"/>
  <c r="BD28" i="3"/>
  <c r="BE28" i="3"/>
  <c r="BF28" i="3"/>
  <c r="BK28" i="3" s="1"/>
  <c r="BG28" i="3"/>
  <c r="BL28" i="3" s="1"/>
  <c r="AZ29" i="3"/>
  <c r="BH29" i="3" s="1"/>
  <c r="BA29" i="3"/>
  <c r="BI29" i="3" s="1"/>
  <c r="BB29" i="3"/>
  <c r="BJ29" i="3" s="1"/>
  <c r="BC29" i="3"/>
  <c r="BD29" i="3"/>
  <c r="BE29" i="3"/>
  <c r="BF29" i="3"/>
  <c r="BK29" i="3" s="1"/>
  <c r="BG29" i="3"/>
  <c r="BL29" i="3" s="1"/>
  <c r="AZ30" i="3"/>
  <c r="BH30" i="3" s="1"/>
  <c r="BA30" i="3"/>
  <c r="BI30" i="3" s="1"/>
  <c r="BB30" i="3"/>
  <c r="BC30" i="3"/>
  <c r="BD30" i="3"/>
  <c r="BE30" i="3"/>
  <c r="BF30" i="3"/>
  <c r="BK30" i="3" s="1"/>
  <c r="BG30" i="3"/>
  <c r="BL30" i="3"/>
  <c r="AZ31" i="3"/>
  <c r="BH31" i="3" s="1"/>
  <c r="BA31" i="3"/>
  <c r="BI31" i="3" s="1"/>
  <c r="BB31" i="3"/>
  <c r="BJ31" i="3" s="1"/>
  <c r="BC31" i="3"/>
  <c r="BD31" i="3"/>
  <c r="BE31" i="3"/>
  <c r="BF31" i="3"/>
  <c r="BK31" i="3" s="1"/>
  <c r="BG31" i="3"/>
  <c r="BL31" i="3" s="1"/>
  <c r="AZ32" i="3"/>
  <c r="BH32" i="3" s="1"/>
  <c r="BA32" i="3"/>
  <c r="BI32" i="3" s="1"/>
  <c r="BB32" i="3"/>
  <c r="BC32" i="3"/>
  <c r="BD32" i="3"/>
  <c r="BE32" i="3"/>
  <c r="BF32" i="3"/>
  <c r="BK32" i="3" s="1"/>
  <c r="BG32" i="3"/>
  <c r="BL32" i="3"/>
  <c r="AZ33" i="3"/>
  <c r="BH33" i="3" s="1"/>
  <c r="BA33" i="3"/>
  <c r="BI33" i="3" s="1"/>
  <c r="BB33" i="3"/>
  <c r="BJ33" i="3" s="1"/>
  <c r="BC33" i="3"/>
  <c r="BD33" i="3"/>
  <c r="BE33" i="3"/>
  <c r="BF33" i="3"/>
  <c r="BK33" i="3" s="1"/>
  <c r="BG33" i="3"/>
  <c r="BL33" i="3" s="1"/>
  <c r="AZ35" i="3"/>
  <c r="BH35" i="3" s="1"/>
  <c r="BA35" i="3"/>
  <c r="BI35" i="3" s="1"/>
  <c r="BB35" i="3"/>
  <c r="BC35" i="3"/>
  <c r="BD35" i="3"/>
  <c r="BE35" i="3"/>
  <c r="BF35" i="3"/>
  <c r="BG35" i="3"/>
  <c r="BJ35" i="3"/>
  <c r="BK35" i="3"/>
  <c r="BL35" i="3"/>
  <c r="AZ36" i="3"/>
  <c r="BH36" i="3" s="1"/>
  <c r="BA36" i="3"/>
  <c r="BB36" i="3"/>
  <c r="BC36" i="3"/>
  <c r="BD36" i="3"/>
  <c r="BE36" i="3"/>
  <c r="BF36" i="3"/>
  <c r="BG36" i="3"/>
  <c r="BI36" i="3"/>
  <c r="BJ36" i="3"/>
  <c r="BK36" i="3"/>
  <c r="BL36" i="3"/>
  <c r="AZ37" i="3"/>
  <c r="BH37" i="3" s="1"/>
  <c r="BA37" i="3"/>
  <c r="BI37" i="3" s="1"/>
  <c r="BB37" i="3"/>
  <c r="BC37" i="3"/>
  <c r="BD37" i="3"/>
  <c r="BE37" i="3"/>
  <c r="BF37" i="3"/>
  <c r="BG37" i="3"/>
  <c r="BJ37" i="3"/>
  <c r="BK37" i="3"/>
  <c r="BL37" i="3"/>
  <c r="AZ38" i="3"/>
  <c r="BH38" i="3" s="1"/>
  <c r="BA38" i="3"/>
  <c r="BB38" i="3"/>
  <c r="BC38" i="3"/>
  <c r="BD38" i="3"/>
  <c r="BE38" i="3"/>
  <c r="BF38" i="3"/>
  <c r="BG38" i="3"/>
  <c r="BI38" i="3"/>
  <c r="BJ38" i="3"/>
  <c r="BK38" i="3"/>
  <c r="BL38" i="3"/>
  <c r="AZ39" i="3"/>
  <c r="BH39" i="3" s="1"/>
  <c r="BA39" i="3"/>
  <c r="BI39" i="3" s="1"/>
  <c r="BB39" i="3"/>
  <c r="BC39" i="3"/>
  <c r="BD39" i="3"/>
  <c r="BE39" i="3"/>
  <c r="BF39" i="3"/>
  <c r="BG39" i="3"/>
  <c r="BJ39" i="3"/>
  <c r="BK39" i="3"/>
  <c r="BL39" i="3"/>
  <c r="AZ40" i="3"/>
  <c r="BH40" i="3" s="1"/>
  <c r="BA40" i="3"/>
  <c r="BB40" i="3"/>
  <c r="BC40" i="3"/>
  <c r="BD40" i="3"/>
  <c r="BE40" i="3"/>
  <c r="BF40" i="3"/>
  <c r="BG40" i="3"/>
  <c r="BI40" i="3"/>
  <c r="BJ40" i="3"/>
  <c r="BK40" i="3"/>
  <c r="BL40" i="3"/>
  <c r="AZ41" i="3"/>
  <c r="BH41" i="3" s="1"/>
  <c r="BA41" i="3"/>
  <c r="BB41" i="3"/>
  <c r="BC41" i="3"/>
  <c r="BD41" i="3"/>
  <c r="BE41" i="3"/>
  <c r="BF41" i="3"/>
  <c r="BG41" i="3"/>
  <c r="BI41" i="3"/>
  <c r="BJ41" i="3"/>
  <c r="BK41" i="3"/>
  <c r="BL41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AZ43" i="3"/>
  <c r="BH43" i="3" s="1"/>
  <c r="BA43" i="3"/>
  <c r="BB43" i="3"/>
  <c r="BC43" i="3"/>
  <c r="BD43" i="3"/>
  <c r="BE43" i="3"/>
  <c r="BF43" i="3"/>
  <c r="BG43" i="3"/>
  <c r="BI43" i="3"/>
  <c r="BJ43" i="3"/>
  <c r="BK43" i="3"/>
  <c r="BL43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AZ45" i="3"/>
  <c r="BH45" i="3" s="1"/>
  <c r="BA45" i="3"/>
  <c r="BB45" i="3"/>
  <c r="BC45" i="3"/>
  <c r="BD45" i="3"/>
  <c r="BE45" i="3"/>
  <c r="BF45" i="3"/>
  <c r="BG45" i="3"/>
  <c r="BI45" i="3"/>
  <c r="BJ45" i="3"/>
  <c r="BK45" i="3"/>
  <c r="BL45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AZ54" i="3"/>
  <c r="BA54" i="3"/>
  <c r="BB54" i="3"/>
  <c r="BC54" i="3"/>
  <c r="BD54" i="3"/>
  <c r="BE54" i="3"/>
  <c r="BF54" i="3"/>
  <c r="BG54" i="3"/>
  <c r="BL54" i="3" s="1"/>
  <c r="BH54" i="3"/>
  <c r="BI54" i="3"/>
  <c r="BJ54" i="3"/>
  <c r="BK54" i="3"/>
  <c r="AZ55" i="3"/>
  <c r="BA55" i="3"/>
  <c r="BB55" i="3"/>
  <c r="BC55" i="3"/>
  <c r="BD55" i="3"/>
  <c r="BE55" i="3"/>
  <c r="BF55" i="3"/>
  <c r="BG55" i="3"/>
  <c r="BL55" i="3" s="1"/>
  <c r="BH55" i="3"/>
  <c r="BI55" i="3"/>
  <c r="BJ55" i="3"/>
  <c r="BK55" i="3"/>
  <c r="AZ56" i="3"/>
  <c r="BA56" i="3"/>
  <c r="BB56" i="3"/>
  <c r="BC56" i="3"/>
  <c r="BD56" i="3"/>
  <c r="BE56" i="3"/>
  <c r="BF56" i="3"/>
  <c r="BK56" i="3" s="1"/>
  <c r="BG56" i="3"/>
  <c r="BH56" i="3"/>
  <c r="BI56" i="3"/>
  <c r="BJ56" i="3"/>
  <c r="BL56" i="3"/>
  <c r="AZ57" i="3"/>
  <c r="BA57" i="3"/>
  <c r="BB57" i="3"/>
  <c r="BC57" i="3"/>
  <c r="BD57" i="3"/>
  <c r="BE57" i="3"/>
  <c r="BF57" i="3"/>
  <c r="BK57" i="3" s="1"/>
  <c r="BG57" i="3"/>
  <c r="BH57" i="3"/>
  <c r="BI57" i="3"/>
  <c r="BJ57" i="3"/>
  <c r="BL57" i="3"/>
  <c r="AZ59" i="3"/>
  <c r="BH59" i="3" s="1"/>
  <c r="BA59" i="3"/>
  <c r="BI59" i="3" s="1"/>
  <c r="BB59" i="3"/>
  <c r="BC59" i="3"/>
  <c r="BD59" i="3"/>
  <c r="BE59" i="3"/>
  <c r="BF59" i="3"/>
  <c r="BK59" i="3" s="1"/>
  <c r="BG59" i="3"/>
  <c r="BL59" i="3"/>
  <c r="AZ60" i="3"/>
  <c r="BH60" i="3" s="1"/>
  <c r="BA60" i="3"/>
  <c r="BB60" i="3"/>
  <c r="BC60" i="3"/>
  <c r="BD60" i="3"/>
  <c r="BE60" i="3"/>
  <c r="BF60" i="3"/>
  <c r="BG60" i="3"/>
  <c r="BK60" i="3"/>
  <c r="BL60" i="3"/>
  <c r="AZ61" i="3"/>
  <c r="BH61" i="3" s="1"/>
  <c r="BA61" i="3"/>
  <c r="BB61" i="3"/>
  <c r="BC61" i="3"/>
  <c r="BD61" i="3"/>
  <c r="BE61" i="3"/>
  <c r="BF61" i="3"/>
  <c r="BG61" i="3"/>
  <c r="BK61" i="3"/>
  <c r="BL61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CF71" i="9" l="1"/>
  <c r="B49" i="2"/>
  <c r="C51" i="2"/>
  <c r="C44" i="2"/>
  <c r="B42" i="2"/>
  <c r="B23" i="2"/>
  <c r="C25" i="2"/>
  <c r="B22" i="2"/>
  <c r="C24" i="2"/>
  <c r="BX6" i="1"/>
  <c r="BR10" i="1"/>
  <c r="BY8" i="1"/>
  <c r="BY10" i="1"/>
  <c r="C11" i="1"/>
  <c r="BX8" i="1"/>
  <c r="C10" i="8"/>
  <c r="B9" i="8"/>
  <c r="C10" i="7"/>
  <c r="B9" i="7"/>
  <c r="BI61" i="3"/>
  <c r="BJ32" i="3"/>
  <c r="BJ60" i="3"/>
  <c r="BI60" i="3"/>
  <c r="BJ61" i="3"/>
  <c r="BJ30" i="3"/>
  <c r="BJ59" i="3"/>
  <c r="B51" i="2" l="1"/>
  <c r="C53" i="2"/>
  <c r="B44" i="2"/>
  <c r="C46" i="2"/>
  <c r="B24" i="2"/>
  <c r="C26" i="2"/>
  <c r="B25" i="2"/>
  <c r="C27" i="2"/>
  <c r="B11" i="1"/>
  <c r="C12" i="1"/>
  <c r="BW10" i="1"/>
  <c r="BV10" i="1"/>
  <c r="B10" i="8"/>
  <c r="C11" i="8"/>
  <c r="B10" i="7"/>
  <c r="C11" i="7"/>
  <c r="B46" i="2" l="1"/>
  <c r="C48" i="2"/>
  <c r="B53" i="2"/>
  <c r="C55" i="2"/>
  <c r="B27" i="2"/>
  <c r="C29" i="2"/>
  <c r="B26" i="2"/>
  <c r="C28" i="2"/>
  <c r="BX10" i="1"/>
  <c r="B12" i="1"/>
  <c r="C13" i="1"/>
  <c r="B11" i="8"/>
  <c r="C12" i="8"/>
  <c r="C12" i="7"/>
  <c r="B11" i="7"/>
  <c r="C57" i="2" l="1"/>
  <c r="B55" i="2"/>
  <c r="B48" i="2"/>
  <c r="C50" i="2"/>
  <c r="C31" i="2"/>
  <c r="B29" i="2"/>
  <c r="C30" i="2"/>
  <c r="B30" i="2" s="1"/>
  <c r="B28" i="2"/>
  <c r="C14" i="1"/>
  <c r="B13" i="1"/>
  <c r="BW12" i="1"/>
  <c r="BR12" i="1"/>
  <c r="BV12" i="1"/>
  <c r="C13" i="8"/>
  <c r="B12" i="8"/>
  <c r="BZ10" i="8"/>
  <c r="BZ10" i="7"/>
  <c r="B12" i="7"/>
  <c r="C13" i="7"/>
  <c r="B50" i="2" l="1"/>
  <c r="C52" i="2"/>
  <c r="B57" i="2"/>
  <c r="C59" i="2"/>
  <c r="B31" i="2"/>
  <c r="BX12" i="1"/>
  <c r="B14" i="1"/>
  <c r="C15" i="1"/>
  <c r="BY12" i="1"/>
  <c r="C14" i="8"/>
  <c r="B13" i="8"/>
  <c r="B13" i="7"/>
  <c r="C14" i="7"/>
  <c r="B59" i="2" l="1"/>
  <c r="C61" i="2"/>
  <c r="B52" i="2"/>
  <c r="C54" i="2"/>
  <c r="C16" i="1"/>
  <c r="B15" i="1"/>
  <c r="C17" i="1"/>
  <c r="BV16" i="1"/>
  <c r="BW14" i="1"/>
  <c r="BV14" i="1"/>
  <c r="BR14" i="1"/>
  <c r="B14" i="8"/>
  <c r="C15" i="8"/>
  <c r="B14" i="7"/>
  <c r="C15" i="7"/>
  <c r="C56" i="2" l="1"/>
  <c r="B54" i="2"/>
  <c r="B61" i="2"/>
  <c r="C63" i="2"/>
  <c r="B63" i="2" s="1"/>
  <c r="BX14" i="1"/>
  <c r="B17" i="1"/>
  <c r="C18" i="1"/>
  <c r="BW16" i="1"/>
  <c r="BX16" i="1" s="1"/>
  <c r="BR16" i="1"/>
  <c r="B16" i="1"/>
  <c r="BY16" i="1"/>
  <c r="BY14" i="1"/>
  <c r="C16" i="8"/>
  <c r="C17" i="8"/>
  <c r="B15" i="8"/>
  <c r="C16" i="7"/>
  <c r="C17" i="7"/>
  <c r="B15" i="7"/>
  <c r="B56" i="2" l="1"/>
  <c r="C58" i="2"/>
  <c r="C19" i="1"/>
  <c r="B18" i="1"/>
  <c r="C18" i="8"/>
  <c r="B17" i="8"/>
  <c r="B16" i="8"/>
  <c r="C18" i="7"/>
  <c r="B17" i="7"/>
  <c r="B16" i="7"/>
  <c r="B58" i="2" l="1"/>
  <c r="C60" i="2"/>
  <c r="C20" i="1"/>
  <c r="B19" i="1"/>
  <c r="BR18" i="1"/>
  <c r="BV18" i="1"/>
  <c r="BW18" i="1"/>
  <c r="C19" i="8"/>
  <c r="B18" i="8"/>
  <c r="B18" i="7"/>
  <c r="C19" i="7"/>
  <c r="B60" i="2" l="1"/>
  <c r="C62" i="2"/>
  <c r="B62" i="2" s="1"/>
  <c r="BX18" i="1"/>
  <c r="C22" i="1"/>
  <c r="BY20" i="1" s="1"/>
  <c r="C21" i="1"/>
  <c r="B20" i="1"/>
  <c r="BY18" i="1"/>
  <c r="B19" i="8"/>
  <c r="C20" i="8"/>
  <c r="B19" i="7"/>
  <c r="C20" i="7"/>
  <c r="B21" i="1" l="1"/>
  <c r="BR20" i="1"/>
  <c r="BW20" i="1"/>
  <c r="BV20" i="1"/>
  <c r="BY22" i="1"/>
  <c r="C23" i="1"/>
  <c r="BW22" i="1" s="1"/>
  <c r="B22" i="1"/>
  <c r="C22" i="8"/>
  <c r="C21" i="8"/>
  <c r="B20" i="8"/>
  <c r="C22" i="7"/>
  <c r="B20" i="7"/>
  <c r="C21" i="7"/>
  <c r="BR22" i="1" l="1"/>
  <c r="BV22" i="1"/>
  <c r="BX22" i="1" s="1"/>
  <c r="B23" i="1"/>
  <c r="C24" i="1"/>
  <c r="BX20" i="1"/>
  <c r="BR23" i="1"/>
  <c r="B21" i="8"/>
  <c r="C23" i="8"/>
  <c r="B22" i="8"/>
  <c r="B21" i="7"/>
  <c r="C23" i="7"/>
  <c r="B22" i="7"/>
  <c r="C25" i="1" l="1"/>
  <c r="BV24" i="1" s="1"/>
  <c r="B24" i="1"/>
  <c r="BV23" i="1"/>
  <c r="BW23" i="1"/>
  <c r="C24" i="8"/>
  <c r="B23" i="8"/>
  <c r="C24" i="7"/>
  <c r="B23" i="7"/>
  <c r="BR24" i="1" l="1"/>
  <c r="BW24" i="1"/>
  <c r="BX24" i="1" s="1"/>
  <c r="BX23" i="1"/>
  <c r="C26" i="1"/>
  <c r="B25" i="1"/>
  <c r="BR25" i="1"/>
  <c r="B24" i="8"/>
  <c r="C25" i="8"/>
  <c r="C25" i="7"/>
  <c r="B24" i="7"/>
  <c r="C27" i="1" l="1"/>
  <c r="B26" i="1"/>
  <c r="BY24" i="1"/>
  <c r="BW25" i="1"/>
  <c r="BV25" i="1"/>
  <c r="C26" i="8"/>
  <c r="B25" i="8"/>
  <c r="B25" i="7"/>
  <c r="C26" i="7"/>
  <c r="BX25" i="1" l="1"/>
  <c r="BR26" i="1"/>
  <c r="BW26" i="1"/>
  <c r="BV26" i="1"/>
  <c r="B27" i="1"/>
  <c r="C28" i="1"/>
  <c r="BR27" i="1" s="1"/>
  <c r="C27" i="8"/>
  <c r="B26" i="8"/>
  <c r="B26" i="7"/>
  <c r="C27" i="7"/>
  <c r="BX26" i="1" l="1"/>
  <c r="C29" i="1"/>
  <c r="BR28" i="1" s="1"/>
  <c r="B28" i="1"/>
  <c r="BV27" i="1"/>
  <c r="BW27" i="1"/>
  <c r="BY26" i="1"/>
  <c r="B27" i="8"/>
  <c r="C28" i="8"/>
  <c r="B27" i="7"/>
  <c r="C28" i="7"/>
  <c r="BV28" i="1" l="1"/>
  <c r="BW28" i="1"/>
  <c r="BX28" i="1" s="1"/>
  <c r="BX27" i="1"/>
  <c r="C30" i="1"/>
  <c r="B29" i="1"/>
  <c r="BR29" i="1"/>
  <c r="C29" i="8"/>
  <c r="B28" i="8"/>
  <c r="B28" i="7"/>
  <c r="C29" i="7"/>
  <c r="B30" i="1" l="1"/>
  <c r="C31" i="1"/>
  <c r="BR30" i="1" s="1"/>
  <c r="BV29" i="1"/>
  <c r="BY28" i="1"/>
  <c r="BW29" i="1"/>
  <c r="BX29" i="1" s="1"/>
  <c r="C30" i="8"/>
  <c r="B29" i="8"/>
  <c r="C30" i="7"/>
  <c r="B29" i="7"/>
  <c r="BW30" i="1" l="1"/>
  <c r="BV30" i="1"/>
  <c r="B31" i="1"/>
  <c r="C33" i="1"/>
  <c r="C32" i="1"/>
  <c r="BR32" i="1"/>
  <c r="BR31" i="1"/>
  <c r="B30" i="8"/>
  <c r="C31" i="8"/>
  <c r="B30" i="7"/>
  <c r="C31" i="7"/>
  <c r="BW32" i="1" l="1"/>
  <c r="BV32" i="1"/>
  <c r="BX32" i="1" s="1"/>
  <c r="BX30" i="1"/>
  <c r="C34" i="1"/>
  <c r="BY32" i="1" s="1"/>
  <c r="B32" i="1"/>
  <c r="BY30" i="1"/>
  <c r="BV31" i="1"/>
  <c r="BW31" i="1"/>
  <c r="BX31" i="1" s="1"/>
  <c r="B33" i="1"/>
  <c r="C33" i="8"/>
  <c r="C32" i="8"/>
  <c r="B31" i="8"/>
  <c r="B31" i="7"/>
  <c r="C33" i="7"/>
  <c r="C32" i="7"/>
  <c r="C35" i="1" l="1"/>
  <c r="B34" i="1"/>
  <c r="C34" i="8"/>
  <c r="B32" i="8"/>
  <c r="B33" i="8"/>
  <c r="C34" i="7"/>
  <c r="B32" i="7"/>
  <c r="B33" i="7"/>
  <c r="B35" i="1" l="1"/>
  <c r="C36" i="1"/>
  <c r="BW34" i="1"/>
  <c r="BR34" i="1"/>
  <c r="BV34" i="1"/>
  <c r="C35" i="8"/>
  <c r="B34" i="8"/>
  <c r="C35" i="7"/>
  <c r="B34" i="7"/>
  <c r="BX34" i="1" l="1"/>
  <c r="BV35" i="1"/>
  <c r="BR35" i="1"/>
  <c r="BW35" i="1"/>
  <c r="BX35" i="1" s="1"/>
  <c r="B36" i="1"/>
  <c r="C37" i="1"/>
  <c r="BY34" i="1"/>
  <c r="C36" i="8"/>
  <c r="B35" i="8"/>
  <c r="B35" i="7"/>
  <c r="C36" i="7"/>
  <c r="C38" i="1" l="1"/>
  <c r="BR37" i="1" s="1"/>
  <c r="B37" i="1"/>
  <c r="BW36" i="1"/>
  <c r="BV36" i="1"/>
  <c r="BR36" i="1"/>
  <c r="C37" i="8"/>
  <c r="B36" i="8"/>
  <c r="C37" i="7"/>
  <c r="B36" i="7"/>
  <c r="BV37" i="1" l="1"/>
  <c r="BW37" i="1"/>
  <c r="BX36" i="1"/>
  <c r="C39" i="1"/>
  <c r="B38" i="1"/>
  <c r="BY36" i="1"/>
  <c r="B37" i="8"/>
  <c r="C38" i="8"/>
  <c r="C38" i="7"/>
  <c r="B37" i="7"/>
  <c r="BX37" i="1" l="1"/>
  <c r="B39" i="1"/>
  <c r="C40" i="1"/>
  <c r="BW38" i="1"/>
  <c r="BR38" i="1"/>
  <c r="BV38" i="1"/>
  <c r="B38" i="8"/>
  <c r="C39" i="8"/>
  <c r="B38" i="7"/>
  <c r="C39" i="7"/>
  <c r="BV39" i="1" l="1"/>
  <c r="BW39" i="1"/>
  <c r="BR39" i="1"/>
  <c r="B40" i="1"/>
  <c r="C41" i="1"/>
  <c r="BY38" i="1"/>
  <c r="BX38" i="1"/>
  <c r="C40" i="8"/>
  <c r="B39" i="8"/>
  <c r="B39" i="7"/>
  <c r="C40" i="7"/>
  <c r="BX39" i="1" l="1"/>
  <c r="B41" i="1"/>
  <c r="C42" i="1"/>
  <c r="BV41" i="1" s="1"/>
  <c r="BW40" i="1"/>
  <c r="BR40" i="1"/>
  <c r="BV40" i="1"/>
  <c r="BX40" i="1" s="1"/>
  <c r="B40" i="8"/>
  <c r="C41" i="7"/>
  <c r="B40" i="7"/>
  <c r="BW41" i="1" l="1"/>
  <c r="BX41" i="1"/>
  <c r="BR41" i="1"/>
  <c r="C43" i="1"/>
  <c r="B42" i="1"/>
  <c r="BY40" i="1"/>
  <c r="C42" i="7"/>
  <c r="B41" i="7"/>
  <c r="C44" i="1" l="1"/>
  <c r="B43" i="1"/>
  <c r="C45" i="1"/>
  <c r="BW42" i="1"/>
  <c r="BR43" i="1"/>
  <c r="BV42" i="1"/>
  <c r="BR42" i="1"/>
  <c r="C43" i="7"/>
  <c r="B42" i="7"/>
  <c r="BV44" i="1" l="1"/>
  <c r="BR44" i="1"/>
  <c r="BW44" i="1"/>
  <c r="BX42" i="1"/>
  <c r="B44" i="1"/>
  <c r="C46" i="1"/>
  <c r="BV43" i="1"/>
  <c r="BW43" i="1"/>
  <c r="BY42" i="1"/>
  <c r="C44" i="7"/>
  <c r="B43" i="7"/>
  <c r="C45" i="7"/>
  <c r="BX43" i="1" l="1"/>
  <c r="BX44" i="1"/>
  <c r="BY44" i="1"/>
  <c r="B46" i="1"/>
  <c r="C47" i="1"/>
  <c r="BW46" i="1" s="1"/>
  <c r="B45" i="7"/>
  <c r="C46" i="7"/>
  <c r="B44" i="7"/>
  <c r="BR46" i="1" l="1"/>
  <c r="BV46" i="1"/>
  <c r="BX46" i="1" s="1"/>
  <c r="C48" i="1"/>
  <c r="BR47" i="1" s="1"/>
  <c r="B47" i="1"/>
  <c r="B46" i="7"/>
  <c r="C47" i="7"/>
  <c r="B48" i="1" l="1"/>
  <c r="C49" i="1"/>
  <c r="BV48" i="1" s="1"/>
  <c r="BY46" i="1"/>
  <c r="BW47" i="1"/>
  <c r="BV47" i="1"/>
  <c r="B47" i="7"/>
  <c r="C48" i="7"/>
  <c r="BW48" i="1" l="1"/>
  <c r="BX48" i="1" s="1"/>
  <c r="BR48" i="1"/>
  <c r="BX47" i="1"/>
  <c r="B49" i="1"/>
  <c r="C50" i="1"/>
  <c r="BR49" i="1"/>
  <c r="B48" i="7"/>
  <c r="C49" i="7"/>
  <c r="C51" i="1" l="1"/>
  <c r="BW50" i="1" s="1"/>
  <c r="B50" i="1"/>
  <c r="BY48" i="1"/>
  <c r="BV49" i="1"/>
  <c r="BW49" i="1"/>
  <c r="B49" i="7"/>
  <c r="C50" i="7"/>
  <c r="BR50" i="1" l="1"/>
  <c r="BV50" i="1"/>
  <c r="BX50" i="1" s="1"/>
  <c r="BX49" i="1"/>
  <c r="C52" i="1"/>
  <c r="B51" i="1"/>
  <c r="BR51" i="1"/>
  <c r="C51" i="7"/>
  <c r="B50" i="7"/>
  <c r="C53" i="1" l="1"/>
  <c r="B52" i="1"/>
  <c r="BV51" i="1"/>
  <c r="BW51" i="1"/>
  <c r="BY50" i="1"/>
  <c r="C52" i="7"/>
  <c r="B51" i="7"/>
  <c r="BV52" i="1" l="1"/>
  <c r="BR52" i="1"/>
  <c r="BW52" i="1"/>
  <c r="BX52" i="1" s="1"/>
  <c r="BX51" i="1"/>
  <c r="C54" i="1"/>
  <c r="BR53" i="1" s="1"/>
  <c r="B53" i="1"/>
  <c r="C53" i="7"/>
  <c r="B52" i="7"/>
  <c r="B54" i="1" l="1"/>
  <c r="C55" i="1"/>
  <c r="BV53" i="1"/>
  <c r="BW53" i="1"/>
  <c r="BY52" i="1"/>
  <c r="B53" i="7"/>
  <c r="C54" i="7"/>
  <c r="BX53" i="1" l="1"/>
  <c r="BR54" i="1"/>
  <c r="C57" i="1"/>
  <c r="C56" i="1"/>
  <c r="BY54" i="1" s="1"/>
  <c r="B55" i="1"/>
  <c r="BW56" i="1"/>
  <c r="BV54" i="1"/>
  <c r="BW54" i="1"/>
  <c r="B54" i="7"/>
  <c r="C55" i="7"/>
  <c r="AZ6" i="6"/>
  <c r="BA6" i="6"/>
  <c r="BB6" i="6"/>
  <c r="BC6" i="6"/>
  <c r="BD6" i="6"/>
  <c r="BE6" i="6"/>
  <c r="BF6" i="6"/>
  <c r="BG6" i="6"/>
  <c r="BL6" i="6" s="1"/>
  <c r="BK6" i="6"/>
  <c r="AZ16" i="5"/>
  <c r="BA16" i="5"/>
  <c r="BB16" i="5"/>
  <c r="BJ16" i="5" s="1"/>
  <c r="BC16" i="5"/>
  <c r="BD16" i="5"/>
  <c r="BE16" i="5"/>
  <c r="BF16" i="5"/>
  <c r="BG16" i="5"/>
  <c r="BL16" i="5" s="1"/>
  <c r="BK16" i="5"/>
  <c r="AZ6" i="5"/>
  <c r="BA6" i="5"/>
  <c r="BB6" i="5"/>
  <c r="BC6" i="5"/>
  <c r="BH6" i="5" s="1"/>
  <c r="BD6" i="5"/>
  <c r="BE6" i="5"/>
  <c r="BF6" i="5"/>
  <c r="BG6" i="5"/>
  <c r="BL6" i="5" s="1"/>
  <c r="BI6" i="5"/>
  <c r="BJ6" i="5"/>
  <c r="BK6" i="5"/>
  <c r="C67" i="6"/>
  <c r="BX66" i="6"/>
  <c r="BW66" i="6"/>
  <c r="BV66" i="6"/>
  <c r="BT66" i="6"/>
  <c r="BS66" i="6"/>
  <c r="BU66" i="6" s="1"/>
  <c r="C66" i="6"/>
  <c r="B66" i="6" s="1"/>
  <c r="A66" i="6"/>
  <c r="BX65" i="6"/>
  <c r="BW65" i="6"/>
  <c r="BV65" i="6"/>
  <c r="BT65" i="6"/>
  <c r="BS65" i="6"/>
  <c r="BU65" i="6" s="1"/>
  <c r="C65" i="6"/>
  <c r="A65" i="6"/>
  <c r="BX64" i="6"/>
  <c r="BW64" i="6"/>
  <c r="BV64" i="6"/>
  <c r="BU64" i="6"/>
  <c r="BT64" i="6"/>
  <c r="BS64" i="6"/>
  <c r="C64" i="6"/>
  <c r="B64" i="6" s="1"/>
  <c r="A64" i="6"/>
  <c r="BX63" i="6"/>
  <c r="BW63" i="6"/>
  <c r="BV63" i="6"/>
  <c r="BT63" i="6"/>
  <c r="BS63" i="6"/>
  <c r="BU63" i="6" s="1"/>
  <c r="C63" i="6"/>
  <c r="A63" i="6"/>
  <c r="BX62" i="6"/>
  <c r="BW62" i="6"/>
  <c r="BV62" i="6"/>
  <c r="BT62" i="6"/>
  <c r="BS62" i="6"/>
  <c r="BU62" i="6" s="1"/>
  <c r="C62" i="6"/>
  <c r="B62" i="6" s="1"/>
  <c r="A62" i="6"/>
  <c r="BX61" i="6"/>
  <c r="BW61" i="6"/>
  <c r="BV61" i="6"/>
  <c r="C61" i="6"/>
  <c r="B61" i="6" s="1"/>
  <c r="BX60" i="6"/>
  <c r="BW60" i="6"/>
  <c r="BV60" i="6"/>
  <c r="BT60" i="6"/>
  <c r="BS60" i="6"/>
  <c r="BU60" i="6" s="1"/>
  <c r="C60" i="6"/>
  <c r="B60" i="6" s="1"/>
  <c r="A60" i="6"/>
  <c r="BX59" i="6"/>
  <c r="BW59" i="6"/>
  <c r="BV59" i="6"/>
  <c r="BT59" i="6"/>
  <c r="BS59" i="6"/>
  <c r="BU59" i="6" s="1"/>
  <c r="C59" i="6"/>
  <c r="B59" i="6" s="1"/>
  <c r="A59" i="6"/>
  <c r="BX58" i="6"/>
  <c r="BW58" i="6"/>
  <c r="BV58" i="6"/>
  <c r="BT58" i="6"/>
  <c r="BS58" i="6"/>
  <c r="C58" i="6"/>
  <c r="B58" i="6" s="1"/>
  <c r="A58" i="6"/>
  <c r="BX57" i="6"/>
  <c r="BW57" i="6"/>
  <c r="BV57" i="6"/>
  <c r="BT57" i="6"/>
  <c r="BS57" i="6"/>
  <c r="C57" i="6"/>
  <c r="A57" i="6"/>
  <c r="BT56" i="6"/>
  <c r="BS56" i="6"/>
  <c r="BU56" i="6" s="1"/>
  <c r="A56" i="6"/>
  <c r="BX55" i="6"/>
  <c r="BW55" i="6"/>
  <c r="BV55" i="6"/>
  <c r="BU55" i="6"/>
  <c r="BT55" i="6"/>
  <c r="BS55" i="6"/>
  <c r="A55" i="6"/>
  <c r="BT54" i="6"/>
  <c r="BS54" i="6"/>
  <c r="A54" i="6"/>
  <c r="BX53" i="6"/>
  <c r="BW53" i="6"/>
  <c r="BV53" i="6"/>
  <c r="BT53" i="6"/>
  <c r="BS53" i="6"/>
  <c r="A53" i="6"/>
  <c r="BT52" i="6"/>
  <c r="BS52" i="6"/>
  <c r="A52" i="6"/>
  <c r="BX51" i="6"/>
  <c r="BW51" i="6"/>
  <c r="BV51" i="6"/>
  <c r="BT51" i="6"/>
  <c r="BS51" i="6"/>
  <c r="BU51" i="6" s="1"/>
  <c r="A51" i="6"/>
  <c r="BT50" i="6"/>
  <c r="BS50" i="6"/>
  <c r="A50" i="6"/>
  <c r="BX49" i="6"/>
  <c r="BW49" i="6"/>
  <c r="BV49" i="6"/>
  <c r="BT49" i="6"/>
  <c r="BS49" i="6"/>
  <c r="A49" i="6"/>
  <c r="BT48" i="6"/>
  <c r="BS48" i="6"/>
  <c r="BU48" i="6" s="1"/>
  <c r="A48" i="6"/>
  <c r="BX47" i="6"/>
  <c r="BW47" i="6"/>
  <c r="BV47" i="6"/>
  <c r="BT47" i="6"/>
  <c r="BS47" i="6"/>
  <c r="A47" i="6"/>
  <c r="BT46" i="6"/>
  <c r="BS46" i="6"/>
  <c r="A46" i="6"/>
  <c r="BX45" i="6"/>
  <c r="BW45" i="6"/>
  <c r="BV45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BG14" i="6"/>
  <c r="BL14" i="6" s="1"/>
  <c r="BF14" i="6"/>
  <c r="BK14" i="6" s="1"/>
  <c r="BE14" i="6"/>
  <c r="BD14" i="6"/>
  <c r="BC14" i="6"/>
  <c r="BB14" i="6"/>
  <c r="BA14" i="6"/>
  <c r="AZ14" i="6"/>
  <c r="A14" i="6"/>
  <c r="BG13" i="6"/>
  <c r="BL13" i="6" s="1"/>
  <c r="BF13" i="6"/>
  <c r="BK13" i="6" s="1"/>
  <c r="BE13" i="6"/>
  <c r="BD13" i="6"/>
  <c r="BC13" i="6"/>
  <c r="BB13" i="6"/>
  <c r="BA13" i="6"/>
  <c r="BI13" i="6" s="1"/>
  <c r="AZ13" i="6"/>
  <c r="BH13" i="6" s="1"/>
  <c r="A13" i="6"/>
  <c r="BG12" i="6"/>
  <c r="BL12" i="6" s="1"/>
  <c r="BF12" i="6"/>
  <c r="BK12" i="6" s="1"/>
  <c r="BE12" i="6"/>
  <c r="BD12" i="6"/>
  <c r="BC12" i="6"/>
  <c r="BB12" i="6"/>
  <c r="BA12" i="6"/>
  <c r="BI12" i="6" s="1"/>
  <c r="AZ12" i="6"/>
  <c r="A12" i="6"/>
  <c r="BG11" i="6"/>
  <c r="BL11" i="6" s="1"/>
  <c r="BF11" i="6"/>
  <c r="BK11" i="6" s="1"/>
  <c r="BE11" i="6"/>
  <c r="BD11" i="6"/>
  <c r="BC11" i="6"/>
  <c r="BB11" i="6"/>
  <c r="BA11" i="6"/>
  <c r="AZ11" i="6"/>
  <c r="A11" i="6"/>
  <c r="BG10" i="6"/>
  <c r="BL10" i="6" s="1"/>
  <c r="BF10" i="6"/>
  <c r="BK10" i="6" s="1"/>
  <c r="BE10" i="6"/>
  <c r="BD10" i="6"/>
  <c r="BC10" i="6"/>
  <c r="BB10" i="6"/>
  <c r="BA10" i="6"/>
  <c r="BI10" i="6" s="1"/>
  <c r="AZ10" i="6"/>
  <c r="BH10" i="6" s="1"/>
  <c r="A10" i="6"/>
  <c r="BG9" i="6"/>
  <c r="BL9" i="6" s="1"/>
  <c r="BF9" i="6"/>
  <c r="BK9" i="6" s="1"/>
  <c r="BE9" i="6"/>
  <c r="BD9" i="6"/>
  <c r="BC9" i="6"/>
  <c r="BB9" i="6"/>
  <c r="BA9" i="6"/>
  <c r="AZ9" i="6"/>
  <c r="BH9" i="6" s="1"/>
  <c r="A9" i="6"/>
  <c r="BG8" i="6"/>
  <c r="BL8" i="6" s="1"/>
  <c r="BF8" i="6"/>
  <c r="BK8" i="6" s="1"/>
  <c r="BE8" i="6"/>
  <c r="BD8" i="6"/>
  <c r="BC8" i="6"/>
  <c r="BB8" i="6"/>
  <c r="BJ8" i="6" s="1"/>
  <c r="BA8" i="6"/>
  <c r="AZ8" i="6"/>
  <c r="C8" i="6"/>
  <c r="A8" i="6"/>
  <c r="BG7" i="6"/>
  <c r="BL7" i="6" s="1"/>
  <c r="BF7" i="6"/>
  <c r="BK7" i="6" s="1"/>
  <c r="BE7" i="6"/>
  <c r="BD7" i="6"/>
  <c r="BC7" i="6"/>
  <c r="BB7" i="6"/>
  <c r="BJ7" i="6" s="1"/>
  <c r="BA7" i="6"/>
  <c r="AZ7" i="6"/>
  <c r="B7" i="6"/>
  <c r="A7" i="6"/>
  <c r="B6" i="6"/>
  <c r="A6" i="6"/>
  <c r="BL4" i="6"/>
  <c r="BK4" i="6"/>
  <c r="BJ4" i="6"/>
  <c r="BI4" i="6"/>
  <c r="BV56" i="1" l="1"/>
  <c r="BX56" i="1" s="1"/>
  <c r="BW8" i="6"/>
  <c r="BV8" i="6"/>
  <c r="BX8" i="6" s="1"/>
  <c r="BR8" i="6"/>
  <c r="BI9" i="6"/>
  <c r="BH12" i="6"/>
  <c r="BH16" i="5"/>
  <c r="BI16" i="5"/>
  <c r="BJ6" i="6"/>
  <c r="BI6" i="6"/>
  <c r="BJ13" i="6"/>
  <c r="BH6" i="6"/>
  <c r="BR56" i="1"/>
  <c r="BR55" i="1"/>
  <c r="BV55" i="1"/>
  <c r="BW55" i="1"/>
  <c r="BX55" i="1" s="1"/>
  <c r="BX54" i="1"/>
  <c r="C58" i="1"/>
  <c r="BW57" i="1" s="1"/>
  <c r="B56" i="1"/>
  <c r="B57" i="1"/>
  <c r="BH7" i="6"/>
  <c r="C9" i="6"/>
  <c r="BH14" i="6"/>
  <c r="BI14" i="6"/>
  <c r="BJ12" i="6"/>
  <c r="C56" i="7"/>
  <c r="B55" i="7"/>
  <c r="BU49" i="6"/>
  <c r="BU57" i="6"/>
  <c r="BU46" i="6"/>
  <c r="BU53" i="6"/>
  <c r="BU47" i="6"/>
  <c r="BU58" i="6"/>
  <c r="BH11" i="6"/>
  <c r="BJ14" i="6"/>
  <c r="BI11" i="6"/>
  <c r="BY66" i="6"/>
  <c r="BI7" i="6"/>
  <c r="BJ9" i="6"/>
  <c r="BJ10" i="6"/>
  <c r="BJ11" i="6"/>
  <c r="B63" i="6"/>
  <c r="BH8" i="6"/>
  <c r="BI8" i="6"/>
  <c r="BY62" i="6"/>
  <c r="C10" i="6"/>
  <c r="B9" i="6"/>
  <c r="B8" i="6"/>
  <c r="BU52" i="6"/>
  <c r="BY60" i="6"/>
  <c r="BY64" i="6"/>
  <c r="BU50" i="6"/>
  <c r="B65" i="6"/>
  <c r="BU54" i="6"/>
  <c r="B57" i="6"/>
  <c r="C67" i="5"/>
  <c r="BT66" i="5"/>
  <c r="BS66" i="5"/>
  <c r="BQ66" i="5"/>
  <c r="BO66" i="5"/>
  <c r="BN66" i="5"/>
  <c r="A66" i="5"/>
  <c r="BX65" i="5"/>
  <c r="BW65" i="5"/>
  <c r="BV65" i="5"/>
  <c r="BT65" i="5"/>
  <c r="BS65" i="5"/>
  <c r="BU65" i="5" s="1"/>
  <c r="BQ65" i="5"/>
  <c r="BO65" i="5"/>
  <c r="BN65" i="5"/>
  <c r="A65" i="5"/>
  <c r="BT64" i="5"/>
  <c r="BS64" i="5"/>
  <c r="BQ64" i="5"/>
  <c r="BO64" i="5"/>
  <c r="BN64" i="5"/>
  <c r="A64" i="5"/>
  <c r="BX63" i="5"/>
  <c r="BW63" i="5"/>
  <c r="BV63" i="5"/>
  <c r="BT63" i="5"/>
  <c r="BS63" i="5"/>
  <c r="BU63" i="5" s="1"/>
  <c r="BQ63" i="5"/>
  <c r="BO63" i="5"/>
  <c r="BN63" i="5"/>
  <c r="A63" i="5"/>
  <c r="BT62" i="5"/>
  <c r="BS62" i="5"/>
  <c r="BQ62" i="5"/>
  <c r="BO62" i="5"/>
  <c r="BN62" i="5"/>
  <c r="A62" i="5"/>
  <c r="BX61" i="5"/>
  <c r="BW61" i="5"/>
  <c r="BV61" i="5"/>
  <c r="BO61" i="5"/>
  <c r="BT60" i="5"/>
  <c r="BS60" i="5"/>
  <c r="BU60" i="5" s="1"/>
  <c r="BQ60" i="5"/>
  <c r="BO60" i="5"/>
  <c r="BN60" i="5"/>
  <c r="A60" i="5"/>
  <c r="BX59" i="5"/>
  <c r="BW59" i="5"/>
  <c r="BV59" i="5"/>
  <c r="BT59" i="5"/>
  <c r="BS59" i="5"/>
  <c r="BU59" i="5" s="1"/>
  <c r="BQ59" i="5"/>
  <c r="BO59" i="5"/>
  <c r="BN59" i="5"/>
  <c r="A59" i="5"/>
  <c r="BT58" i="5"/>
  <c r="BS58" i="5"/>
  <c r="BQ58" i="5"/>
  <c r="BO58" i="5"/>
  <c r="BN58" i="5"/>
  <c r="A58" i="5"/>
  <c r="BX57" i="5"/>
  <c r="BW57" i="5"/>
  <c r="BV57" i="5"/>
  <c r="BT57" i="5"/>
  <c r="BS57" i="5"/>
  <c r="BU57" i="5" s="1"/>
  <c r="BO57" i="5"/>
  <c r="A57" i="5"/>
  <c r="BN56" i="5"/>
  <c r="A56" i="5"/>
  <c r="BN55" i="5"/>
  <c r="A55" i="5"/>
  <c r="BN54" i="5"/>
  <c r="A54" i="5"/>
  <c r="BN53" i="5"/>
  <c r="A53" i="5"/>
  <c r="BN52" i="5"/>
  <c r="A52" i="5"/>
  <c r="BN51" i="5"/>
  <c r="A51" i="5"/>
  <c r="BN50" i="5"/>
  <c r="A50" i="5"/>
  <c r="BN49" i="5"/>
  <c r="A49" i="5"/>
  <c r="BN48" i="5"/>
  <c r="A48" i="5"/>
  <c r="BN47" i="5"/>
  <c r="A47" i="5"/>
  <c r="BN46" i="5"/>
  <c r="A46" i="5"/>
  <c r="A45" i="5"/>
  <c r="BN44" i="5"/>
  <c r="A44" i="5"/>
  <c r="BN43" i="5"/>
  <c r="A43" i="5"/>
  <c r="BN42" i="5"/>
  <c r="A42" i="5"/>
  <c r="A41" i="5"/>
  <c r="BN40" i="5"/>
  <c r="A40" i="5"/>
  <c r="BN39" i="5"/>
  <c r="A39" i="5"/>
  <c r="BN38" i="5"/>
  <c r="A38" i="5"/>
  <c r="BN37" i="5"/>
  <c r="A37" i="5"/>
  <c r="BN36" i="5"/>
  <c r="A36" i="5"/>
  <c r="BN35" i="5"/>
  <c r="A35" i="5"/>
  <c r="BN34" i="5"/>
  <c r="A34" i="5"/>
  <c r="A33" i="5"/>
  <c r="BN32" i="5"/>
  <c r="A32" i="5"/>
  <c r="BN31" i="5"/>
  <c r="A31" i="5"/>
  <c r="BN30" i="5"/>
  <c r="A30" i="5"/>
  <c r="A29" i="5"/>
  <c r="BN28" i="5"/>
  <c r="A28" i="5"/>
  <c r="BN27" i="5"/>
  <c r="A27" i="5"/>
  <c r="BN26" i="5"/>
  <c r="A26" i="5"/>
  <c r="BN25" i="5"/>
  <c r="A25" i="5"/>
  <c r="BN24" i="5"/>
  <c r="A24" i="5"/>
  <c r="BN23" i="5"/>
  <c r="A23" i="5"/>
  <c r="BN22" i="5"/>
  <c r="A22" i="5"/>
  <c r="A21" i="5"/>
  <c r="BN20" i="5"/>
  <c r="A20" i="5"/>
  <c r="BN19" i="5"/>
  <c r="A19" i="5"/>
  <c r="BN18" i="5"/>
  <c r="A18" i="5"/>
  <c r="A17" i="5"/>
  <c r="A16" i="5"/>
  <c r="BN15" i="5"/>
  <c r="BR15" i="5" s="1"/>
  <c r="BG15" i="5"/>
  <c r="BL15" i="5" s="1"/>
  <c r="BF15" i="5"/>
  <c r="BK15" i="5" s="1"/>
  <c r="BE15" i="5"/>
  <c r="BD15" i="5"/>
  <c r="BC15" i="5"/>
  <c r="BB15" i="5"/>
  <c r="BJ15" i="5" s="1"/>
  <c r="BA15" i="5"/>
  <c r="AZ15" i="5"/>
  <c r="A15" i="5"/>
  <c r="BN14" i="5"/>
  <c r="BG14" i="5"/>
  <c r="BL14" i="5" s="1"/>
  <c r="BF14" i="5"/>
  <c r="BK14" i="5" s="1"/>
  <c r="BE14" i="5"/>
  <c r="BD14" i="5"/>
  <c r="BC14" i="5"/>
  <c r="BB14" i="5"/>
  <c r="BA14" i="5"/>
  <c r="BI14" i="5" s="1"/>
  <c r="AZ14" i="5"/>
  <c r="A14" i="5"/>
  <c r="BN13" i="5"/>
  <c r="BR13" i="5" s="1"/>
  <c r="BG13" i="5"/>
  <c r="BL13" i="5" s="1"/>
  <c r="BF13" i="5"/>
  <c r="BK13" i="5" s="1"/>
  <c r="BE13" i="5"/>
  <c r="BD13" i="5"/>
  <c r="BC13" i="5"/>
  <c r="BB13" i="5"/>
  <c r="BA13" i="5"/>
  <c r="BI13" i="5" s="1"/>
  <c r="AZ13" i="5"/>
  <c r="A13" i="5"/>
  <c r="BN12" i="5"/>
  <c r="BG12" i="5"/>
  <c r="BL12" i="5" s="1"/>
  <c r="BF12" i="5"/>
  <c r="BK12" i="5" s="1"/>
  <c r="BE12" i="5"/>
  <c r="BD12" i="5"/>
  <c r="BC12" i="5"/>
  <c r="BB12" i="5"/>
  <c r="BA12" i="5"/>
  <c r="BI12" i="5" s="1"/>
  <c r="AZ12" i="5"/>
  <c r="A12" i="5"/>
  <c r="BN11" i="5"/>
  <c r="BR11" i="5" s="1"/>
  <c r="BG11" i="5"/>
  <c r="BL11" i="5" s="1"/>
  <c r="BF11" i="5"/>
  <c r="BK11" i="5" s="1"/>
  <c r="BE11" i="5"/>
  <c r="BD11" i="5"/>
  <c r="BC11" i="5"/>
  <c r="BB11" i="5"/>
  <c r="BJ11" i="5" s="1"/>
  <c r="BA11" i="5"/>
  <c r="BI11" i="5" s="1"/>
  <c r="AZ11" i="5"/>
  <c r="BH11" i="5" s="1"/>
  <c r="A11" i="5"/>
  <c r="BT10" i="5"/>
  <c r="BS10" i="5"/>
  <c r="BQ10" i="5"/>
  <c r="BO10" i="5"/>
  <c r="BN10" i="5"/>
  <c r="BG10" i="5"/>
  <c r="BL10" i="5" s="1"/>
  <c r="BF10" i="5"/>
  <c r="BK10" i="5" s="1"/>
  <c r="BE10" i="5"/>
  <c r="BD10" i="5"/>
  <c r="BC10" i="5"/>
  <c r="BB10" i="5"/>
  <c r="BA10" i="5"/>
  <c r="AZ10" i="5"/>
  <c r="A10" i="5"/>
  <c r="BX9" i="5"/>
  <c r="BW9" i="5"/>
  <c r="BV9" i="5"/>
  <c r="BT9" i="5"/>
  <c r="BS9" i="5"/>
  <c r="BQ9" i="5"/>
  <c r="BN9" i="5"/>
  <c r="BR9" i="5" s="1"/>
  <c r="BG9" i="5"/>
  <c r="BL9" i="5" s="1"/>
  <c r="BF9" i="5"/>
  <c r="BK9" i="5" s="1"/>
  <c r="BE9" i="5"/>
  <c r="BD9" i="5"/>
  <c r="BC9" i="5"/>
  <c r="BB9" i="5"/>
  <c r="BA9" i="5"/>
  <c r="AZ9" i="5"/>
  <c r="A9" i="5"/>
  <c r="BT8" i="5"/>
  <c r="BS8" i="5"/>
  <c r="BU8" i="5" s="1"/>
  <c r="BQ8" i="5"/>
  <c r="BO8" i="5"/>
  <c r="BN8" i="5"/>
  <c r="BG8" i="5"/>
  <c r="BL8" i="5" s="1"/>
  <c r="BF8" i="5"/>
  <c r="BK8" i="5" s="1"/>
  <c r="BE8" i="5"/>
  <c r="BD8" i="5"/>
  <c r="BC8" i="5"/>
  <c r="BB8" i="5"/>
  <c r="BA8" i="5"/>
  <c r="AZ8" i="5"/>
  <c r="C8" i="5"/>
  <c r="A8" i="5"/>
  <c r="BX7" i="5"/>
  <c r="BW7" i="5"/>
  <c r="BV7" i="5"/>
  <c r="BT7" i="5"/>
  <c r="BS7" i="5"/>
  <c r="BQ7" i="5"/>
  <c r="BN7" i="5"/>
  <c r="BG7" i="5"/>
  <c r="BL7" i="5" s="1"/>
  <c r="BF7" i="5"/>
  <c r="BK7" i="5" s="1"/>
  <c r="BE7" i="5"/>
  <c r="BD7" i="5"/>
  <c r="BC7" i="5"/>
  <c r="BB7" i="5"/>
  <c r="BJ7" i="5" s="1"/>
  <c r="BA7" i="5"/>
  <c r="BI7" i="5" s="1"/>
  <c r="AZ7" i="5"/>
  <c r="BH7" i="5" s="1"/>
  <c r="B7" i="5"/>
  <c r="A7" i="5"/>
  <c r="B6" i="5"/>
  <c r="A6" i="5"/>
  <c r="BL4" i="5"/>
  <c r="BK4" i="5"/>
  <c r="BJ4" i="5"/>
  <c r="BI4" i="5"/>
  <c r="BY56" i="1" l="1"/>
  <c r="BW10" i="6"/>
  <c r="BV10" i="6"/>
  <c r="BR10" i="6"/>
  <c r="BY8" i="6"/>
  <c r="BH14" i="5"/>
  <c r="BI8" i="5"/>
  <c r="B8" i="5"/>
  <c r="BJ8" i="5"/>
  <c r="BI10" i="5"/>
  <c r="BJ12" i="5"/>
  <c r="BU9" i="5"/>
  <c r="BH12" i="5"/>
  <c r="BI15" i="5"/>
  <c r="BU7" i="5"/>
  <c r="BU10" i="5"/>
  <c r="BH8" i="5"/>
  <c r="BX57" i="1"/>
  <c r="B58" i="1"/>
  <c r="C59" i="1"/>
  <c r="BV58" i="1" s="1"/>
  <c r="B56" i="7"/>
  <c r="B10" i="6"/>
  <c r="C11" i="6"/>
  <c r="BU58" i="5"/>
  <c r="BU64" i="5"/>
  <c r="BJ14" i="5"/>
  <c r="BH9" i="5"/>
  <c r="BH13" i="5"/>
  <c r="BH15" i="5"/>
  <c r="BI9" i="5"/>
  <c r="BJ13" i="5"/>
  <c r="BJ9" i="5"/>
  <c r="BJ10" i="5"/>
  <c r="BH10" i="5"/>
  <c r="BR7" i="5"/>
  <c r="BU62" i="5"/>
  <c r="BU66" i="5"/>
  <c r="C9" i="5"/>
  <c r="BX10" i="6" l="1"/>
  <c r="BW58" i="1"/>
  <c r="BX58" i="1" s="1"/>
  <c r="BR58" i="1"/>
  <c r="C60" i="1"/>
  <c r="BR59" i="1" s="1"/>
  <c r="B59" i="1"/>
  <c r="BZ10" i="6"/>
  <c r="B11" i="6"/>
  <c r="C12" i="6"/>
  <c r="C10" i="5"/>
  <c r="BW8" i="5"/>
  <c r="B9" i="5"/>
  <c r="BV8" i="5"/>
  <c r="BR8" i="5"/>
  <c r="C65" i="4"/>
  <c r="A64" i="4"/>
  <c r="A63" i="4"/>
  <c r="A62" i="4"/>
  <c r="A61" i="4"/>
  <c r="A60" i="4"/>
  <c r="BG59" i="4"/>
  <c r="BL59" i="4" s="1"/>
  <c r="BF59" i="4"/>
  <c r="BK59" i="4" s="1"/>
  <c r="BE59" i="4"/>
  <c r="BD59" i="4"/>
  <c r="BI59" i="4" s="1"/>
  <c r="BC59" i="4"/>
  <c r="BH59" i="4" s="1"/>
  <c r="BB59" i="4"/>
  <c r="BJ59" i="4" s="1"/>
  <c r="BA59" i="4"/>
  <c r="AZ59" i="4"/>
  <c r="A59" i="4"/>
  <c r="BK58" i="4"/>
  <c r="BI58" i="4"/>
  <c r="BH58" i="4"/>
  <c r="BG58" i="4"/>
  <c r="BL58" i="4" s="1"/>
  <c r="BF58" i="4"/>
  <c r="BE58" i="4"/>
  <c r="BD58" i="4"/>
  <c r="BC58" i="4"/>
  <c r="BB58" i="4"/>
  <c r="BA58" i="4"/>
  <c r="AZ58" i="4"/>
  <c r="A58" i="4"/>
  <c r="BG57" i="4"/>
  <c r="BL57" i="4" s="1"/>
  <c r="BF57" i="4"/>
  <c r="BK57" i="4" s="1"/>
  <c r="BE57" i="4"/>
  <c r="BJ57" i="4" s="1"/>
  <c r="BD57" i="4"/>
  <c r="BC57" i="4"/>
  <c r="BB57" i="4"/>
  <c r="BA57" i="4"/>
  <c r="BI57" i="4" s="1"/>
  <c r="AZ57" i="4"/>
  <c r="BH57" i="4" s="1"/>
  <c r="A57" i="4"/>
  <c r="BL56" i="4"/>
  <c r="BG56" i="4"/>
  <c r="BF56" i="4"/>
  <c r="BK56" i="4" s="1"/>
  <c r="BE56" i="4"/>
  <c r="BD56" i="4"/>
  <c r="BC56" i="4"/>
  <c r="BB56" i="4"/>
  <c r="BJ56" i="4" s="1"/>
  <c r="BA56" i="4"/>
  <c r="AZ56" i="4"/>
  <c r="BH56" i="4" s="1"/>
  <c r="A56" i="4"/>
  <c r="BG55" i="4"/>
  <c r="BL55" i="4" s="1"/>
  <c r="BF55" i="4"/>
  <c r="BK55" i="4" s="1"/>
  <c r="BE55" i="4"/>
  <c r="BD55" i="4"/>
  <c r="BI55" i="4" s="1"/>
  <c r="BC55" i="4"/>
  <c r="BH55" i="4" s="1"/>
  <c r="BB55" i="4"/>
  <c r="BJ55" i="4" s="1"/>
  <c r="BA55" i="4"/>
  <c r="AZ55" i="4"/>
  <c r="A55" i="4"/>
  <c r="BI54" i="4"/>
  <c r="BH54" i="4"/>
  <c r="BG54" i="4"/>
  <c r="BL54" i="4" s="1"/>
  <c r="BF54" i="4"/>
  <c r="BK54" i="4" s="1"/>
  <c r="BE54" i="4"/>
  <c r="BD54" i="4"/>
  <c r="BC54" i="4"/>
  <c r="BB54" i="4"/>
  <c r="BJ54" i="4" s="1"/>
  <c r="BA54" i="4"/>
  <c r="AZ54" i="4"/>
  <c r="A54" i="4"/>
  <c r="A53" i="4"/>
  <c r="A52" i="4"/>
  <c r="BG50" i="4"/>
  <c r="BL50" i="4" s="1"/>
  <c r="BF50" i="4"/>
  <c r="BK50" i="4" s="1"/>
  <c r="BE50" i="4"/>
  <c r="BD50" i="4"/>
  <c r="BC50" i="4"/>
  <c r="BB50" i="4"/>
  <c r="BJ50" i="4" s="1"/>
  <c r="BA50" i="4"/>
  <c r="BI50" i="4" s="1"/>
  <c r="AZ50" i="4"/>
  <c r="BH50" i="4" s="1"/>
  <c r="A50" i="4"/>
  <c r="BL49" i="4"/>
  <c r="BK49" i="4"/>
  <c r="BJ49" i="4"/>
  <c r="BI49" i="4"/>
  <c r="BG49" i="4"/>
  <c r="BF49" i="4"/>
  <c r="BE49" i="4"/>
  <c r="BD49" i="4"/>
  <c r="BC49" i="4"/>
  <c r="BB49" i="4"/>
  <c r="BA49" i="4"/>
  <c r="AZ49" i="4"/>
  <c r="BH49" i="4" s="1"/>
  <c r="A49" i="4"/>
  <c r="BG48" i="4"/>
  <c r="BL48" i="4" s="1"/>
  <c r="BF48" i="4"/>
  <c r="BK48" i="4" s="1"/>
  <c r="BE48" i="4"/>
  <c r="BD48" i="4"/>
  <c r="BC48" i="4"/>
  <c r="BB48" i="4"/>
  <c r="BJ48" i="4" s="1"/>
  <c r="BA48" i="4"/>
  <c r="AZ48" i="4"/>
  <c r="A48" i="4"/>
  <c r="BG47" i="4"/>
  <c r="BL47" i="4" s="1"/>
  <c r="BF47" i="4"/>
  <c r="BK47" i="4" s="1"/>
  <c r="BE47" i="4"/>
  <c r="BJ47" i="4" s="1"/>
  <c r="BD47" i="4"/>
  <c r="BC47" i="4"/>
  <c r="BB47" i="4"/>
  <c r="BA47" i="4"/>
  <c r="AZ47" i="4"/>
  <c r="A47" i="4"/>
  <c r="BL46" i="4"/>
  <c r="BK46" i="4"/>
  <c r="BG46" i="4"/>
  <c r="BF46" i="4"/>
  <c r="BE46" i="4"/>
  <c r="BD46" i="4"/>
  <c r="BC46" i="4"/>
  <c r="BB46" i="4"/>
  <c r="BJ46" i="4" s="1"/>
  <c r="BA46" i="4"/>
  <c r="BI46" i="4" s="1"/>
  <c r="AZ46" i="4"/>
  <c r="A46" i="4"/>
  <c r="BG45" i="4"/>
  <c r="BL45" i="4" s="1"/>
  <c r="BF45" i="4"/>
  <c r="BK45" i="4" s="1"/>
  <c r="BE45" i="4"/>
  <c r="BD45" i="4"/>
  <c r="BC45" i="4"/>
  <c r="BB45" i="4"/>
  <c r="BA45" i="4"/>
  <c r="AZ45" i="4"/>
  <c r="A45" i="4"/>
  <c r="BL44" i="4"/>
  <c r="BG44" i="4"/>
  <c r="BF44" i="4"/>
  <c r="BK44" i="4" s="1"/>
  <c r="BE44" i="4"/>
  <c r="BJ44" i="4" s="1"/>
  <c r="BD44" i="4"/>
  <c r="BI44" i="4" s="1"/>
  <c r="BC44" i="4"/>
  <c r="BB44" i="4"/>
  <c r="BA44" i="4"/>
  <c r="AZ44" i="4"/>
  <c r="BH44" i="4" s="1"/>
  <c r="A44" i="4"/>
  <c r="BH43" i="4"/>
  <c r="BG43" i="4"/>
  <c r="BL43" i="4" s="1"/>
  <c r="BF43" i="4"/>
  <c r="BK43" i="4" s="1"/>
  <c r="BE43" i="4"/>
  <c r="BD43" i="4"/>
  <c r="BI43" i="4" s="1"/>
  <c r="BC43" i="4"/>
  <c r="BB43" i="4"/>
  <c r="BA43" i="4"/>
  <c r="AZ43" i="4"/>
  <c r="A43" i="4"/>
  <c r="BL42" i="4"/>
  <c r="BK42" i="4"/>
  <c r="BJ42" i="4"/>
  <c r="BG42" i="4"/>
  <c r="BF42" i="4"/>
  <c r="BE42" i="4"/>
  <c r="BD42" i="4"/>
  <c r="BC42" i="4"/>
  <c r="BB42" i="4"/>
  <c r="BA42" i="4"/>
  <c r="BI42" i="4" s="1"/>
  <c r="AZ42" i="4"/>
  <c r="BH42" i="4" s="1"/>
  <c r="A42" i="4"/>
  <c r="BG40" i="4"/>
  <c r="BL40" i="4" s="1"/>
  <c r="BF40" i="4"/>
  <c r="BK40" i="4" s="1"/>
  <c r="BE40" i="4"/>
  <c r="BD40" i="4"/>
  <c r="BC40" i="4"/>
  <c r="BB40" i="4"/>
  <c r="BA40" i="4"/>
  <c r="AZ40" i="4"/>
  <c r="A40" i="4"/>
  <c r="BL39" i="4"/>
  <c r="BG39" i="4"/>
  <c r="BF39" i="4"/>
  <c r="BK39" i="4" s="1"/>
  <c r="BE39" i="4"/>
  <c r="BD39" i="4"/>
  <c r="BC39" i="4"/>
  <c r="BB39" i="4"/>
  <c r="BA39" i="4"/>
  <c r="BI39" i="4" s="1"/>
  <c r="AZ39" i="4"/>
  <c r="BH39" i="4" s="1"/>
  <c r="A39" i="4"/>
  <c r="BG38" i="4"/>
  <c r="BL38" i="4" s="1"/>
  <c r="BF38" i="4"/>
  <c r="BK38" i="4" s="1"/>
  <c r="BE38" i="4"/>
  <c r="BD38" i="4"/>
  <c r="BC38" i="4"/>
  <c r="BB38" i="4"/>
  <c r="BJ38" i="4" s="1"/>
  <c r="BA38" i="4"/>
  <c r="BI38" i="4" s="1"/>
  <c r="AZ38" i="4"/>
  <c r="A38" i="4"/>
  <c r="BG37" i="4"/>
  <c r="BL37" i="4" s="1"/>
  <c r="BF37" i="4"/>
  <c r="BK37" i="4" s="1"/>
  <c r="BE37" i="4"/>
  <c r="BD37" i="4"/>
  <c r="BC37" i="4"/>
  <c r="BB37" i="4"/>
  <c r="BJ37" i="4" s="1"/>
  <c r="BA37" i="4"/>
  <c r="AZ37" i="4"/>
  <c r="A37" i="4"/>
  <c r="BK36" i="4"/>
  <c r="BG36" i="4"/>
  <c r="BL36" i="4" s="1"/>
  <c r="BF36" i="4"/>
  <c r="BE36" i="4"/>
  <c r="BD36" i="4"/>
  <c r="BC36" i="4"/>
  <c r="BB36" i="4"/>
  <c r="BJ36" i="4" s="1"/>
  <c r="BA36" i="4"/>
  <c r="BI36" i="4" s="1"/>
  <c r="AZ36" i="4"/>
  <c r="BH36" i="4" s="1"/>
  <c r="A36" i="4"/>
  <c r="BG35" i="4"/>
  <c r="BL35" i="4" s="1"/>
  <c r="BF35" i="4"/>
  <c r="BK35" i="4" s="1"/>
  <c r="BE35" i="4"/>
  <c r="BD35" i="4"/>
  <c r="BC35" i="4"/>
  <c r="BB35" i="4"/>
  <c r="BA35" i="4"/>
  <c r="AZ35" i="4"/>
  <c r="A35" i="4"/>
  <c r="BK34" i="4"/>
  <c r="BG34" i="4"/>
  <c r="BL34" i="4" s="1"/>
  <c r="BF34" i="4"/>
  <c r="BE34" i="4"/>
  <c r="BD34" i="4"/>
  <c r="BC34" i="4"/>
  <c r="BH34" i="4" s="1"/>
  <c r="BB34" i="4"/>
  <c r="BA34" i="4"/>
  <c r="AZ34" i="4"/>
  <c r="A34" i="4"/>
  <c r="BG33" i="4"/>
  <c r="BL33" i="4" s="1"/>
  <c r="BF33" i="4"/>
  <c r="BK33" i="4" s="1"/>
  <c r="BE33" i="4"/>
  <c r="BD33" i="4"/>
  <c r="BC33" i="4"/>
  <c r="BB33" i="4"/>
  <c r="BA33" i="4"/>
  <c r="BI33" i="4" s="1"/>
  <c r="AZ33" i="4"/>
  <c r="A33" i="4"/>
  <c r="BJ32" i="4"/>
  <c r="BG32" i="4"/>
  <c r="BL32" i="4" s="1"/>
  <c r="BF32" i="4"/>
  <c r="BK32" i="4" s="1"/>
  <c r="BE32" i="4"/>
  <c r="BD32" i="4"/>
  <c r="BI32" i="4" s="1"/>
  <c r="BC32" i="4"/>
  <c r="BB32" i="4"/>
  <c r="BA32" i="4"/>
  <c r="AZ32" i="4"/>
  <c r="A32" i="4"/>
  <c r="BG30" i="4"/>
  <c r="BL30" i="4" s="1"/>
  <c r="BF30" i="4"/>
  <c r="BK30" i="4" s="1"/>
  <c r="BE30" i="4"/>
  <c r="BD30" i="4"/>
  <c r="BC30" i="4"/>
  <c r="BH30" i="4" s="1"/>
  <c r="BB30" i="4"/>
  <c r="BA30" i="4"/>
  <c r="AZ30" i="4"/>
  <c r="A30" i="4"/>
  <c r="BK29" i="4"/>
  <c r="BG29" i="4"/>
  <c r="BL29" i="4" s="1"/>
  <c r="BF29" i="4"/>
  <c r="BE29" i="4"/>
  <c r="BD29" i="4"/>
  <c r="BC29" i="4"/>
  <c r="BB29" i="4"/>
  <c r="BA29" i="4"/>
  <c r="AZ29" i="4"/>
  <c r="A29" i="4"/>
  <c r="BG28" i="4"/>
  <c r="BL28" i="4" s="1"/>
  <c r="BF28" i="4"/>
  <c r="BK28" i="4" s="1"/>
  <c r="BE28" i="4"/>
  <c r="BD28" i="4"/>
  <c r="BC28" i="4"/>
  <c r="BB28" i="4"/>
  <c r="BA28" i="4"/>
  <c r="AZ28" i="4"/>
  <c r="A28" i="4"/>
  <c r="BG27" i="4"/>
  <c r="BL27" i="4" s="1"/>
  <c r="BF27" i="4"/>
  <c r="BK27" i="4" s="1"/>
  <c r="BE27" i="4"/>
  <c r="BD27" i="4"/>
  <c r="BC27" i="4"/>
  <c r="BB27" i="4"/>
  <c r="BA27" i="4"/>
  <c r="AZ27" i="4"/>
  <c r="A27" i="4"/>
  <c r="BG26" i="4"/>
  <c r="BL26" i="4" s="1"/>
  <c r="BF26" i="4"/>
  <c r="BK26" i="4" s="1"/>
  <c r="BE26" i="4"/>
  <c r="BD26" i="4"/>
  <c r="BC26" i="4"/>
  <c r="BB26" i="4"/>
  <c r="BA26" i="4"/>
  <c r="AZ26" i="4"/>
  <c r="A26" i="4"/>
  <c r="BG25" i="4"/>
  <c r="BL25" i="4" s="1"/>
  <c r="BF25" i="4"/>
  <c r="BK25" i="4" s="1"/>
  <c r="BE25" i="4"/>
  <c r="BD25" i="4"/>
  <c r="BC25" i="4"/>
  <c r="BB25" i="4"/>
  <c r="BA25" i="4"/>
  <c r="AZ25" i="4"/>
  <c r="A25" i="4"/>
  <c r="BG24" i="4"/>
  <c r="BL24" i="4" s="1"/>
  <c r="BF24" i="4"/>
  <c r="BK24" i="4" s="1"/>
  <c r="BE24" i="4"/>
  <c r="BD24" i="4"/>
  <c r="BC24" i="4"/>
  <c r="BB24" i="4"/>
  <c r="BA24" i="4"/>
  <c r="AZ24" i="4"/>
  <c r="A24" i="4"/>
  <c r="BG23" i="4"/>
  <c r="BL23" i="4" s="1"/>
  <c r="BF23" i="4"/>
  <c r="BK23" i="4" s="1"/>
  <c r="BE23" i="4"/>
  <c r="BD23" i="4"/>
  <c r="BC23" i="4"/>
  <c r="BB23" i="4"/>
  <c r="BA23" i="4"/>
  <c r="AZ23" i="4"/>
  <c r="A23" i="4"/>
  <c r="BL22" i="4"/>
  <c r="BK22" i="4"/>
  <c r="BJ22" i="4"/>
  <c r="BH22" i="4"/>
  <c r="BG22" i="4"/>
  <c r="BF22" i="4"/>
  <c r="BE22" i="4"/>
  <c r="BD22" i="4"/>
  <c r="BC22" i="4"/>
  <c r="BB22" i="4"/>
  <c r="BA22" i="4"/>
  <c r="BI22" i="4" s="1"/>
  <c r="AZ22" i="4"/>
  <c r="A22" i="4"/>
  <c r="BG20" i="4"/>
  <c r="BL20" i="4" s="1"/>
  <c r="BF20" i="4"/>
  <c r="BK20" i="4" s="1"/>
  <c r="BE20" i="4"/>
  <c r="BD20" i="4"/>
  <c r="BC20" i="4"/>
  <c r="BB20" i="4"/>
  <c r="BA20" i="4"/>
  <c r="AZ20" i="4"/>
  <c r="A20" i="4"/>
  <c r="BG19" i="4"/>
  <c r="BL19" i="4" s="1"/>
  <c r="BF19" i="4"/>
  <c r="BK19" i="4" s="1"/>
  <c r="BE19" i="4"/>
  <c r="BD19" i="4"/>
  <c r="BC19" i="4"/>
  <c r="BB19" i="4"/>
  <c r="BJ19" i="4" s="1"/>
  <c r="BA19" i="4"/>
  <c r="AZ19" i="4"/>
  <c r="A19" i="4"/>
  <c r="BG18" i="4"/>
  <c r="BL18" i="4" s="1"/>
  <c r="BF18" i="4"/>
  <c r="BK18" i="4" s="1"/>
  <c r="BE18" i="4"/>
  <c r="BD18" i="4"/>
  <c r="BC18" i="4"/>
  <c r="BB18" i="4"/>
  <c r="BA18" i="4"/>
  <c r="AZ18" i="4"/>
  <c r="A18" i="4"/>
  <c r="BG17" i="4"/>
  <c r="BL17" i="4" s="1"/>
  <c r="BF17" i="4"/>
  <c r="BK17" i="4" s="1"/>
  <c r="BE17" i="4"/>
  <c r="BD17" i="4"/>
  <c r="BC17" i="4"/>
  <c r="BH17" i="4" s="1"/>
  <c r="BB17" i="4"/>
  <c r="BA17" i="4"/>
  <c r="AZ17" i="4"/>
  <c r="A17" i="4"/>
  <c r="BG16" i="4"/>
  <c r="BL16" i="4" s="1"/>
  <c r="BF16" i="4"/>
  <c r="BK16" i="4" s="1"/>
  <c r="BE16" i="4"/>
  <c r="BD16" i="4"/>
  <c r="BI16" i="4" s="1"/>
  <c r="BC16" i="4"/>
  <c r="BB16" i="4"/>
  <c r="BA16" i="4"/>
  <c r="AZ16" i="4"/>
  <c r="BH16" i="4" s="1"/>
  <c r="A16" i="4"/>
  <c r="BG15" i="4"/>
  <c r="BL15" i="4" s="1"/>
  <c r="BF15" i="4"/>
  <c r="BK15" i="4" s="1"/>
  <c r="BE15" i="4"/>
  <c r="BD15" i="4"/>
  <c r="BC15" i="4"/>
  <c r="BB15" i="4"/>
  <c r="BA15" i="4"/>
  <c r="AZ15" i="4"/>
  <c r="A15" i="4"/>
  <c r="BG14" i="4"/>
  <c r="BL14" i="4" s="1"/>
  <c r="BF14" i="4"/>
  <c r="BK14" i="4" s="1"/>
  <c r="BE14" i="4"/>
  <c r="BD14" i="4"/>
  <c r="BC14" i="4"/>
  <c r="BB14" i="4"/>
  <c r="BA14" i="4"/>
  <c r="AZ14" i="4"/>
  <c r="A14" i="4"/>
  <c r="BG13" i="4"/>
  <c r="BL13" i="4" s="1"/>
  <c r="BF13" i="4"/>
  <c r="BK13" i="4" s="1"/>
  <c r="BE13" i="4"/>
  <c r="BD13" i="4"/>
  <c r="BC13" i="4"/>
  <c r="BB13" i="4"/>
  <c r="BA13" i="4"/>
  <c r="AZ13" i="4"/>
  <c r="A13" i="4"/>
  <c r="BG12" i="4"/>
  <c r="BL12" i="4" s="1"/>
  <c r="BF12" i="4"/>
  <c r="BK12" i="4" s="1"/>
  <c r="BE12" i="4"/>
  <c r="BD12" i="4"/>
  <c r="BC12" i="4"/>
  <c r="BB12" i="4"/>
  <c r="BA12" i="4"/>
  <c r="AZ12" i="4"/>
  <c r="A12" i="4"/>
  <c r="BG11" i="4"/>
  <c r="BL11" i="4" s="1"/>
  <c r="BF11" i="4"/>
  <c r="BK11" i="4" s="1"/>
  <c r="BE11" i="4"/>
  <c r="BD11" i="4"/>
  <c r="BC11" i="4"/>
  <c r="BB11" i="4"/>
  <c r="BA11" i="4"/>
  <c r="AZ11" i="4"/>
  <c r="A11" i="4"/>
  <c r="BG10" i="4"/>
  <c r="BL10" i="4" s="1"/>
  <c r="BF10" i="4"/>
  <c r="BK10" i="4" s="1"/>
  <c r="BE10" i="4"/>
  <c r="BD10" i="4"/>
  <c r="BC10" i="4"/>
  <c r="BB10" i="4"/>
  <c r="BA10" i="4"/>
  <c r="AZ10" i="4"/>
  <c r="A10" i="4"/>
  <c r="BG9" i="4"/>
  <c r="BL9" i="4" s="1"/>
  <c r="BF9" i="4"/>
  <c r="BK9" i="4" s="1"/>
  <c r="BE9" i="4"/>
  <c r="BD9" i="4"/>
  <c r="BC9" i="4"/>
  <c r="BB9" i="4"/>
  <c r="BA9" i="4"/>
  <c r="AZ9" i="4"/>
  <c r="A9" i="4"/>
  <c r="BL8" i="4"/>
  <c r="BK8" i="4"/>
  <c r="BJ8" i="4"/>
  <c r="BG8" i="4"/>
  <c r="BF8" i="4"/>
  <c r="BE8" i="4"/>
  <c r="BD8" i="4"/>
  <c r="BC8" i="4"/>
  <c r="BB8" i="4"/>
  <c r="BA8" i="4"/>
  <c r="BI8" i="4" s="1"/>
  <c r="AZ8" i="4"/>
  <c r="BH8" i="4" s="1"/>
  <c r="C8" i="4"/>
  <c r="B8" i="4" s="1"/>
  <c r="A8" i="4"/>
  <c r="BG7" i="4"/>
  <c r="BL7" i="4" s="1"/>
  <c r="BF7" i="4"/>
  <c r="BK7" i="4" s="1"/>
  <c r="BE7" i="4"/>
  <c r="BD7" i="4"/>
  <c r="BC7" i="4"/>
  <c r="BB7" i="4"/>
  <c r="BA7" i="4"/>
  <c r="BI7" i="4" s="1"/>
  <c r="AZ7" i="4"/>
  <c r="BH7" i="4" s="1"/>
  <c r="B7" i="4"/>
  <c r="A7" i="4"/>
  <c r="BI6" i="4"/>
  <c r="BG6" i="4"/>
  <c r="BL6" i="4" s="1"/>
  <c r="BF6" i="4"/>
  <c r="BK6" i="4" s="1"/>
  <c r="BE6" i="4"/>
  <c r="BD6" i="4"/>
  <c r="BC6" i="4"/>
  <c r="BH6" i="4" s="1"/>
  <c r="BB6" i="4"/>
  <c r="BJ6" i="4" s="1"/>
  <c r="BA6" i="4"/>
  <c r="AZ6" i="4"/>
  <c r="B6" i="4"/>
  <c r="A6" i="4"/>
  <c r="BL4" i="4"/>
  <c r="BK4" i="4"/>
  <c r="BJ4" i="4"/>
  <c r="BI4" i="4"/>
  <c r="A66" i="3"/>
  <c r="A65" i="3"/>
  <c r="A64" i="3"/>
  <c r="A63" i="3"/>
  <c r="A62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BG9" i="3"/>
  <c r="BL9" i="3" s="1"/>
  <c r="BF9" i="3"/>
  <c r="BK9" i="3" s="1"/>
  <c r="BE9" i="3"/>
  <c r="BD9" i="3"/>
  <c r="BC9" i="3"/>
  <c r="BB9" i="3"/>
  <c r="BA9" i="3"/>
  <c r="AZ9" i="3"/>
  <c r="BH9" i="3" s="1"/>
  <c r="A9" i="3"/>
  <c r="BG8" i="3"/>
  <c r="BL8" i="3" s="1"/>
  <c r="BF8" i="3"/>
  <c r="BK8" i="3" s="1"/>
  <c r="BE8" i="3"/>
  <c r="BD8" i="3"/>
  <c r="BC8" i="3"/>
  <c r="BB8" i="3"/>
  <c r="BJ8" i="3" s="1"/>
  <c r="BA8" i="3"/>
  <c r="AZ8" i="3"/>
  <c r="C8" i="3"/>
  <c r="A8" i="3"/>
  <c r="BG7" i="3"/>
  <c r="BL7" i="3" s="1"/>
  <c r="BF7" i="3"/>
  <c r="BK7" i="3" s="1"/>
  <c r="BE7" i="3"/>
  <c r="BD7" i="3"/>
  <c r="BC7" i="3"/>
  <c r="BB7" i="3"/>
  <c r="BA7" i="3"/>
  <c r="AZ7" i="3"/>
  <c r="B7" i="3"/>
  <c r="A7" i="3"/>
  <c r="B6" i="3"/>
  <c r="A6" i="3"/>
  <c r="BL4" i="3"/>
  <c r="BK4" i="3"/>
  <c r="BJ4" i="3"/>
  <c r="BI4" i="3"/>
  <c r="BY10" i="6" l="1"/>
  <c r="BY8" i="5"/>
  <c r="BW59" i="1"/>
  <c r="C61" i="1"/>
  <c r="B61" i="1" s="1"/>
  <c r="B60" i="1"/>
  <c r="BY58" i="1"/>
  <c r="BV59" i="1"/>
  <c r="BX59" i="1" s="1"/>
  <c r="C13" i="6"/>
  <c r="BV12" i="6" s="1"/>
  <c r="B12" i="6"/>
  <c r="BX8" i="5"/>
  <c r="B10" i="5"/>
  <c r="C11" i="5"/>
  <c r="BR10" i="5"/>
  <c r="BI56" i="4"/>
  <c r="BJ58" i="4"/>
  <c r="BH46" i="4"/>
  <c r="BH48" i="4"/>
  <c r="BI48" i="4"/>
  <c r="BH45" i="4"/>
  <c r="BI45" i="4"/>
  <c r="BJ45" i="4"/>
  <c r="BH47" i="4"/>
  <c r="BI47" i="4"/>
  <c r="BJ43" i="4"/>
  <c r="BH33" i="4"/>
  <c r="BJ39" i="4"/>
  <c r="BH32" i="4"/>
  <c r="BH35" i="4"/>
  <c r="BH40" i="4"/>
  <c r="BJ35" i="4"/>
  <c r="BI37" i="4"/>
  <c r="BI34" i="4"/>
  <c r="BJ34" i="4"/>
  <c r="BH38" i="4"/>
  <c r="BI35" i="4"/>
  <c r="BI40" i="4"/>
  <c r="BJ40" i="4"/>
  <c r="BJ33" i="4"/>
  <c r="BH37" i="4"/>
  <c r="BJ27" i="4"/>
  <c r="BJ29" i="4"/>
  <c r="BI27" i="4"/>
  <c r="BH25" i="4"/>
  <c r="BJ28" i="4"/>
  <c r="BH29" i="4"/>
  <c r="BI25" i="4"/>
  <c r="BJ25" i="4"/>
  <c r="BI29" i="4"/>
  <c r="BI24" i="4"/>
  <c r="BI26" i="4"/>
  <c r="BJ24" i="4"/>
  <c r="BH27" i="4"/>
  <c r="BH23" i="4"/>
  <c r="BJ26" i="4"/>
  <c r="BI23" i="4"/>
  <c r="BH26" i="4"/>
  <c r="BJ23" i="4"/>
  <c r="BH28" i="4"/>
  <c r="BJ30" i="4"/>
  <c r="BI28" i="4"/>
  <c r="BH24" i="4"/>
  <c r="BI30" i="4"/>
  <c r="BJ14" i="4"/>
  <c r="BH18" i="4"/>
  <c r="BI9" i="4"/>
  <c r="BH19" i="4"/>
  <c r="BJ9" i="4"/>
  <c r="BH9" i="4"/>
  <c r="BJ12" i="4"/>
  <c r="BH13" i="4"/>
  <c r="BI19" i="4"/>
  <c r="BI12" i="4"/>
  <c r="BI13" i="4"/>
  <c r="BJ10" i="4"/>
  <c r="BH11" i="4"/>
  <c r="BI11" i="4"/>
  <c r="BH20" i="4"/>
  <c r="BI20" i="4"/>
  <c r="BJ15" i="4"/>
  <c r="BJ13" i="4"/>
  <c r="BJ16" i="4"/>
  <c r="BJ11" i="4"/>
  <c r="BH14" i="4"/>
  <c r="BJ20" i="4"/>
  <c r="BI17" i="4"/>
  <c r="BJ17" i="4"/>
  <c r="BH10" i="4"/>
  <c r="BI10" i="4"/>
  <c r="BI14" i="4"/>
  <c r="BH15" i="4"/>
  <c r="BI18" i="4"/>
  <c r="BI15" i="4"/>
  <c r="BJ18" i="4"/>
  <c r="BH12" i="4"/>
  <c r="BJ7" i="4"/>
  <c r="C9" i="4"/>
  <c r="BI7" i="3"/>
  <c r="BJ7" i="3"/>
  <c r="BJ9" i="3"/>
  <c r="BH8" i="3"/>
  <c r="BI8" i="3"/>
  <c r="BI9" i="3"/>
  <c r="BH7" i="3"/>
  <c r="C9" i="3"/>
  <c r="B8" i="3"/>
  <c r="BW12" i="6" l="1"/>
  <c r="BX12" i="6" s="1"/>
  <c r="BR12" i="6"/>
  <c r="BW10" i="5"/>
  <c r="C14" i="6"/>
  <c r="B13" i="6"/>
  <c r="B11" i="5"/>
  <c r="C12" i="5"/>
  <c r="BV10" i="5"/>
  <c r="BX10" i="5" s="1"/>
  <c r="BZ10" i="5"/>
  <c r="B9" i="4"/>
  <c r="C10" i="4"/>
  <c r="C11" i="4" s="1"/>
  <c r="C10" i="3"/>
  <c r="B9" i="3"/>
  <c r="BY12" i="6" l="1"/>
  <c r="BY10" i="5"/>
  <c r="B14" i="6"/>
  <c r="C15" i="6"/>
  <c r="B12" i="5"/>
  <c r="C13" i="5"/>
  <c r="B10" i="4"/>
  <c r="B11" i="4"/>
  <c r="C12" i="4"/>
  <c r="B10" i="3"/>
  <c r="C11" i="3"/>
  <c r="BR14" i="6" l="1"/>
  <c r="BW14" i="6"/>
  <c r="BV14" i="6"/>
  <c r="BV12" i="5"/>
  <c r="BW12" i="5"/>
  <c r="BX12" i="5" s="1"/>
  <c r="BR12" i="5"/>
  <c r="BZ10" i="3"/>
  <c r="C17" i="6"/>
  <c r="C16" i="6"/>
  <c r="BR15" i="6" s="1"/>
  <c r="B15" i="6"/>
  <c r="C14" i="5"/>
  <c r="B13" i="5"/>
  <c r="BZ10" i="4"/>
  <c r="B12" i="4"/>
  <c r="C13" i="4"/>
  <c r="B11" i="3"/>
  <c r="C12" i="3"/>
  <c r="BV16" i="6" l="1"/>
  <c r="BW16" i="6"/>
  <c r="BX16" i="6" s="1"/>
  <c r="BR16" i="6"/>
  <c r="BY14" i="6"/>
  <c r="BY16" i="6"/>
  <c r="BW15" i="6"/>
  <c r="BX14" i="6"/>
  <c r="BV15" i="6"/>
  <c r="BY12" i="5"/>
  <c r="BR14" i="5"/>
  <c r="B16" i="6"/>
  <c r="C18" i="6"/>
  <c r="B17" i="6"/>
  <c r="C15" i="5"/>
  <c r="B14" i="5"/>
  <c r="C14" i="4"/>
  <c r="B13" i="4"/>
  <c r="C13" i="3"/>
  <c r="B12" i="3"/>
  <c r="BX15" i="6" l="1"/>
  <c r="BW17" i="6"/>
  <c r="BV17" i="6"/>
  <c r="BR17" i="6"/>
  <c r="BW14" i="5"/>
  <c r="BV14" i="5"/>
  <c r="BX14" i="5" s="1"/>
  <c r="C19" i="6"/>
  <c r="B18" i="6"/>
  <c r="B15" i="5"/>
  <c r="C16" i="5"/>
  <c r="C17" i="5"/>
  <c r="C15" i="4"/>
  <c r="B14" i="4"/>
  <c r="C14" i="3"/>
  <c r="B13" i="3"/>
  <c r="BV18" i="6" l="1"/>
  <c r="BR18" i="6"/>
  <c r="BW18" i="6"/>
  <c r="BX18" i="6" s="1"/>
  <c r="BX17" i="6"/>
  <c r="BY14" i="5"/>
  <c r="BW16" i="5"/>
  <c r="BV16" i="5"/>
  <c r="BR16" i="5"/>
  <c r="B16" i="5"/>
  <c r="C20" i="6"/>
  <c r="BR19" i="6" s="1"/>
  <c r="B19" i="6"/>
  <c r="C18" i="5"/>
  <c r="BY16" i="5" s="1"/>
  <c r="B17" i="5"/>
  <c r="B15" i="4"/>
  <c r="C17" i="4"/>
  <c r="C16" i="4"/>
  <c r="B16" i="4" s="1"/>
  <c r="B14" i="3"/>
  <c r="C15" i="3"/>
  <c r="BR17" i="5" l="1"/>
  <c r="BR18" i="5"/>
  <c r="BY18" i="6"/>
  <c r="BV19" i="6"/>
  <c r="BW19" i="6"/>
  <c r="BX19" i="6" s="1"/>
  <c r="BW17" i="5"/>
  <c r="BX16" i="5"/>
  <c r="BY18" i="5"/>
  <c r="BV17" i="5"/>
  <c r="C22" i="6"/>
  <c r="B20" i="6"/>
  <c r="C21" i="6"/>
  <c r="C19" i="5"/>
  <c r="B18" i="5"/>
  <c r="C18" i="4"/>
  <c r="B17" i="4"/>
  <c r="C16" i="3"/>
  <c r="B15" i="3"/>
  <c r="C17" i="3"/>
  <c r="BR21" i="6" l="1"/>
  <c r="BW20" i="6"/>
  <c r="BR20" i="6"/>
  <c r="BV20" i="6"/>
  <c r="BV18" i="5"/>
  <c r="BW18" i="5"/>
  <c r="BX18" i="5" s="1"/>
  <c r="BY20" i="6"/>
  <c r="BW21" i="6"/>
  <c r="BX21" i="6" s="1"/>
  <c r="BV21" i="6"/>
  <c r="BX17" i="5"/>
  <c r="B16" i="3"/>
  <c r="B21" i="6"/>
  <c r="B22" i="6"/>
  <c r="C23" i="6"/>
  <c r="BW22" i="6" s="1"/>
  <c r="C20" i="5"/>
  <c r="B19" i="5"/>
  <c r="C19" i="4"/>
  <c r="B18" i="4"/>
  <c r="C18" i="3"/>
  <c r="B17" i="3"/>
  <c r="BX20" i="6" l="1"/>
  <c r="BR22" i="6"/>
  <c r="BV22" i="6"/>
  <c r="BX22" i="6" s="1"/>
  <c r="BV19" i="5"/>
  <c r="BW19" i="5"/>
  <c r="BX19" i="5" s="1"/>
  <c r="BR19" i="5"/>
  <c r="B23" i="6"/>
  <c r="C24" i="6"/>
  <c r="C22" i="5"/>
  <c r="B20" i="5"/>
  <c r="C21" i="5"/>
  <c r="BW20" i="5" s="1"/>
  <c r="B19" i="4"/>
  <c r="C20" i="4"/>
  <c r="C19" i="3"/>
  <c r="B18" i="3"/>
  <c r="BW23" i="6" l="1"/>
  <c r="BR21" i="5"/>
  <c r="BR20" i="5"/>
  <c r="BV20" i="5"/>
  <c r="BX20" i="5" s="1"/>
  <c r="BY22" i="6"/>
  <c r="BV23" i="6"/>
  <c r="BX23" i="6" s="1"/>
  <c r="BR23" i="6"/>
  <c r="BW21" i="5"/>
  <c r="BY20" i="5"/>
  <c r="BV21" i="5"/>
  <c r="C25" i="6"/>
  <c r="BW24" i="6" s="1"/>
  <c r="B24" i="6"/>
  <c r="B21" i="5"/>
  <c r="C23" i="5"/>
  <c r="BV22" i="5" s="1"/>
  <c r="B22" i="5"/>
  <c r="C23" i="4"/>
  <c r="C22" i="4"/>
  <c r="B22" i="4" s="1"/>
  <c r="C21" i="4"/>
  <c r="B20" i="4"/>
  <c r="C20" i="3"/>
  <c r="B19" i="3"/>
  <c r="BR24" i="6" l="1"/>
  <c r="BR22" i="5"/>
  <c r="BW22" i="5"/>
  <c r="BX22" i="5" s="1"/>
  <c r="BV24" i="6"/>
  <c r="BX24" i="6" s="1"/>
  <c r="BX21" i="5"/>
  <c r="C26" i="6"/>
  <c r="BW25" i="6" s="1"/>
  <c r="B25" i="6"/>
  <c r="B23" i="5"/>
  <c r="C24" i="5"/>
  <c r="B21" i="4"/>
  <c r="B23" i="4"/>
  <c r="C24" i="4"/>
  <c r="C22" i="3"/>
  <c r="B20" i="3"/>
  <c r="C21" i="3"/>
  <c r="BR25" i="6" l="1"/>
  <c r="BY24" i="6"/>
  <c r="BV25" i="6"/>
  <c r="BX25" i="6" s="1"/>
  <c r="BY22" i="5"/>
  <c r="BW23" i="5"/>
  <c r="BR23" i="5"/>
  <c r="BV23" i="5"/>
  <c r="B26" i="6"/>
  <c r="C27" i="6"/>
  <c r="BV26" i="6" s="1"/>
  <c r="C25" i="5"/>
  <c r="BW24" i="5" s="1"/>
  <c r="B24" i="5"/>
  <c r="B24" i="4"/>
  <c r="C25" i="4"/>
  <c r="B21" i="3"/>
  <c r="B22" i="3"/>
  <c r="C23" i="3"/>
  <c r="BR27" i="6" l="1"/>
  <c r="BR24" i="5"/>
  <c r="BV24" i="5"/>
  <c r="BX24" i="5" s="1"/>
  <c r="BR26" i="6"/>
  <c r="BW26" i="6"/>
  <c r="BX26" i="6" s="1"/>
  <c r="BX23" i="5"/>
  <c r="B27" i="6"/>
  <c r="C28" i="6"/>
  <c r="C26" i="5"/>
  <c r="BV25" i="5" s="1"/>
  <c r="B25" i="5"/>
  <c r="C26" i="4"/>
  <c r="B25" i="4"/>
  <c r="C24" i="3"/>
  <c r="B23" i="3"/>
  <c r="BW27" i="6" l="1"/>
  <c r="BV27" i="6"/>
  <c r="BY26" i="6"/>
  <c r="BY24" i="5"/>
  <c r="BW25" i="5"/>
  <c r="BX25" i="5" s="1"/>
  <c r="BR25" i="5"/>
  <c r="C29" i="6"/>
  <c r="B28" i="6"/>
  <c r="B26" i="5"/>
  <c r="C27" i="5"/>
  <c r="BR26" i="5" s="1"/>
  <c r="C27" i="4"/>
  <c r="B26" i="4"/>
  <c r="C25" i="3"/>
  <c r="B24" i="3"/>
  <c r="BX27" i="6" l="1"/>
  <c r="BV26" i="5"/>
  <c r="BW26" i="5"/>
  <c r="BR28" i="6"/>
  <c r="BV28" i="6"/>
  <c r="BW28" i="6"/>
  <c r="BV27" i="5"/>
  <c r="C30" i="6"/>
  <c r="B29" i="6"/>
  <c r="C28" i="5"/>
  <c r="B27" i="5"/>
  <c r="B27" i="4"/>
  <c r="C28" i="4"/>
  <c r="C26" i="3"/>
  <c r="B25" i="3"/>
  <c r="BX28" i="6" l="1"/>
  <c r="BW29" i="6"/>
  <c r="BV29" i="6"/>
  <c r="BR29" i="6"/>
  <c r="BX26" i="5"/>
  <c r="BY28" i="6"/>
  <c r="BY26" i="5"/>
  <c r="BW27" i="5"/>
  <c r="BX27" i="5" s="1"/>
  <c r="BR27" i="5"/>
  <c r="B30" i="6"/>
  <c r="C31" i="6"/>
  <c r="BR30" i="6" s="1"/>
  <c r="C29" i="5"/>
  <c r="B28" i="5"/>
  <c r="B28" i="4"/>
  <c r="C29" i="4"/>
  <c r="C27" i="3"/>
  <c r="B26" i="3"/>
  <c r="BX29" i="6" l="1"/>
  <c r="BR28" i="5"/>
  <c r="BV28" i="5"/>
  <c r="BV30" i="6"/>
  <c r="BW30" i="6"/>
  <c r="BX30" i="6" s="1"/>
  <c r="BW28" i="5"/>
  <c r="BX28" i="5" s="1"/>
  <c r="B31" i="6"/>
  <c r="C33" i="6"/>
  <c r="C32" i="6"/>
  <c r="BW32" i="6" s="1"/>
  <c r="C30" i="5"/>
  <c r="BV29" i="5" s="1"/>
  <c r="B29" i="5"/>
  <c r="C30" i="4"/>
  <c r="B29" i="4"/>
  <c r="C28" i="3"/>
  <c r="B27" i="3"/>
  <c r="BR31" i="6" l="1"/>
  <c r="BW31" i="6"/>
  <c r="BV31" i="6"/>
  <c r="BR29" i="5"/>
  <c r="BY28" i="5"/>
  <c r="BW29" i="5"/>
  <c r="BX29" i="5" s="1"/>
  <c r="BY30" i="6"/>
  <c r="BR32" i="6"/>
  <c r="BV32" i="6"/>
  <c r="BX32" i="6" s="1"/>
  <c r="B32" i="6"/>
  <c r="C34" i="6"/>
  <c r="B33" i="6"/>
  <c r="B30" i="5"/>
  <c r="C31" i="5"/>
  <c r="C32" i="4"/>
  <c r="B30" i="4"/>
  <c r="C29" i="3"/>
  <c r="B28" i="3"/>
  <c r="BR33" i="6" l="1"/>
  <c r="BX31" i="6"/>
  <c r="BY32" i="6"/>
  <c r="BV33" i="6"/>
  <c r="BW33" i="6"/>
  <c r="BX33" i="6" s="1"/>
  <c r="BV30" i="5"/>
  <c r="BR30" i="5"/>
  <c r="BW30" i="5"/>
  <c r="C35" i="6"/>
  <c r="BR34" i="6" s="1"/>
  <c r="B34" i="6"/>
  <c r="C33" i="5"/>
  <c r="C32" i="5"/>
  <c r="BV31" i="5" s="1"/>
  <c r="B31" i="5"/>
  <c r="B32" i="4"/>
  <c r="C33" i="4"/>
  <c r="B29" i="3"/>
  <c r="C30" i="3"/>
  <c r="BV34" i="6" l="1"/>
  <c r="BW34" i="6"/>
  <c r="BX34" i="6" s="1"/>
  <c r="BR31" i="5"/>
  <c r="BW31" i="5"/>
  <c r="BX31" i="5" s="1"/>
  <c r="BY30" i="5"/>
  <c r="BW32" i="5"/>
  <c r="BX32" i="5" s="1"/>
  <c r="BX30" i="5"/>
  <c r="BV32" i="5"/>
  <c r="BR32" i="5"/>
  <c r="C36" i="6"/>
  <c r="B35" i="6"/>
  <c r="C34" i="5"/>
  <c r="B32" i="5"/>
  <c r="B33" i="5"/>
  <c r="C35" i="4"/>
  <c r="C34" i="4"/>
  <c r="B33" i="4"/>
  <c r="B30" i="3"/>
  <c r="C31" i="3"/>
  <c r="BR35" i="6" l="1"/>
  <c r="BY34" i="6"/>
  <c r="BV33" i="5"/>
  <c r="BR33" i="5"/>
  <c r="BW33" i="5"/>
  <c r="BX33" i="5" s="1"/>
  <c r="BV35" i="6"/>
  <c r="BW35" i="6"/>
  <c r="BX35" i="6" s="1"/>
  <c r="BY32" i="5"/>
  <c r="B36" i="6"/>
  <c r="C37" i="6"/>
  <c r="C35" i="5"/>
  <c r="BW34" i="5" s="1"/>
  <c r="B34" i="5"/>
  <c r="B34" i="4"/>
  <c r="C36" i="4"/>
  <c r="B35" i="4"/>
  <c r="C33" i="3"/>
  <c r="C32" i="3"/>
  <c r="B31" i="3"/>
  <c r="BV36" i="6" l="1"/>
  <c r="BR36" i="6"/>
  <c r="BW36" i="6"/>
  <c r="BX36" i="6" s="1"/>
  <c r="BR34" i="5"/>
  <c r="BV34" i="5"/>
  <c r="BX34" i="5" s="1"/>
  <c r="C38" i="6"/>
  <c r="BR37" i="6" s="1"/>
  <c r="B37" i="6"/>
  <c r="B35" i="5"/>
  <c r="C36" i="5"/>
  <c r="C37" i="4"/>
  <c r="B36" i="4"/>
  <c r="C34" i="3"/>
  <c r="B32" i="3"/>
  <c r="B33" i="3"/>
  <c r="BW35" i="5" l="1"/>
  <c r="BX35" i="5" s="1"/>
  <c r="BV35" i="5"/>
  <c r="BR35" i="5"/>
  <c r="BY36" i="6"/>
  <c r="BV37" i="6"/>
  <c r="BW37" i="6"/>
  <c r="BY34" i="5"/>
  <c r="B38" i="6"/>
  <c r="C39" i="6"/>
  <c r="BV38" i="6" s="1"/>
  <c r="B36" i="5"/>
  <c r="C37" i="5"/>
  <c r="BW36" i="5" s="1"/>
  <c r="C38" i="4"/>
  <c r="B37" i="4"/>
  <c r="C35" i="3"/>
  <c r="B34" i="3"/>
  <c r="BW38" i="6" l="1"/>
  <c r="BX38" i="6" s="1"/>
  <c r="BR38" i="6"/>
  <c r="BX37" i="6"/>
  <c r="BR36" i="5"/>
  <c r="BV36" i="5"/>
  <c r="BX36" i="5" s="1"/>
  <c r="C40" i="6"/>
  <c r="B39" i="6"/>
  <c r="C38" i="5"/>
  <c r="BW37" i="5" s="1"/>
  <c r="B37" i="5"/>
  <c r="B38" i="4"/>
  <c r="C39" i="4"/>
  <c r="B35" i="3"/>
  <c r="C36" i="3"/>
  <c r="BV37" i="5" l="1"/>
  <c r="BX37" i="5" s="1"/>
  <c r="BR37" i="5"/>
  <c r="BY38" i="6"/>
  <c r="BW39" i="6"/>
  <c r="BV39" i="6"/>
  <c r="BR39" i="6"/>
  <c r="BY36" i="5"/>
  <c r="B40" i="6"/>
  <c r="C41" i="6"/>
  <c r="BW40" i="6" s="1"/>
  <c r="C39" i="5"/>
  <c r="BW38" i="5" s="1"/>
  <c r="B38" i="5"/>
  <c r="B39" i="4"/>
  <c r="C40" i="4"/>
  <c r="B36" i="3"/>
  <c r="C37" i="3"/>
  <c r="BR40" i="6" l="1"/>
  <c r="BV40" i="6"/>
  <c r="BX40" i="6" s="1"/>
  <c r="BX39" i="6"/>
  <c r="BV38" i="5"/>
  <c r="BX38" i="5" s="1"/>
  <c r="BR38" i="5"/>
  <c r="B41" i="6"/>
  <c r="C42" i="6"/>
  <c r="B39" i="5"/>
  <c r="C40" i="5"/>
  <c r="C42" i="4"/>
  <c r="B40" i="4"/>
  <c r="C38" i="3"/>
  <c r="B37" i="3"/>
  <c r="BR39" i="5" l="1"/>
  <c r="BY40" i="6"/>
  <c r="BV41" i="6"/>
  <c r="BR41" i="6"/>
  <c r="BW41" i="6"/>
  <c r="BX41" i="6" s="1"/>
  <c r="BY38" i="5"/>
  <c r="BV39" i="5"/>
  <c r="BW39" i="5"/>
  <c r="B42" i="6"/>
  <c r="C43" i="6"/>
  <c r="C41" i="5"/>
  <c r="BR40" i="5" s="1"/>
  <c r="B40" i="5"/>
  <c r="B42" i="4"/>
  <c r="C43" i="4"/>
  <c r="C39" i="3"/>
  <c r="B38" i="3"/>
  <c r="BV40" i="5" l="1"/>
  <c r="BW40" i="5"/>
  <c r="BV42" i="6"/>
  <c r="BW42" i="6"/>
  <c r="BX42" i="6" s="1"/>
  <c r="BR42" i="6"/>
  <c r="BX39" i="5"/>
  <c r="C44" i="6"/>
  <c r="BV44" i="6" s="1"/>
  <c r="C45" i="6"/>
  <c r="B43" i="6"/>
  <c r="C42" i="5"/>
  <c r="B41" i="5"/>
  <c r="C44" i="4"/>
  <c r="B43" i="4"/>
  <c r="B39" i="3"/>
  <c r="C40" i="3"/>
  <c r="BW43" i="6" l="1"/>
  <c r="BV43" i="6"/>
  <c r="BR41" i="5"/>
  <c r="BY40" i="5"/>
  <c r="BX40" i="5"/>
  <c r="BR43" i="6"/>
  <c r="BY42" i="6"/>
  <c r="BW44" i="6"/>
  <c r="BX44" i="6" s="1"/>
  <c r="BR44" i="6"/>
  <c r="BW41" i="5"/>
  <c r="BV41" i="5"/>
  <c r="B45" i="6"/>
  <c r="C46" i="6"/>
  <c r="BY44" i="6" s="1"/>
  <c r="B44" i="6"/>
  <c r="C43" i="5"/>
  <c r="BW42" i="5" s="1"/>
  <c r="B42" i="5"/>
  <c r="C45" i="4"/>
  <c r="B44" i="4"/>
  <c r="C41" i="3"/>
  <c r="B40" i="3"/>
  <c r="BX43" i="6" l="1"/>
  <c r="BV42" i="5"/>
  <c r="BX42" i="5" s="1"/>
  <c r="BR42" i="5"/>
  <c r="BX41" i="5"/>
  <c r="B46" i="6"/>
  <c r="C47" i="6"/>
  <c r="BW46" i="6"/>
  <c r="BV46" i="6"/>
  <c r="B43" i="5"/>
  <c r="C45" i="5"/>
  <c r="C44" i="5"/>
  <c r="BW44" i="5" s="1"/>
  <c r="B45" i="4"/>
  <c r="C46" i="4"/>
  <c r="C42" i="3"/>
  <c r="B41" i="3"/>
  <c r="BV44" i="5" l="1"/>
  <c r="BX44" i="5" s="1"/>
  <c r="BR44" i="5"/>
  <c r="BY42" i="5"/>
  <c r="BV43" i="5"/>
  <c r="BW43" i="5"/>
  <c r="BX43" i="5" s="1"/>
  <c r="BR43" i="5"/>
  <c r="BX46" i="6"/>
  <c r="B47" i="6"/>
  <c r="C48" i="6"/>
  <c r="B45" i="5"/>
  <c r="B44" i="5"/>
  <c r="C46" i="5"/>
  <c r="BV45" i="5" s="1"/>
  <c r="C48" i="4"/>
  <c r="B48" i="4" s="1"/>
  <c r="B46" i="4"/>
  <c r="C47" i="4"/>
  <c r="C43" i="3"/>
  <c r="B42" i="3"/>
  <c r="BY44" i="5" l="1"/>
  <c r="BW45" i="5"/>
  <c r="BX45" i="5" s="1"/>
  <c r="BR45" i="5"/>
  <c r="BY46" i="6"/>
  <c r="C49" i="6"/>
  <c r="B48" i="6"/>
  <c r="BV48" i="6"/>
  <c r="B46" i="5"/>
  <c r="C47" i="5"/>
  <c r="BW46" i="5" s="1"/>
  <c r="C49" i="4"/>
  <c r="B47" i="4"/>
  <c r="B43" i="3"/>
  <c r="C44" i="3"/>
  <c r="C45" i="3"/>
  <c r="BV46" i="5" l="1"/>
  <c r="BX46" i="5" s="1"/>
  <c r="BR46" i="5"/>
  <c r="C50" i="6"/>
  <c r="B49" i="6"/>
  <c r="BW48" i="6"/>
  <c r="BX48" i="6" s="1"/>
  <c r="C48" i="5"/>
  <c r="BV47" i="5" s="1"/>
  <c r="B47" i="5"/>
  <c r="C50" i="4"/>
  <c r="B49" i="4"/>
  <c r="C46" i="3"/>
  <c r="B44" i="3"/>
  <c r="B45" i="3"/>
  <c r="BW47" i="5" l="1"/>
  <c r="BX47" i="5"/>
  <c r="BY46" i="5"/>
  <c r="BR47" i="5"/>
  <c r="BY48" i="6"/>
  <c r="C51" i="6"/>
  <c r="B50" i="6"/>
  <c r="C49" i="5"/>
  <c r="BR48" i="5" s="1"/>
  <c r="B48" i="5"/>
  <c r="C52" i="4"/>
  <c r="C51" i="4"/>
  <c r="B50" i="4"/>
  <c r="C47" i="3"/>
  <c r="B46" i="3"/>
  <c r="BW48" i="5" l="1"/>
  <c r="BV48" i="5"/>
  <c r="B51" i="6"/>
  <c r="C52" i="6"/>
  <c r="BV50" i="6"/>
  <c r="BW50" i="6"/>
  <c r="BX50" i="6" s="1"/>
  <c r="B49" i="5"/>
  <c r="C50" i="5"/>
  <c r="B51" i="4"/>
  <c r="B52" i="4"/>
  <c r="C53" i="4"/>
  <c r="C48" i="3"/>
  <c r="B47" i="3"/>
  <c r="BX48" i="5" l="1"/>
  <c r="BW49" i="5"/>
  <c r="BV49" i="5"/>
  <c r="BY48" i="5"/>
  <c r="BR49" i="5"/>
  <c r="BY50" i="6"/>
  <c r="C53" i="6"/>
  <c r="B52" i="6"/>
  <c r="B50" i="5"/>
  <c r="C51" i="5"/>
  <c r="B53" i="4"/>
  <c r="C54" i="4"/>
  <c r="C49" i="3"/>
  <c r="B48" i="3"/>
  <c r="BR50" i="5" l="1"/>
  <c r="BV50" i="5"/>
  <c r="BX49" i="5"/>
  <c r="BW50" i="5"/>
  <c r="C54" i="6"/>
  <c r="B53" i="6"/>
  <c r="BV52" i="6"/>
  <c r="BW52" i="6"/>
  <c r="BX52" i="6" s="1"/>
  <c r="C52" i="5"/>
  <c r="BW51" i="5" s="1"/>
  <c r="B51" i="5"/>
  <c r="C55" i="4"/>
  <c r="B54" i="4"/>
  <c r="B49" i="3"/>
  <c r="C50" i="3"/>
  <c r="BR51" i="5" l="1"/>
  <c r="BY50" i="5"/>
  <c r="BV51" i="5"/>
  <c r="BX51" i="5" s="1"/>
  <c r="BX50" i="5"/>
  <c r="BY52" i="6"/>
  <c r="B54" i="6"/>
  <c r="C55" i="6"/>
  <c r="B52" i="5"/>
  <c r="C53" i="5"/>
  <c r="C56" i="4"/>
  <c r="B55" i="4"/>
  <c r="C51" i="3"/>
  <c r="B50" i="3"/>
  <c r="BW52" i="5" l="1"/>
  <c r="BV52" i="5"/>
  <c r="BR52" i="5"/>
  <c r="B55" i="6"/>
  <c r="C56" i="6"/>
  <c r="BW54" i="6"/>
  <c r="BV54" i="6"/>
  <c r="B53" i="5"/>
  <c r="C54" i="5"/>
  <c r="B56" i="4"/>
  <c r="C57" i="4"/>
  <c r="C52" i="3"/>
  <c r="B51" i="3"/>
  <c r="BW53" i="5" l="1"/>
  <c r="BX52" i="5"/>
  <c r="BR53" i="5"/>
  <c r="BV53" i="5"/>
  <c r="BX53" i="5" s="1"/>
  <c r="BY52" i="5"/>
  <c r="BY58" i="6"/>
  <c r="BY56" i="6"/>
  <c r="BY54" i="6"/>
  <c r="BV56" i="6"/>
  <c r="BW56" i="6"/>
  <c r="B56" i="6"/>
  <c r="BX56" i="6"/>
  <c r="BX54" i="6"/>
  <c r="C55" i="5"/>
  <c r="B54" i="5"/>
  <c r="C58" i="4"/>
  <c r="B57" i="4"/>
  <c r="B52" i="3"/>
  <c r="C53" i="3"/>
  <c r="BO6" i="2"/>
  <c r="BQ6" i="2"/>
  <c r="BS6" i="2"/>
  <c r="BT6" i="2"/>
  <c r="BU6" i="2"/>
  <c r="BV6" i="2"/>
  <c r="BQ7" i="2"/>
  <c r="BS7" i="2"/>
  <c r="BT7" i="2"/>
  <c r="BU7" i="2" s="1"/>
  <c r="BV7" i="2"/>
  <c r="BW7" i="2"/>
  <c r="BX7" i="2"/>
  <c r="BO8" i="2"/>
  <c r="BQ8" i="2"/>
  <c r="BS8" i="2"/>
  <c r="BT8" i="2"/>
  <c r="BQ9" i="2"/>
  <c r="BS9" i="2"/>
  <c r="BT9" i="2"/>
  <c r="BV9" i="2"/>
  <c r="BW9" i="2"/>
  <c r="BX9" i="2"/>
  <c r="AZ6" i="2"/>
  <c r="BA6" i="2"/>
  <c r="BB6" i="2"/>
  <c r="BC6" i="2"/>
  <c r="BD6" i="2"/>
  <c r="BE6" i="2"/>
  <c r="BF6" i="2"/>
  <c r="BK6" i="2" s="1"/>
  <c r="BG6" i="2"/>
  <c r="BL6" i="2" s="1"/>
  <c r="BN6" i="2"/>
  <c r="BN7" i="2"/>
  <c r="BR7" i="2" s="1"/>
  <c r="BN8" i="2"/>
  <c r="BR54" i="5" l="1"/>
  <c r="BW54" i="5"/>
  <c r="BV54" i="5"/>
  <c r="BW6" i="2"/>
  <c r="BR6" i="2"/>
  <c r="BI6" i="2"/>
  <c r="BH6" i="2"/>
  <c r="BJ6" i="2"/>
  <c r="BX6" i="2"/>
  <c r="BU8" i="2"/>
  <c r="BU9" i="2"/>
  <c r="C56" i="5"/>
  <c r="BV55" i="5" s="1"/>
  <c r="B55" i="5"/>
  <c r="C57" i="5"/>
  <c r="C59" i="4"/>
  <c r="B58" i="4"/>
  <c r="B53" i="3"/>
  <c r="C54" i="3"/>
  <c r="BW55" i="5" l="1"/>
  <c r="BX55" i="5" s="1"/>
  <c r="BW56" i="5"/>
  <c r="BY54" i="5"/>
  <c r="BX54" i="5"/>
  <c r="BR55" i="5"/>
  <c r="BV56" i="5"/>
  <c r="BR56" i="5"/>
  <c r="B57" i="5"/>
  <c r="B56" i="5"/>
  <c r="C58" i="5"/>
  <c r="BY56" i="5" s="1"/>
  <c r="C60" i="4"/>
  <c r="B59" i="4"/>
  <c r="C61" i="4"/>
  <c r="B61" i="4" s="1"/>
  <c r="C55" i="3"/>
  <c r="B54" i="3"/>
  <c r="BN9" i="2"/>
  <c r="BR9" i="2" s="1"/>
  <c r="A64" i="2"/>
  <c r="AZ8" i="2"/>
  <c r="BA8" i="2"/>
  <c r="BB8" i="2"/>
  <c r="BC8" i="2"/>
  <c r="BD8" i="2"/>
  <c r="BE8" i="2"/>
  <c r="BF8" i="2"/>
  <c r="BK8" i="2" s="1"/>
  <c r="BG8" i="2"/>
  <c r="BL8" i="2" s="1"/>
  <c r="A63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BG7" i="2"/>
  <c r="BL7" i="2" s="1"/>
  <c r="BF7" i="2"/>
  <c r="BK7" i="2" s="1"/>
  <c r="BE7" i="2"/>
  <c r="BD7" i="2"/>
  <c r="BC7" i="2"/>
  <c r="BB7" i="2"/>
  <c r="BA7" i="2"/>
  <c r="AZ7" i="2"/>
  <c r="A7" i="2"/>
  <c r="A6" i="2"/>
  <c r="BL4" i="2"/>
  <c r="BK4" i="2"/>
  <c r="BJ4" i="2"/>
  <c r="BI4" i="2"/>
  <c r="BX56" i="5" l="1"/>
  <c r="BJ8" i="2"/>
  <c r="BI8" i="2"/>
  <c r="B58" i="5"/>
  <c r="C59" i="5"/>
  <c r="BW58" i="5" s="1"/>
  <c r="BR58" i="5"/>
  <c r="B60" i="4"/>
  <c r="C62" i="4"/>
  <c r="C56" i="3"/>
  <c r="B55" i="3"/>
  <c r="C57" i="3"/>
  <c r="BH8" i="2"/>
  <c r="BJ7" i="2"/>
  <c r="BH7" i="2"/>
  <c r="BI7" i="2"/>
  <c r="A62" i="1"/>
  <c r="A63" i="1"/>
  <c r="A64" i="1"/>
  <c r="A65" i="1"/>
  <c r="A66" i="1"/>
  <c r="BI4" i="1"/>
  <c r="BK4" i="1"/>
  <c r="BL4" i="1"/>
  <c r="BJ4" i="1"/>
  <c r="BB7" i="1"/>
  <c r="BB8" i="1"/>
  <c r="BE7" i="1"/>
  <c r="BE8" i="1"/>
  <c r="AZ8" i="1"/>
  <c r="BA8" i="1"/>
  <c r="BC8" i="1"/>
  <c r="BD8" i="1"/>
  <c r="BF8" i="1"/>
  <c r="BK8" i="1" s="1"/>
  <c r="BG8" i="1"/>
  <c r="BL8" i="1" s="1"/>
  <c r="BG7" i="1"/>
  <c r="BL7" i="1" s="1"/>
  <c r="BF7" i="1"/>
  <c r="BK7" i="1" s="1"/>
  <c r="BD7" i="1"/>
  <c r="BA7" i="1"/>
  <c r="BC7" i="1"/>
  <c r="AZ7" i="1"/>
  <c r="BV8" i="2" l="1"/>
  <c r="BR8" i="2"/>
  <c r="BW8" i="2"/>
  <c r="BX8" i="2" s="1"/>
  <c r="BV58" i="5"/>
  <c r="BX58" i="5" s="1"/>
  <c r="C60" i="5"/>
  <c r="BY58" i="5" s="1"/>
  <c r="B59" i="5"/>
  <c r="C63" i="4"/>
  <c r="B62" i="4"/>
  <c r="B57" i="3"/>
  <c r="B56" i="3"/>
  <c r="C58" i="3"/>
  <c r="BI7" i="1"/>
  <c r="BH7" i="1"/>
  <c r="BJ8" i="1"/>
  <c r="BJ7" i="1"/>
  <c r="BI8" i="1"/>
  <c r="BH8" i="1"/>
  <c r="BY8" i="2" l="1"/>
  <c r="BR59" i="5"/>
  <c r="C61" i="5"/>
  <c r="BY60" i="5" s="1"/>
  <c r="C62" i="5"/>
  <c r="B60" i="5"/>
  <c r="C64" i="4"/>
  <c r="B64" i="4" s="1"/>
  <c r="B63" i="4"/>
  <c r="C59" i="3"/>
  <c r="B58" i="3"/>
  <c r="BV10" i="2" l="1"/>
  <c r="BR10" i="2"/>
  <c r="BW10" i="2"/>
  <c r="BX10" i="2" s="1"/>
  <c r="C63" i="5"/>
  <c r="B62" i="5"/>
  <c r="BR62" i="5"/>
  <c r="B61" i="5"/>
  <c r="BY62" i="5"/>
  <c r="BW62" i="5"/>
  <c r="BV62" i="5"/>
  <c r="BR60" i="5"/>
  <c r="BW60" i="5"/>
  <c r="BV60" i="5"/>
  <c r="C60" i="3"/>
  <c r="B59" i="3"/>
  <c r="BY10" i="2" l="1"/>
  <c r="BX60" i="5"/>
  <c r="BX62" i="5"/>
  <c r="B63" i="5"/>
  <c r="C64" i="5"/>
  <c r="C61" i="3"/>
  <c r="C62" i="3"/>
  <c r="B60" i="3"/>
  <c r="BZ10" i="2"/>
  <c r="BW12" i="2"/>
  <c r="BZ10" i="1"/>
  <c r="BR12" i="2" l="1"/>
  <c r="BV12" i="2"/>
  <c r="BX12" i="2" s="1"/>
  <c r="BR63" i="5"/>
  <c r="C65" i="5"/>
  <c r="B64" i="5"/>
  <c r="BY64" i="5"/>
  <c r="BW64" i="5"/>
  <c r="BR64" i="5"/>
  <c r="BV64" i="5"/>
  <c r="C63" i="3"/>
  <c r="B62" i="3"/>
  <c r="B61" i="3"/>
  <c r="BY12" i="2" l="1"/>
  <c r="BR14" i="2"/>
  <c r="BX64" i="5"/>
  <c r="C66" i="5"/>
  <c r="B66" i="5" s="1"/>
  <c r="B65" i="5"/>
  <c r="B63" i="3"/>
  <c r="C64" i="3"/>
  <c r="BV14" i="2"/>
  <c r="BW14" i="2" l="1"/>
  <c r="BX14" i="2" s="1"/>
  <c r="BR65" i="5"/>
  <c r="BV66" i="5"/>
  <c r="BR66" i="5"/>
  <c r="BW66" i="5"/>
  <c r="BX66" i="5" s="1"/>
  <c r="BY66" i="5"/>
  <c r="C65" i="3"/>
  <c r="B64" i="3"/>
  <c r="BY14" i="2" l="1"/>
  <c r="BV16" i="2"/>
  <c r="BW16" i="2"/>
  <c r="BR16" i="2"/>
  <c r="C66" i="3"/>
  <c r="B65" i="3"/>
  <c r="BX16" i="2" l="1"/>
  <c r="BY16" i="2"/>
  <c r="B66" i="3"/>
  <c r="C67" i="3"/>
  <c r="BW18" i="2" l="1"/>
  <c r="BR18" i="2"/>
  <c r="BV18" i="2"/>
  <c r="BX18" i="2" l="1"/>
  <c r="BV22" i="2"/>
  <c r="BY18" i="2"/>
  <c r="BW21" i="2"/>
  <c r="BW22" i="2" l="1"/>
  <c r="BX22" i="2" s="1"/>
  <c r="BR24" i="2"/>
  <c r="BV24" i="2"/>
  <c r="BR22" i="2"/>
  <c r="BV20" i="2"/>
  <c r="BR23" i="2"/>
  <c r="BR21" i="2"/>
  <c r="BV23" i="2"/>
  <c r="BW23" i="2"/>
  <c r="BX23" i="2" s="1"/>
  <c r="BW20" i="2"/>
  <c r="BX20" i="2" s="1"/>
  <c r="BY20" i="2"/>
  <c r="BY22" i="2"/>
  <c r="BV21" i="2"/>
  <c r="BX21" i="2" s="1"/>
  <c r="BR20" i="2"/>
  <c r="BV26" i="2" l="1"/>
  <c r="BW26" i="2"/>
  <c r="BX26" i="2" s="1"/>
  <c r="BR26" i="2"/>
  <c r="BW24" i="2"/>
  <c r="BX24" i="2" s="1"/>
  <c r="BR25" i="2"/>
  <c r="BR28" i="2" l="1"/>
  <c r="BW28" i="2"/>
  <c r="BV28" i="2"/>
  <c r="BX28" i="2" s="1"/>
  <c r="BY24" i="2"/>
  <c r="BV25" i="2"/>
  <c r="BW25" i="2"/>
  <c r="BX25" i="2" l="1"/>
  <c r="BR27" i="2"/>
  <c r="BR31" i="2" l="1"/>
  <c r="BR40" i="2"/>
  <c r="BW40" i="2"/>
  <c r="BV40" i="2"/>
  <c r="BX40" i="2" s="1"/>
  <c r="BV27" i="2"/>
  <c r="BW27" i="2"/>
  <c r="BX27" i="2" s="1"/>
  <c r="BY26" i="2"/>
  <c r="BV42" i="2" l="1"/>
  <c r="BW42" i="2"/>
  <c r="BR42" i="2"/>
  <c r="BR30" i="2"/>
  <c r="BR29" i="2"/>
  <c r="BX42" i="2" l="1"/>
  <c r="BW44" i="2"/>
  <c r="BR44" i="2"/>
  <c r="BV44" i="2"/>
  <c r="BY30" i="2"/>
  <c r="BV29" i="2"/>
  <c r="BY28" i="2"/>
  <c r="BW29" i="2"/>
  <c r="BX29" i="2" s="1"/>
  <c r="BX44" i="2" l="1"/>
  <c r="BR46" i="2"/>
  <c r="BW46" i="2"/>
  <c r="BV46" i="2"/>
  <c r="BX46" i="2" s="1"/>
  <c r="BR49" i="2"/>
  <c r="BW30" i="2"/>
  <c r="BV30" i="2"/>
  <c r="BX30" i="2" s="1"/>
  <c r="BV49" i="2" l="1"/>
  <c r="BW49" i="2"/>
  <c r="BX49" i="2" s="1"/>
  <c r="BR32" i="2"/>
  <c r="BV32" i="2"/>
  <c r="BW32" i="2"/>
  <c r="BR51" i="2" l="1"/>
  <c r="BV51" i="2"/>
  <c r="BW51" i="2"/>
  <c r="BX32" i="2"/>
  <c r="BY32" i="2"/>
  <c r="BR34" i="2"/>
  <c r="BW34" i="2"/>
  <c r="BX51" i="2" l="1"/>
  <c r="BV34" i="2"/>
  <c r="BX34" i="2" s="1"/>
  <c r="BR53" i="2" l="1"/>
  <c r="BY34" i="2"/>
  <c r="BR36" i="2"/>
  <c r="BV36" i="2"/>
  <c r="BW36" i="2"/>
  <c r="BV53" i="2" l="1"/>
  <c r="BW53" i="2"/>
  <c r="BX36" i="2"/>
  <c r="BX53" i="2" l="1"/>
  <c r="BR55" i="2"/>
  <c r="BY36" i="2"/>
  <c r="BV38" i="2"/>
  <c r="BR38" i="2"/>
  <c r="BW55" i="2" l="1"/>
  <c r="BV55" i="2"/>
  <c r="BR39" i="2"/>
  <c r="BW38" i="2"/>
  <c r="BX38" i="2" s="1"/>
  <c r="BV39" i="2"/>
  <c r="BX55" i="2" l="1"/>
  <c r="BR57" i="2"/>
  <c r="BY40" i="2"/>
  <c r="BY38" i="2"/>
  <c r="BW39" i="2"/>
  <c r="BX39" i="2" s="1"/>
  <c r="BW57" i="2" l="1"/>
  <c r="BV57" i="2"/>
  <c r="BR41" i="2"/>
  <c r="BV41" i="2"/>
  <c r="BX57" i="2" l="1"/>
  <c r="BR59" i="2"/>
  <c r="BW41" i="2"/>
  <c r="BX41" i="2" s="1"/>
  <c r="BW61" i="2" l="1"/>
  <c r="BV61" i="2"/>
  <c r="BV59" i="2"/>
  <c r="BW59" i="2"/>
  <c r="BX59" i="2" s="1"/>
  <c r="BR43" i="2"/>
  <c r="BV43" i="2"/>
  <c r="BW43" i="2"/>
  <c r="BX43" i="2" s="1"/>
  <c r="BX61" i="2" l="1"/>
  <c r="BY42" i="2"/>
  <c r="BR45" i="2" l="1"/>
  <c r="BW45" i="2"/>
  <c r="BY44" i="2" l="1"/>
  <c r="BV45" i="2"/>
  <c r="BX45" i="2" s="1"/>
  <c r="BR47" i="2" l="1"/>
  <c r="BW47" i="2"/>
  <c r="BY48" i="2" l="1"/>
  <c r="BV47" i="2"/>
  <c r="BX47" i="2" s="1"/>
  <c r="BY46" i="2"/>
  <c r="BR48" i="2"/>
  <c r="BV48" i="2"/>
  <c r="BW48" i="2" l="1"/>
  <c r="BX48" i="2" s="1"/>
  <c r="BW50" i="2" l="1"/>
  <c r="BR50" i="2"/>
  <c r="BV50" i="2"/>
  <c r="BX50" i="2" l="1"/>
  <c r="BY50" i="2" l="1"/>
  <c r="BV52" i="2"/>
  <c r="BR52" i="2"/>
  <c r="BW52" i="2" l="1"/>
  <c r="BX52" i="2" s="1"/>
  <c r="BY52" i="2" l="1"/>
  <c r="BR54" i="2"/>
  <c r="BW54" i="2"/>
  <c r="BV54" i="2" l="1"/>
  <c r="BX54" i="2" s="1"/>
  <c r="C62" i="1"/>
  <c r="BY54" i="2" l="1"/>
  <c r="BR56" i="2"/>
  <c r="BV56" i="2"/>
  <c r="BW56" i="2"/>
  <c r="C63" i="1"/>
  <c r="B62" i="1"/>
  <c r="BX56" i="2" l="1"/>
  <c r="C64" i="1"/>
  <c r="B63" i="1"/>
  <c r="BY56" i="2" l="1"/>
  <c r="BR58" i="2"/>
  <c r="BW58" i="2"/>
  <c r="C65" i="1"/>
  <c r="B64" i="1"/>
  <c r="BV58" i="2" l="1"/>
  <c r="BX58" i="2" s="1"/>
  <c r="C66" i="1"/>
  <c r="B65" i="1"/>
  <c r="BY58" i="2" l="1"/>
  <c r="BR60" i="2"/>
  <c r="BW60" i="2"/>
  <c r="C67" i="1"/>
  <c r="B66" i="1"/>
  <c r="BR61" i="2" l="1"/>
  <c r="BV60" i="2"/>
  <c r="BX60" i="2" s="1"/>
  <c r="BY60" i="2" l="1"/>
  <c r="BR62" i="2"/>
  <c r="BW62" i="2"/>
  <c r="BV62" i="2"/>
  <c r="BX62" i="2" l="1"/>
  <c r="BR63" i="2"/>
  <c r="BY62" i="2" l="1"/>
</calcChain>
</file>

<file path=xl/sharedStrings.xml><?xml version="1.0" encoding="utf-8"?>
<sst xmlns="http://schemas.openxmlformats.org/spreadsheetml/2006/main" count="2961" uniqueCount="131">
  <si>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</si>
  <si>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</si>
  <si>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</si>
  <si>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</si>
  <si>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</si>
  <si>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</si>
  <si>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</si>
  <si>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</si>
  <si>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</si>
  <si>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</si>
  <si>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</si>
  <si>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</si>
  <si>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</si>
  <si>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</si>
  <si>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</si>
  <si>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</si>
  <si>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</si>
  <si>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</si>
  <si>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</si>
  <si>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</si>
  <si>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</si>
  <si>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</si>
  <si>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</si>
  <si>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</si>
  <si>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</si>
  <si>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</si>
  <si>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</si>
  <si>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</si>
  <si>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</si>
  <si>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</si>
  <si>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</si>
  <si>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</si>
  <si>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</si>
  <si>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</si>
  <si>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</si>
  <si>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</si>
  <si>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</si>
  <si>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</si>
  <si>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</si>
  <si>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</si>
  <si>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</si>
  <si>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elu2_m_rd1</t>
  </si>
  <si>
    <t>elu2_sigma_c</t>
  </si>
  <si>
    <t>elu2_sigma_s</t>
  </si>
  <si>
    <t>File A - 1</t>
  </si>
  <si>
    <t>Travée 1</t>
  </si>
  <si>
    <t>B</t>
  </si>
  <si>
    <t>Appui 1</t>
  </si>
  <si>
    <t>Travée 2</t>
  </si>
  <si>
    <t>Appui 2</t>
  </si>
  <si>
    <t>File A - 2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</si>
  <si>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</si>
  <si>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</si>
  <si>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</si>
  <si>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</si>
  <si>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</si>
  <si>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</si>
  <si>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</si>
  <si>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- 3</t>
  </si>
  <si>
    <t>Béton</t>
  </si>
  <si>
    <t>Acier</t>
  </si>
  <si>
    <t>Carbone</t>
  </si>
  <si>
    <t>Matériaux</t>
  </si>
  <si>
    <t>Géométrie</t>
  </si>
  <si>
    <t>Armature en place</t>
  </si>
  <si>
    <t>Renforcement</t>
  </si>
  <si>
    <t>Redistribution</t>
  </si>
  <si>
    <t>Contrôle de la section</t>
  </si>
  <si>
    <t>Sollicitations</t>
  </si>
  <si>
    <t>Mg+g'</t>
  </si>
  <si>
    <t>Mq</t>
  </si>
  <si>
    <t xml:space="preserve">Vérinage </t>
  </si>
  <si>
    <t>M</t>
  </si>
  <si>
    <t>sigma_c</t>
  </si>
  <si>
    <t>sigma_s</t>
  </si>
  <si>
    <t>sigma_sr</t>
  </si>
  <si>
    <t>sigma_f</t>
  </si>
  <si>
    <t>ELS _ Bilan</t>
  </si>
  <si>
    <t>ELS</t>
  </si>
  <si>
    <t>ELU</t>
  </si>
  <si>
    <t>M_ed</t>
  </si>
  <si>
    <t>M_rd</t>
  </si>
  <si>
    <t>M_ed_red</t>
  </si>
  <si>
    <t>M_ed_red/M_rd</t>
  </si>
  <si>
    <t>M_ed iso</t>
  </si>
  <si>
    <t>M_rd iso</t>
  </si>
  <si>
    <t>&gt;1.15 en rive 
et 1.10 en travée</t>
  </si>
  <si>
    <t>ELS _ Phase 1 
(Avant renfort)</t>
  </si>
  <si>
    <t>ELS _ Phase 2 
(Après renfort)</t>
  </si>
  <si>
    <t>Justification à la rupture
 sans renforts carbone</t>
  </si>
  <si>
    <t>Justification à la rupture
 section renforcée</t>
  </si>
  <si>
    <t>File A - 4</t>
  </si>
  <si>
    <t>File A - 5</t>
  </si>
  <si>
    <t>File A - 6</t>
  </si>
  <si>
    <t>File A - 7</t>
  </si>
  <si>
    <t>File B - 1</t>
  </si>
  <si>
    <t>File B - 2</t>
  </si>
  <si>
    <t>Appui 6</t>
  </si>
  <si>
    <t>Travée 7</t>
  </si>
  <si>
    <t>Appui 7</t>
  </si>
  <si>
    <t>Travée 8</t>
  </si>
  <si>
    <t>File B - 3</t>
  </si>
  <si>
    <t>File B - 4</t>
  </si>
  <si>
    <t>File B - 5</t>
  </si>
  <si>
    <t>File A' - 2</t>
  </si>
  <si>
    <t>File A' - 3</t>
  </si>
  <si>
    <t>File A' - 4</t>
  </si>
  <si>
    <t>File A' - 5</t>
  </si>
  <si>
    <t>File A' - 6</t>
  </si>
  <si>
    <t>File B' - 1</t>
  </si>
  <si>
    <t>File B' - 2</t>
  </si>
  <si>
    <t>File B' - 3</t>
  </si>
  <si>
    <t>File B' - 4</t>
  </si>
  <si>
    <t>&gt;0.63</t>
  </si>
  <si>
    <t>Mg+g'_Elas</t>
  </si>
  <si>
    <t>Mq_Elas</t>
  </si>
  <si>
    <t>Redis</t>
  </si>
  <si>
    <t>M_rd/M_ed_red</t>
  </si>
  <si>
    <t>M_ed iso_1</t>
  </si>
  <si>
    <t>M_rd iso_1</t>
  </si>
  <si>
    <t>M_rd iso_1
/M_ed iso_1</t>
  </si>
  <si>
    <t>M_ed iso_2</t>
  </si>
  <si>
    <t>M_rd iso_2</t>
  </si>
  <si>
    <t>M_rd iso_1
/M_ed iso_2</t>
  </si>
  <si>
    <t>File A - 0</t>
  </si>
  <si>
    <t>sur le plan les renforts sont doublés pour coudre la fissure?</t>
  </si>
  <si>
    <t>Ok</t>
  </si>
  <si>
    <t>File B - 0</t>
  </si>
  <si>
    <t>File B - 6</t>
  </si>
  <si>
    <t>File A' - 1</t>
  </si>
  <si>
    <t>File B'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</si>
</sst>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&l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6">
    <xf numFmtId="0" fontId="0" fillId="0" borderId="0" xfId="0"/>
    <xf numFmtId="1" fontId="0" fillId="0" borderId="4" xfId="0" applyNumberFormat="1" applyBorder="1"/>
    <xf numFmtId="1" fontId="0" fillId="0" borderId="0" xfId="0" applyNumberFormat="1"/>
    <xf numFmtId="2" fontId="0" fillId="0" borderId="5" xfId="0" applyNumberFormat="1" applyBorder="1"/>
    <xf numFmtId="10" fontId="0" fillId="0" borderId="0" xfId="0" applyNumberFormat="1"/>
    <xf numFmtId="0" fontId="0" fillId="0" borderId="4" xfId="0" applyBorder="1"/>
    <xf numFmtId="0" fontId="0" fillId="0" borderId="0" xfId="0" applyAlignment="1">
      <alignment horizontal="center"/>
    </xf>
    <xf numFmtId="1" fontId="0" fillId="0" borderId="5" xfId="0" applyNumberFormat="1" applyBorder="1"/>
    <xf numFmtId="11" fontId="0" fillId="0" borderId="4" xfId="0" applyNumberFormat="1" applyBorder="1"/>
    <xf numFmtId="11" fontId="0" fillId="0" borderId="0" xfId="0" applyNumberFormat="1"/>
    <xf numFmtId="0" fontId="0" fillId="0" borderId="5" xfId="0" applyBorder="1"/>
    <xf numFmtId="0" fontId="0" fillId="0" borderId="9" xfId="0" applyBorder="1"/>
    <xf numFmtId="0" fontId="0" fillId="0" borderId="10" xfId="0" applyBorder="1"/>
    <xf numFmtId="9" fontId="0" fillId="0" borderId="0" xfId="1" applyFont="1" applyBorder="1"/>
    <xf numFmtId="164" fontId="0" fillId="0" borderId="0" xfId="0" applyNumberFormat="1"/>
    <xf numFmtId="2" fontId="0" fillId="2" borderId="5" xfId="0" applyNumberFormat="1" applyFill="1" applyBorder="1"/>
    <xf numFmtId="0" fontId="0" fillId="0" borderId="11" xfId="0" applyBorder="1" applyAlignment="1">
      <alignment textRotation="90"/>
    </xf>
    <xf numFmtId="0" fontId="0" fillId="0" borderId="12" xfId="0" applyBorder="1" applyAlignment="1">
      <alignment textRotation="90"/>
    </xf>
    <xf numFmtId="0" fontId="0" fillId="0" borderId="13" xfId="0" applyBorder="1" applyAlignment="1">
      <alignment textRotation="90"/>
    </xf>
    <xf numFmtId="0" fontId="1" fillId="0" borderId="13" xfId="0" applyFont="1" applyBorder="1" applyAlignment="1">
      <alignment textRotation="90"/>
    </xf>
    <xf numFmtId="0" fontId="0" fillId="0" borderId="13" xfId="0" applyBorder="1"/>
    <xf numFmtId="2" fontId="0" fillId="0" borderId="0" xfId="0" applyNumberFormat="1"/>
    <xf numFmtId="0" fontId="1" fillId="0" borderId="6" xfId="0" applyFont="1" applyBorder="1"/>
    <xf numFmtId="0" fontId="1" fillId="0" borderId="4" xfId="0" applyFont="1" applyBorder="1"/>
    <xf numFmtId="164" fontId="1" fillId="0" borderId="0" xfId="0" applyNumberFormat="1" applyFont="1"/>
    <xf numFmtId="164" fontId="1" fillId="0" borderId="5" xfId="0" applyNumberFormat="1" applyFont="1" applyBorder="1"/>
    <xf numFmtId="0" fontId="2" fillId="0" borderId="15" xfId="0" applyFont="1" applyBorder="1" applyAlignment="1">
      <alignment horizontal="left" textRotation="90"/>
    </xf>
    <xf numFmtId="0" fontId="2" fillId="0" borderId="16" xfId="0" applyFont="1" applyBorder="1" applyAlignment="1">
      <alignment horizontal="left" textRotation="90"/>
    </xf>
    <xf numFmtId="0" fontId="2" fillId="0" borderId="17" xfId="0" applyFont="1" applyBorder="1" applyAlignment="1">
      <alignment horizontal="left" textRotation="90"/>
    </xf>
    <xf numFmtId="0" fontId="2" fillId="0" borderId="18" xfId="0" applyFont="1" applyBorder="1" applyAlignment="1">
      <alignment horizontal="left" textRotation="90"/>
    </xf>
    <xf numFmtId="0" fontId="2" fillId="0" borderId="14" xfId="0" applyFont="1" applyBorder="1" applyAlignment="1">
      <alignment horizontal="left" textRotation="90"/>
    </xf>
    <xf numFmtId="0" fontId="2" fillId="0" borderId="15" xfId="0" applyFont="1" applyBorder="1" applyAlignment="1">
      <alignment horizontal="center" textRotation="90"/>
    </xf>
    <xf numFmtId="0" fontId="2" fillId="0" borderId="17" xfId="0" applyFont="1" applyBorder="1" applyAlignment="1">
      <alignment horizontal="center" textRotation="90"/>
    </xf>
    <xf numFmtId="0" fontId="2" fillId="0" borderId="18" xfId="0" applyFont="1" applyBorder="1" applyAlignment="1">
      <alignment horizontal="center" textRotation="90"/>
    </xf>
    <xf numFmtId="0" fontId="2" fillId="0" borderId="19" xfId="0" applyFont="1" applyBorder="1" applyAlignment="1">
      <alignment horizontal="center" vertical="top" textRotation="90"/>
    </xf>
    <xf numFmtId="0" fontId="2" fillId="0" borderId="17" xfId="0" applyFont="1" applyBorder="1" applyAlignment="1">
      <alignment horizontal="center" vertical="top" textRotation="90"/>
    </xf>
    <xf numFmtId="0" fontId="2" fillId="0" borderId="16" xfId="0" applyFont="1" applyBorder="1" applyAlignment="1">
      <alignment horizontal="center" vertical="top" textRotation="90"/>
    </xf>
    <xf numFmtId="0" fontId="2" fillId="0" borderId="15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1" xfId="0" applyFont="1" applyBorder="1" applyAlignment="1">
      <alignment horizontal="left" textRotation="90"/>
    </xf>
    <xf numFmtId="0" fontId="2" fillId="0" borderId="13" xfId="0" applyFont="1" applyBorder="1" applyAlignment="1">
      <alignment horizontal="left" textRotation="90"/>
    </xf>
    <xf numFmtId="0" fontId="2" fillId="0" borderId="19" xfId="0" applyFont="1" applyBorder="1" applyAlignment="1">
      <alignment horizontal="center" textRotation="90"/>
    </xf>
    <xf numFmtId="0" fontId="0" fillId="0" borderId="13" xfId="0" applyBorder="1" applyAlignment="1">
      <alignment textRotation="90" wrapText="1"/>
    </xf>
    <xf numFmtId="0" fontId="0" fillId="0" borderId="0" xfId="0" applyAlignment="1">
      <alignment textRotation="90" wrapText="1"/>
    </xf>
    <xf numFmtId="0" fontId="0" fillId="3" borderId="0" xfId="0" applyFill="1"/>
    <xf numFmtId="2" fontId="0" fillId="0" borderId="4" xfId="0" applyNumberFormat="1" applyBorder="1"/>
    <xf numFmtId="1" fontId="0" fillId="0" borderId="20" xfId="0" applyNumberFormat="1" applyBorder="1"/>
    <xf numFmtId="10" fontId="0" fillId="0" borderId="21" xfId="0" applyNumberFormat="1" applyBorder="1"/>
    <xf numFmtId="1" fontId="0" fillId="0" borderId="21" xfId="0" applyNumberFormat="1" applyBorder="1"/>
    <xf numFmtId="2" fontId="0" fillId="0" borderId="22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0" fontId="0" fillId="0" borderId="22" xfId="0" applyBorder="1"/>
    <xf numFmtId="1" fontId="0" fillId="4" borderId="0" xfId="0" applyNumberFormat="1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5" borderId="0" xfId="0" applyFill="1"/>
  </cellXfs>
  <cellStyles count="2">
    <cellStyle name="Normal" xfId="0" builtinId="0"/>
    <cellStyle name="Pourcentage" xfId="1" builtinId="5"/>
  </cellStyles>
  <dxfs count="150"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C00000"/>
      </font>
      <fill>
        <patternFill patternType="solid">
          <fgColor rgb="FFFF9999"/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69"/>
  <sheetViews>
    <sheetView topLeftCell="A4" zoomScale="85" zoomScaleNormal="85" workbookViewId="0">
      <pane xSplit="5" topLeftCell="F1" activePane="topRight" state="frozen"/>
      <selection activeCell="AM48" sqref="AM48"/>
      <selection pane="topRight" activeCell="A7" sqref="A7:XFD7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6.140625" bestFit="1" customWidth="1"/>
    <col min="7" max="7" width="3.85546875" bestFit="1" customWidth="1"/>
    <col min="8" max="8" width="4.140625" bestFit="1" customWidth="1"/>
    <col min="9" max="9" width="7.42578125" bestFit="1" customWidth="1"/>
    <col min="10" max="11" width="5.140625" bestFit="1" customWidth="1"/>
    <col min="12" max="12" width="3.85546875" bestFit="1" customWidth="1"/>
    <col min="13" max="13" width="6.28515625" bestFit="1" customWidth="1"/>
    <col min="14" max="14" width="4.140625" bestFit="1" customWidth="1"/>
    <col min="15" max="15" width="10.5703125" bestFit="1" customWidth="1"/>
    <col min="16" max="16" width="6.28515625" bestFit="1" customWidth="1"/>
    <col min="17" max="17" width="3.85546875" bestFit="1" customWidth="1"/>
    <col min="18" max="18" width="8.42578125" bestFit="1" customWidth="1"/>
    <col min="19" max="19" width="5.140625" bestFit="1" customWidth="1"/>
    <col min="20" max="20" width="3.85546875" bestFit="1" customWidth="1"/>
    <col min="21" max="21" width="8.42578125" bestFit="1" customWidth="1"/>
    <col min="22" max="23" width="3.85546875" bestFit="1" customWidth="1"/>
    <col min="24" max="24" width="4.140625" bestFit="1" customWidth="1"/>
    <col min="25" max="25" width="3.85546875" bestFit="1" customWidth="1"/>
    <col min="26" max="26" width="4.5703125" bestFit="1" customWidth="1"/>
    <col min="27" max="27" width="4.14062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5" width="3.85546875" customWidth="1" outlineLevel="1"/>
    <col min="36" max="36" width="8" customWidth="1" outlineLevel="1"/>
    <col min="37" max="39" width="4.85546875" customWidth="1" outlineLevel="1"/>
    <col min="40" max="42" width="4.140625" customWidth="1" outlineLevel="1"/>
    <col min="43" max="43" width="3.85546875" customWidth="1" outlineLevel="1"/>
    <col min="44" max="44" width="4.85546875" customWidth="1" outlineLevel="1"/>
    <col min="45" max="45" width="5.28515625" customWidth="1" outlineLevel="1"/>
    <col min="46" max="46" width="5.85546875" customWidth="1" outlineLevel="1"/>
    <col min="47" max="48" width="4.140625" customWidth="1" outlineLevel="1"/>
    <col min="49" max="50" width="4.85546875" customWidth="1" outlineLevel="1"/>
    <col min="51" max="51" width="2.85546875" customWidth="1"/>
    <col min="52" max="52" width="6.42578125" customWidth="1"/>
    <col min="53" max="53" width="3.42578125" bestFit="1" customWidth="1"/>
    <col min="54" max="54" width="5.85546875" customWidth="1"/>
    <col min="55" max="56" width="3.42578125" bestFit="1" customWidth="1"/>
    <col min="57" max="57" width="4.85546875" bestFit="1" customWidth="1"/>
    <col min="58" max="59" width="4.42578125" bestFit="1" customWidth="1"/>
    <col min="60" max="60" width="3.85546875" bestFit="1" customWidth="1"/>
    <col min="61" max="61" width="4.28515625" bestFit="1" customWidth="1"/>
    <col min="62" max="64" width="5.28515625" bestFit="1" customWidth="1"/>
    <col min="66" max="66" width="4.140625" bestFit="1" customWidth="1"/>
    <col min="67" max="67" width="10.28515625" bestFit="1" customWidth="1"/>
    <col min="68" max="69" width="4.140625" bestFit="1" customWidth="1"/>
    <col min="70" max="70" width="7.140625" bestFit="1" customWidth="1"/>
    <col min="71" max="72" width="4.140625" bestFit="1" customWidth="1"/>
    <col min="73" max="73" width="7.42578125" bestFit="1" customWidth="1"/>
    <col min="74" max="75" width="4.140625" bestFit="1" customWidth="1"/>
    <col min="76" max="76" width="4.7109375" bestFit="1" customWidth="1"/>
    <col min="77" max="77" width="5" bestFit="1" customWidth="1"/>
    <col min="79" max="79" width="9.140625" bestFit="1" customWidth="1"/>
  </cols>
  <sheetData>
    <row r="1" spans="1:78" ht="15.75" thickBot="1" x14ac:dyDescent="0.3">
      <c r="AZ1" s="80" t="s">
        <v>67</v>
      </c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2"/>
    </row>
    <row r="2" spans="1:78" ht="15.75" thickBot="1" x14ac:dyDescent="0.3">
      <c r="AZ2" s="67" t="s">
        <v>78</v>
      </c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79"/>
      <c r="BM2" s="6"/>
      <c r="BN2" s="67" t="s">
        <v>79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9"/>
    </row>
    <row r="3" spans="1:78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61" t="s">
        <v>68</v>
      </c>
      <c r="Y3" s="62"/>
      <c r="Z3" s="62"/>
      <c r="AA3" s="62"/>
      <c r="AB3" s="62"/>
      <c r="AC3" s="62"/>
      <c r="AD3" s="62"/>
      <c r="AE3" s="63"/>
      <c r="AF3" s="67" t="s">
        <v>67</v>
      </c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Z3" s="83" t="s">
        <v>87</v>
      </c>
      <c r="BA3" s="62"/>
      <c r="BB3" s="63"/>
      <c r="BC3" s="83" t="s">
        <v>88</v>
      </c>
      <c r="BD3" s="62"/>
      <c r="BE3" s="62"/>
      <c r="BF3" s="62"/>
      <c r="BG3" s="63"/>
      <c r="BH3" s="71" t="s">
        <v>77</v>
      </c>
      <c r="BI3" s="72"/>
      <c r="BJ3" s="72"/>
      <c r="BK3" s="72"/>
      <c r="BL3" s="73"/>
      <c r="BN3" s="83" t="s">
        <v>89</v>
      </c>
      <c r="BO3" s="62"/>
      <c r="BP3" s="62"/>
      <c r="BQ3" s="62"/>
      <c r="BR3" s="63"/>
      <c r="BS3" s="83" t="s">
        <v>90</v>
      </c>
      <c r="BT3" s="62"/>
      <c r="BU3" s="62"/>
      <c r="BV3" s="62"/>
      <c r="BW3" s="62"/>
      <c r="BX3" s="62"/>
      <c r="BY3" s="63"/>
    </row>
    <row r="4" spans="1:78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64"/>
      <c r="Y4" s="65"/>
      <c r="Z4" s="65"/>
      <c r="AA4" s="65"/>
      <c r="AB4" s="65"/>
      <c r="AC4" s="65"/>
      <c r="AD4" s="65"/>
      <c r="AE4" s="66"/>
      <c r="AF4" s="67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Z4" s="64"/>
      <c r="BA4" s="65"/>
      <c r="BB4" s="66"/>
      <c r="BC4" s="64"/>
      <c r="BD4" s="65"/>
      <c r="BE4" s="65"/>
      <c r="BF4" s="65"/>
      <c r="BG4" s="66"/>
      <c r="BH4" s="23"/>
      <c r="BI4" s="24">
        <f>0.6*F7</f>
        <v>15</v>
      </c>
      <c r="BJ4" s="24">
        <f>0.8*H7</f>
        <v>400</v>
      </c>
      <c r="BK4" s="24">
        <f>0.8*H7</f>
        <v>400</v>
      </c>
      <c r="BL4" s="25">
        <f>MIN(J7,0.9*0.8*H7)</f>
        <v>360.00000000000006</v>
      </c>
      <c r="BM4" s="14"/>
      <c r="BN4" s="64"/>
      <c r="BO4" s="65"/>
      <c r="BP4" s="65"/>
      <c r="BQ4" s="65"/>
      <c r="BR4" s="66"/>
      <c r="BS4" s="64"/>
      <c r="BT4" s="65"/>
      <c r="BU4" s="65"/>
      <c r="BV4" s="65"/>
      <c r="BW4" s="65"/>
      <c r="BX4" s="65"/>
      <c r="BY4" s="66"/>
    </row>
    <row r="5" spans="1:78" ht="81.75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31" t="s">
        <v>69</v>
      </c>
      <c r="Y5" s="32" t="s">
        <v>70</v>
      </c>
      <c r="Z5" s="32" t="s">
        <v>71</v>
      </c>
      <c r="AA5" s="32" t="s">
        <v>20</v>
      </c>
      <c r="AB5" s="32" t="s">
        <v>21</v>
      </c>
      <c r="AC5" s="32" t="s">
        <v>22</v>
      </c>
      <c r="AD5" s="32" t="s">
        <v>23</v>
      </c>
      <c r="AE5" s="33" t="s">
        <v>24</v>
      </c>
      <c r="AF5" s="34" t="s">
        <v>25</v>
      </c>
      <c r="AG5" s="35" t="s">
        <v>26</v>
      </c>
      <c r="AH5" s="35" t="s">
        <v>27</v>
      </c>
      <c r="AI5" s="35" t="s">
        <v>28</v>
      </c>
      <c r="AJ5" s="35" t="s">
        <v>29</v>
      </c>
      <c r="AK5" s="35" t="s">
        <v>30</v>
      </c>
      <c r="AL5" s="35" t="s">
        <v>31</v>
      </c>
      <c r="AM5" s="35" t="s">
        <v>32</v>
      </c>
      <c r="AN5" s="35" t="s">
        <v>33</v>
      </c>
      <c r="AO5" s="35" t="s">
        <v>34</v>
      </c>
      <c r="AP5" s="35" t="s">
        <v>35</v>
      </c>
      <c r="AQ5" s="35" t="s">
        <v>36</v>
      </c>
      <c r="AR5" s="35" t="s">
        <v>37</v>
      </c>
      <c r="AS5" s="35" t="s">
        <v>38</v>
      </c>
      <c r="AT5" s="36" t="s">
        <v>39</v>
      </c>
      <c r="AU5" s="37" t="s">
        <v>40</v>
      </c>
      <c r="AV5" s="35" t="s">
        <v>42</v>
      </c>
      <c r="AW5" s="35" t="s">
        <v>43</v>
      </c>
      <c r="AX5" s="35" t="s">
        <v>41</v>
      </c>
      <c r="AY5" s="20"/>
      <c r="AZ5" s="16" t="s">
        <v>72</v>
      </c>
      <c r="BA5" s="18" t="s">
        <v>73</v>
      </c>
      <c r="BB5" s="17" t="s">
        <v>74</v>
      </c>
      <c r="BC5" s="18" t="s">
        <v>72</v>
      </c>
      <c r="BD5" s="18" t="s">
        <v>73</v>
      </c>
      <c r="BE5" s="18" t="s">
        <v>74</v>
      </c>
      <c r="BF5" s="18" t="s">
        <v>75</v>
      </c>
      <c r="BG5" s="17" t="s">
        <v>76</v>
      </c>
      <c r="BH5" s="16" t="s">
        <v>72</v>
      </c>
      <c r="BI5" s="18" t="s">
        <v>73</v>
      </c>
      <c r="BJ5" s="18" t="s">
        <v>74</v>
      </c>
      <c r="BK5" s="18" t="s">
        <v>75</v>
      </c>
      <c r="BL5" s="17" t="s">
        <v>76</v>
      </c>
      <c r="BM5" s="18"/>
      <c r="BN5" s="16" t="s">
        <v>80</v>
      </c>
      <c r="BO5" s="19" t="s">
        <v>66</v>
      </c>
      <c r="BP5" s="18" t="s">
        <v>82</v>
      </c>
      <c r="BQ5" s="18" t="s">
        <v>81</v>
      </c>
      <c r="BR5" s="17" t="s">
        <v>83</v>
      </c>
      <c r="BS5" s="16" t="s">
        <v>80</v>
      </c>
      <c r="BT5" s="18" t="s">
        <v>81</v>
      </c>
      <c r="BU5" s="20"/>
      <c r="BV5" s="18" t="s">
        <v>84</v>
      </c>
      <c r="BW5" s="18" t="s">
        <v>85</v>
      </c>
      <c r="BX5" s="77" t="s">
        <v>86</v>
      </c>
      <c r="BY5" s="78"/>
    </row>
    <row r="6" spans="1:78" x14ac:dyDescent="0.25">
      <c r="A6" t="str">
        <f>IF(ISNUMBER(SEARCH("Appui",E6)),"Appui",IF(ISNUMBER(SEARCH("Travée",E6)),"Travée",""))</f>
        <v>Travée</v>
      </c>
      <c r="B6" t="b">
        <f>MOD(C6,2)=0</f>
        <v>0</v>
      </c>
      <c r="C6">
        <v>1</v>
      </c>
      <c r="D6" s="5" t="s">
        <v>44</v>
      </c>
      <c r="E6" t="s">
        <v>45</v>
      </c>
      <c r="F6" s="5">
        <v>25</v>
      </c>
      <c r="G6" t="s">
        <v>46</v>
      </c>
      <c r="H6">
        <v>500</v>
      </c>
      <c r="I6">
        <v>170000</v>
      </c>
      <c r="J6">
        <v>1300</v>
      </c>
      <c r="K6" s="10">
        <v>1445</v>
      </c>
      <c r="L6" s="12">
        <v>1</v>
      </c>
      <c r="M6" s="5">
        <v>0.26</v>
      </c>
      <c r="N6" s="10">
        <v>2.2000000000000002</v>
      </c>
      <c r="O6" s="5">
        <v>5.6539999999999997E-4</v>
      </c>
      <c r="P6">
        <v>0.04</v>
      </c>
      <c r="Q6" s="10">
        <v>1</v>
      </c>
      <c r="R6" s="8">
        <v>0</v>
      </c>
      <c r="S6">
        <v>0</v>
      </c>
      <c r="T6">
        <v>1</v>
      </c>
      <c r="U6" s="9">
        <v>9.6000000000000002E-5</v>
      </c>
      <c r="V6">
        <v>0</v>
      </c>
      <c r="W6" s="10">
        <v>1</v>
      </c>
      <c r="X6" s="1">
        <v>29.253119999999999</v>
      </c>
      <c r="Y6" s="2">
        <v>8.8857599999999994</v>
      </c>
      <c r="Z6" s="13">
        <v>0.5</v>
      </c>
      <c r="AA6" s="2">
        <v>14.62656</v>
      </c>
      <c r="AB6" s="2">
        <v>23.512319999999999</v>
      </c>
      <c r="AC6" s="2">
        <v>49.92</v>
      </c>
      <c r="AD6" s="2"/>
      <c r="AE6" s="7">
        <v>38.13888</v>
      </c>
      <c r="AF6" s="2">
        <v>14.62656</v>
      </c>
      <c r="AG6" s="2">
        <v>23.512319999999999</v>
      </c>
      <c r="AH6" s="2">
        <v>2.49357735585264</v>
      </c>
      <c r="AI6" s="2">
        <v>3.6389492433328749</v>
      </c>
      <c r="AJ6" s="2">
        <v>-122.3544895850075</v>
      </c>
      <c r="AK6" s="2">
        <v>-163.33210349103109</v>
      </c>
      <c r="AL6" s="2">
        <v>0</v>
      </c>
      <c r="AM6" s="2">
        <v>-167.64795286733269</v>
      </c>
      <c r="AN6" s="2">
        <v>49.92</v>
      </c>
      <c r="AO6" s="2">
        <v>56.863742648834233</v>
      </c>
      <c r="AP6" s="2">
        <v>87.007089877328099</v>
      </c>
      <c r="AQ6" s="2">
        <v>5.4996908455352269</v>
      </c>
      <c r="AR6" s="2">
        <v>-352.07623631037438</v>
      </c>
      <c r="AS6" s="2">
        <v>0</v>
      </c>
      <c r="AT6" s="2">
        <v>-364.89370162480782</v>
      </c>
      <c r="AU6" s="1">
        <v>38.13888</v>
      </c>
      <c r="AV6" s="2">
        <v>4.6722269900562337</v>
      </c>
      <c r="AW6" s="2">
        <v>-324.04580836461582</v>
      </c>
      <c r="AX6" s="2">
        <v>56.863742648834233</v>
      </c>
      <c r="AZ6" s="1">
        <f>AF6</f>
        <v>14.62656</v>
      </c>
      <c r="BA6" s="2">
        <f>AH6</f>
        <v>2.49357735585264</v>
      </c>
      <c r="BB6" s="7">
        <f>AJ6</f>
        <v>-122.3544895850075</v>
      </c>
      <c r="BC6" s="1">
        <f>AG6</f>
        <v>23.512319999999999</v>
      </c>
      <c r="BD6" s="2">
        <f>AI6</f>
        <v>3.6389492433328749</v>
      </c>
      <c r="BE6" s="2">
        <f t="shared" ref="BE6" si="0">AK6</f>
        <v>-163.33210349103109</v>
      </c>
      <c r="BF6" s="2">
        <f t="shared" ref="BF6" si="1">AL6</f>
        <v>0</v>
      </c>
      <c r="BG6" s="7">
        <f t="shared" ref="BG6" si="2">AM6</f>
        <v>-167.64795286733269</v>
      </c>
      <c r="BH6" s="1">
        <f t="shared" ref="BH6" si="3">AZ6+BC6</f>
        <v>38.13888</v>
      </c>
      <c r="BI6" s="2">
        <f t="shared" ref="BI6" si="4">BA6+BD6</f>
        <v>6.1325265991855149</v>
      </c>
      <c r="BJ6" s="2">
        <f t="shared" ref="BJ6" si="5">ABS(BB6+BE6)</f>
        <v>285.6865930760386</v>
      </c>
      <c r="BK6" s="2">
        <f t="shared" ref="BK6" si="6">ABS(BF6)</f>
        <v>0</v>
      </c>
      <c r="BL6" s="7">
        <f t="shared" ref="BL6" si="7">BG6</f>
        <v>-167.64795286733269</v>
      </c>
      <c r="BM6" s="2"/>
      <c r="BN6" s="1">
        <f t="shared" ref="BN6:BN7" si="8">AU6</f>
        <v>38.13888</v>
      </c>
      <c r="BO6" s="4" t="str">
        <f t="shared" ref="BO6" si="9">IF(ISNUMBER(SEARCH("Appui",E6)),0,"0")</f>
        <v>0</v>
      </c>
      <c r="BP6" s="2">
        <f>IF(ISNUMBER(SEARCH("Appui",E6)),BN6+BO6*BN6,IF(C5&lt;C6,BN6-BO7*BN7/2,IF(C6&lt;C7,BN6-(BO5*BN5)/2,BN6-(BO7*BN7+BO5*BN5)/2)))</f>
        <v>38.13888</v>
      </c>
      <c r="BQ6" s="2">
        <f t="shared" ref="BQ6:BQ7" si="10">AX6</f>
        <v>56.863742648834233</v>
      </c>
      <c r="BR6" s="3">
        <f t="shared" ref="BR6:BR7" si="11">BP6/BQ6</f>
        <v>0.67070646818886248</v>
      </c>
      <c r="BS6" s="1">
        <f t="shared" ref="BS6:BS7" si="12">AN6</f>
        <v>49.92</v>
      </c>
      <c r="BT6" s="2">
        <f t="shared" ref="BT6:BT7" si="13">AP6</f>
        <v>87.007089877328099</v>
      </c>
      <c r="BU6" s="21">
        <f t="shared" ref="BU6:BU7" si="14">BS6/BT6</f>
        <v>0.57374634722736451</v>
      </c>
      <c r="BV6" s="2">
        <f t="shared" ref="BV6:BV7" si="15">IF(ISNUMBER(SEARCH("Travée",E6)),BS6+(IF(C5&lt;C6,0,BS5)+IF(C7&gt;C6,0,BS7))/2,"")</f>
        <v>118.67</v>
      </c>
      <c r="BW6" s="2">
        <f t="shared" ref="BW6:BW7" si="16">IF(ISNUMBER(SEARCH("Travée",E6)),BT6+(IF(C5&lt;C6,0,BT5)+IF(C7&gt;C6,0,BT7))/2,"")</f>
        <v>149.57408431109479</v>
      </c>
      <c r="BX6" s="21">
        <f t="shared" ref="BX6:BX7" si="17">IF(ISNUMBER(SEARCH("Travée",E6)),BW6/BV6,"")</f>
        <v>1.2604203616001921</v>
      </c>
      <c r="BY6" s="10" t="str">
        <f t="shared" ref="BY6" si="18">IF(C4&lt;C6,"Rive",IF(C8&gt;C6,"Rive","Inter"))</f>
        <v>Rive</v>
      </c>
    </row>
    <row r="7" spans="1:78" x14ac:dyDescent="0.25">
      <c r="A7" t="str">
        <f>IF(ISNUMBER(SEARCH("Appui",E7)),"Appui",IF(ISNUMBER(SEARCH("Travée",E7)),"Travée",""))</f>
        <v>Appui</v>
      </c>
      <c r="B7" t="b">
        <f>MOD(C7,2)=0</f>
        <v>0</v>
      </c>
      <c r="C7">
        <v>1</v>
      </c>
      <c r="D7" s="5" t="s">
        <v>44</v>
      </c>
      <c r="E7" t="s">
        <v>47</v>
      </c>
      <c r="F7" s="5">
        <v>25</v>
      </c>
      <c r="G7" t="s">
        <v>46</v>
      </c>
      <c r="H7">
        <v>500</v>
      </c>
      <c r="I7">
        <v>170000</v>
      </c>
      <c r="J7">
        <v>1300</v>
      </c>
      <c r="K7" s="10">
        <v>1445</v>
      </c>
      <c r="L7" s="12">
        <v>1</v>
      </c>
      <c r="M7" s="5">
        <v>0.25</v>
      </c>
      <c r="N7" s="10">
        <v>2.2000000000000002</v>
      </c>
      <c r="O7" s="5">
        <v>1.1286E-3</v>
      </c>
      <c r="P7">
        <v>9.9999999999999992E-2</v>
      </c>
      <c r="Q7" s="10">
        <v>1</v>
      </c>
      <c r="R7" s="8">
        <v>6.1578924137931036E-4</v>
      </c>
      <c r="S7">
        <v>0.04</v>
      </c>
      <c r="T7">
        <v>1</v>
      </c>
      <c r="U7" s="9">
        <v>0</v>
      </c>
      <c r="V7">
        <v>0</v>
      </c>
      <c r="W7" s="10">
        <v>1</v>
      </c>
      <c r="X7" s="1">
        <v>80.574999999999989</v>
      </c>
      <c r="Y7" s="2">
        <v>24.475000000000001</v>
      </c>
      <c r="Z7" s="13">
        <v>0.5</v>
      </c>
      <c r="AA7" s="2">
        <v>40.287499999999987</v>
      </c>
      <c r="AB7" s="2">
        <v>64.762499999999989</v>
      </c>
      <c r="AC7" s="2">
        <v>137.5</v>
      </c>
      <c r="AD7" s="2"/>
      <c r="AE7" s="7">
        <v>105.05</v>
      </c>
      <c r="AF7" s="2">
        <v>40.287499999999987</v>
      </c>
      <c r="AG7" s="2">
        <v>64.762499999999989</v>
      </c>
      <c r="AH7" s="2">
        <v>9.2694181273265404</v>
      </c>
      <c r="AI7" s="2">
        <v>9.7118832329492388</v>
      </c>
      <c r="AJ7" s="2">
        <v>-254.05021410521141</v>
      </c>
      <c r="AK7" s="2">
        <v>-189.56411492259721</v>
      </c>
      <c r="AL7" s="2">
        <v>-290.07381992579741</v>
      </c>
      <c r="AM7" s="2">
        <v>0</v>
      </c>
      <c r="AN7" s="2">
        <v>137.5</v>
      </c>
      <c r="AO7" s="2">
        <v>72.918075721685838</v>
      </c>
      <c r="AP7" s="2">
        <v>125.1339888675334</v>
      </c>
      <c r="AQ7" s="2">
        <v>0</v>
      </c>
      <c r="AR7" s="2">
        <v>0</v>
      </c>
      <c r="AS7" s="2">
        <v>0</v>
      </c>
      <c r="AT7" s="2">
        <v>0</v>
      </c>
      <c r="AU7" s="1">
        <v>105.05</v>
      </c>
      <c r="AV7" s="2">
        <v>11.33009045945918</v>
      </c>
      <c r="AW7" s="2">
        <v>-355.93776055793262</v>
      </c>
      <c r="AX7" s="2">
        <v>125.1339888675334</v>
      </c>
      <c r="AZ7" s="1">
        <f>AF7</f>
        <v>40.287499999999987</v>
      </c>
      <c r="BA7" s="2">
        <f>AH7</f>
        <v>9.2694181273265404</v>
      </c>
      <c r="BB7" s="7">
        <f>AJ7</f>
        <v>-254.05021410521141</v>
      </c>
      <c r="BC7" s="1">
        <f>AG7</f>
        <v>64.762499999999989</v>
      </c>
      <c r="BD7" s="2">
        <f>AI7</f>
        <v>9.7118832329492388</v>
      </c>
      <c r="BE7" s="2">
        <f t="shared" ref="BE7:BG20" si="19">AK7</f>
        <v>-189.56411492259721</v>
      </c>
      <c r="BF7" s="2">
        <f t="shared" si="19"/>
        <v>-290.07381992579741</v>
      </c>
      <c r="BG7" s="7">
        <f t="shared" si="19"/>
        <v>0</v>
      </c>
      <c r="BH7" s="1">
        <f t="shared" ref="BH7:BH20" si="20">AZ7+BC7</f>
        <v>105.04999999999998</v>
      </c>
      <c r="BI7" s="2">
        <f t="shared" ref="BI7:BI20" si="21">BA7+BD7</f>
        <v>18.981301360275779</v>
      </c>
      <c r="BJ7" s="2">
        <f t="shared" ref="BJ7:BJ20" si="22">ABS(BB7+BE7)</f>
        <v>443.61432902780859</v>
      </c>
      <c r="BK7" s="2">
        <f>ABS(BF7)</f>
        <v>290.07381992579741</v>
      </c>
      <c r="BL7" s="7">
        <f>BG7</f>
        <v>0</v>
      </c>
      <c r="BM7" s="2"/>
      <c r="BN7" s="1">
        <f t="shared" si="8"/>
        <v>105.05</v>
      </c>
      <c r="BO7" s="4">
        <v>0</v>
      </c>
      <c r="BP7" s="2">
        <f t="shared" ref="BP7:BP67" si="23">IF(ISNUMBER(SEARCH("Appui",E7)),BN7+BO7*BN7,IF(C6&lt;C7,BN7-BO8*BN8/2,IF(C7&lt;C8,BN7-(BO6*BN6)/2,BN7-(BO8*BN8+BO6*BN6)/2)))</f>
        <v>105.05</v>
      </c>
      <c r="BQ7" s="2">
        <f t="shared" si="10"/>
        <v>125.1339888675334</v>
      </c>
      <c r="BR7" s="3">
        <f t="shared" si="11"/>
        <v>0.83950013062562656</v>
      </c>
      <c r="BS7" s="1">
        <f t="shared" si="12"/>
        <v>137.5</v>
      </c>
      <c r="BT7" s="2">
        <f t="shared" si="13"/>
        <v>125.1339888675334</v>
      </c>
      <c r="BU7" s="21">
        <f t="shared" si="14"/>
        <v>1.0988221605047468</v>
      </c>
      <c r="BV7" s="2" t="str">
        <f t="shared" si="15"/>
        <v/>
      </c>
      <c r="BW7" s="2" t="str">
        <f t="shared" si="16"/>
        <v/>
      </c>
      <c r="BX7" s="21" t="str">
        <f t="shared" si="17"/>
        <v/>
      </c>
      <c r="BY7" s="15"/>
    </row>
    <row r="8" spans="1:78" x14ac:dyDescent="0.25">
      <c r="A8" t="str">
        <f t="shared" ref="A8:A66" si="24">IF(ISNUMBER(SEARCH("Appui",E8)),"Appui",IF(ISNUMBER(SEARCH("Travée",E8)),"Travée",""))</f>
        <v>Travée</v>
      </c>
      <c r="B8" t="b">
        <f t="shared" ref="B8:B66" si="25">MOD(C8,2)=0</f>
        <v>0</v>
      </c>
      <c r="C8">
        <f>IF(D8=D7,C7,C7+1)</f>
        <v>1</v>
      </c>
      <c r="D8" s="5" t="s">
        <v>44</v>
      </c>
      <c r="E8" t="s">
        <v>48</v>
      </c>
      <c r="F8" s="5">
        <v>25</v>
      </c>
      <c r="G8" t="s">
        <v>46</v>
      </c>
      <c r="H8">
        <v>500</v>
      </c>
      <c r="I8">
        <v>170000</v>
      </c>
      <c r="J8">
        <v>1300</v>
      </c>
      <c r="K8" s="10">
        <v>1445</v>
      </c>
      <c r="L8" s="12">
        <v>1</v>
      </c>
      <c r="M8" s="5">
        <v>0.23499999999999999</v>
      </c>
      <c r="N8" s="10">
        <v>2.2000000000000002</v>
      </c>
      <c r="O8" s="5">
        <v>8.470000000000001E-4</v>
      </c>
      <c r="P8">
        <v>0.04</v>
      </c>
      <c r="Q8" s="10">
        <v>1</v>
      </c>
      <c r="R8" s="8">
        <v>0</v>
      </c>
      <c r="S8">
        <v>0</v>
      </c>
      <c r="T8">
        <v>1</v>
      </c>
      <c r="U8" s="9">
        <v>9.6000000000000002E-5</v>
      </c>
      <c r="V8">
        <v>0</v>
      </c>
      <c r="W8" s="10">
        <v>1</v>
      </c>
      <c r="X8" s="1">
        <v>30.75328</v>
      </c>
      <c r="Y8" s="2">
        <v>9.3414400000000004</v>
      </c>
      <c r="Z8" s="13">
        <v>0.5</v>
      </c>
      <c r="AA8" s="2">
        <v>15.37664</v>
      </c>
      <c r="AB8" s="2">
        <v>24.71808</v>
      </c>
      <c r="AC8" s="2">
        <v>52.48</v>
      </c>
      <c r="AD8" s="2"/>
      <c r="AE8" s="7">
        <v>40.094720000000002</v>
      </c>
      <c r="AF8" s="2">
        <v>15.37664</v>
      </c>
      <c r="AG8" s="2">
        <v>24.71808</v>
      </c>
      <c r="AH8" s="2">
        <v>2.6459412775269731</v>
      </c>
      <c r="AI8" s="2">
        <v>3.9527863594182961</v>
      </c>
      <c r="AJ8" s="2">
        <v>-97.933634920761222</v>
      </c>
      <c r="AK8" s="2">
        <v>-137.81461200702859</v>
      </c>
      <c r="AL8" s="2">
        <v>0</v>
      </c>
      <c r="AM8" s="2">
        <v>-145.550895115348</v>
      </c>
      <c r="AN8" s="2">
        <v>52.48</v>
      </c>
      <c r="AO8" s="2">
        <v>74.708892277634163</v>
      </c>
      <c r="AP8" s="2">
        <v>99.676828491135922</v>
      </c>
      <c r="AQ8" s="2">
        <v>6.0139999328024336</v>
      </c>
      <c r="AR8" s="2">
        <v>-298.26536518567627</v>
      </c>
      <c r="AS8" s="2">
        <v>0</v>
      </c>
      <c r="AT8" s="2">
        <v>-319.51614874818881</v>
      </c>
      <c r="AU8" s="1">
        <v>40.094720000000002</v>
      </c>
      <c r="AV8" s="2">
        <v>4.9919858294400417</v>
      </c>
      <c r="AW8" s="2">
        <v>-260.51469704152078</v>
      </c>
      <c r="AX8" s="2">
        <v>74.708892277634163</v>
      </c>
      <c r="AZ8" s="1">
        <f>AF8</f>
        <v>15.37664</v>
      </c>
      <c r="BA8" s="2">
        <f>AH8</f>
        <v>2.6459412775269731</v>
      </c>
      <c r="BB8" s="7">
        <f>AJ8</f>
        <v>-97.933634920761222</v>
      </c>
      <c r="BC8" s="1">
        <f>AG8</f>
        <v>24.71808</v>
      </c>
      <c r="BD8" s="2">
        <f>AI8</f>
        <v>3.9527863594182961</v>
      </c>
      <c r="BE8" s="2">
        <f t="shared" si="19"/>
        <v>-137.81461200702859</v>
      </c>
      <c r="BF8" s="2">
        <f t="shared" si="19"/>
        <v>0</v>
      </c>
      <c r="BG8" s="7">
        <f t="shared" si="19"/>
        <v>-145.550895115348</v>
      </c>
      <c r="BH8" s="1">
        <f t="shared" si="20"/>
        <v>40.094720000000002</v>
      </c>
      <c r="BI8" s="2">
        <f t="shared" si="21"/>
        <v>6.5987276369452692</v>
      </c>
      <c r="BJ8" s="2">
        <f t="shared" si="22"/>
        <v>235.74824692778981</v>
      </c>
      <c r="BK8" s="2">
        <f t="shared" ref="BK8:BK20" si="26">ABS(BF8)</f>
        <v>0</v>
      </c>
      <c r="BL8" s="7">
        <f t="shared" ref="BL8:BL20" si="27">BG8</f>
        <v>-145.550895115348</v>
      </c>
      <c r="BM8" s="2"/>
      <c r="BN8" s="1">
        <f t="shared" ref="BN8:BN60" si="28">AU8</f>
        <v>40.094720000000002</v>
      </c>
      <c r="BO8" s="4" t="str">
        <f t="shared" ref="BO8" si="29">IF(ISNUMBER(SEARCH("Appui",E8)),0,"0")</f>
        <v>0</v>
      </c>
      <c r="BP8" s="2">
        <f t="shared" si="23"/>
        <v>40.094720000000002</v>
      </c>
      <c r="BQ8" s="2">
        <f t="shared" ref="BQ8:BQ59" si="30">AX8</f>
        <v>74.708892277634163</v>
      </c>
      <c r="BR8" s="3">
        <f t="shared" ref="BR8:BR59" si="31">BP8/BQ8</f>
        <v>0.53667935338941286</v>
      </c>
      <c r="BS8" s="1">
        <f t="shared" ref="BS8:BS59" si="32">AN8</f>
        <v>52.48</v>
      </c>
      <c r="BT8" s="2">
        <f t="shared" ref="BT8:BT59" si="33">AP8</f>
        <v>99.676828491135922</v>
      </c>
      <c r="BU8" s="21">
        <f t="shared" ref="BU8:BU59" si="34">BS8/BT8</f>
        <v>0.52650150285095543</v>
      </c>
      <c r="BV8" s="2">
        <f t="shared" ref="BV8:BV59" si="35">IF(ISNUMBER(SEARCH("Travée",E8)),BS8+(IF(C7&lt;C8,0,BS7)+IF(C9&gt;C8,0,BS9))/2,"")</f>
        <v>170.73</v>
      </c>
      <c r="BW8" s="2">
        <f t="shared" ref="BW8:BW59" si="36">IF(ISNUMBER(SEARCH("Travée",E8)),BT8+(IF(C7&lt;C8,0,BT7)+IF(C9&gt;C8,0,BT9))/2,"")</f>
        <v>206.74712046799226</v>
      </c>
      <c r="BX8" s="21">
        <f t="shared" ref="BX8:BX59" si="37">IF(ISNUMBER(SEARCH("Travée",E8)),BW8/BV8,"")</f>
        <v>1.2109595294792495</v>
      </c>
      <c r="BY8" s="10" t="str">
        <f t="shared" ref="BY8" si="38">IF(C6&lt;C8,"Rive",IF(C10&gt;C8,"Rive","Inter"))</f>
        <v>Rive</v>
      </c>
    </row>
    <row r="9" spans="1:78" x14ac:dyDescent="0.25">
      <c r="A9" t="str">
        <f t="shared" si="24"/>
        <v>Appui</v>
      </c>
      <c r="B9" t="b">
        <f t="shared" si="25"/>
        <v>0</v>
      </c>
      <c r="C9">
        <f t="shared" ref="C9:C32" si="39">IF(D9=D8,C8,C8+1)</f>
        <v>1</v>
      </c>
      <c r="D9" s="5" t="s">
        <v>44</v>
      </c>
      <c r="E9" t="s">
        <v>49</v>
      </c>
      <c r="F9" s="5">
        <v>25</v>
      </c>
      <c r="G9" t="s">
        <v>46</v>
      </c>
      <c r="H9">
        <v>500</v>
      </c>
      <c r="I9">
        <v>170000</v>
      </c>
      <c r="J9">
        <v>1300</v>
      </c>
      <c r="K9" s="10">
        <v>1445</v>
      </c>
      <c r="L9" s="12">
        <v>1</v>
      </c>
      <c r="M9" s="5">
        <v>0.22</v>
      </c>
      <c r="N9" s="10">
        <v>2.2000000000000002</v>
      </c>
      <c r="O9" s="5">
        <v>1.1286E-3</v>
      </c>
      <c r="P9">
        <v>0.04</v>
      </c>
      <c r="Q9" s="10">
        <v>1</v>
      </c>
      <c r="R9" s="8">
        <v>0</v>
      </c>
      <c r="S9">
        <v>0</v>
      </c>
      <c r="T9">
        <v>1</v>
      </c>
      <c r="U9" s="9">
        <v>0</v>
      </c>
      <c r="V9">
        <v>0</v>
      </c>
      <c r="W9" s="10">
        <v>1</v>
      </c>
      <c r="X9" s="1">
        <v>58.014000000000003</v>
      </c>
      <c r="Y9" s="2">
        <v>17.622</v>
      </c>
      <c r="Z9" s="13">
        <v>0.25</v>
      </c>
      <c r="AA9" s="2">
        <v>43.5105</v>
      </c>
      <c r="AB9" s="2">
        <v>32.125500000000002</v>
      </c>
      <c r="AC9" s="2">
        <v>99.000000000000014</v>
      </c>
      <c r="AD9" s="2"/>
      <c r="AE9" s="7">
        <v>75.635999999999996</v>
      </c>
      <c r="AF9" s="2">
        <v>43.5105</v>
      </c>
      <c r="AG9" s="2">
        <v>32.125500000000002</v>
      </c>
      <c r="AH9" s="2">
        <v>7.4967150834445739</v>
      </c>
      <c r="AI9" s="2">
        <v>5.535117280040426</v>
      </c>
      <c r="AJ9" s="2">
        <v>-227.43694162086399</v>
      </c>
      <c r="AK9" s="2">
        <v>-167.9255689555639</v>
      </c>
      <c r="AL9" s="2">
        <v>0</v>
      </c>
      <c r="AM9" s="2">
        <v>0</v>
      </c>
      <c r="AN9" s="2">
        <v>99.000000000000014</v>
      </c>
      <c r="AO9" s="2">
        <v>89.006595086179274</v>
      </c>
      <c r="AP9" s="2">
        <v>89.006595086179274</v>
      </c>
      <c r="AQ9" s="2">
        <v>0</v>
      </c>
      <c r="AR9" s="2">
        <v>0</v>
      </c>
      <c r="AS9" s="2">
        <v>0</v>
      </c>
      <c r="AT9" s="2">
        <v>0</v>
      </c>
      <c r="AU9" s="1">
        <v>75.635999999999996</v>
      </c>
      <c r="AV9" s="2">
        <v>9.0244313391096131</v>
      </c>
      <c r="AW9" s="2">
        <v>-406.08597330777388</v>
      </c>
      <c r="AX9" s="2">
        <v>89.006595086179274</v>
      </c>
      <c r="AZ9" s="1">
        <f t="shared" ref="AZ9:AZ20" si="40">AF9</f>
        <v>43.5105</v>
      </c>
      <c r="BA9" s="2">
        <f t="shared" ref="BA9:BA20" si="41">AH9</f>
        <v>7.4967150834445739</v>
      </c>
      <c r="BB9" s="7">
        <f t="shared" ref="BB9:BB20" si="42">AJ9</f>
        <v>-227.43694162086399</v>
      </c>
      <c r="BC9" s="1">
        <f t="shared" ref="BC9:BC20" si="43">AG9</f>
        <v>32.125500000000002</v>
      </c>
      <c r="BD9" s="2">
        <f t="shared" ref="BD9:BD20" si="44">AI9</f>
        <v>5.535117280040426</v>
      </c>
      <c r="BE9" s="2">
        <f t="shared" si="19"/>
        <v>-167.9255689555639</v>
      </c>
      <c r="BF9" s="2">
        <f t="shared" si="19"/>
        <v>0</v>
      </c>
      <c r="BG9" s="7">
        <f t="shared" si="19"/>
        <v>0</v>
      </c>
      <c r="BH9" s="1">
        <f t="shared" si="20"/>
        <v>75.635999999999996</v>
      </c>
      <c r="BI9" s="2">
        <f t="shared" si="21"/>
        <v>13.031832363485</v>
      </c>
      <c r="BJ9" s="2">
        <f t="shared" si="22"/>
        <v>395.36251057642789</v>
      </c>
      <c r="BK9" s="2">
        <f t="shared" si="26"/>
        <v>0</v>
      </c>
      <c r="BL9" s="7">
        <f t="shared" si="27"/>
        <v>0</v>
      </c>
      <c r="BM9" s="2"/>
      <c r="BN9" s="1">
        <f t="shared" si="28"/>
        <v>75.635999999999996</v>
      </c>
      <c r="BO9" s="4">
        <v>0</v>
      </c>
      <c r="BP9" s="2">
        <f t="shared" si="23"/>
        <v>75.635999999999996</v>
      </c>
      <c r="BQ9" s="2">
        <f t="shared" si="30"/>
        <v>89.006595086179274</v>
      </c>
      <c r="BR9" s="3">
        <f t="shared" si="31"/>
        <v>0.84977972617384812</v>
      </c>
      <c r="BS9" s="1">
        <f t="shared" si="32"/>
        <v>99.000000000000014</v>
      </c>
      <c r="BT9" s="2">
        <f t="shared" si="33"/>
        <v>89.006595086179274</v>
      </c>
      <c r="BU9" s="21">
        <f t="shared" si="34"/>
        <v>1.1122771284998014</v>
      </c>
      <c r="BV9" s="2" t="str">
        <f t="shared" si="35"/>
        <v/>
      </c>
      <c r="BW9" s="2" t="str">
        <f t="shared" si="36"/>
        <v/>
      </c>
      <c r="BX9" s="21" t="str">
        <f t="shared" si="37"/>
        <v/>
      </c>
      <c r="BY9" s="15"/>
    </row>
    <row r="10" spans="1:78" x14ac:dyDescent="0.25">
      <c r="A10" t="str">
        <f t="shared" si="24"/>
        <v>Travée</v>
      </c>
      <c r="B10" t="b">
        <f t="shared" si="25"/>
        <v>1</v>
      </c>
      <c r="C10">
        <f t="shared" si="39"/>
        <v>2</v>
      </c>
      <c r="D10" s="5" t="s">
        <v>50</v>
      </c>
      <c r="E10" t="s">
        <v>45</v>
      </c>
      <c r="F10" s="5">
        <v>25</v>
      </c>
      <c r="G10" t="s">
        <v>46</v>
      </c>
      <c r="H10">
        <v>500</v>
      </c>
      <c r="I10">
        <v>170000</v>
      </c>
      <c r="J10">
        <v>1300</v>
      </c>
      <c r="K10" s="10">
        <v>1445</v>
      </c>
      <c r="L10" s="12">
        <v>1</v>
      </c>
      <c r="M10" s="5">
        <v>0.26</v>
      </c>
      <c r="N10" s="10">
        <v>2.2000000000000002</v>
      </c>
      <c r="O10" s="5">
        <v>5.6539999999999997E-4</v>
      </c>
      <c r="P10">
        <v>0.04</v>
      </c>
      <c r="Q10" s="10">
        <v>1</v>
      </c>
      <c r="R10" s="8">
        <v>0</v>
      </c>
      <c r="S10">
        <v>0</v>
      </c>
      <c r="T10">
        <v>1</v>
      </c>
      <c r="U10" s="9">
        <v>1.92E-4</v>
      </c>
      <c r="V10">
        <v>0</v>
      </c>
      <c r="W10" s="10">
        <v>1</v>
      </c>
      <c r="X10" s="1">
        <v>30.0032</v>
      </c>
      <c r="Y10" s="2">
        <v>9.1135999999999999</v>
      </c>
      <c r="Z10" s="13">
        <v>0.5</v>
      </c>
      <c r="AA10" s="2">
        <v>15.0016</v>
      </c>
      <c r="AB10" s="2">
        <v>24.115200000000002</v>
      </c>
      <c r="AC10" s="2">
        <v>51.2</v>
      </c>
      <c r="AD10" s="2"/>
      <c r="AE10" s="7">
        <v>39.116799999999998</v>
      </c>
      <c r="AF10" s="2">
        <v>15.0016</v>
      </c>
      <c r="AG10" s="2">
        <v>24.115200000000002</v>
      </c>
      <c r="AH10" s="2">
        <v>2.557515236771938</v>
      </c>
      <c r="AI10" s="2">
        <v>3.428604519469189</v>
      </c>
      <c r="AJ10" s="2">
        <v>-125.4917841897513</v>
      </c>
      <c r="AK10" s="2">
        <v>-143.3452705618655</v>
      </c>
      <c r="AL10" s="2">
        <v>0</v>
      </c>
      <c r="AM10" s="2">
        <v>-147.36371318643091</v>
      </c>
      <c r="AN10" s="2">
        <v>51.2</v>
      </c>
      <c r="AO10" s="2">
        <v>56.863742648834233</v>
      </c>
      <c r="AP10" s="2">
        <v>120.87399501071729</v>
      </c>
      <c r="AQ10" s="2">
        <v>5.2145535026028762</v>
      </c>
      <c r="AR10" s="2">
        <v>-308.73815496290592</v>
      </c>
      <c r="AS10" s="2">
        <v>0</v>
      </c>
      <c r="AT10" s="2">
        <v>-320.71667778226782</v>
      </c>
      <c r="AU10" s="1">
        <v>39.116799999999998</v>
      </c>
      <c r="AV10" s="2">
        <v>4.7855035164810822</v>
      </c>
      <c r="AW10" s="2">
        <v>-332.37354695492382</v>
      </c>
      <c r="AX10" s="2">
        <v>56.863742648834233</v>
      </c>
      <c r="AZ10" s="1">
        <f t="shared" si="40"/>
        <v>15.0016</v>
      </c>
      <c r="BA10" s="2">
        <f t="shared" si="41"/>
        <v>2.557515236771938</v>
      </c>
      <c r="BB10" s="7">
        <f t="shared" si="42"/>
        <v>-125.4917841897513</v>
      </c>
      <c r="BC10" s="1">
        <f t="shared" si="43"/>
        <v>24.115200000000002</v>
      </c>
      <c r="BD10" s="2">
        <f t="shared" si="44"/>
        <v>3.428604519469189</v>
      </c>
      <c r="BE10" s="2">
        <f t="shared" si="19"/>
        <v>-143.3452705618655</v>
      </c>
      <c r="BF10" s="2">
        <f t="shared" si="19"/>
        <v>0</v>
      </c>
      <c r="BG10" s="7">
        <f t="shared" si="19"/>
        <v>-147.36371318643091</v>
      </c>
      <c r="BH10" s="1">
        <f t="shared" si="20"/>
        <v>39.116799999999998</v>
      </c>
      <c r="BI10" s="2">
        <f t="shared" si="21"/>
        <v>5.986119756241127</v>
      </c>
      <c r="BJ10" s="2">
        <f t="shared" si="22"/>
        <v>268.83705475161679</v>
      </c>
      <c r="BK10" s="2">
        <f t="shared" si="26"/>
        <v>0</v>
      </c>
      <c r="BL10" s="7">
        <f t="shared" si="27"/>
        <v>-147.36371318643091</v>
      </c>
      <c r="BM10" s="2"/>
      <c r="BN10" s="1">
        <f t="shared" si="28"/>
        <v>39.116799999999998</v>
      </c>
      <c r="BO10" s="4" t="str">
        <f t="shared" ref="BO10" si="45">IF(ISNUMBER(SEARCH("Appui",E10)),0,"0")</f>
        <v>0</v>
      </c>
      <c r="BP10" s="2">
        <f t="shared" si="23"/>
        <v>39.116799999999998</v>
      </c>
      <c r="BQ10" s="2">
        <f t="shared" si="30"/>
        <v>56.863742648834233</v>
      </c>
      <c r="BR10" s="3">
        <f t="shared" si="31"/>
        <v>0.6879040699372948</v>
      </c>
      <c r="BS10" s="1">
        <f t="shared" si="32"/>
        <v>51.2</v>
      </c>
      <c r="BT10" s="2">
        <f t="shared" si="33"/>
        <v>120.87399501071729</v>
      </c>
      <c r="BU10" s="21">
        <f t="shared" si="34"/>
        <v>0.42358159830375719</v>
      </c>
      <c r="BV10" s="2">
        <f t="shared" si="35"/>
        <v>133.69999999999999</v>
      </c>
      <c r="BW10" s="2">
        <f t="shared" si="36"/>
        <v>191.22556064761216</v>
      </c>
      <c r="BX10" s="21">
        <f t="shared" si="37"/>
        <v>1.4302584939985952</v>
      </c>
      <c r="BY10" s="10" t="str">
        <f t="shared" ref="BY10" si="46">IF(C8&lt;C10,"Rive",IF(C12&gt;C10,"Rive","Inter"))</f>
        <v>Rive</v>
      </c>
      <c r="BZ10" t="b">
        <f>SUM(BN7:BN10)&lt;=SUM(BP7:BP10)</f>
        <v>1</v>
      </c>
    </row>
    <row r="11" spans="1:78" x14ac:dyDescent="0.25">
      <c r="A11" t="str">
        <f t="shared" si="24"/>
        <v>Appui</v>
      </c>
      <c r="B11" t="b">
        <f t="shared" si="25"/>
        <v>1</v>
      </c>
      <c r="C11">
        <f t="shared" si="39"/>
        <v>2</v>
      </c>
      <c r="D11" s="5" t="s">
        <v>50</v>
      </c>
      <c r="E11" t="s">
        <v>47</v>
      </c>
      <c r="F11" s="5">
        <v>25</v>
      </c>
      <c r="G11" t="s">
        <v>46</v>
      </c>
      <c r="H11">
        <v>500</v>
      </c>
      <c r="I11">
        <v>170000</v>
      </c>
      <c r="J11">
        <v>1300</v>
      </c>
      <c r="K11" s="10">
        <v>1445</v>
      </c>
      <c r="L11" s="12">
        <v>1</v>
      </c>
      <c r="M11" s="5">
        <v>0.25</v>
      </c>
      <c r="N11" s="10">
        <v>2.2000000000000002</v>
      </c>
      <c r="O11" s="5">
        <v>1.1286E-3</v>
      </c>
      <c r="P11">
        <v>6.9999999999999993E-2</v>
      </c>
      <c r="Q11" s="10">
        <v>1</v>
      </c>
      <c r="R11" s="8">
        <v>6.1578924137931036E-4</v>
      </c>
      <c r="S11">
        <v>0.04</v>
      </c>
      <c r="T11">
        <v>1</v>
      </c>
      <c r="U11" s="9">
        <v>0</v>
      </c>
      <c r="V11">
        <v>0</v>
      </c>
      <c r="W11" s="10">
        <v>1</v>
      </c>
      <c r="X11" s="1">
        <v>96.69</v>
      </c>
      <c r="Y11" s="2">
        <v>29.37</v>
      </c>
      <c r="Z11" s="13">
        <v>0.5</v>
      </c>
      <c r="AA11" s="2">
        <v>48.344999999999999</v>
      </c>
      <c r="AB11" s="2">
        <v>77.715000000000003</v>
      </c>
      <c r="AC11" s="2">
        <v>165</v>
      </c>
      <c r="AD11" s="2"/>
      <c r="AE11" s="7">
        <v>126.06</v>
      </c>
      <c r="AF11" s="2">
        <v>48.344999999999999</v>
      </c>
      <c r="AG11" s="2">
        <v>77.715000000000003</v>
      </c>
      <c r="AH11" s="2">
        <v>8.3296834260495327</v>
      </c>
      <c r="AI11" s="2">
        <v>10.11428068073687</v>
      </c>
      <c r="AJ11" s="2">
        <v>-252.707712912071</v>
      </c>
      <c r="AK11" s="2">
        <v>-231.7197970508565</v>
      </c>
      <c r="AL11" s="2">
        <v>-281.0509325319843</v>
      </c>
      <c r="AM11" s="2">
        <v>0</v>
      </c>
      <c r="AN11" s="2">
        <v>165</v>
      </c>
      <c r="AO11" s="2">
        <v>89.006595086179289</v>
      </c>
      <c r="AP11" s="2">
        <v>140.70313127378969</v>
      </c>
      <c r="AQ11" s="2">
        <v>0</v>
      </c>
      <c r="AR11" s="2">
        <v>0</v>
      </c>
      <c r="AS11" s="2">
        <v>0</v>
      </c>
      <c r="AT11" s="2">
        <v>0</v>
      </c>
      <c r="AU11" s="1">
        <v>126.06</v>
      </c>
      <c r="AV11" s="2">
        <v>11.35789359682461</v>
      </c>
      <c r="AW11" s="2">
        <v>-410.8533807704801</v>
      </c>
      <c r="AX11" s="2">
        <v>140.70313127378969</v>
      </c>
      <c r="AZ11" s="1">
        <f t="shared" si="40"/>
        <v>48.344999999999999</v>
      </c>
      <c r="BA11" s="2">
        <f t="shared" si="41"/>
        <v>8.3296834260495327</v>
      </c>
      <c r="BB11" s="7">
        <f t="shared" si="42"/>
        <v>-252.707712912071</v>
      </c>
      <c r="BC11" s="1">
        <f t="shared" si="43"/>
        <v>77.715000000000003</v>
      </c>
      <c r="BD11" s="2">
        <f t="shared" si="44"/>
        <v>10.11428068073687</v>
      </c>
      <c r="BE11" s="2">
        <f t="shared" si="19"/>
        <v>-231.7197970508565</v>
      </c>
      <c r="BF11" s="2">
        <f t="shared" si="19"/>
        <v>-281.0509325319843</v>
      </c>
      <c r="BG11" s="7">
        <f t="shared" si="19"/>
        <v>0</v>
      </c>
      <c r="BH11" s="1">
        <f t="shared" si="20"/>
        <v>126.06</v>
      </c>
      <c r="BI11" s="2">
        <f t="shared" si="21"/>
        <v>18.443964106786403</v>
      </c>
      <c r="BJ11" s="2">
        <f t="shared" si="22"/>
        <v>484.4275099629275</v>
      </c>
      <c r="BK11" s="2">
        <f t="shared" si="26"/>
        <v>281.0509325319843</v>
      </c>
      <c r="BL11" s="7">
        <f t="shared" si="27"/>
        <v>0</v>
      </c>
      <c r="BM11" s="2"/>
      <c r="BN11" s="1">
        <f t="shared" si="28"/>
        <v>126.06</v>
      </c>
      <c r="BO11" s="4">
        <v>0</v>
      </c>
      <c r="BP11" s="2">
        <f t="shared" si="23"/>
        <v>126.06</v>
      </c>
      <c r="BQ11" s="2">
        <f t="shared" si="30"/>
        <v>140.70313127378969</v>
      </c>
      <c r="BR11" s="3">
        <f t="shared" si="31"/>
        <v>0.89592888842469265</v>
      </c>
      <c r="BS11" s="1">
        <f t="shared" si="32"/>
        <v>165</v>
      </c>
      <c r="BT11" s="2">
        <f t="shared" si="33"/>
        <v>140.70313127378969</v>
      </c>
      <c r="BU11" s="21">
        <f t="shared" si="34"/>
        <v>1.1726817911317966</v>
      </c>
      <c r="BV11" s="2" t="str">
        <f t="shared" si="35"/>
        <v/>
      </c>
      <c r="BW11" s="2" t="str">
        <f t="shared" si="36"/>
        <v/>
      </c>
      <c r="BX11" s="21" t="str">
        <f t="shared" si="37"/>
        <v/>
      </c>
      <c r="BY11" s="15"/>
    </row>
    <row r="12" spans="1:78" x14ac:dyDescent="0.25">
      <c r="A12" t="str">
        <f t="shared" si="24"/>
        <v>Travée</v>
      </c>
      <c r="B12" t="b">
        <f t="shared" si="25"/>
        <v>1</v>
      </c>
      <c r="C12">
        <f t="shared" si="39"/>
        <v>2</v>
      </c>
      <c r="D12" s="5" t="s">
        <v>50</v>
      </c>
      <c r="E12" t="s">
        <v>48</v>
      </c>
      <c r="F12" s="5">
        <v>25</v>
      </c>
      <c r="G12" t="s">
        <v>46</v>
      </c>
      <c r="H12">
        <v>500</v>
      </c>
      <c r="I12">
        <v>170000</v>
      </c>
      <c r="J12">
        <v>1300</v>
      </c>
      <c r="K12" s="10">
        <v>1445</v>
      </c>
      <c r="L12" s="12">
        <v>1</v>
      </c>
      <c r="M12" s="5">
        <v>0.23499999999999999</v>
      </c>
      <c r="N12" s="10">
        <v>2.2000000000000002</v>
      </c>
      <c r="O12" s="5">
        <v>8.470000000000001E-4</v>
      </c>
      <c r="P12">
        <v>0.04</v>
      </c>
      <c r="Q12" s="10">
        <v>1</v>
      </c>
      <c r="R12" s="8">
        <v>0</v>
      </c>
      <c r="S12">
        <v>0</v>
      </c>
      <c r="T12">
        <v>1</v>
      </c>
      <c r="U12" s="9">
        <v>2.8800000000000001E-4</v>
      </c>
      <c r="V12">
        <v>0</v>
      </c>
      <c r="W12" s="10">
        <v>1</v>
      </c>
      <c r="X12" s="1">
        <v>52.505600000000001</v>
      </c>
      <c r="Y12" s="2">
        <v>15.9488</v>
      </c>
      <c r="Z12" s="13">
        <v>0.5</v>
      </c>
      <c r="AA12" s="2">
        <v>26.252800000000001</v>
      </c>
      <c r="AB12" s="2">
        <v>42.201599999999999</v>
      </c>
      <c r="AC12" s="2">
        <v>89.600000000000009</v>
      </c>
      <c r="AD12" s="2"/>
      <c r="AE12" s="7">
        <v>68.454399999999993</v>
      </c>
      <c r="AF12" s="2">
        <v>26.252800000000001</v>
      </c>
      <c r="AG12" s="2">
        <v>42.201599999999999</v>
      </c>
      <c r="AH12" s="2">
        <v>4.5174607177289783</v>
      </c>
      <c r="AI12" s="2">
        <v>6.0149527284718856</v>
      </c>
      <c r="AJ12" s="2">
        <v>-167.20376693788501</v>
      </c>
      <c r="AK12" s="2">
        <v>-188.23002702271481</v>
      </c>
      <c r="AL12" s="2">
        <v>0</v>
      </c>
      <c r="AM12" s="2">
        <v>-199.47903561972711</v>
      </c>
      <c r="AN12" s="2">
        <v>89.600000000000009</v>
      </c>
      <c r="AO12" s="2">
        <v>74.708892277634163</v>
      </c>
      <c r="AP12" s="2">
        <v>159.59855307589541</v>
      </c>
      <c r="AQ12" s="2">
        <v>8.807618057789405</v>
      </c>
      <c r="AR12" s="2">
        <v>-407.59258835473912</v>
      </c>
      <c r="AS12" s="2">
        <v>0</v>
      </c>
      <c r="AT12" s="2">
        <v>-439.37250203176148</v>
      </c>
      <c r="AU12" s="1">
        <v>68.454399999999993</v>
      </c>
      <c r="AV12" s="2">
        <v>10.909282027547</v>
      </c>
      <c r="AW12" s="2">
        <v>-436.71445970979431</v>
      </c>
      <c r="AX12" s="2">
        <v>74.708892277634163</v>
      </c>
      <c r="AZ12" s="1">
        <f t="shared" si="40"/>
        <v>26.252800000000001</v>
      </c>
      <c r="BA12" s="2">
        <f t="shared" si="41"/>
        <v>4.5174607177289783</v>
      </c>
      <c r="BB12" s="7">
        <f t="shared" si="42"/>
        <v>-167.20376693788501</v>
      </c>
      <c r="BC12" s="1">
        <f t="shared" si="43"/>
        <v>42.201599999999999</v>
      </c>
      <c r="BD12" s="2">
        <f t="shared" si="44"/>
        <v>6.0149527284718856</v>
      </c>
      <c r="BE12" s="2">
        <f t="shared" si="19"/>
        <v>-188.23002702271481</v>
      </c>
      <c r="BF12" s="2">
        <f t="shared" si="19"/>
        <v>0</v>
      </c>
      <c r="BG12" s="7">
        <f t="shared" si="19"/>
        <v>-199.47903561972711</v>
      </c>
      <c r="BH12" s="1">
        <f t="shared" si="20"/>
        <v>68.454399999999993</v>
      </c>
      <c r="BI12" s="2">
        <f t="shared" si="21"/>
        <v>10.532413446200863</v>
      </c>
      <c r="BJ12" s="2">
        <f t="shared" si="22"/>
        <v>355.43379396059981</v>
      </c>
      <c r="BK12" s="2">
        <f t="shared" si="26"/>
        <v>0</v>
      </c>
      <c r="BL12" s="7">
        <f t="shared" si="27"/>
        <v>-199.47903561972711</v>
      </c>
      <c r="BM12" s="2"/>
      <c r="BN12" s="1">
        <f t="shared" si="28"/>
        <v>68.454399999999993</v>
      </c>
      <c r="BO12" s="4" t="str">
        <f t="shared" ref="BO12" si="47">IF(ISNUMBER(SEARCH("Appui",E12)),0,"0")</f>
        <v>0</v>
      </c>
      <c r="BP12" s="2">
        <f t="shared" si="23"/>
        <v>68.454399999999993</v>
      </c>
      <c r="BQ12" s="2">
        <f t="shared" si="30"/>
        <v>74.708892277634163</v>
      </c>
      <c r="BR12" s="3">
        <f t="shared" si="31"/>
        <v>0.91628182285997306</v>
      </c>
      <c r="BS12" s="1">
        <f t="shared" si="32"/>
        <v>89.600000000000009</v>
      </c>
      <c r="BT12" s="2">
        <f t="shared" si="33"/>
        <v>159.59855307589541</v>
      </c>
      <c r="BU12" s="21">
        <f t="shared" si="34"/>
        <v>0.56140859846888258</v>
      </c>
      <c r="BV12" s="2">
        <f t="shared" si="35"/>
        <v>232.60000000000002</v>
      </c>
      <c r="BW12" s="2">
        <f t="shared" si="36"/>
        <v>306.91998210493421</v>
      </c>
      <c r="BX12" s="21">
        <f t="shared" si="37"/>
        <v>1.3195184097374641</v>
      </c>
      <c r="BY12" s="10" t="str">
        <f t="shared" ref="BY12" si="48">IF(C10&lt;C12,"Rive",IF(C14&gt;C12,"Rive","Inter"))</f>
        <v>Inter</v>
      </c>
    </row>
    <row r="13" spans="1:78" x14ac:dyDescent="0.25">
      <c r="A13" t="str">
        <f t="shared" si="24"/>
        <v>Appui</v>
      </c>
      <c r="B13" t="b">
        <f t="shared" si="25"/>
        <v>1</v>
      </c>
      <c r="C13">
        <f t="shared" si="39"/>
        <v>2</v>
      </c>
      <c r="D13" s="5" t="s">
        <v>50</v>
      </c>
      <c r="E13" t="s">
        <v>49</v>
      </c>
      <c r="F13" s="5">
        <v>25</v>
      </c>
      <c r="G13" t="s">
        <v>46</v>
      </c>
      <c r="H13">
        <v>500</v>
      </c>
      <c r="I13">
        <v>170000</v>
      </c>
      <c r="J13">
        <v>1300</v>
      </c>
      <c r="K13" s="10">
        <v>1445</v>
      </c>
      <c r="L13" s="12">
        <v>1</v>
      </c>
      <c r="M13" s="5">
        <v>0.22</v>
      </c>
      <c r="N13" s="10">
        <v>2.2000000000000002</v>
      </c>
      <c r="O13" s="5">
        <v>1.3297999999999999E-3</v>
      </c>
      <c r="P13">
        <v>0.04</v>
      </c>
      <c r="Q13" s="10">
        <v>1</v>
      </c>
      <c r="R13" s="8">
        <v>0</v>
      </c>
      <c r="S13">
        <v>0</v>
      </c>
      <c r="T13">
        <v>1</v>
      </c>
      <c r="U13" s="9">
        <v>1.92E-4</v>
      </c>
      <c r="V13">
        <v>0</v>
      </c>
      <c r="W13" s="10">
        <v>1</v>
      </c>
      <c r="X13" s="1">
        <v>70.906000000000006</v>
      </c>
      <c r="Y13" s="2">
        <v>21.538</v>
      </c>
      <c r="Z13" s="13">
        <v>0.25</v>
      </c>
      <c r="AA13" s="2">
        <v>53.179499999999997</v>
      </c>
      <c r="AB13" s="2">
        <v>39.264499999999998</v>
      </c>
      <c r="AC13" s="2">
        <v>121</v>
      </c>
      <c r="AD13" s="2"/>
      <c r="AE13" s="7">
        <v>92.444000000000003</v>
      </c>
      <c r="AF13" s="2">
        <v>53.179499999999997</v>
      </c>
      <c r="AG13" s="2">
        <v>39.264499999999998</v>
      </c>
      <c r="AH13" s="2">
        <v>8.5512866308203286</v>
      </c>
      <c r="AI13" s="2">
        <v>5.7528656307943011</v>
      </c>
      <c r="AJ13" s="2">
        <v>-237.0188999781586</v>
      </c>
      <c r="AK13" s="2">
        <v>-147.21684704809371</v>
      </c>
      <c r="AL13" s="2">
        <v>0</v>
      </c>
      <c r="AM13" s="2">
        <v>-159.84663014274929</v>
      </c>
      <c r="AN13" s="2">
        <v>121</v>
      </c>
      <c r="AO13" s="2">
        <v>103.37982574480461</v>
      </c>
      <c r="AP13" s="2">
        <v>153.93972678428781</v>
      </c>
      <c r="AQ13" s="2">
        <v>12.66891043328229</v>
      </c>
      <c r="AR13" s="2">
        <v>-435.39568741745398</v>
      </c>
      <c r="AS13" s="2">
        <v>0</v>
      </c>
      <c r="AT13" s="2">
        <v>-665.39543291570078</v>
      </c>
      <c r="AU13" s="1">
        <v>92.444000000000003</v>
      </c>
      <c r="AV13" s="2">
        <v>10.156716366605741</v>
      </c>
      <c r="AW13" s="2">
        <v>-424.52095435609289</v>
      </c>
      <c r="AX13" s="2">
        <v>103.37982574480461</v>
      </c>
      <c r="AZ13" s="1">
        <f t="shared" si="40"/>
        <v>53.179499999999997</v>
      </c>
      <c r="BA13" s="2">
        <f t="shared" si="41"/>
        <v>8.5512866308203286</v>
      </c>
      <c r="BB13" s="7">
        <f t="shared" si="42"/>
        <v>-237.0188999781586</v>
      </c>
      <c r="BC13" s="1">
        <f t="shared" si="43"/>
        <v>39.264499999999998</v>
      </c>
      <c r="BD13" s="2">
        <f t="shared" si="44"/>
        <v>5.7528656307943011</v>
      </c>
      <c r="BE13" s="2">
        <f t="shared" si="19"/>
        <v>-147.21684704809371</v>
      </c>
      <c r="BF13" s="2">
        <f t="shared" si="19"/>
        <v>0</v>
      </c>
      <c r="BG13" s="7">
        <f t="shared" si="19"/>
        <v>-159.84663014274929</v>
      </c>
      <c r="BH13" s="1">
        <f t="shared" si="20"/>
        <v>92.443999999999988</v>
      </c>
      <c r="BI13" s="2">
        <f t="shared" si="21"/>
        <v>14.304152261614629</v>
      </c>
      <c r="BJ13" s="2">
        <f t="shared" si="22"/>
        <v>384.23574702625228</v>
      </c>
      <c r="BK13" s="2">
        <f t="shared" si="26"/>
        <v>0</v>
      </c>
      <c r="BL13" s="7">
        <f t="shared" si="27"/>
        <v>-159.84663014274929</v>
      </c>
      <c r="BM13" s="2"/>
      <c r="BN13" s="1">
        <f t="shared" si="28"/>
        <v>92.444000000000003</v>
      </c>
      <c r="BO13" s="4">
        <v>0</v>
      </c>
      <c r="BP13" s="2">
        <f t="shared" si="23"/>
        <v>92.444000000000003</v>
      </c>
      <c r="BQ13" s="2">
        <f t="shared" si="30"/>
        <v>103.37982574480461</v>
      </c>
      <c r="BR13" s="3">
        <f t="shared" si="31"/>
        <v>0.89421702284737903</v>
      </c>
      <c r="BS13" s="1">
        <f t="shared" si="32"/>
        <v>121</v>
      </c>
      <c r="BT13" s="2">
        <f t="shared" si="33"/>
        <v>153.93972678428781</v>
      </c>
      <c r="BU13" s="21">
        <f t="shared" si="34"/>
        <v>0.78602192252526537</v>
      </c>
      <c r="BV13" s="2" t="str">
        <f t="shared" si="35"/>
        <v/>
      </c>
      <c r="BW13" s="2" t="str">
        <f t="shared" si="36"/>
        <v/>
      </c>
      <c r="BX13" s="21" t="str">
        <f t="shared" si="37"/>
        <v/>
      </c>
      <c r="BY13" s="15"/>
    </row>
    <row r="14" spans="1:78" x14ac:dyDescent="0.25">
      <c r="A14" t="str">
        <f t="shared" si="24"/>
        <v>Travée</v>
      </c>
      <c r="B14" t="b">
        <f t="shared" si="25"/>
        <v>1</v>
      </c>
      <c r="C14">
        <f t="shared" si="39"/>
        <v>2</v>
      </c>
      <c r="D14" s="5" t="s">
        <v>50</v>
      </c>
      <c r="E14" t="s">
        <v>51</v>
      </c>
      <c r="F14" s="5">
        <v>25</v>
      </c>
      <c r="G14" t="s">
        <v>46</v>
      </c>
      <c r="H14">
        <v>500</v>
      </c>
      <c r="I14">
        <v>170000</v>
      </c>
      <c r="J14">
        <v>1300</v>
      </c>
      <c r="K14" s="10">
        <v>1445</v>
      </c>
      <c r="L14" s="12">
        <v>1</v>
      </c>
      <c r="M14" s="5">
        <v>0.23499999999999999</v>
      </c>
      <c r="N14" s="10">
        <v>2.2000000000000002</v>
      </c>
      <c r="O14" s="5">
        <v>2.8160000000000001E-4</v>
      </c>
      <c r="P14">
        <v>0.04</v>
      </c>
      <c r="Q14" s="10">
        <v>1</v>
      </c>
      <c r="R14" s="8">
        <v>0</v>
      </c>
      <c r="S14">
        <v>0</v>
      </c>
      <c r="T14">
        <v>1</v>
      </c>
      <c r="U14" s="9">
        <v>9.6000000000000002E-5</v>
      </c>
      <c r="V14">
        <v>0</v>
      </c>
      <c r="W14" s="10">
        <v>1</v>
      </c>
      <c r="X14" s="1">
        <v>5.8506239999999998</v>
      </c>
      <c r="Y14" s="2">
        <v>1.7771520000000001</v>
      </c>
      <c r="Z14" s="13">
        <v>0</v>
      </c>
      <c r="AA14" s="2">
        <v>5.8506239999999998</v>
      </c>
      <c r="AB14" s="2">
        <v>1.7771520000000001</v>
      </c>
      <c r="AC14" s="2">
        <v>9.984</v>
      </c>
      <c r="AD14" s="2"/>
      <c r="AE14" s="7">
        <v>7.6277759999999999</v>
      </c>
      <c r="AF14" s="2">
        <v>5.8506239999999998</v>
      </c>
      <c r="AG14" s="2">
        <v>1.7771520000000001</v>
      </c>
      <c r="AH14" s="2">
        <v>1.6655750640279079</v>
      </c>
      <c r="AI14" s="2">
        <v>0.41346534172366739</v>
      </c>
      <c r="AJ14" s="2">
        <v>-109.7952510770359</v>
      </c>
      <c r="AK14" s="2">
        <v>-23.420923148396131</v>
      </c>
      <c r="AL14" s="2">
        <v>0</v>
      </c>
      <c r="AM14" s="2">
        <v>-24.449507772053479</v>
      </c>
      <c r="AN14" s="2">
        <v>9.984</v>
      </c>
      <c r="AO14" s="2">
        <v>25.257071304347711</v>
      </c>
      <c r="AP14" s="2">
        <v>54.762740424349367</v>
      </c>
      <c r="AQ14" s="2">
        <v>1.715917820668678</v>
      </c>
      <c r="AR14" s="2">
        <v>-132.78450098253589</v>
      </c>
      <c r="AS14" s="2">
        <v>0</v>
      </c>
      <c r="AT14" s="2">
        <v>-139.70671828348401</v>
      </c>
      <c r="AU14" s="1">
        <v>7.6277759999999999</v>
      </c>
      <c r="AV14" s="2">
        <v>1.5912259285767929</v>
      </c>
      <c r="AW14" s="2">
        <v>-144.75062902183879</v>
      </c>
      <c r="AX14" s="2">
        <v>25.257071304347711</v>
      </c>
      <c r="AZ14" s="1">
        <f t="shared" si="40"/>
        <v>5.8506239999999998</v>
      </c>
      <c r="BA14" s="2">
        <f t="shared" si="41"/>
        <v>1.6655750640279079</v>
      </c>
      <c r="BB14" s="7">
        <f t="shared" si="42"/>
        <v>-109.7952510770359</v>
      </c>
      <c r="BC14" s="1">
        <f t="shared" si="43"/>
        <v>1.7771520000000001</v>
      </c>
      <c r="BD14" s="2">
        <f t="shared" si="44"/>
        <v>0.41346534172366739</v>
      </c>
      <c r="BE14" s="2">
        <f t="shared" si="19"/>
        <v>-23.420923148396131</v>
      </c>
      <c r="BF14" s="2">
        <f t="shared" si="19"/>
        <v>0</v>
      </c>
      <c r="BG14" s="7">
        <f t="shared" si="19"/>
        <v>-24.449507772053479</v>
      </c>
      <c r="BH14" s="1">
        <f t="shared" si="20"/>
        <v>7.6277759999999999</v>
      </c>
      <c r="BI14" s="2">
        <f t="shared" si="21"/>
        <v>2.0790404057515754</v>
      </c>
      <c r="BJ14" s="2">
        <f t="shared" si="22"/>
        <v>133.21617422543204</v>
      </c>
      <c r="BK14" s="2">
        <f t="shared" si="26"/>
        <v>0</v>
      </c>
      <c r="BL14" s="7">
        <f t="shared" si="27"/>
        <v>-24.449507772053479</v>
      </c>
      <c r="BM14" s="2"/>
      <c r="BN14" s="1">
        <f t="shared" si="28"/>
        <v>7.6277759999999999</v>
      </c>
      <c r="BO14" s="4" t="str">
        <f t="shared" ref="BO14" si="49">IF(ISNUMBER(SEARCH("Appui",E14)),0,"0")</f>
        <v>0</v>
      </c>
      <c r="BP14" s="2">
        <f t="shared" si="23"/>
        <v>7.6277759999999999</v>
      </c>
      <c r="BQ14" s="2">
        <f t="shared" si="30"/>
        <v>25.257071304347711</v>
      </c>
      <c r="BR14" s="3">
        <f t="shared" si="31"/>
        <v>0.30200556145585128</v>
      </c>
      <c r="BS14" s="1">
        <f t="shared" si="32"/>
        <v>9.984</v>
      </c>
      <c r="BT14" s="2">
        <f t="shared" si="33"/>
        <v>54.762740424349367</v>
      </c>
      <c r="BU14" s="21">
        <f t="shared" si="34"/>
        <v>0.18231373964551956</v>
      </c>
      <c r="BV14" s="2">
        <f t="shared" si="35"/>
        <v>86.983999999999995</v>
      </c>
      <c r="BW14" s="2">
        <f t="shared" si="36"/>
        <v>183.4225166888956</v>
      </c>
      <c r="BX14" s="21">
        <f t="shared" si="37"/>
        <v>2.1086925950622599</v>
      </c>
      <c r="BY14" s="10" t="str">
        <f t="shared" ref="BY14" si="50">IF(C12&lt;C14,"Rive",IF(C16&gt;C14,"Rive","Inter"))</f>
        <v>Inter</v>
      </c>
    </row>
    <row r="15" spans="1:78" x14ac:dyDescent="0.25">
      <c r="A15" t="str">
        <f t="shared" si="24"/>
        <v>Appui</v>
      </c>
      <c r="B15" t="b">
        <f t="shared" si="25"/>
        <v>1</v>
      </c>
      <c r="C15">
        <f t="shared" si="39"/>
        <v>2</v>
      </c>
      <c r="D15" s="5" t="s">
        <v>50</v>
      </c>
      <c r="E15" t="s">
        <v>52</v>
      </c>
      <c r="F15" s="5">
        <v>25</v>
      </c>
      <c r="G15" t="s">
        <v>46</v>
      </c>
      <c r="H15">
        <v>500</v>
      </c>
      <c r="I15">
        <v>170000</v>
      </c>
      <c r="J15">
        <v>1300</v>
      </c>
      <c r="K15" s="10">
        <v>1445</v>
      </c>
      <c r="L15" s="12">
        <v>1</v>
      </c>
      <c r="M15" s="5">
        <v>0.25</v>
      </c>
      <c r="N15" s="10">
        <v>2.2000000000000002</v>
      </c>
      <c r="O15" s="5">
        <v>1.3297999999999999E-3</v>
      </c>
      <c r="P15">
        <v>6.9999999999999993E-2</v>
      </c>
      <c r="Q15" s="10">
        <v>1</v>
      </c>
      <c r="R15" s="8">
        <v>0</v>
      </c>
      <c r="S15">
        <v>0</v>
      </c>
      <c r="T15">
        <v>1</v>
      </c>
      <c r="U15" s="9">
        <v>0</v>
      </c>
      <c r="V15">
        <v>0</v>
      </c>
      <c r="W15" s="10">
        <v>1</v>
      </c>
      <c r="X15" s="1">
        <v>19.338000000000001</v>
      </c>
      <c r="Y15" s="2">
        <v>5.8739999999999997</v>
      </c>
      <c r="Z15" s="13">
        <v>0</v>
      </c>
      <c r="AA15" s="2">
        <v>19.338000000000001</v>
      </c>
      <c r="AB15" s="2">
        <v>5.8739999999999997</v>
      </c>
      <c r="AC15" s="2">
        <v>33</v>
      </c>
      <c r="AD15" s="2"/>
      <c r="AE15" s="7">
        <v>25.212</v>
      </c>
      <c r="AF15" s="2">
        <v>19.338000000000001</v>
      </c>
      <c r="AG15" s="2">
        <v>5.8739999999999997</v>
      </c>
      <c r="AH15" s="2">
        <v>3.1095587748437539</v>
      </c>
      <c r="AI15" s="2">
        <v>0.94454174389452028</v>
      </c>
      <c r="AJ15" s="2">
        <v>-86.188690901148533</v>
      </c>
      <c r="AK15" s="2">
        <v>-26.18018256041713</v>
      </c>
      <c r="AL15" s="2">
        <v>0</v>
      </c>
      <c r="AM15" s="2">
        <v>0</v>
      </c>
      <c r="AN15" s="2">
        <v>33</v>
      </c>
      <c r="AO15" s="2">
        <v>103.37982574480461</v>
      </c>
      <c r="AP15" s="2">
        <v>103.37982574480461</v>
      </c>
      <c r="AQ15" s="2">
        <v>3.9427820985975401</v>
      </c>
      <c r="AR15" s="2">
        <v>-150.6876485289022</v>
      </c>
      <c r="AS15" s="2">
        <v>0</v>
      </c>
      <c r="AT15" s="2">
        <v>0</v>
      </c>
      <c r="AU15" s="1">
        <v>25.212</v>
      </c>
      <c r="AV15" s="2">
        <v>3.0408724387669119</v>
      </c>
      <c r="AW15" s="2">
        <v>-115.05001498320679</v>
      </c>
      <c r="AX15" s="2">
        <v>103.37982574480461</v>
      </c>
      <c r="AZ15" s="1">
        <f t="shared" si="40"/>
        <v>19.338000000000001</v>
      </c>
      <c r="BA15" s="2">
        <f t="shared" si="41"/>
        <v>3.1095587748437539</v>
      </c>
      <c r="BB15" s="7">
        <f t="shared" si="42"/>
        <v>-86.188690901148533</v>
      </c>
      <c r="BC15" s="1">
        <f t="shared" si="43"/>
        <v>5.8739999999999997</v>
      </c>
      <c r="BD15" s="2">
        <f t="shared" si="44"/>
        <v>0.94454174389452028</v>
      </c>
      <c r="BE15" s="2">
        <f t="shared" si="19"/>
        <v>-26.18018256041713</v>
      </c>
      <c r="BF15" s="2">
        <f t="shared" si="19"/>
        <v>0</v>
      </c>
      <c r="BG15" s="7">
        <f t="shared" si="19"/>
        <v>0</v>
      </c>
      <c r="BH15" s="1">
        <f t="shared" si="20"/>
        <v>25.212</v>
      </c>
      <c r="BI15" s="2">
        <f t="shared" si="21"/>
        <v>4.0541005187382737</v>
      </c>
      <c r="BJ15" s="2">
        <f t="shared" si="22"/>
        <v>112.36887346156567</v>
      </c>
      <c r="BK15" s="2">
        <f t="shared" si="26"/>
        <v>0</v>
      </c>
      <c r="BL15" s="7">
        <f t="shared" si="27"/>
        <v>0</v>
      </c>
      <c r="BM15" s="2"/>
      <c r="BN15" s="1">
        <f t="shared" si="28"/>
        <v>25.212</v>
      </c>
      <c r="BO15" s="4">
        <v>0</v>
      </c>
      <c r="BP15" s="2">
        <f t="shared" si="23"/>
        <v>25.212</v>
      </c>
      <c r="BQ15" s="2">
        <f t="shared" si="30"/>
        <v>103.37982574480461</v>
      </c>
      <c r="BR15" s="3">
        <f t="shared" si="31"/>
        <v>0.243877369867467</v>
      </c>
      <c r="BS15" s="1">
        <f t="shared" si="32"/>
        <v>33</v>
      </c>
      <c r="BT15" s="2">
        <f t="shared" si="33"/>
        <v>103.37982574480461</v>
      </c>
      <c r="BU15" s="21">
        <f t="shared" si="34"/>
        <v>0.3192112171040144</v>
      </c>
      <c r="BV15" s="2" t="str">
        <f t="shared" si="35"/>
        <v/>
      </c>
      <c r="BW15" s="2" t="str">
        <f t="shared" si="36"/>
        <v/>
      </c>
      <c r="BX15" s="21" t="str">
        <f t="shared" si="37"/>
        <v/>
      </c>
      <c r="BY15" s="15"/>
    </row>
    <row r="16" spans="1:78" x14ac:dyDescent="0.25">
      <c r="A16" t="str">
        <f t="shared" si="24"/>
        <v>Travée</v>
      </c>
      <c r="B16" t="b">
        <f t="shared" si="25"/>
        <v>1</v>
      </c>
      <c r="C16">
        <f t="shared" si="39"/>
        <v>2</v>
      </c>
      <c r="D16" s="5" t="s">
        <v>50</v>
      </c>
      <c r="E16" t="s">
        <v>53</v>
      </c>
      <c r="F16" s="5">
        <v>25</v>
      </c>
      <c r="G16" t="s">
        <v>46</v>
      </c>
      <c r="H16">
        <v>500</v>
      </c>
      <c r="I16">
        <v>170000</v>
      </c>
      <c r="J16">
        <v>1300</v>
      </c>
      <c r="K16" s="10">
        <v>1445</v>
      </c>
      <c r="L16" s="12">
        <v>1</v>
      </c>
      <c r="M16" s="5">
        <v>0.23499999999999999</v>
      </c>
      <c r="N16" s="10">
        <v>2.2000000000000002</v>
      </c>
      <c r="O16" s="5">
        <v>2.8160000000000001E-4</v>
      </c>
      <c r="P16">
        <v>0.04</v>
      </c>
      <c r="Q16" s="10">
        <v>1</v>
      </c>
      <c r="R16" s="8">
        <v>0</v>
      </c>
      <c r="S16">
        <v>0</v>
      </c>
      <c r="T16">
        <v>1</v>
      </c>
      <c r="U16" s="9">
        <v>0</v>
      </c>
      <c r="V16">
        <v>0</v>
      </c>
      <c r="W16" s="10">
        <v>1</v>
      </c>
      <c r="X16" s="1">
        <v>6.7507199999999994</v>
      </c>
      <c r="Y16" s="2">
        <v>2.0505599999999999</v>
      </c>
      <c r="Z16" s="13">
        <v>0</v>
      </c>
      <c r="AA16" s="2">
        <v>6.7507199999999994</v>
      </c>
      <c r="AB16" s="2">
        <v>2.0505599999999999</v>
      </c>
      <c r="AC16" s="2">
        <v>11.52</v>
      </c>
      <c r="AD16" s="2"/>
      <c r="AE16" s="7">
        <v>8.8012799999999984</v>
      </c>
      <c r="AF16" s="2">
        <v>6.7507199999999994</v>
      </c>
      <c r="AG16" s="2">
        <v>2.0505599999999999</v>
      </c>
      <c r="AH16" s="2">
        <v>1.921817381570665</v>
      </c>
      <c r="AI16" s="2">
        <v>0.58375437742847403</v>
      </c>
      <c r="AJ16" s="2">
        <v>-126.6868281658106</v>
      </c>
      <c r="AK16" s="2">
        <v>-38.481703204378512</v>
      </c>
      <c r="AL16" s="2">
        <v>0</v>
      </c>
      <c r="AM16" s="2">
        <v>0</v>
      </c>
      <c r="AN16" s="2">
        <v>11.52</v>
      </c>
      <c r="AO16" s="2">
        <v>25.257071304347711</v>
      </c>
      <c r="AP16" s="2">
        <v>25.257071304347711</v>
      </c>
      <c r="AQ16" s="2">
        <v>2.3827409259454981</v>
      </c>
      <c r="AR16" s="2">
        <v>-218.67533400292169</v>
      </c>
      <c r="AS16" s="2">
        <v>0</v>
      </c>
      <c r="AT16" s="2">
        <v>0</v>
      </c>
      <c r="AU16" s="1">
        <v>8.8012799999999984</v>
      </c>
      <c r="AV16" s="2">
        <v>1.8313453691753669</v>
      </c>
      <c r="AW16" s="2">
        <v>-167.03433167187279</v>
      </c>
      <c r="AX16" s="2">
        <v>25.257071304347711</v>
      </c>
      <c r="AZ16" s="1">
        <f t="shared" si="40"/>
        <v>6.7507199999999994</v>
      </c>
      <c r="BA16" s="2">
        <f t="shared" si="41"/>
        <v>1.921817381570665</v>
      </c>
      <c r="BB16" s="7">
        <f t="shared" si="42"/>
        <v>-126.6868281658106</v>
      </c>
      <c r="BC16" s="1">
        <f t="shared" si="43"/>
        <v>2.0505599999999999</v>
      </c>
      <c r="BD16" s="2">
        <f t="shared" si="44"/>
        <v>0.58375437742847403</v>
      </c>
      <c r="BE16" s="2">
        <f t="shared" si="19"/>
        <v>-38.481703204378512</v>
      </c>
      <c r="BF16" s="2">
        <f t="shared" si="19"/>
        <v>0</v>
      </c>
      <c r="BG16" s="7">
        <f t="shared" si="19"/>
        <v>0</v>
      </c>
      <c r="BH16" s="1">
        <f t="shared" si="20"/>
        <v>8.8012799999999984</v>
      </c>
      <c r="BI16" s="2">
        <f t="shared" si="21"/>
        <v>2.5055717589991389</v>
      </c>
      <c r="BJ16" s="2">
        <f t="shared" si="22"/>
        <v>165.1685313701891</v>
      </c>
      <c r="BK16" s="2">
        <f t="shared" si="26"/>
        <v>0</v>
      </c>
      <c r="BL16" s="7">
        <f t="shared" si="27"/>
        <v>0</v>
      </c>
      <c r="BM16" s="2"/>
      <c r="BN16" s="1">
        <f t="shared" si="28"/>
        <v>8.8012799999999984</v>
      </c>
      <c r="BO16" s="4" t="str">
        <f t="shared" ref="BO16" si="51">IF(ISNUMBER(SEARCH("Appui",E16)),0,"0")</f>
        <v>0</v>
      </c>
      <c r="BP16" s="2">
        <f t="shared" si="23"/>
        <v>8.8012799999999984</v>
      </c>
      <c r="BQ16" s="2">
        <f t="shared" si="30"/>
        <v>25.257071304347711</v>
      </c>
      <c r="BR16" s="3">
        <f t="shared" si="31"/>
        <v>0.34846795552598214</v>
      </c>
      <c r="BS16" s="1">
        <f t="shared" si="32"/>
        <v>11.52</v>
      </c>
      <c r="BT16" s="2">
        <f t="shared" si="33"/>
        <v>25.257071304347711</v>
      </c>
      <c r="BU16" s="21">
        <f t="shared" si="34"/>
        <v>0.45610988943191388</v>
      </c>
      <c r="BV16" s="2">
        <f t="shared" si="35"/>
        <v>88.52</v>
      </c>
      <c r="BW16" s="2">
        <f t="shared" si="36"/>
        <v>153.91684756889393</v>
      </c>
      <c r="BX16" s="21">
        <f t="shared" si="37"/>
        <v>1.7387804741176449</v>
      </c>
      <c r="BY16" s="10" t="str">
        <f t="shared" ref="BY16" si="52">IF(C14&lt;C16,"Rive",IF(C18&gt;C16,"Rive","Inter"))</f>
        <v>Inter</v>
      </c>
    </row>
    <row r="17" spans="1:77" x14ac:dyDescent="0.25">
      <c r="A17" t="str">
        <f t="shared" si="24"/>
        <v>Appui</v>
      </c>
      <c r="B17" t="b">
        <f t="shared" si="25"/>
        <v>1</v>
      </c>
      <c r="C17">
        <f>IF(D17=D15,C15,C15+1)</f>
        <v>2</v>
      </c>
      <c r="D17" s="5" t="s">
        <v>50</v>
      </c>
      <c r="E17" t="s">
        <v>54</v>
      </c>
      <c r="F17" s="5">
        <v>25</v>
      </c>
      <c r="G17" t="s">
        <v>46</v>
      </c>
      <c r="H17">
        <v>500</v>
      </c>
      <c r="I17">
        <v>170000</v>
      </c>
      <c r="J17">
        <v>1300</v>
      </c>
      <c r="K17" s="10">
        <v>1445</v>
      </c>
      <c r="L17" s="12">
        <v>1</v>
      </c>
      <c r="M17" s="5">
        <v>0.22</v>
      </c>
      <c r="N17" s="10">
        <v>2.2000000000000002</v>
      </c>
      <c r="O17" s="5">
        <v>1.3297999999999999E-3</v>
      </c>
      <c r="P17">
        <v>0.04</v>
      </c>
      <c r="Q17" s="10">
        <v>1</v>
      </c>
      <c r="R17" s="8">
        <v>0</v>
      </c>
      <c r="S17">
        <v>0</v>
      </c>
      <c r="T17">
        <v>1</v>
      </c>
      <c r="U17" s="9">
        <v>1.92E-4</v>
      </c>
      <c r="V17">
        <v>0</v>
      </c>
      <c r="W17" s="10">
        <v>1</v>
      </c>
      <c r="X17" s="1">
        <v>70.906000000000006</v>
      </c>
      <c r="Y17" s="2">
        <v>21.538</v>
      </c>
      <c r="Z17" s="13">
        <v>0</v>
      </c>
      <c r="AA17" s="2">
        <v>70.906000000000006</v>
      </c>
      <c r="AB17" s="2">
        <v>21.538</v>
      </c>
      <c r="AC17" s="2">
        <v>121</v>
      </c>
      <c r="AD17" s="2"/>
      <c r="AE17" s="7">
        <v>92.444000000000003</v>
      </c>
      <c r="AF17" s="2">
        <v>70.906000000000006</v>
      </c>
      <c r="AG17" s="2">
        <v>21.538</v>
      </c>
      <c r="AH17" s="2">
        <v>11.40171550776045</v>
      </c>
      <c r="AI17" s="2">
        <v>3.1556551071845438</v>
      </c>
      <c r="AJ17" s="2">
        <v>-316.02519997087808</v>
      </c>
      <c r="AK17" s="2">
        <v>-80.753771262128495</v>
      </c>
      <c r="AL17" s="2">
        <v>0</v>
      </c>
      <c r="AM17" s="2">
        <v>-87.681664608349408</v>
      </c>
      <c r="AN17" s="2">
        <v>121</v>
      </c>
      <c r="AO17" s="2">
        <v>103.37982574480461</v>
      </c>
      <c r="AP17" s="2">
        <v>153.93972678428781</v>
      </c>
      <c r="AQ17" s="2">
        <v>12.66891043328229</v>
      </c>
      <c r="AR17" s="2">
        <v>-435.39568741745398</v>
      </c>
      <c r="AS17" s="2">
        <v>0</v>
      </c>
      <c r="AT17" s="2">
        <v>-665.39543291570078</v>
      </c>
      <c r="AU17" s="1">
        <v>92.444000000000003</v>
      </c>
      <c r="AV17" s="2">
        <v>10.156716366605741</v>
      </c>
      <c r="AW17" s="2">
        <v>-424.52095435609289</v>
      </c>
      <c r="AX17" s="2">
        <v>103.37982574480461</v>
      </c>
      <c r="AZ17" s="1">
        <f t="shared" si="40"/>
        <v>70.906000000000006</v>
      </c>
      <c r="BA17" s="2">
        <f t="shared" si="41"/>
        <v>11.40171550776045</v>
      </c>
      <c r="BB17" s="7">
        <f t="shared" si="42"/>
        <v>-316.02519997087808</v>
      </c>
      <c r="BC17" s="1">
        <f t="shared" si="43"/>
        <v>21.538</v>
      </c>
      <c r="BD17" s="2">
        <f t="shared" si="44"/>
        <v>3.1556551071845438</v>
      </c>
      <c r="BE17" s="2">
        <f t="shared" si="19"/>
        <v>-80.753771262128495</v>
      </c>
      <c r="BF17" s="2">
        <f t="shared" si="19"/>
        <v>0</v>
      </c>
      <c r="BG17" s="7">
        <f t="shared" si="19"/>
        <v>-87.681664608349408</v>
      </c>
      <c r="BH17" s="1">
        <f t="shared" si="20"/>
        <v>92.444000000000003</v>
      </c>
      <c r="BI17" s="2">
        <f t="shared" si="21"/>
        <v>14.557370614944993</v>
      </c>
      <c r="BJ17" s="2">
        <f t="shared" si="22"/>
        <v>396.77897123300659</v>
      </c>
      <c r="BK17" s="2">
        <f t="shared" si="26"/>
        <v>0</v>
      </c>
      <c r="BL17" s="7">
        <f t="shared" si="27"/>
        <v>-87.681664608349408</v>
      </c>
      <c r="BM17" s="2"/>
      <c r="BN17" s="1">
        <f t="shared" si="28"/>
        <v>92.444000000000003</v>
      </c>
      <c r="BO17" s="4">
        <v>0</v>
      </c>
      <c r="BP17" s="2">
        <f t="shared" si="23"/>
        <v>92.444000000000003</v>
      </c>
      <c r="BQ17" s="2">
        <f t="shared" si="30"/>
        <v>103.37982574480461</v>
      </c>
      <c r="BR17" s="3">
        <f t="shared" si="31"/>
        <v>0.89421702284737903</v>
      </c>
      <c r="BS17" s="1">
        <f t="shared" si="32"/>
        <v>121</v>
      </c>
      <c r="BT17" s="2">
        <f t="shared" si="33"/>
        <v>153.93972678428781</v>
      </c>
      <c r="BU17" s="21">
        <f t="shared" si="34"/>
        <v>0.78602192252526537</v>
      </c>
      <c r="BV17" s="2" t="str">
        <f t="shared" si="35"/>
        <v/>
      </c>
      <c r="BW17" s="2" t="str">
        <f t="shared" si="36"/>
        <v/>
      </c>
      <c r="BX17" s="21" t="str">
        <f t="shared" si="37"/>
        <v/>
      </c>
      <c r="BY17" s="15"/>
    </row>
    <row r="18" spans="1:77" x14ac:dyDescent="0.25">
      <c r="A18" t="str">
        <f t="shared" si="24"/>
        <v>Travée</v>
      </c>
      <c r="B18" t="b">
        <f t="shared" si="25"/>
        <v>1</v>
      </c>
      <c r="C18">
        <f t="shared" si="39"/>
        <v>2</v>
      </c>
      <c r="D18" s="5" t="s">
        <v>50</v>
      </c>
      <c r="E18" t="s">
        <v>55</v>
      </c>
      <c r="F18" s="5">
        <v>25</v>
      </c>
      <c r="G18" t="s">
        <v>46</v>
      </c>
      <c r="H18">
        <v>500</v>
      </c>
      <c r="I18">
        <v>170000</v>
      </c>
      <c r="J18">
        <v>1300</v>
      </c>
      <c r="K18" s="10">
        <v>1445</v>
      </c>
      <c r="L18" s="12">
        <v>1</v>
      </c>
      <c r="M18" s="5">
        <v>0.23499999999999999</v>
      </c>
      <c r="N18" s="10">
        <v>2.2000000000000002</v>
      </c>
      <c r="O18" s="5">
        <v>5.6539999999999997E-4</v>
      </c>
      <c r="P18">
        <v>0.04</v>
      </c>
      <c r="Q18" s="10">
        <v>1</v>
      </c>
      <c r="R18" s="8">
        <v>0</v>
      </c>
      <c r="S18">
        <v>0</v>
      </c>
      <c r="T18">
        <v>1</v>
      </c>
      <c r="U18" s="9">
        <v>1.92E-4</v>
      </c>
      <c r="V18">
        <v>0</v>
      </c>
      <c r="W18" s="10">
        <v>1</v>
      </c>
      <c r="X18" s="1">
        <v>42.754560000000012</v>
      </c>
      <c r="Y18" s="2">
        <v>12.986879999999999</v>
      </c>
      <c r="Z18" s="13">
        <v>0</v>
      </c>
      <c r="AA18" s="2">
        <v>42.754560000000012</v>
      </c>
      <c r="AB18" s="2">
        <v>12.986879999999999</v>
      </c>
      <c r="AC18" s="2">
        <v>72.960000000000008</v>
      </c>
      <c r="AD18" s="2"/>
      <c r="AE18" s="7">
        <v>55.741439999999997</v>
      </c>
      <c r="AF18" s="2">
        <v>42.754560000000012</v>
      </c>
      <c r="AG18" s="2">
        <v>12.986879999999999</v>
      </c>
      <c r="AH18" s="2">
        <v>8.8021210275878392</v>
      </c>
      <c r="AI18" s="2">
        <v>2.2132971243282289</v>
      </c>
      <c r="AJ18" s="2">
        <v>-404.44427310013469</v>
      </c>
      <c r="AK18" s="2">
        <v>-86.151975466846579</v>
      </c>
      <c r="AL18" s="2">
        <v>0</v>
      </c>
      <c r="AM18" s="2">
        <v>-90.702643474666701</v>
      </c>
      <c r="AN18" s="2">
        <v>72.960000000000008</v>
      </c>
      <c r="AO18" s="2">
        <v>50.295035765929093</v>
      </c>
      <c r="AP18" s="2">
        <v>107.9564542421578</v>
      </c>
      <c r="AQ18" s="2">
        <v>9.1771531092142435</v>
      </c>
      <c r="AR18" s="2">
        <v>-435.43267839491648</v>
      </c>
      <c r="AS18" s="2">
        <v>0</v>
      </c>
      <c r="AT18" s="2">
        <v>-651.48815436818984</v>
      </c>
      <c r="AU18" s="1">
        <v>55.741439999999997</v>
      </c>
      <c r="AV18" s="2">
        <v>0</v>
      </c>
      <c r="AW18" s="2">
        <v>0</v>
      </c>
      <c r="AX18" s="2">
        <v>50.295035765929093</v>
      </c>
      <c r="AZ18" s="1">
        <f t="shared" si="40"/>
        <v>42.754560000000012</v>
      </c>
      <c r="BA18" s="2">
        <f t="shared" si="41"/>
        <v>8.8021210275878392</v>
      </c>
      <c r="BB18" s="7">
        <f t="shared" si="42"/>
        <v>-404.44427310013469</v>
      </c>
      <c r="BC18" s="1">
        <f t="shared" si="43"/>
        <v>12.986879999999999</v>
      </c>
      <c r="BD18" s="2">
        <f t="shared" si="44"/>
        <v>2.2132971243282289</v>
      </c>
      <c r="BE18" s="2">
        <f t="shared" si="19"/>
        <v>-86.151975466846579</v>
      </c>
      <c r="BF18" s="2">
        <f t="shared" si="19"/>
        <v>0</v>
      </c>
      <c r="BG18" s="7">
        <f t="shared" si="19"/>
        <v>-90.702643474666701</v>
      </c>
      <c r="BH18" s="1">
        <f t="shared" si="20"/>
        <v>55.741440000000011</v>
      </c>
      <c r="BI18" s="2">
        <f t="shared" si="21"/>
        <v>11.015418151916068</v>
      </c>
      <c r="BJ18" s="2">
        <f t="shared" si="22"/>
        <v>490.59624856698127</v>
      </c>
      <c r="BK18" s="2">
        <f t="shared" si="26"/>
        <v>0</v>
      </c>
      <c r="BL18" s="7">
        <f t="shared" si="27"/>
        <v>-90.702643474666701</v>
      </c>
      <c r="BM18" s="2"/>
      <c r="BN18" s="1">
        <f t="shared" si="28"/>
        <v>55.741439999999997</v>
      </c>
      <c r="BO18" s="4" t="str">
        <f t="shared" ref="BO18" si="53">IF(ISNUMBER(SEARCH("Appui",E18)),0,"0")</f>
        <v>0</v>
      </c>
      <c r="BP18" s="2">
        <f t="shared" si="23"/>
        <v>55.741439999999997</v>
      </c>
      <c r="BQ18" s="2">
        <f t="shared" si="30"/>
        <v>50.295035765929093</v>
      </c>
      <c r="BR18" s="3">
        <f t="shared" si="31"/>
        <v>1.1082891015212362</v>
      </c>
      <c r="BS18" s="1">
        <f t="shared" si="32"/>
        <v>72.960000000000008</v>
      </c>
      <c r="BT18" s="2">
        <f t="shared" si="33"/>
        <v>107.9564542421578</v>
      </c>
      <c r="BU18" s="21">
        <f t="shared" si="34"/>
        <v>0.67582805041320615</v>
      </c>
      <c r="BV18" s="2">
        <f t="shared" si="35"/>
        <v>213.21</v>
      </c>
      <c r="BW18" s="2">
        <f t="shared" si="36"/>
        <v>284.4805800325571</v>
      </c>
      <c r="BX18" s="21">
        <f t="shared" si="37"/>
        <v>1.3342740961144275</v>
      </c>
      <c r="BY18" s="10" t="str">
        <f t="shared" ref="BY18" si="54">IF(C16&lt;C18,"Rive",IF(C20&gt;C18,"Rive","Inter"))</f>
        <v>Inter</v>
      </c>
    </row>
    <row r="19" spans="1:77" x14ac:dyDescent="0.25">
      <c r="A19" t="str">
        <f t="shared" si="24"/>
        <v>Appui</v>
      </c>
      <c r="B19" t="b">
        <f t="shared" si="25"/>
        <v>1</v>
      </c>
      <c r="C19">
        <f t="shared" si="39"/>
        <v>2</v>
      </c>
      <c r="D19" s="5" t="s">
        <v>50</v>
      </c>
      <c r="E19" t="s">
        <v>56</v>
      </c>
      <c r="F19" s="5">
        <v>25</v>
      </c>
      <c r="G19" t="s">
        <v>46</v>
      </c>
      <c r="H19">
        <v>500</v>
      </c>
      <c r="I19">
        <v>170000</v>
      </c>
      <c r="J19">
        <v>1300</v>
      </c>
      <c r="K19" s="10">
        <v>1445</v>
      </c>
      <c r="L19" s="12">
        <v>1</v>
      </c>
      <c r="M19" s="5">
        <v>0.25</v>
      </c>
      <c r="N19" s="10">
        <v>2.2000000000000002</v>
      </c>
      <c r="O19" s="5">
        <v>1.89E-3</v>
      </c>
      <c r="P19">
        <v>6.9999999999999993E-2</v>
      </c>
      <c r="Q19" s="10">
        <v>1</v>
      </c>
      <c r="R19" s="8">
        <v>0</v>
      </c>
      <c r="S19">
        <v>0</v>
      </c>
      <c r="T19">
        <v>1</v>
      </c>
      <c r="U19" s="9">
        <v>1.92E-4</v>
      </c>
      <c r="V19">
        <v>0</v>
      </c>
      <c r="W19" s="10">
        <v>1</v>
      </c>
      <c r="X19" s="1">
        <v>93.466999999999999</v>
      </c>
      <c r="Y19" s="2">
        <v>28.390999999999998</v>
      </c>
      <c r="Z19" s="13">
        <v>0</v>
      </c>
      <c r="AA19" s="2">
        <v>93.466999999999999</v>
      </c>
      <c r="AB19" s="2">
        <v>28.390999999999998</v>
      </c>
      <c r="AC19" s="2">
        <v>159.5</v>
      </c>
      <c r="AD19" s="2"/>
      <c r="AE19" s="7">
        <v>121.858</v>
      </c>
      <c r="AF19" s="2">
        <v>93.466999999999999</v>
      </c>
      <c r="AG19" s="2">
        <v>28.390999999999998</v>
      </c>
      <c r="AH19" s="2">
        <v>12.993707979616129</v>
      </c>
      <c r="AI19" s="2">
        <v>3.585038060347737</v>
      </c>
      <c r="AJ19" s="2">
        <v>-296.427793029741</v>
      </c>
      <c r="AK19" s="2">
        <v>-76.319279910673188</v>
      </c>
      <c r="AL19" s="2">
        <v>0</v>
      </c>
      <c r="AM19" s="2">
        <v>-97.629087268150954</v>
      </c>
      <c r="AN19" s="2">
        <v>159.5</v>
      </c>
      <c r="AO19" s="2">
        <v>141.95252023933841</v>
      </c>
      <c r="AP19" s="2">
        <v>199.10852479651081</v>
      </c>
      <c r="AQ19" s="2">
        <v>13.34693922504519</v>
      </c>
      <c r="AR19" s="2">
        <v>-434.93506243913089</v>
      </c>
      <c r="AS19" s="2">
        <v>0</v>
      </c>
      <c r="AT19" s="2">
        <v>-635.99100634614388</v>
      </c>
      <c r="AU19" s="1">
        <v>121.858</v>
      </c>
      <c r="AV19" s="2">
        <v>11.45054088172761</v>
      </c>
      <c r="AW19" s="2">
        <v>-400.91782731996852</v>
      </c>
      <c r="AX19" s="2">
        <v>141.95252023933841</v>
      </c>
      <c r="AZ19" s="1">
        <f t="shared" si="40"/>
        <v>93.466999999999999</v>
      </c>
      <c r="BA19" s="2">
        <f t="shared" si="41"/>
        <v>12.993707979616129</v>
      </c>
      <c r="BB19" s="7">
        <f t="shared" si="42"/>
        <v>-296.427793029741</v>
      </c>
      <c r="BC19" s="1">
        <f t="shared" si="43"/>
        <v>28.390999999999998</v>
      </c>
      <c r="BD19" s="2">
        <f t="shared" si="44"/>
        <v>3.585038060347737</v>
      </c>
      <c r="BE19" s="2">
        <f t="shared" si="19"/>
        <v>-76.319279910673188</v>
      </c>
      <c r="BF19" s="2">
        <f t="shared" si="19"/>
        <v>0</v>
      </c>
      <c r="BG19" s="7">
        <f t="shared" si="19"/>
        <v>-97.629087268150954</v>
      </c>
      <c r="BH19" s="1">
        <f t="shared" si="20"/>
        <v>121.858</v>
      </c>
      <c r="BI19" s="2">
        <f t="shared" si="21"/>
        <v>16.578746039963868</v>
      </c>
      <c r="BJ19" s="2">
        <f t="shared" si="22"/>
        <v>372.74707294041417</v>
      </c>
      <c r="BK19" s="2">
        <f t="shared" si="26"/>
        <v>0</v>
      </c>
      <c r="BL19" s="7">
        <f t="shared" si="27"/>
        <v>-97.629087268150954</v>
      </c>
      <c r="BM19" s="2"/>
      <c r="BN19" s="1">
        <f t="shared" si="28"/>
        <v>121.858</v>
      </c>
      <c r="BO19" s="4">
        <v>0</v>
      </c>
      <c r="BP19" s="2">
        <f t="shared" si="23"/>
        <v>121.858</v>
      </c>
      <c r="BQ19" s="2">
        <f t="shared" si="30"/>
        <v>141.95252023933841</v>
      </c>
      <c r="BR19" s="3">
        <f t="shared" si="31"/>
        <v>0.85844196210494794</v>
      </c>
      <c r="BS19" s="1">
        <f t="shared" si="32"/>
        <v>159.5</v>
      </c>
      <c r="BT19" s="2">
        <f t="shared" si="33"/>
        <v>199.10852479651081</v>
      </c>
      <c r="BU19" s="21">
        <f t="shared" si="34"/>
        <v>0.80107067320703229</v>
      </c>
      <c r="BV19" s="2" t="str">
        <f t="shared" si="35"/>
        <v/>
      </c>
      <c r="BW19" s="2" t="str">
        <f t="shared" si="36"/>
        <v/>
      </c>
      <c r="BX19" s="21" t="str">
        <f t="shared" si="37"/>
        <v/>
      </c>
      <c r="BY19" s="15"/>
    </row>
    <row r="20" spans="1:77" x14ac:dyDescent="0.25">
      <c r="A20" t="str">
        <f t="shared" si="24"/>
        <v>Travée</v>
      </c>
      <c r="B20" t="b">
        <f t="shared" si="25"/>
        <v>1</v>
      </c>
      <c r="C20">
        <f t="shared" si="39"/>
        <v>2</v>
      </c>
      <c r="D20" s="5" t="s">
        <v>50</v>
      </c>
      <c r="E20" t="s">
        <v>57</v>
      </c>
      <c r="F20" s="5">
        <v>25</v>
      </c>
      <c r="G20" t="s">
        <v>46</v>
      </c>
      <c r="H20">
        <v>500</v>
      </c>
      <c r="I20">
        <v>170000</v>
      </c>
      <c r="J20">
        <v>1300</v>
      </c>
      <c r="K20" s="10">
        <v>1445</v>
      </c>
      <c r="L20" s="12">
        <v>1</v>
      </c>
      <c r="M20" s="5">
        <v>0.26</v>
      </c>
      <c r="N20" s="10">
        <v>2.2000000000000002</v>
      </c>
      <c r="O20" s="5">
        <v>5.6539999999999997E-4</v>
      </c>
      <c r="P20">
        <v>0.04</v>
      </c>
      <c r="Q20" s="10">
        <v>1</v>
      </c>
      <c r="R20" s="8">
        <v>0</v>
      </c>
      <c r="S20">
        <v>0</v>
      </c>
      <c r="T20">
        <v>1</v>
      </c>
      <c r="U20" s="9">
        <v>9.6000000000000002E-5</v>
      </c>
      <c r="V20">
        <v>0</v>
      </c>
      <c r="W20" s="10">
        <v>1</v>
      </c>
      <c r="X20" s="1">
        <v>33.753599999999999</v>
      </c>
      <c r="Y20" s="2">
        <v>10.252800000000001</v>
      </c>
      <c r="Z20" s="13">
        <v>0</v>
      </c>
      <c r="AA20" s="2">
        <v>33.753599999999999</v>
      </c>
      <c r="AB20" s="2">
        <v>10.252800000000001</v>
      </c>
      <c r="AC20" s="2">
        <v>57.6</v>
      </c>
      <c r="AD20" s="2"/>
      <c r="AE20" s="7">
        <v>44.006399999999999</v>
      </c>
      <c r="AF20" s="2">
        <v>33.753599999999999</v>
      </c>
      <c r="AG20" s="2">
        <v>10.252800000000001</v>
      </c>
      <c r="AH20" s="2">
        <v>5.7544092827368649</v>
      </c>
      <c r="AI20" s="2">
        <v>1.5868089290263381</v>
      </c>
      <c r="AJ20" s="2">
        <v>-282.35651442694041</v>
      </c>
      <c r="AK20" s="2">
        <v>-71.222681702468762</v>
      </c>
      <c r="AL20" s="2">
        <v>0</v>
      </c>
      <c r="AM20" s="2">
        <v>-73.104659931231708</v>
      </c>
      <c r="AN20" s="2">
        <v>57.6</v>
      </c>
      <c r="AO20" s="2">
        <v>56.863742648834233</v>
      </c>
      <c r="AP20" s="2">
        <v>87.007089877328099</v>
      </c>
      <c r="AQ20" s="2">
        <v>6.2805693303216508</v>
      </c>
      <c r="AR20" s="2">
        <v>-406.43183499035291</v>
      </c>
      <c r="AS20" s="2">
        <v>0</v>
      </c>
      <c r="AT20" s="2">
        <v>-421.29763369712867</v>
      </c>
      <c r="AU20" s="1">
        <v>44.006399999999999</v>
      </c>
      <c r="AV20" s="2">
        <v>5.3467018990169519</v>
      </c>
      <c r="AW20" s="2">
        <v>-374.02745563599109</v>
      </c>
      <c r="AX20" s="2">
        <v>56.863742648834233</v>
      </c>
      <c r="AZ20" s="1">
        <f t="shared" si="40"/>
        <v>33.753599999999999</v>
      </c>
      <c r="BA20" s="2">
        <f t="shared" si="41"/>
        <v>5.7544092827368649</v>
      </c>
      <c r="BB20" s="7">
        <f t="shared" si="42"/>
        <v>-282.35651442694041</v>
      </c>
      <c r="BC20" s="1">
        <f t="shared" si="43"/>
        <v>10.252800000000001</v>
      </c>
      <c r="BD20" s="2">
        <f t="shared" si="44"/>
        <v>1.5868089290263381</v>
      </c>
      <c r="BE20" s="2">
        <f t="shared" si="19"/>
        <v>-71.222681702468762</v>
      </c>
      <c r="BF20" s="2">
        <f t="shared" si="19"/>
        <v>0</v>
      </c>
      <c r="BG20" s="7">
        <f t="shared" si="19"/>
        <v>-73.104659931231708</v>
      </c>
      <c r="BH20" s="1">
        <f t="shared" si="20"/>
        <v>44.006399999999999</v>
      </c>
      <c r="BI20" s="2">
        <f t="shared" si="21"/>
        <v>7.341218211763203</v>
      </c>
      <c r="BJ20" s="2">
        <f t="shared" si="22"/>
        <v>353.57919612940918</v>
      </c>
      <c r="BK20" s="2">
        <f t="shared" si="26"/>
        <v>0</v>
      </c>
      <c r="BL20" s="7">
        <f t="shared" si="27"/>
        <v>-73.104659931231708</v>
      </c>
      <c r="BM20" s="2"/>
      <c r="BN20" s="1">
        <f t="shared" si="28"/>
        <v>44.006399999999999</v>
      </c>
      <c r="BO20" s="4" t="str">
        <f t="shared" ref="BO20" si="55">IF(ISNUMBER(SEARCH("Appui",E20)),0,"0")</f>
        <v>0</v>
      </c>
      <c r="BP20" s="2">
        <f t="shared" si="23"/>
        <v>44.006399999999999</v>
      </c>
      <c r="BQ20" s="2">
        <f t="shared" si="30"/>
        <v>56.863742648834233</v>
      </c>
      <c r="BR20" s="3">
        <f t="shared" si="31"/>
        <v>0.77389207867945664</v>
      </c>
      <c r="BS20" s="1">
        <f t="shared" si="32"/>
        <v>57.6</v>
      </c>
      <c r="BT20" s="2">
        <f t="shared" si="33"/>
        <v>87.007089877328099</v>
      </c>
      <c r="BU20" s="21">
        <f t="shared" si="34"/>
        <v>0.66201501603157442</v>
      </c>
      <c r="BV20" s="2">
        <f t="shared" si="35"/>
        <v>137.35</v>
      </c>
      <c r="BW20" s="2">
        <f t="shared" si="36"/>
        <v>186.56135227558349</v>
      </c>
      <c r="BX20" s="21">
        <f t="shared" si="37"/>
        <v>1.358291607394128</v>
      </c>
      <c r="BY20" s="10" t="str">
        <f t="shared" ref="BY20" si="56">IF(C18&lt;C20,"Rive",IF(C22&gt;C20,"Rive","Inter"))</f>
        <v>Rive</v>
      </c>
    </row>
    <row r="21" spans="1:77" x14ac:dyDescent="0.25">
      <c r="A21" t="str">
        <f t="shared" ref="A21" si="57">IF(ISNUMBER(SEARCH("Appui",E21)),"Appui",IF(ISNUMBER(SEARCH("Travée",E21)),"Travée",""))</f>
        <v/>
      </c>
      <c r="B21" t="b">
        <f t="shared" ref="B21" si="58">MOD(C21,2)=0</f>
        <v>1</v>
      </c>
      <c r="C21">
        <f t="shared" ref="C21" si="59">IF(D21=D20,C20,C20+1)</f>
        <v>2</v>
      </c>
      <c r="D21" s="5" t="s">
        <v>50</v>
      </c>
      <c r="F21" s="5"/>
      <c r="K21" s="10"/>
      <c r="L21" s="12"/>
      <c r="M21" s="5"/>
      <c r="N21" s="10"/>
      <c r="O21" s="5"/>
      <c r="Q21" s="10"/>
      <c r="R21" s="8"/>
      <c r="U21" s="9"/>
      <c r="W21" s="10"/>
      <c r="X21" s="1"/>
      <c r="Y21" s="2"/>
      <c r="Z21" s="13"/>
      <c r="AA21" s="2"/>
      <c r="AB21" s="2"/>
      <c r="AC21" s="2"/>
      <c r="AD21" s="2"/>
      <c r="AE21" s="7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"/>
      <c r="AV21" s="2"/>
      <c r="AW21" s="2"/>
      <c r="AX21" s="2"/>
      <c r="AZ21" s="1"/>
      <c r="BA21" s="2"/>
      <c r="BB21" s="7"/>
      <c r="BC21" s="1"/>
      <c r="BD21" s="2"/>
      <c r="BE21" s="2"/>
      <c r="BF21" s="2"/>
      <c r="BG21" s="7"/>
      <c r="BH21" s="1"/>
      <c r="BI21" s="2"/>
      <c r="BJ21" s="2"/>
      <c r="BK21" s="2"/>
      <c r="BL21" s="7"/>
      <c r="BM21" s="2"/>
      <c r="BN21" s="1"/>
      <c r="BO21" s="4"/>
      <c r="BP21" s="2">
        <f t="shared" si="23"/>
        <v>0</v>
      </c>
      <c r="BQ21" s="2"/>
      <c r="BR21" s="3"/>
      <c r="BS21" s="1"/>
      <c r="BT21" s="2"/>
      <c r="BU21" s="21"/>
      <c r="BV21" s="2"/>
      <c r="BW21" s="2"/>
      <c r="BX21" s="21"/>
      <c r="BY21" s="15"/>
    </row>
    <row r="22" spans="1:77" x14ac:dyDescent="0.25">
      <c r="A22" t="str">
        <f t="shared" si="24"/>
        <v>Travée</v>
      </c>
      <c r="B22" t="b">
        <f t="shared" si="25"/>
        <v>0</v>
      </c>
      <c r="C22">
        <f>IF(D22=D20,C20,C20+1)</f>
        <v>3</v>
      </c>
      <c r="D22" s="5" t="s">
        <v>58</v>
      </c>
      <c r="E22" t="s">
        <v>45</v>
      </c>
      <c r="F22" s="5">
        <v>25</v>
      </c>
      <c r="G22" t="s">
        <v>46</v>
      </c>
      <c r="H22">
        <v>500</v>
      </c>
      <c r="I22">
        <v>170000</v>
      </c>
      <c r="J22">
        <v>1300</v>
      </c>
      <c r="K22" s="10">
        <v>1445</v>
      </c>
      <c r="L22" s="12">
        <v>1</v>
      </c>
      <c r="M22" s="5">
        <v>0.26</v>
      </c>
      <c r="N22" s="10">
        <v>2.2000000000000002</v>
      </c>
      <c r="O22" s="5">
        <v>5.6539999999999997E-4</v>
      </c>
      <c r="P22">
        <v>0.04</v>
      </c>
      <c r="Q22" s="10">
        <v>1</v>
      </c>
      <c r="R22" s="8">
        <v>0</v>
      </c>
      <c r="S22">
        <v>0</v>
      </c>
      <c r="T22">
        <v>1</v>
      </c>
      <c r="U22" s="9">
        <v>9.6000000000000002E-5</v>
      </c>
      <c r="V22">
        <v>0</v>
      </c>
      <c r="W22" s="10">
        <v>1</v>
      </c>
      <c r="X22" s="1">
        <v>27.752960000000002</v>
      </c>
      <c r="Y22" s="2">
        <v>8.4300800000000002</v>
      </c>
      <c r="Z22" s="13">
        <v>0.5</v>
      </c>
      <c r="AA22" s="2">
        <v>13.876480000000001</v>
      </c>
      <c r="AB22" s="2">
        <v>22.306560000000001</v>
      </c>
      <c r="AC22" s="2">
        <v>47.36</v>
      </c>
      <c r="AD22" s="2"/>
      <c r="AE22" s="7">
        <v>36.183039999999998</v>
      </c>
      <c r="AF22" s="2">
        <v>13.876480000000001</v>
      </c>
      <c r="AG22" s="2">
        <v>22.306560000000001</v>
      </c>
      <c r="AH22" s="2">
        <v>2.3657015940140478</v>
      </c>
      <c r="AI22" s="2">
        <v>3.4523370401050641</v>
      </c>
      <c r="AJ22" s="2">
        <v>-116.0799003755199</v>
      </c>
      <c r="AK22" s="2">
        <v>-154.9560944488976</v>
      </c>
      <c r="AL22" s="2">
        <v>0</v>
      </c>
      <c r="AM22" s="2">
        <v>-159.05061876724741</v>
      </c>
      <c r="AN22" s="2">
        <v>47.36</v>
      </c>
      <c r="AO22" s="2">
        <v>56.863742648834233</v>
      </c>
      <c r="AP22" s="2">
        <v>87.007089877328099</v>
      </c>
      <c r="AQ22" s="2">
        <v>5.2353053349927334</v>
      </c>
      <c r="AR22" s="2">
        <v>-333.96979735172539</v>
      </c>
      <c r="AS22" s="2">
        <v>0</v>
      </c>
      <c r="AT22" s="2">
        <v>-346.10945802676667</v>
      </c>
      <c r="AU22" s="1">
        <v>36.183039999999998</v>
      </c>
      <c r="AV22" s="2">
        <v>4.4446483683106628</v>
      </c>
      <c r="AW22" s="2">
        <v>-307.39333315896931</v>
      </c>
      <c r="AX22" s="2">
        <v>56.863742648834233</v>
      </c>
      <c r="AZ22" s="1">
        <f t="shared" ref="AZ22:AZ32" si="60">AF22</f>
        <v>13.876480000000001</v>
      </c>
      <c r="BA22" s="2">
        <f t="shared" ref="BA22:BA32" si="61">AH22</f>
        <v>2.3657015940140478</v>
      </c>
      <c r="BB22" s="7">
        <f t="shared" ref="BB22:BB32" si="62">AJ22</f>
        <v>-116.0799003755199</v>
      </c>
      <c r="BC22" s="1">
        <f t="shared" ref="BC22:BC32" si="63">AG22</f>
        <v>22.306560000000001</v>
      </c>
      <c r="BD22" s="2">
        <f t="shared" ref="BD22:BD32" si="64">AI22</f>
        <v>3.4523370401050641</v>
      </c>
      <c r="BE22" s="2">
        <f t="shared" ref="BE22:BE32" si="65">AK22</f>
        <v>-154.9560944488976</v>
      </c>
      <c r="BF22" s="2">
        <f t="shared" ref="BF22:BF32" si="66">AL22</f>
        <v>0</v>
      </c>
      <c r="BG22" s="7">
        <f t="shared" ref="BG22:BG32" si="67">AM22</f>
        <v>-159.05061876724741</v>
      </c>
      <c r="BH22" s="1">
        <f t="shared" ref="BH22:BH32" si="68">AZ22+BC22</f>
        <v>36.183040000000005</v>
      </c>
      <c r="BI22" s="2">
        <f t="shared" ref="BI22:BI32" si="69">BA22+BD22</f>
        <v>5.8180386341191124</v>
      </c>
      <c r="BJ22" s="2">
        <f t="shared" ref="BJ22:BJ32" si="70">ABS(BB22+BE22)</f>
        <v>271.03599482441751</v>
      </c>
      <c r="BK22" s="2">
        <f t="shared" ref="BK22:BK32" si="71">ABS(BF22)</f>
        <v>0</v>
      </c>
      <c r="BL22" s="7">
        <f t="shared" ref="BL22:BL32" si="72">BG22</f>
        <v>-159.05061876724741</v>
      </c>
      <c r="BM22" s="2"/>
      <c r="BN22" s="1">
        <f t="shared" si="28"/>
        <v>36.183039999999998</v>
      </c>
      <c r="BO22" s="4" t="str">
        <f t="shared" ref="BO22" si="73">IF(ISNUMBER(SEARCH("Appui",E22)),0,"0")</f>
        <v>0</v>
      </c>
      <c r="BP22" s="2">
        <f t="shared" si="23"/>
        <v>36.183039999999998</v>
      </c>
      <c r="BQ22" s="2">
        <f t="shared" si="30"/>
        <v>56.863742648834233</v>
      </c>
      <c r="BR22" s="3">
        <f t="shared" si="31"/>
        <v>0.63631126469199772</v>
      </c>
      <c r="BS22" s="1">
        <f t="shared" si="32"/>
        <v>47.36</v>
      </c>
      <c r="BT22" s="2">
        <f t="shared" si="33"/>
        <v>87.007089877328099</v>
      </c>
      <c r="BU22" s="21">
        <f t="shared" si="34"/>
        <v>0.54432345762596124</v>
      </c>
      <c r="BV22" s="2">
        <f t="shared" si="35"/>
        <v>129.86000000000001</v>
      </c>
      <c r="BW22" s="2">
        <f t="shared" si="36"/>
        <v>144.59739211222291</v>
      </c>
      <c r="BX22" s="21">
        <f t="shared" si="37"/>
        <v>1.1134867712322725</v>
      </c>
      <c r="BY22" s="10" t="str">
        <f t="shared" ref="BY22" si="74">IF(C20&lt;C22,"Rive",IF(C24&gt;C22,"Rive","Inter"))</f>
        <v>Rive</v>
      </c>
    </row>
    <row r="23" spans="1:77" x14ac:dyDescent="0.25">
      <c r="A23" t="str">
        <f t="shared" si="24"/>
        <v>Appui</v>
      </c>
      <c r="B23" t="b">
        <f t="shared" si="25"/>
        <v>0</v>
      </c>
      <c r="C23">
        <f t="shared" si="39"/>
        <v>3</v>
      </c>
      <c r="D23" s="5" t="s">
        <v>58</v>
      </c>
      <c r="E23" t="s">
        <v>47</v>
      </c>
      <c r="F23" s="5">
        <v>25</v>
      </c>
      <c r="G23" t="s">
        <v>46</v>
      </c>
      <c r="H23">
        <v>500</v>
      </c>
      <c r="I23">
        <v>170000</v>
      </c>
      <c r="J23">
        <v>1300</v>
      </c>
      <c r="K23" s="10">
        <v>1445</v>
      </c>
      <c r="L23" s="12">
        <v>1</v>
      </c>
      <c r="M23" s="5">
        <v>0.25</v>
      </c>
      <c r="N23" s="10">
        <v>2.2000000000000002</v>
      </c>
      <c r="O23" s="5">
        <v>1.1286E-3</v>
      </c>
      <c r="P23">
        <v>6.9999999999999993E-2</v>
      </c>
      <c r="Q23" s="10">
        <v>1</v>
      </c>
      <c r="R23" s="8">
        <v>3.0789462068965518E-4</v>
      </c>
      <c r="S23">
        <v>0.04</v>
      </c>
      <c r="T23">
        <v>1</v>
      </c>
      <c r="U23" s="9">
        <v>0</v>
      </c>
      <c r="V23">
        <v>0</v>
      </c>
      <c r="W23" s="10">
        <v>1</v>
      </c>
      <c r="X23" s="1">
        <v>96.69</v>
      </c>
      <c r="Y23" s="2">
        <v>29.37</v>
      </c>
      <c r="Z23" s="13">
        <v>0.5</v>
      </c>
      <c r="AA23" s="2">
        <v>48.344999999999999</v>
      </c>
      <c r="AB23" s="2">
        <v>77.715000000000003</v>
      </c>
      <c r="AC23" s="2">
        <v>165</v>
      </c>
      <c r="AD23" s="2"/>
      <c r="AE23" s="7">
        <v>126.06</v>
      </c>
      <c r="AF23" s="2">
        <v>48.344999999999999</v>
      </c>
      <c r="AG23" s="2">
        <v>77.715000000000003</v>
      </c>
      <c r="AH23" s="2">
        <v>8.3296834260495327</v>
      </c>
      <c r="AI23" s="2">
        <v>11.37117563626099</v>
      </c>
      <c r="AJ23" s="2">
        <v>-252.707712912071</v>
      </c>
      <c r="AK23" s="2">
        <v>-295.10748234491302</v>
      </c>
      <c r="AL23" s="2">
        <v>-356.33430195102829</v>
      </c>
      <c r="AM23" s="2">
        <v>0</v>
      </c>
      <c r="AN23" s="2">
        <v>165</v>
      </c>
      <c r="AO23" s="2">
        <v>89.006595086179289</v>
      </c>
      <c r="AP23" s="2">
        <v>115.1806044697896</v>
      </c>
      <c r="AQ23" s="2">
        <v>0</v>
      </c>
      <c r="AR23" s="2">
        <v>0</v>
      </c>
      <c r="AS23" s="2">
        <v>0</v>
      </c>
      <c r="AT23" s="2">
        <v>0</v>
      </c>
      <c r="AU23" s="1">
        <v>126.06</v>
      </c>
      <c r="AV23" s="2">
        <v>0</v>
      </c>
      <c r="AW23" s="2">
        <v>0</v>
      </c>
      <c r="AX23" s="2">
        <v>115.1806044697896</v>
      </c>
      <c r="AZ23" s="1">
        <f t="shared" si="60"/>
        <v>48.344999999999999</v>
      </c>
      <c r="BA23" s="2">
        <f t="shared" si="61"/>
        <v>8.3296834260495327</v>
      </c>
      <c r="BB23" s="7">
        <f t="shared" si="62"/>
        <v>-252.707712912071</v>
      </c>
      <c r="BC23" s="1">
        <f t="shared" si="63"/>
        <v>77.715000000000003</v>
      </c>
      <c r="BD23" s="2">
        <f t="shared" si="64"/>
        <v>11.37117563626099</v>
      </c>
      <c r="BE23" s="2">
        <f t="shared" si="65"/>
        <v>-295.10748234491302</v>
      </c>
      <c r="BF23" s="2">
        <f t="shared" si="66"/>
        <v>-356.33430195102829</v>
      </c>
      <c r="BG23" s="7">
        <f t="shared" si="67"/>
        <v>0</v>
      </c>
      <c r="BH23" s="1">
        <f t="shared" si="68"/>
        <v>126.06</v>
      </c>
      <c r="BI23" s="2">
        <f t="shared" si="69"/>
        <v>19.700859062310521</v>
      </c>
      <c r="BJ23" s="2">
        <f t="shared" si="70"/>
        <v>547.815195256984</v>
      </c>
      <c r="BK23" s="2">
        <f t="shared" si="71"/>
        <v>356.33430195102829</v>
      </c>
      <c r="BL23" s="7">
        <f t="shared" si="72"/>
        <v>0</v>
      </c>
      <c r="BM23" s="2"/>
      <c r="BN23" s="1">
        <f t="shared" si="28"/>
        <v>126.06</v>
      </c>
      <c r="BO23" s="4">
        <v>0</v>
      </c>
      <c r="BP23" s="2">
        <f t="shared" si="23"/>
        <v>126.06</v>
      </c>
      <c r="BQ23" s="2">
        <f t="shared" si="30"/>
        <v>115.1806044697896</v>
      </c>
      <c r="BR23" s="3">
        <f t="shared" si="31"/>
        <v>1.094455100147212</v>
      </c>
      <c r="BS23" s="1">
        <f t="shared" si="32"/>
        <v>165</v>
      </c>
      <c r="BT23" s="2">
        <f t="shared" si="33"/>
        <v>115.1806044697896</v>
      </c>
      <c r="BU23" s="21">
        <f t="shared" si="34"/>
        <v>1.4325328535958273</v>
      </c>
      <c r="BV23" s="2" t="str">
        <f t="shared" si="35"/>
        <v/>
      </c>
      <c r="BW23" s="2" t="str">
        <f t="shared" si="36"/>
        <v/>
      </c>
      <c r="BX23" s="21" t="str">
        <f t="shared" si="37"/>
        <v/>
      </c>
      <c r="BY23" s="15"/>
    </row>
    <row r="24" spans="1:77" x14ac:dyDescent="0.25">
      <c r="A24" t="str">
        <f t="shared" si="24"/>
        <v>Travée</v>
      </c>
      <c r="B24" t="b">
        <f t="shared" si="25"/>
        <v>0</v>
      </c>
      <c r="C24">
        <f t="shared" si="39"/>
        <v>3</v>
      </c>
      <c r="D24" s="5" t="s">
        <v>58</v>
      </c>
      <c r="E24" t="s">
        <v>48</v>
      </c>
      <c r="F24" s="5">
        <v>25</v>
      </c>
      <c r="G24" t="s">
        <v>46</v>
      </c>
      <c r="H24">
        <v>500</v>
      </c>
      <c r="I24">
        <v>170000</v>
      </c>
      <c r="J24">
        <v>1300</v>
      </c>
      <c r="K24" s="10">
        <v>1445</v>
      </c>
      <c r="L24" s="12">
        <v>1</v>
      </c>
      <c r="M24" s="5">
        <v>0.23499999999999999</v>
      </c>
      <c r="N24" s="10">
        <v>2.2000000000000002</v>
      </c>
      <c r="O24" s="5">
        <v>1.1286E-3</v>
      </c>
      <c r="P24">
        <v>0.04</v>
      </c>
      <c r="Q24" s="10">
        <v>1</v>
      </c>
      <c r="R24" s="8">
        <v>0</v>
      </c>
      <c r="S24">
        <v>0</v>
      </c>
      <c r="T24">
        <v>1</v>
      </c>
      <c r="U24" s="9">
        <v>1.92E-4</v>
      </c>
      <c r="V24">
        <v>0</v>
      </c>
      <c r="W24" s="10">
        <v>1</v>
      </c>
      <c r="X24" s="1">
        <v>56.256</v>
      </c>
      <c r="Y24" s="2">
        <v>17.088000000000001</v>
      </c>
      <c r="Z24" s="13">
        <v>0.5</v>
      </c>
      <c r="AA24" s="2">
        <v>28.128</v>
      </c>
      <c r="AB24" s="2">
        <v>45.216000000000001</v>
      </c>
      <c r="AC24" s="2">
        <v>96</v>
      </c>
      <c r="AD24" s="2"/>
      <c r="AE24" s="7">
        <v>73.343999999999994</v>
      </c>
      <c r="AF24" s="2">
        <v>28.128</v>
      </c>
      <c r="AG24" s="2">
        <v>45.216000000000001</v>
      </c>
      <c r="AH24" s="2">
        <v>4.2801201197488394</v>
      </c>
      <c r="AI24" s="2">
        <v>6.1886909234959724</v>
      </c>
      <c r="AJ24" s="2">
        <v>-135.36777854864329</v>
      </c>
      <c r="AK24" s="2">
        <v>-179.23001791087691</v>
      </c>
      <c r="AL24" s="2">
        <v>0</v>
      </c>
      <c r="AM24" s="2">
        <v>-190.45227867846441</v>
      </c>
      <c r="AN24" s="2">
        <v>96</v>
      </c>
      <c r="AO24" s="2">
        <v>97.153517082320249</v>
      </c>
      <c r="AP24" s="2">
        <v>151.3768670716909</v>
      </c>
      <c r="AQ24" s="2">
        <v>9.0942220015236863</v>
      </c>
      <c r="AR24" s="2">
        <v>-389.6174552601787</v>
      </c>
      <c r="AS24" s="2">
        <v>0</v>
      </c>
      <c r="AT24" s="2">
        <v>-421.84089038405062</v>
      </c>
      <c r="AU24" s="1">
        <v>73.343999999999994</v>
      </c>
      <c r="AV24" s="2">
        <v>7.8311883898442929</v>
      </c>
      <c r="AW24" s="2">
        <v>-362.00447749895972</v>
      </c>
      <c r="AX24" s="2">
        <v>97.153517082320249</v>
      </c>
      <c r="AZ24" s="1">
        <f t="shared" si="60"/>
        <v>28.128</v>
      </c>
      <c r="BA24" s="2">
        <f t="shared" si="61"/>
        <v>4.2801201197488394</v>
      </c>
      <c r="BB24" s="7">
        <f t="shared" si="62"/>
        <v>-135.36777854864329</v>
      </c>
      <c r="BC24" s="1">
        <f t="shared" si="63"/>
        <v>45.216000000000001</v>
      </c>
      <c r="BD24" s="2">
        <f t="shared" si="64"/>
        <v>6.1886909234959724</v>
      </c>
      <c r="BE24" s="2">
        <f t="shared" si="65"/>
        <v>-179.23001791087691</v>
      </c>
      <c r="BF24" s="2">
        <f t="shared" si="66"/>
        <v>0</v>
      </c>
      <c r="BG24" s="7">
        <f t="shared" si="67"/>
        <v>-190.45227867846441</v>
      </c>
      <c r="BH24" s="1">
        <f t="shared" si="68"/>
        <v>73.343999999999994</v>
      </c>
      <c r="BI24" s="2">
        <f t="shared" si="69"/>
        <v>10.468811043244813</v>
      </c>
      <c r="BJ24" s="2">
        <f t="shared" si="70"/>
        <v>314.59779645952017</v>
      </c>
      <c r="BK24" s="2">
        <f t="shared" si="71"/>
        <v>0</v>
      </c>
      <c r="BL24" s="7">
        <f t="shared" si="72"/>
        <v>-190.45227867846441</v>
      </c>
      <c r="BM24" s="2"/>
      <c r="BN24" s="1">
        <f t="shared" si="28"/>
        <v>73.343999999999994</v>
      </c>
      <c r="BO24" s="4" t="str">
        <f t="shared" ref="BO24" si="75">IF(ISNUMBER(SEARCH("Appui",E24)),0,"0")</f>
        <v>0</v>
      </c>
      <c r="BP24" s="2">
        <f t="shared" si="23"/>
        <v>73.343999999999994</v>
      </c>
      <c r="BQ24" s="2">
        <f t="shared" si="30"/>
        <v>97.153517082320249</v>
      </c>
      <c r="BR24" s="3">
        <f t="shared" si="31"/>
        <v>0.75492892282894974</v>
      </c>
      <c r="BS24" s="1">
        <f t="shared" si="32"/>
        <v>96</v>
      </c>
      <c r="BT24" s="2">
        <f t="shared" si="33"/>
        <v>151.3768670716909</v>
      </c>
      <c r="BU24" s="21">
        <f t="shared" si="34"/>
        <v>0.63417880061248166</v>
      </c>
      <c r="BV24" s="2">
        <f t="shared" si="35"/>
        <v>239</v>
      </c>
      <c r="BW24" s="2">
        <f t="shared" si="36"/>
        <v>292.9844314446139</v>
      </c>
      <c r="BX24" s="21">
        <f t="shared" si="37"/>
        <v>1.2258762821950373</v>
      </c>
      <c r="BY24" s="10" t="str">
        <f t="shared" ref="BY24" si="76">IF(C22&lt;C24,"Rive",IF(C26&gt;C24,"Rive","Inter"))</f>
        <v>Inter</v>
      </c>
    </row>
    <row r="25" spans="1:77" x14ac:dyDescent="0.25">
      <c r="A25" t="str">
        <f t="shared" si="24"/>
        <v>Appui</v>
      </c>
      <c r="B25" t="b">
        <f t="shared" si="25"/>
        <v>0</v>
      </c>
      <c r="C25">
        <f t="shared" si="39"/>
        <v>3</v>
      </c>
      <c r="D25" s="5" t="s">
        <v>58</v>
      </c>
      <c r="E25" t="s">
        <v>49</v>
      </c>
      <c r="F25" s="5">
        <v>25</v>
      </c>
      <c r="G25" t="s">
        <v>46</v>
      </c>
      <c r="H25">
        <v>500</v>
      </c>
      <c r="I25">
        <v>170000</v>
      </c>
      <c r="J25">
        <v>1300</v>
      </c>
      <c r="K25" s="10">
        <v>1445</v>
      </c>
      <c r="L25" s="12">
        <v>1</v>
      </c>
      <c r="M25" s="5">
        <v>0.22</v>
      </c>
      <c r="N25" s="10">
        <v>2.2000000000000002</v>
      </c>
      <c r="O25" s="5">
        <v>1.0482E-3</v>
      </c>
      <c r="P25">
        <v>8.4999999999999992E-2</v>
      </c>
      <c r="Q25" s="10">
        <v>1</v>
      </c>
      <c r="R25" s="8">
        <v>0</v>
      </c>
      <c r="S25">
        <v>0</v>
      </c>
      <c r="T25">
        <v>1</v>
      </c>
      <c r="U25" s="9">
        <v>3.8400000000000001E-4</v>
      </c>
      <c r="V25">
        <v>0</v>
      </c>
      <c r="W25" s="10">
        <v>1</v>
      </c>
      <c r="X25" s="1">
        <v>70.906000000000006</v>
      </c>
      <c r="Y25" s="2">
        <v>21.538</v>
      </c>
      <c r="Z25" s="13">
        <v>0.25</v>
      </c>
      <c r="AA25" s="2">
        <v>53.179499999999997</v>
      </c>
      <c r="AB25" s="2">
        <v>39.264499999999998</v>
      </c>
      <c r="AC25" s="2">
        <v>121</v>
      </c>
      <c r="AD25" s="2"/>
      <c r="AE25" s="7">
        <v>92.444000000000003</v>
      </c>
      <c r="AF25" s="2">
        <v>53.179499999999997</v>
      </c>
      <c r="AG25" s="2">
        <v>39.264499999999998</v>
      </c>
      <c r="AH25" s="2">
        <v>14.890133500960861</v>
      </c>
      <c r="AI25" s="2">
        <v>7.3427103648427314</v>
      </c>
      <c r="AJ25" s="2">
        <v>-401.76304349581079</v>
      </c>
      <c r="AK25" s="2">
        <v>-154.04150112802139</v>
      </c>
      <c r="AL25" s="2">
        <v>0</v>
      </c>
      <c r="AM25" s="2">
        <v>-238.34572188062069</v>
      </c>
      <c r="AN25" s="2">
        <v>121</v>
      </c>
      <c r="AO25" s="2">
        <v>60.840579513092472</v>
      </c>
      <c r="AP25" s="2">
        <v>168.0345242760564</v>
      </c>
      <c r="AQ25" s="2">
        <v>14.20166512638405</v>
      </c>
      <c r="AR25" s="2">
        <v>-435.07936288957842</v>
      </c>
      <c r="AS25" s="2">
        <v>0</v>
      </c>
      <c r="AT25" s="2">
        <v>-847.04172979250507</v>
      </c>
      <c r="AU25" s="1">
        <v>92.444000000000003</v>
      </c>
      <c r="AV25" s="2">
        <v>0</v>
      </c>
      <c r="AW25" s="2">
        <v>0</v>
      </c>
      <c r="AX25" s="2">
        <v>60.840579513092472</v>
      </c>
      <c r="AZ25" s="1">
        <f t="shared" si="60"/>
        <v>53.179499999999997</v>
      </c>
      <c r="BA25" s="2">
        <f t="shared" si="61"/>
        <v>14.890133500960861</v>
      </c>
      <c r="BB25" s="7">
        <f t="shared" si="62"/>
        <v>-401.76304349581079</v>
      </c>
      <c r="BC25" s="1">
        <f t="shared" si="63"/>
        <v>39.264499999999998</v>
      </c>
      <c r="BD25" s="2">
        <f t="shared" si="64"/>
        <v>7.3427103648427314</v>
      </c>
      <c r="BE25" s="2">
        <f t="shared" si="65"/>
        <v>-154.04150112802139</v>
      </c>
      <c r="BF25" s="2">
        <f t="shared" si="66"/>
        <v>0</v>
      </c>
      <c r="BG25" s="7">
        <f t="shared" si="67"/>
        <v>-238.34572188062069</v>
      </c>
      <c r="BH25" s="1">
        <f t="shared" si="68"/>
        <v>92.443999999999988</v>
      </c>
      <c r="BI25" s="2">
        <f t="shared" si="69"/>
        <v>22.232843865803591</v>
      </c>
      <c r="BJ25" s="2">
        <f t="shared" si="70"/>
        <v>555.80454462383216</v>
      </c>
      <c r="BK25" s="2">
        <f t="shared" si="71"/>
        <v>0</v>
      </c>
      <c r="BL25" s="7">
        <f t="shared" si="72"/>
        <v>-238.34572188062069</v>
      </c>
      <c r="BM25" s="2"/>
      <c r="BN25" s="1">
        <f t="shared" si="28"/>
        <v>92.444000000000003</v>
      </c>
      <c r="BO25" s="4">
        <v>0</v>
      </c>
      <c r="BP25" s="2">
        <f t="shared" si="23"/>
        <v>92.444000000000003</v>
      </c>
      <c r="BQ25" s="2">
        <f t="shared" si="30"/>
        <v>60.840579513092472</v>
      </c>
      <c r="BR25" s="3">
        <f t="shared" si="31"/>
        <v>1.5194464079703036</v>
      </c>
      <c r="BS25" s="1">
        <f t="shared" si="32"/>
        <v>121</v>
      </c>
      <c r="BT25" s="2">
        <f t="shared" si="33"/>
        <v>168.0345242760564</v>
      </c>
      <c r="BU25" s="21">
        <f t="shared" si="34"/>
        <v>0.72009011553610558</v>
      </c>
      <c r="BV25" s="2" t="str">
        <f t="shared" si="35"/>
        <v/>
      </c>
      <c r="BW25" s="2" t="str">
        <f t="shared" si="36"/>
        <v/>
      </c>
      <c r="BX25" s="21" t="str">
        <f t="shared" si="37"/>
        <v/>
      </c>
      <c r="BY25" s="15"/>
    </row>
    <row r="26" spans="1:77" x14ac:dyDescent="0.25">
      <c r="A26" t="str">
        <f t="shared" si="24"/>
        <v>Travée</v>
      </c>
      <c r="B26" t="b">
        <f t="shared" si="25"/>
        <v>0</v>
      </c>
      <c r="C26">
        <f t="shared" si="39"/>
        <v>3</v>
      </c>
      <c r="D26" s="5" t="s">
        <v>58</v>
      </c>
      <c r="E26" t="s">
        <v>51</v>
      </c>
      <c r="F26" s="5">
        <v>25</v>
      </c>
      <c r="G26" t="s">
        <v>46</v>
      </c>
      <c r="H26">
        <v>500</v>
      </c>
      <c r="I26">
        <v>170000</v>
      </c>
      <c r="J26">
        <v>1300</v>
      </c>
      <c r="K26" s="10">
        <v>1445</v>
      </c>
      <c r="L26" s="12">
        <v>1</v>
      </c>
      <c r="M26" s="5">
        <v>0.23499999999999999</v>
      </c>
      <c r="N26" s="10">
        <v>2.2000000000000002</v>
      </c>
      <c r="O26" s="5">
        <v>2.8160000000000001E-4</v>
      </c>
      <c r="P26">
        <v>0.04</v>
      </c>
      <c r="Q26" s="10">
        <v>1</v>
      </c>
      <c r="R26" s="8">
        <v>0</v>
      </c>
      <c r="S26">
        <v>0</v>
      </c>
      <c r="T26">
        <v>1</v>
      </c>
      <c r="U26" s="9">
        <v>9.6000000000000002E-5</v>
      </c>
      <c r="V26">
        <v>0</v>
      </c>
      <c r="W26" s="10">
        <v>1</v>
      </c>
      <c r="X26" s="1">
        <v>2.1002239999999999</v>
      </c>
      <c r="Y26" s="2">
        <v>0.63795199999999985</v>
      </c>
      <c r="Z26" s="13">
        <v>0</v>
      </c>
      <c r="AA26" s="2">
        <v>2.1002239999999999</v>
      </c>
      <c r="AB26" s="2">
        <v>0.63795199999999985</v>
      </c>
      <c r="AC26" s="2">
        <v>3.5840000000000001</v>
      </c>
      <c r="AD26" s="2"/>
      <c r="AE26" s="7">
        <v>2.7381760000000002</v>
      </c>
      <c r="AF26" s="2">
        <v>2.1002239999999999</v>
      </c>
      <c r="AG26" s="2">
        <v>0.63795199999999985</v>
      </c>
      <c r="AH26" s="2">
        <v>0.5979027869104363</v>
      </c>
      <c r="AI26" s="2">
        <v>0.1484202634409113</v>
      </c>
      <c r="AJ26" s="2">
        <v>-39.413653129617629</v>
      </c>
      <c r="AK26" s="2">
        <v>-8.4075075277538645</v>
      </c>
      <c r="AL26" s="2">
        <v>0</v>
      </c>
      <c r="AM26" s="2">
        <v>-8.7767394151617939</v>
      </c>
      <c r="AN26" s="2">
        <v>3.5840000000000001</v>
      </c>
      <c r="AO26" s="2">
        <v>25.257071304347711</v>
      </c>
      <c r="AP26" s="2">
        <v>54.762740424349367</v>
      </c>
      <c r="AQ26" s="2">
        <v>0.62249190265730547</v>
      </c>
      <c r="AR26" s="2">
        <v>-47.653727529606392</v>
      </c>
      <c r="AS26" s="2">
        <v>0</v>
      </c>
      <c r="AT26" s="2">
        <v>-50.129362026866623</v>
      </c>
      <c r="AU26" s="1">
        <v>2.7381760000000002</v>
      </c>
      <c r="AV26" s="2">
        <v>0.57721553800211645</v>
      </c>
      <c r="AW26" s="2">
        <v>-51.9434008359583</v>
      </c>
      <c r="AX26" s="2">
        <v>25.257071304347711</v>
      </c>
      <c r="AZ26" s="1">
        <f t="shared" si="60"/>
        <v>2.1002239999999999</v>
      </c>
      <c r="BA26" s="2">
        <f t="shared" si="61"/>
        <v>0.5979027869104363</v>
      </c>
      <c r="BB26" s="7">
        <f t="shared" si="62"/>
        <v>-39.413653129617629</v>
      </c>
      <c r="BC26" s="1">
        <f t="shared" si="63"/>
        <v>0.63795199999999985</v>
      </c>
      <c r="BD26" s="2">
        <f t="shared" si="64"/>
        <v>0.1484202634409113</v>
      </c>
      <c r="BE26" s="2">
        <f t="shared" si="65"/>
        <v>-8.4075075277538645</v>
      </c>
      <c r="BF26" s="2">
        <f t="shared" si="66"/>
        <v>0</v>
      </c>
      <c r="BG26" s="7">
        <f t="shared" si="67"/>
        <v>-8.7767394151617939</v>
      </c>
      <c r="BH26" s="1">
        <f t="shared" si="68"/>
        <v>2.7381759999999997</v>
      </c>
      <c r="BI26" s="2">
        <f t="shared" si="69"/>
        <v>0.74632305035134761</v>
      </c>
      <c r="BJ26" s="2">
        <f t="shared" si="70"/>
        <v>47.821160657371493</v>
      </c>
      <c r="BK26" s="2">
        <f t="shared" si="71"/>
        <v>0</v>
      </c>
      <c r="BL26" s="7">
        <f t="shared" si="72"/>
        <v>-8.7767394151617939</v>
      </c>
      <c r="BM26" s="2"/>
      <c r="BN26" s="1">
        <f t="shared" si="28"/>
        <v>2.7381760000000002</v>
      </c>
      <c r="BO26" s="4" t="str">
        <f t="shared" ref="BO26" si="77">IF(ISNUMBER(SEARCH("Appui",E26)),0,"0")</f>
        <v>0</v>
      </c>
      <c r="BP26" s="2">
        <f t="shared" si="23"/>
        <v>2.7381760000000002</v>
      </c>
      <c r="BQ26" s="2">
        <f t="shared" si="30"/>
        <v>25.257071304347711</v>
      </c>
      <c r="BR26" s="3">
        <f t="shared" si="31"/>
        <v>0.10841225283030559</v>
      </c>
      <c r="BS26" s="1">
        <f t="shared" si="32"/>
        <v>3.5840000000000001</v>
      </c>
      <c r="BT26" s="2">
        <f t="shared" si="33"/>
        <v>54.762740424349367</v>
      </c>
      <c r="BU26" s="21">
        <f t="shared" si="34"/>
        <v>6.5445957821468559E-2</v>
      </c>
      <c r="BV26" s="2">
        <f t="shared" si="35"/>
        <v>80.584000000000003</v>
      </c>
      <c r="BW26" s="2">
        <f t="shared" si="36"/>
        <v>237.41401007608806</v>
      </c>
      <c r="BX26" s="21">
        <f t="shared" si="37"/>
        <v>2.9461680988296441</v>
      </c>
      <c r="BY26" s="10" t="str">
        <f t="shared" ref="BY26" si="78">IF(C24&lt;C26,"Rive",IF(C28&gt;C26,"Rive","Inter"))</f>
        <v>Inter</v>
      </c>
    </row>
    <row r="27" spans="1:77" x14ac:dyDescent="0.25">
      <c r="A27" t="str">
        <f t="shared" si="24"/>
        <v>Appui</v>
      </c>
      <c r="B27" t="b">
        <f t="shared" si="25"/>
        <v>0</v>
      </c>
      <c r="C27">
        <f t="shared" si="39"/>
        <v>3</v>
      </c>
      <c r="D27" s="5" t="s">
        <v>58</v>
      </c>
      <c r="E27" t="s">
        <v>52</v>
      </c>
      <c r="F27" s="5">
        <v>25</v>
      </c>
      <c r="G27" t="s">
        <v>46</v>
      </c>
      <c r="H27">
        <v>500</v>
      </c>
      <c r="I27">
        <v>170000</v>
      </c>
      <c r="J27">
        <v>1300</v>
      </c>
      <c r="K27" s="10">
        <v>1445</v>
      </c>
      <c r="L27" s="12">
        <v>1</v>
      </c>
      <c r="M27" s="5">
        <v>0.25</v>
      </c>
      <c r="N27" s="10">
        <v>2.2000000000000002</v>
      </c>
      <c r="O27" s="5">
        <v>9.3510000000000012E-4</v>
      </c>
      <c r="P27">
        <v>6.9999999999999993E-2</v>
      </c>
      <c r="Q27" s="10">
        <v>1</v>
      </c>
      <c r="R27" s="8">
        <v>0</v>
      </c>
      <c r="S27">
        <v>0</v>
      </c>
      <c r="T27">
        <v>1</v>
      </c>
      <c r="U27" s="9">
        <v>3.8400000000000001E-4</v>
      </c>
      <c r="V27">
        <v>0</v>
      </c>
      <c r="W27" s="10">
        <v>1</v>
      </c>
      <c r="X27" s="1">
        <v>19.338000000000001</v>
      </c>
      <c r="Y27" s="2">
        <v>5.8739999999999997</v>
      </c>
      <c r="Z27" s="13">
        <v>0</v>
      </c>
      <c r="AA27" s="2">
        <v>19.338000000000001</v>
      </c>
      <c r="AB27" s="2">
        <v>5.8739999999999997</v>
      </c>
      <c r="AC27" s="2">
        <v>33</v>
      </c>
      <c r="AD27" s="2"/>
      <c r="AE27" s="7">
        <v>25.212</v>
      </c>
      <c r="AF27" s="2">
        <v>19.338000000000001</v>
      </c>
      <c r="AG27" s="2">
        <v>5.8739999999999997</v>
      </c>
      <c r="AH27" s="2">
        <v>3.6131984267820552</v>
      </c>
      <c r="AI27" s="2">
        <v>0.80467348735294497</v>
      </c>
      <c r="AJ27" s="2">
        <v>-121.3974375236764</v>
      </c>
      <c r="AK27" s="2">
        <v>-21.54102228513154</v>
      </c>
      <c r="AL27" s="2">
        <v>0</v>
      </c>
      <c r="AM27" s="2">
        <v>-27.120492537878668</v>
      </c>
      <c r="AN27" s="2">
        <v>33</v>
      </c>
      <c r="AO27" s="2">
        <v>75.202426387795668</v>
      </c>
      <c r="AP27" s="2">
        <v>197.268015027421</v>
      </c>
      <c r="AQ27" s="2">
        <v>3.3590465750405261</v>
      </c>
      <c r="AR27" s="2">
        <v>-122.125348176831</v>
      </c>
      <c r="AS27" s="2">
        <v>0</v>
      </c>
      <c r="AT27" s="2">
        <v>-158.2489195452934</v>
      </c>
      <c r="AU27" s="1">
        <v>25.212</v>
      </c>
      <c r="AV27" s="2">
        <v>3.4837438575722639</v>
      </c>
      <c r="AW27" s="2">
        <v>-161.5493429533955</v>
      </c>
      <c r="AX27" s="2">
        <v>75.202426387795668</v>
      </c>
      <c r="AZ27" s="1">
        <f t="shared" si="60"/>
        <v>19.338000000000001</v>
      </c>
      <c r="BA27" s="2">
        <f t="shared" si="61"/>
        <v>3.6131984267820552</v>
      </c>
      <c r="BB27" s="7">
        <f t="shared" si="62"/>
        <v>-121.3974375236764</v>
      </c>
      <c r="BC27" s="1">
        <f t="shared" si="63"/>
        <v>5.8739999999999997</v>
      </c>
      <c r="BD27" s="2">
        <f t="shared" si="64"/>
        <v>0.80467348735294497</v>
      </c>
      <c r="BE27" s="2">
        <f t="shared" si="65"/>
        <v>-21.54102228513154</v>
      </c>
      <c r="BF27" s="2">
        <f t="shared" si="66"/>
        <v>0</v>
      </c>
      <c r="BG27" s="7">
        <f t="shared" si="67"/>
        <v>-27.120492537878668</v>
      </c>
      <c r="BH27" s="1">
        <f t="shared" si="68"/>
        <v>25.212</v>
      </c>
      <c r="BI27" s="2">
        <f t="shared" si="69"/>
        <v>4.4178719141350005</v>
      </c>
      <c r="BJ27" s="2">
        <f t="shared" si="70"/>
        <v>142.93845980880795</v>
      </c>
      <c r="BK27" s="2">
        <f t="shared" si="71"/>
        <v>0</v>
      </c>
      <c r="BL27" s="7">
        <f t="shared" si="72"/>
        <v>-27.120492537878668</v>
      </c>
      <c r="BM27" s="2"/>
      <c r="BN27" s="1">
        <f t="shared" si="28"/>
        <v>25.212</v>
      </c>
      <c r="BO27" s="4">
        <v>0</v>
      </c>
      <c r="BP27" s="2">
        <f t="shared" si="23"/>
        <v>25.212</v>
      </c>
      <c r="BQ27" s="2">
        <f t="shared" si="30"/>
        <v>75.202426387795668</v>
      </c>
      <c r="BR27" s="3">
        <f t="shared" si="31"/>
        <v>0.33525514017313096</v>
      </c>
      <c r="BS27" s="1">
        <f t="shared" si="32"/>
        <v>33</v>
      </c>
      <c r="BT27" s="2">
        <f t="shared" si="33"/>
        <v>197.268015027421</v>
      </c>
      <c r="BU27" s="21">
        <f t="shared" si="34"/>
        <v>0.16728510192294921</v>
      </c>
      <c r="BV27" s="2" t="str">
        <f t="shared" si="35"/>
        <v/>
      </c>
      <c r="BW27" s="2" t="str">
        <f t="shared" si="36"/>
        <v/>
      </c>
      <c r="BX27" s="21" t="str">
        <f t="shared" si="37"/>
        <v/>
      </c>
      <c r="BY27" s="15"/>
    </row>
    <row r="28" spans="1:77" x14ac:dyDescent="0.25">
      <c r="A28" t="str">
        <f t="shared" si="24"/>
        <v>Travée</v>
      </c>
      <c r="B28" t="b">
        <f t="shared" si="25"/>
        <v>0</v>
      </c>
      <c r="C28">
        <f t="shared" si="39"/>
        <v>3</v>
      </c>
      <c r="D28" s="5" t="s">
        <v>58</v>
      </c>
      <c r="E28" t="s">
        <v>53</v>
      </c>
      <c r="F28" s="5">
        <v>25</v>
      </c>
      <c r="G28" t="s">
        <v>46</v>
      </c>
      <c r="H28">
        <v>500</v>
      </c>
      <c r="I28">
        <v>170000</v>
      </c>
      <c r="J28">
        <v>1300</v>
      </c>
      <c r="K28" s="10">
        <v>1445</v>
      </c>
      <c r="L28" s="12">
        <v>1</v>
      </c>
      <c r="M28" s="5">
        <v>0.23499999999999999</v>
      </c>
      <c r="N28" s="10">
        <v>2.2000000000000002</v>
      </c>
      <c r="O28" s="5">
        <v>2.8160000000000001E-4</v>
      </c>
      <c r="P28">
        <v>0.04</v>
      </c>
      <c r="Q28" s="10">
        <v>1</v>
      </c>
      <c r="R28" s="8">
        <v>0</v>
      </c>
      <c r="S28">
        <v>0</v>
      </c>
      <c r="T28">
        <v>1</v>
      </c>
      <c r="U28" s="9">
        <v>9.6000000000000002E-5</v>
      </c>
      <c r="V28">
        <v>0</v>
      </c>
      <c r="W28" s="10">
        <v>1</v>
      </c>
      <c r="X28" s="1">
        <v>5.7006079999999999</v>
      </c>
      <c r="Y28" s="2">
        <v>1.731584</v>
      </c>
      <c r="Z28" s="13">
        <v>0</v>
      </c>
      <c r="AA28" s="2">
        <v>5.7006079999999999</v>
      </c>
      <c r="AB28" s="2">
        <v>1.731584</v>
      </c>
      <c r="AC28" s="2">
        <v>9.7279999999999998</v>
      </c>
      <c r="AD28" s="2"/>
      <c r="AE28" s="7">
        <v>7.4321919999999997</v>
      </c>
      <c r="AF28" s="2">
        <v>5.7006079999999999</v>
      </c>
      <c r="AG28" s="2">
        <v>1.731584</v>
      </c>
      <c r="AH28" s="2">
        <v>1.6228680111041129</v>
      </c>
      <c r="AI28" s="2">
        <v>0.40286366629485482</v>
      </c>
      <c r="AJ28" s="2">
        <v>-106.97998822890671</v>
      </c>
      <c r="AK28" s="2">
        <v>-22.820386657411621</v>
      </c>
      <c r="AL28" s="2">
        <v>0</v>
      </c>
      <c r="AM28" s="2">
        <v>-23.822597316359801</v>
      </c>
      <c r="AN28" s="2">
        <v>9.7279999999999998</v>
      </c>
      <c r="AO28" s="2">
        <v>25.257071304347711</v>
      </c>
      <c r="AP28" s="2">
        <v>54.762740424349367</v>
      </c>
      <c r="AQ28" s="2">
        <v>1.672634943753077</v>
      </c>
      <c r="AR28" s="2">
        <v>-129.37839773797279</v>
      </c>
      <c r="AS28" s="2">
        <v>0</v>
      </c>
      <c r="AT28" s="2">
        <v>-136.1220980797392</v>
      </c>
      <c r="AU28" s="1">
        <v>7.4321919999999997</v>
      </c>
      <c r="AV28" s="2">
        <v>1.551082919378423</v>
      </c>
      <c r="AW28" s="2">
        <v>-141.03705800918021</v>
      </c>
      <c r="AX28" s="2">
        <v>25.257071304347711</v>
      </c>
      <c r="AZ28" s="1">
        <f t="shared" si="60"/>
        <v>5.7006079999999999</v>
      </c>
      <c r="BA28" s="2">
        <f t="shared" si="61"/>
        <v>1.6228680111041129</v>
      </c>
      <c r="BB28" s="7">
        <f t="shared" si="62"/>
        <v>-106.97998822890671</v>
      </c>
      <c r="BC28" s="1">
        <f t="shared" si="63"/>
        <v>1.731584</v>
      </c>
      <c r="BD28" s="2">
        <f t="shared" si="64"/>
        <v>0.40286366629485482</v>
      </c>
      <c r="BE28" s="2">
        <f t="shared" si="65"/>
        <v>-22.820386657411621</v>
      </c>
      <c r="BF28" s="2">
        <f t="shared" si="66"/>
        <v>0</v>
      </c>
      <c r="BG28" s="7">
        <f t="shared" si="67"/>
        <v>-23.822597316359801</v>
      </c>
      <c r="BH28" s="1">
        <f t="shared" si="68"/>
        <v>7.4321919999999997</v>
      </c>
      <c r="BI28" s="2">
        <f t="shared" si="69"/>
        <v>2.0257316773989675</v>
      </c>
      <c r="BJ28" s="2">
        <f t="shared" si="70"/>
        <v>129.80037488631834</v>
      </c>
      <c r="BK28" s="2">
        <f t="shared" si="71"/>
        <v>0</v>
      </c>
      <c r="BL28" s="7">
        <f t="shared" si="72"/>
        <v>-23.822597316359801</v>
      </c>
      <c r="BM28" s="2"/>
      <c r="BN28" s="1">
        <f t="shared" si="28"/>
        <v>7.4321919999999997</v>
      </c>
      <c r="BO28" s="4" t="str">
        <f t="shared" ref="BO28" si="79">IF(ISNUMBER(SEARCH("Appui",E28)),0,"0")</f>
        <v>0</v>
      </c>
      <c r="BP28" s="2">
        <f t="shared" si="23"/>
        <v>7.4321919999999997</v>
      </c>
      <c r="BQ28" s="2">
        <f t="shared" si="30"/>
        <v>25.257071304347711</v>
      </c>
      <c r="BR28" s="3">
        <f t="shared" si="31"/>
        <v>0.29426182911082943</v>
      </c>
      <c r="BS28" s="1">
        <f t="shared" si="32"/>
        <v>9.7279999999999998</v>
      </c>
      <c r="BT28" s="2">
        <f t="shared" si="33"/>
        <v>54.762740424349367</v>
      </c>
      <c r="BU28" s="21">
        <f t="shared" si="34"/>
        <v>0.17763902837255752</v>
      </c>
      <c r="BV28" s="2">
        <f t="shared" si="35"/>
        <v>86.727999999999994</v>
      </c>
      <c r="BW28" s="2">
        <f t="shared" si="36"/>
        <v>212.76306464023622</v>
      </c>
      <c r="BX28" s="21">
        <f t="shared" si="37"/>
        <v>2.4532223115975951</v>
      </c>
      <c r="BY28" s="10" t="str">
        <f t="shared" ref="BY28" si="80">IF(C26&lt;C28,"Rive",IF(C30&gt;C28,"Rive","Inter"))</f>
        <v>Inter</v>
      </c>
    </row>
    <row r="29" spans="1:77" x14ac:dyDescent="0.25">
      <c r="A29" t="str">
        <f t="shared" si="24"/>
        <v>Appui</v>
      </c>
      <c r="B29" t="b">
        <f t="shared" si="25"/>
        <v>0</v>
      </c>
      <c r="C29">
        <f t="shared" si="39"/>
        <v>3</v>
      </c>
      <c r="D29" s="5" t="s">
        <v>58</v>
      </c>
      <c r="E29" t="s">
        <v>54</v>
      </c>
      <c r="F29" s="5">
        <v>25</v>
      </c>
      <c r="G29" t="s">
        <v>46</v>
      </c>
      <c r="H29">
        <v>500</v>
      </c>
      <c r="I29">
        <v>170000</v>
      </c>
      <c r="J29">
        <v>1300</v>
      </c>
      <c r="K29" s="10">
        <v>1445</v>
      </c>
      <c r="L29" s="12">
        <v>1</v>
      </c>
      <c r="M29" s="5">
        <v>0.22</v>
      </c>
      <c r="N29" s="10">
        <v>2.2000000000000002</v>
      </c>
      <c r="O29" s="5">
        <v>1.3297999999999999E-3</v>
      </c>
      <c r="P29">
        <v>9.9999999999999992E-2</v>
      </c>
      <c r="Q29" s="10">
        <v>1</v>
      </c>
      <c r="R29" s="8">
        <v>0</v>
      </c>
      <c r="S29">
        <v>0</v>
      </c>
      <c r="T29">
        <v>1</v>
      </c>
      <c r="U29" s="9">
        <v>1.92E-4</v>
      </c>
      <c r="V29">
        <v>0</v>
      </c>
      <c r="W29" s="10">
        <v>1</v>
      </c>
      <c r="X29" s="1">
        <v>70.906000000000006</v>
      </c>
      <c r="Y29" s="2">
        <v>21.538</v>
      </c>
      <c r="Z29" s="13">
        <v>0</v>
      </c>
      <c r="AA29" s="2">
        <v>70.906000000000006</v>
      </c>
      <c r="AB29" s="2">
        <v>21.538</v>
      </c>
      <c r="AC29" s="2">
        <v>121</v>
      </c>
      <c r="AD29" s="2"/>
      <c r="AE29" s="7">
        <v>92.444000000000003</v>
      </c>
      <c r="AF29" s="2">
        <v>70.906000000000006</v>
      </c>
      <c r="AG29" s="2">
        <v>21.538</v>
      </c>
      <c r="AH29" s="2">
        <v>21.757046539249242</v>
      </c>
      <c r="AI29" s="2">
        <v>5.0735799079394193</v>
      </c>
      <c r="AJ29" s="2">
        <v>-480.39950623765441</v>
      </c>
      <c r="AK29" s="2">
        <v>-98.591631911982375</v>
      </c>
      <c r="AL29" s="2">
        <v>0</v>
      </c>
      <c r="AM29" s="2">
        <v>-176.47385256413509</v>
      </c>
      <c r="AN29" s="2">
        <v>121</v>
      </c>
      <c r="AO29" s="2">
        <v>66.189273268409821</v>
      </c>
      <c r="AP29" s="2">
        <v>118.7326334043527</v>
      </c>
      <c r="AQ29" s="2">
        <v>0</v>
      </c>
      <c r="AR29" s="2">
        <v>0</v>
      </c>
      <c r="AS29" s="2">
        <v>0</v>
      </c>
      <c r="AT29" s="2">
        <v>0</v>
      </c>
      <c r="AU29" s="1">
        <v>92.444000000000003</v>
      </c>
      <c r="AV29" s="2">
        <v>0</v>
      </c>
      <c r="AW29" s="2">
        <v>0</v>
      </c>
      <c r="AX29" s="2">
        <v>66.189273268409821</v>
      </c>
      <c r="AZ29" s="1">
        <f t="shared" si="60"/>
        <v>70.906000000000006</v>
      </c>
      <c r="BA29" s="2">
        <f t="shared" si="61"/>
        <v>21.757046539249242</v>
      </c>
      <c r="BB29" s="7">
        <f t="shared" si="62"/>
        <v>-480.39950623765441</v>
      </c>
      <c r="BC29" s="1">
        <f t="shared" si="63"/>
        <v>21.538</v>
      </c>
      <c r="BD29" s="2">
        <f t="shared" si="64"/>
        <v>5.0735799079394193</v>
      </c>
      <c r="BE29" s="2">
        <f t="shared" si="65"/>
        <v>-98.591631911982375</v>
      </c>
      <c r="BF29" s="2">
        <f t="shared" si="66"/>
        <v>0</v>
      </c>
      <c r="BG29" s="7">
        <f t="shared" si="67"/>
        <v>-176.47385256413509</v>
      </c>
      <c r="BH29" s="1">
        <f t="shared" si="68"/>
        <v>92.444000000000003</v>
      </c>
      <c r="BI29" s="2">
        <f t="shared" si="69"/>
        <v>26.83062644718866</v>
      </c>
      <c r="BJ29" s="2">
        <f t="shared" si="70"/>
        <v>578.99113814963675</v>
      </c>
      <c r="BK29" s="2">
        <f t="shared" si="71"/>
        <v>0</v>
      </c>
      <c r="BL29" s="7">
        <f t="shared" si="72"/>
        <v>-176.47385256413509</v>
      </c>
      <c r="BM29" s="2"/>
      <c r="BN29" s="1">
        <f t="shared" si="28"/>
        <v>92.444000000000003</v>
      </c>
      <c r="BO29" s="4">
        <v>0</v>
      </c>
      <c r="BP29" s="2">
        <f t="shared" si="23"/>
        <v>92.444000000000003</v>
      </c>
      <c r="BQ29" s="2">
        <f t="shared" si="30"/>
        <v>66.189273268409821</v>
      </c>
      <c r="BR29" s="3">
        <f t="shared" si="31"/>
        <v>1.3966613536474766</v>
      </c>
      <c r="BS29" s="1">
        <f t="shared" si="32"/>
        <v>121</v>
      </c>
      <c r="BT29" s="2">
        <f t="shared" si="33"/>
        <v>118.7326334043527</v>
      </c>
      <c r="BU29" s="21">
        <f t="shared" si="34"/>
        <v>1.0190964061912584</v>
      </c>
      <c r="BV29" s="2" t="str">
        <f t="shared" si="35"/>
        <v/>
      </c>
      <c r="BW29" s="2" t="str">
        <f t="shared" si="36"/>
        <v/>
      </c>
      <c r="BX29" s="21" t="str">
        <f t="shared" si="37"/>
        <v/>
      </c>
      <c r="BY29" s="15"/>
    </row>
    <row r="30" spans="1:77" x14ac:dyDescent="0.25">
      <c r="A30" t="str">
        <f t="shared" si="24"/>
        <v>Travée</v>
      </c>
      <c r="B30" t="b">
        <f t="shared" si="25"/>
        <v>0</v>
      </c>
      <c r="C30">
        <f t="shared" si="39"/>
        <v>3</v>
      </c>
      <c r="D30" s="5" t="s">
        <v>58</v>
      </c>
      <c r="E30" t="s">
        <v>55</v>
      </c>
      <c r="F30" s="5">
        <v>25</v>
      </c>
      <c r="G30" t="s">
        <v>46</v>
      </c>
      <c r="H30">
        <v>500</v>
      </c>
      <c r="I30">
        <v>170000</v>
      </c>
      <c r="J30">
        <v>1300</v>
      </c>
      <c r="K30" s="10">
        <v>1445</v>
      </c>
      <c r="L30" s="12">
        <v>1</v>
      </c>
      <c r="M30" s="5">
        <v>0.23499999999999999</v>
      </c>
      <c r="N30" s="10">
        <v>2.2000000000000002</v>
      </c>
      <c r="O30" s="5">
        <v>8.470000000000001E-4</v>
      </c>
      <c r="P30">
        <v>0.04</v>
      </c>
      <c r="Q30" s="10">
        <v>1</v>
      </c>
      <c r="R30" s="8">
        <v>0</v>
      </c>
      <c r="S30">
        <v>0</v>
      </c>
      <c r="T30">
        <v>1</v>
      </c>
      <c r="U30" s="9">
        <v>3.8400000000000001E-4</v>
      </c>
      <c r="V30">
        <v>0</v>
      </c>
      <c r="W30" s="10">
        <v>1</v>
      </c>
      <c r="X30" s="1">
        <v>56.256</v>
      </c>
      <c r="Y30" s="2">
        <v>17.088000000000001</v>
      </c>
      <c r="Z30" s="13">
        <v>0</v>
      </c>
      <c r="AA30" s="2">
        <v>56.256</v>
      </c>
      <c r="AB30" s="2">
        <v>17.088000000000001</v>
      </c>
      <c r="AC30" s="2">
        <v>96</v>
      </c>
      <c r="AD30" s="2"/>
      <c r="AE30" s="7">
        <v>73.343999999999994</v>
      </c>
      <c r="AF30" s="2">
        <v>56.256</v>
      </c>
      <c r="AG30" s="2">
        <v>17.088000000000001</v>
      </c>
      <c r="AH30" s="2">
        <v>9.6802729665620859</v>
      </c>
      <c r="AI30" s="2">
        <v>2.3162466729971749</v>
      </c>
      <c r="AJ30" s="2">
        <v>-358.29378629546801</v>
      </c>
      <c r="AK30" s="2">
        <v>-69.316074834877725</v>
      </c>
      <c r="AL30" s="2">
        <v>0</v>
      </c>
      <c r="AM30" s="2">
        <v>-73.570694555466744</v>
      </c>
      <c r="AN30" s="2">
        <v>96</v>
      </c>
      <c r="AO30" s="2">
        <v>74.708892277634163</v>
      </c>
      <c r="AP30" s="2">
        <v>188.89109758197679</v>
      </c>
      <c r="AQ30" s="2">
        <v>8.9872341364156387</v>
      </c>
      <c r="AR30" s="2">
        <v>-396.65805142821472</v>
      </c>
      <c r="AS30" s="2">
        <v>0</v>
      </c>
      <c r="AT30" s="2">
        <v>-428.72205495572541</v>
      </c>
      <c r="AU30" s="1">
        <v>73.343999999999994</v>
      </c>
      <c r="AV30" s="2">
        <v>16.666666666666671</v>
      </c>
      <c r="AW30" s="2">
        <v>-457.60173583064358</v>
      </c>
      <c r="AX30" s="2">
        <v>74.708892277634163</v>
      </c>
      <c r="AZ30" s="1">
        <f t="shared" si="60"/>
        <v>56.256</v>
      </c>
      <c r="BA30" s="2">
        <f t="shared" si="61"/>
        <v>9.6802729665620859</v>
      </c>
      <c r="BB30" s="7">
        <f t="shared" si="62"/>
        <v>-358.29378629546801</v>
      </c>
      <c r="BC30" s="1">
        <f t="shared" si="63"/>
        <v>17.088000000000001</v>
      </c>
      <c r="BD30" s="2">
        <f t="shared" si="64"/>
        <v>2.3162466729971749</v>
      </c>
      <c r="BE30" s="2">
        <f t="shared" si="65"/>
        <v>-69.316074834877725</v>
      </c>
      <c r="BF30" s="2">
        <f t="shared" si="66"/>
        <v>0</v>
      </c>
      <c r="BG30" s="7">
        <f t="shared" si="67"/>
        <v>-73.570694555466744</v>
      </c>
      <c r="BH30" s="1">
        <f t="shared" si="68"/>
        <v>73.343999999999994</v>
      </c>
      <c r="BI30" s="2">
        <f t="shared" si="69"/>
        <v>11.99651963955926</v>
      </c>
      <c r="BJ30" s="2">
        <f t="shared" si="70"/>
        <v>427.60986113034573</v>
      </c>
      <c r="BK30" s="2">
        <f t="shared" si="71"/>
        <v>0</v>
      </c>
      <c r="BL30" s="7">
        <f t="shared" si="72"/>
        <v>-73.570694555466744</v>
      </c>
      <c r="BM30" s="2"/>
      <c r="BN30" s="1">
        <f t="shared" si="28"/>
        <v>73.343999999999994</v>
      </c>
      <c r="BO30" s="4" t="str">
        <f t="shared" ref="BO30" si="81">IF(ISNUMBER(SEARCH("Appui",E30)),0,"0")</f>
        <v>0</v>
      </c>
      <c r="BP30" s="2">
        <f t="shared" si="23"/>
        <v>73.343999999999994</v>
      </c>
      <c r="BQ30" s="2">
        <f t="shared" si="30"/>
        <v>74.708892277634163</v>
      </c>
      <c r="BR30" s="3">
        <f t="shared" si="31"/>
        <v>0.98173052449282827</v>
      </c>
      <c r="BS30" s="1">
        <f t="shared" si="32"/>
        <v>96</v>
      </c>
      <c r="BT30" s="2">
        <f t="shared" si="33"/>
        <v>188.89109758197679</v>
      </c>
      <c r="BU30" s="21">
        <f t="shared" si="34"/>
        <v>0.50822935135064784</v>
      </c>
      <c r="BV30" s="2">
        <f t="shared" si="35"/>
        <v>236.25</v>
      </c>
      <c r="BW30" s="2">
        <f t="shared" si="36"/>
        <v>341.55499922884275</v>
      </c>
      <c r="BX30" s="21">
        <f t="shared" si="37"/>
        <v>1.4457354464712922</v>
      </c>
      <c r="BY30" s="10" t="str">
        <f t="shared" ref="BY30" si="82">IF(C28&lt;C30,"Rive",IF(C32&gt;C30,"Rive","Inter"))</f>
        <v>Inter</v>
      </c>
    </row>
    <row r="31" spans="1:77" x14ac:dyDescent="0.25">
      <c r="A31" t="str">
        <f t="shared" si="24"/>
        <v>Appui</v>
      </c>
      <c r="B31" t="b">
        <f t="shared" si="25"/>
        <v>0</v>
      </c>
      <c r="C31">
        <f t="shared" si="39"/>
        <v>3</v>
      </c>
      <c r="D31" s="5" t="s">
        <v>58</v>
      </c>
      <c r="E31" t="s">
        <v>56</v>
      </c>
      <c r="F31" s="5">
        <v>25</v>
      </c>
      <c r="G31" t="s">
        <v>46</v>
      </c>
      <c r="H31">
        <v>500</v>
      </c>
      <c r="I31">
        <v>170000</v>
      </c>
      <c r="J31">
        <v>1300</v>
      </c>
      <c r="K31" s="10">
        <v>1445</v>
      </c>
      <c r="L31" s="12">
        <v>1</v>
      </c>
      <c r="M31" s="5">
        <v>0.25</v>
      </c>
      <c r="N31" s="10">
        <v>2.2000000000000002</v>
      </c>
      <c r="O31" s="5">
        <v>1.89E-3</v>
      </c>
      <c r="P31">
        <v>8.4999999999999992E-2</v>
      </c>
      <c r="Q31" s="10">
        <v>1</v>
      </c>
      <c r="R31" s="8">
        <v>0</v>
      </c>
      <c r="S31">
        <v>0</v>
      </c>
      <c r="T31">
        <v>1</v>
      </c>
      <c r="U31" s="9">
        <v>1.92E-4</v>
      </c>
      <c r="V31">
        <v>0</v>
      </c>
      <c r="W31" s="10">
        <v>1</v>
      </c>
      <c r="X31" s="1">
        <v>93.466999999999999</v>
      </c>
      <c r="Y31" s="2">
        <v>28.390999999999998</v>
      </c>
      <c r="Z31" s="13">
        <v>0</v>
      </c>
      <c r="AA31" s="2">
        <v>93.466999999999999</v>
      </c>
      <c r="AB31" s="2">
        <v>28.390999999999998</v>
      </c>
      <c r="AC31" s="2">
        <v>159.5</v>
      </c>
      <c r="AD31" s="2"/>
      <c r="AE31" s="7">
        <v>121.858</v>
      </c>
      <c r="AF31" s="2">
        <v>93.466999999999999</v>
      </c>
      <c r="AG31" s="2">
        <v>28.390999999999998</v>
      </c>
      <c r="AH31" s="2">
        <v>14.95672491179989</v>
      </c>
      <c r="AI31" s="2">
        <v>4.0130792832934441</v>
      </c>
      <c r="AJ31" s="2">
        <v>-324.23189117943099</v>
      </c>
      <c r="AK31" s="2">
        <v>-80.765831092531997</v>
      </c>
      <c r="AL31" s="2">
        <v>0</v>
      </c>
      <c r="AM31" s="2">
        <v>-115.1822704372775</v>
      </c>
      <c r="AN31" s="2">
        <v>159.5</v>
      </c>
      <c r="AO31" s="2">
        <v>128.9402449739936</v>
      </c>
      <c r="AP31" s="2">
        <v>186.59516988937921</v>
      </c>
      <c r="AQ31" s="2">
        <v>14.89478858771067</v>
      </c>
      <c r="AR31" s="2">
        <v>-435.34510155984327</v>
      </c>
      <c r="AS31" s="2">
        <v>0</v>
      </c>
      <c r="AT31" s="2">
        <v>-877.20578898594204</v>
      </c>
      <c r="AU31" s="1">
        <v>121.858</v>
      </c>
      <c r="AV31" s="2">
        <v>13.793644868051301</v>
      </c>
      <c r="AW31" s="2">
        <v>-435.28996549622741</v>
      </c>
      <c r="AX31" s="2">
        <v>128.9402449739936</v>
      </c>
      <c r="AZ31" s="1">
        <f t="shared" si="60"/>
        <v>93.466999999999999</v>
      </c>
      <c r="BA31" s="2">
        <f t="shared" si="61"/>
        <v>14.95672491179989</v>
      </c>
      <c r="BB31" s="7">
        <f t="shared" si="62"/>
        <v>-324.23189117943099</v>
      </c>
      <c r="BC31" s="1">
        <f t="shared" si="63"/>
        <v>28.390999999999998</v>
      </c>
      <c r="BD31" s="2">
        <f t="shared" si="64"/>
        <v>4.0130792832934441</v>
      </c>
      <c r="BE31" s="2">
        <f t="shared" si="65"/>
        <v>-80.765831092531997</v>
      </c>
      <c r="BF31" s="2">
        <f t="shared" si="66"/>
        <v>0</v>
      </c>
      <c r="BG31" s="7">
        <f t="shared" si="67"/>
        <v>-115.1822704372775</v>
      </c>
      <c r="BH31" s="1">
        <f t="shared" si="68"/>
        <v>121.858</v>
      </c>
      <c r="BI31" s="2">
        <f t="shared" si="69"/>
        <v>18.969804195093335</v>
      </c>
      <c r="BJ31" s="2">
        <f t="shared" si="70"/>
        <v>404.99772227196297</v>
      </c>
      <c r="BK31" s="2">
        <f t="shared" si="71"/>
        <v>0</v>
      </c>
      <c r="BL31" s="7">
        <f t="shared" si="72"/>
        <v>-115.1822704372775</v>
      </c>
      <c r="BM31" s="2"/>
      <c r="BN31" s="1">
        <f t="shared" si="28"/>
        <v>121.858</v>
      </c>
      <c r="BO31" s="4">
        <v>0</v>
      </c>
      <c r="BP31" s="2">
        <f t="shared" si="23"/>
        <v>121.858</v>
      </c>
      <c r="BQ31" s="2">
        <f t="shared" si="30"/>
        <v>128.9402449739936</v>
      </c>
      <c r="BR31" s="3">
        <f t="shared" si="31"/>
        <v>0.94507343323706239</v>
      </c>
      <c r="BS31" s="1">
        <f t="shared" si="32"/>
        <v>159.5</v>
      </c>
      <c r="BT31" s="2">
        <f t="shared" si="33"/>
        <v>186.59516988937921</v>
      </c>
      <c r="BU31" s="21">
        <f t="shared" si="34"/>
        <v>0.85479168670098871</v>
      </c>
      <c r="BV31" s="2" t="str">
        <f t="shared" si="35"/>
        <v/>
      </c>
      <c r="BW31" s="2" t="str">
        <f t="shared" si="36"/>
        <v/>
      </c>
      <c r="BX31" s="21" t="str">
        <f t="shared" si="37"/>
        <v/>
      </c>
      <c r="BY31" s="15"/>
    </row>
    <row r="32" spans="1:77" x14ac:dyDescent="0.25">
      <c r="A32" t="str">
        <f t="shared" si="24"/>
        <v>Travée</v>
      </c>
      <c r="B32" t="b">
        <f t="shared" si="25"/>
        <v>0</v>
      </c>
      <c r="C32">
        <f t="shared" si="39"/>
        <v>3</v>
      </c>
      <c r="D32" s="5" t="s">
        <v>58</v>
      </c>
      <c r="E32" t="s">
        <v>57</v>
      </c>
      <c r="F32" s="5">
        <v>25</v>
      </c>
      <c r="G32" t="s">
        <v>46</v>
      </c>
      <c r="H32">
        <v>500</v>
      </c>
      <c r="I32">
        <v>170000</v>
      </c>
      <c r="J32">
        <v>1300</v>
      </c>
      <c r="K32" s="10">
        <v>1445</v>
      </c>
      <c r="L32" s="12">
        <v>1</v>
      </c>
      <c r="M32" s="5">
        <v>0.26</v>
      </c>
      <c r="N32" s="10">
        <v>2.2000000000000002</v>
      </c>
      <c r="O32" s="5">
        <v>5.6539999999999997E-4</v>
      </c>
      <c r="P32">
        <v>0.04</v>
      </c>
      <c r="Q32" s="10">
        <v>1</v>
      </c>
      <c r="R32" s="8">
        <v>0</v>
      </c>
      <c r="S32">
        <v>0</v>
      </c>
      <c r="T32">
        <v>1</v>
      </c>
      <c r="U32" s="9">
        <v>9.6000000000000002E-5</v>
      </c>
      <c r="V32">
        <v>0</v>
      </c>
      <c r="W32" s="10">
        <v>1</v>
      </c>
      <c r="X32" s="1">
        <v>27.752960000000002</v>
      </c>
      <c r="Y32" s="2">
        <v>8.4300800000000002</v>
      </c>
      <c r="Z32" s="13">
        <v>0</v>
      </c>
      <c r="AA32" s="2">
        <v>27.752960000000002</v>
      </c>
      <c r="AB32" s="2">
        <v>8.4300800000000002</v>
      </c>
      <c r="AC32" s="2">
        <v>47.36</v>
      </c>
      <c r="AD32" s="2"/>
      <c r="AE32" s="7">
        <v>36.183039999999998</v>
      </c>
      <c r="AF32" s="2">
        <v>27.752960000000002</v>
      </c>
      <c r="AG32" s="2">
        <v>8.4300800000000002</v>
      </c>
      <c r="AH32" s="2">
        <v>4.7314031880280956</v>
      </c>
      <c r="AI32" s="2">
        <v>1.3047106292869171</v>
      </c>
      <c r="AJ32" s="2">
        <v>-232.1598007510398</v>
      </c>
      <c r="AK32" s="2">
        <v>-58.560864743260353</v>
      </c>
      <c r="AL32" s="2">
        <v>0</v>
      </c>
      <c r="AM32" s="2">
        <v>-60.108270079658674</v>
      </c>
      <c r="AN32" s="2">
        <v>47.36</v>
      </c>
      <c r="AO32" s="2">
        <v>56.863742648834233</v>
      </c>
      <c r="AP32" s="2">
        <v>87.007089877328099</v>
      </c>
      <c r="AQ32" s="2">
        <v>5.2353053349927334</v>
      </c>
      <c r="AR32" s="2">
        <v>-333.96979735172539</v>
      </c>
      <c r="AS32" s="2">
        <v>0</v>
      </c>
      <c r="AT32" s="2">
        <v>-346.10945802676667</v>
      </c>
      <c r="AU32" s="1">
        <v>36.183039999999998</v>
      </c>
      <c r="AV32" s="2">
        <v>4.4446483683106628</v>
      </c>
      <c r="AW32" s="2">
        <v>-307.39333315896931</v>
      </c>
      <c r="AX32" s="2">
        <v>56.863742648834233</v>
      </c>
      <c r="AZ32" s="1">
        <f t="shared" si="60"/>
        <v>27.752960000000002</v>
      </c>
      <c r="BA32" s="2">
        <f t="shared" si="61"/>
        <v>4.7314031880280956</v>
      </c>
      <c r="BB32" s="7">
        <f t="shared" si="62"/>
        <v>-232.1598007510398</v>
      </c>
      <c r="BC32" s="1">
        <f t="shared" si="63"/>
        <v>8.4300800000000002</v>
      </c>
      <c r="BD32" s="2">
        <f t="shared" si="64"/>
        <v>1.3047106292869171</v>
      </c>
      <c r="BE32" s="2">
        <f t="shared" si="65"/>
        <v>-58.560864743260353</v>
      </c>
      <c r="BF32" s="2">
        <f t="shared" si="66"/>
        <v>0</v>
      </c>
      <c r="BG32" s="7">
        <f t="shared" si="67"/>
        <v>-60.108270079658674</v>
      </c>
      <c r="BH32" s="1">
        <f t="shared" si="68"/>
        <v>36.183040000000005</v>
      </c>
      <c r="BI32" s="2">
        <f t="shared" si="69"/>
        <v>6.0361138173150124</v>
      </c>
      <c r="BJ32" s="2">
        <f t="shared" si="70"/>
        <v>290.72066549430014</v>
      </c>
      <c r="BK32" s="2">
        <f t="shared" si="71"/>
        <v>0</v>
      </c>
      <c r="BL32" s="7">
        <f t="shared" si="72"/>
        <v>-60.108270079658674</v>
      </c>
      <c r="BM32" s="2"/>
      <c r="BN32" s="1">
        <f t="shared" si="28"/>
        <v>36.183039999999998</v>
      </c>
      <c r="BO32" s="4" t="str">
        <f t="shared" ref="BO32" si="83">IF(ISNUMBER(SEARCH("Appui",E32)),0,"0")</f>
        <v>0</v>
      </c>
      <c r="BP32" s="2">
        <f t="shared" si="23"/>
        <v>36.183039999999998</v>
      </c>
      <c r="BQ32" s="2">
        <f t="shared" si="30"/>
        <v>56.863742648834233</v>
      </c>
      <c r="BR32" s="3">
        <f t="shared" si="31"/>
        <v>0.63631126469199772</v>
      </c>
      <c r="BS32" s="1">
        <f t="shared" si="32"/>
        <v>47.36</v>
      </c>
      <c r="BT32" s="2">
        <f t="shared" si="33"/>
        <v>87.007089877328099</v>
      </c>
      <c r="BU32" s="21">
        <f t="shared" si="34"/>
        <v>0.54432345762596124</v>
      </c>
      <c r="BV32" s="2">
        <f t="shared" si="35"/>
        <v>127.11</v>
      </c>
      <c r="BW32" s="2">
        <f t="shared" si="36"/>
        <v>180.30467482201772</v>
      </c>
      <c r="BX32" s="21">
        <f t="shared" si="37"/>
        <v>1.4184932328063702</v>
      </c>
      <c r="BY32" s="10" t="str">
        <f t="shared" ref="BY32" si="84">IF(C30&lt;C32,"Rive",IF(C34&gt;C32,"Rive","Inter"))</f>
        <v>Rive</v>
      </c>
    </row>
    <row r="33" spans="1:77" x14ac:dyDescent="0.25">
      <c r="A33" t="str">
        <f t="shared" ref="A33" si="85">IF(ISNUMBER(SEARCH("Appui",E33)),"Appui",IF(ISNUMBER(SEARCH("Travée",E33)),"Travée",""))</f>
        <v/>
      </c>
      <c r="B33" t="b">
        <f t="shared" ref="B33" si="86">MOD(C33,2)=0</f>
        <v>0</v>
      </c>
      <c r="C33">
        <f>IF(D33=D31,C31,C31+1)</f>
        <v>3</v>
      </c>
      <c r="D33" s="5" t="s">
        <v>58</v>
      </c>
      <c r="F33" s="5"/>
      <c r="K33" s="10"/>
      <c r="L33" s="12"/>
      <c r="M33" s="5"/>
      <c r="N33" s="10"/>
      <c r="O33" s="5"/>
      <c r="Q33" s="10"/>
      <c r="R33" s="8"/>
      <c r="U33" s="9"/>
      <c r="W33" s="10"/>
      <c r="X33" s="1"/>
      <c r="Y33" s="2"/>
      <c r="Z33" s="13"/>
      <c r="AA33" s="2"/>
      <c r="AB33" s="2"/>
      <c r="AC33" s="2"/>
      <c r="AD33" s="2"/>
      <c r="AE33" s="7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1"/>
      <c r="AV33" s="2"/>
      <c r="AW33" s="2"/>
      <c r="AX33" s="2"/>
      <c r="AZ33" s="1"/>
      <c r="BA33" s="2"/>
      <c r="BB33" s="7"/>
      <c r="BC33" s="1"/>
      <c r="BD33" s="2"/>
      <c r="BE33" s="2"/>
      <c r="BF33" s="2"/>
      <c r="BG33" s="7"/>
      <c r="BH33" s="1"/>
      <c r="BI33" s="2"/>
      <c r="BJ33" s="2"/>
      <c r="BK33" s="2"/>
      <c r="BL33" s="7"/>
      <c r="BM33" s="2"/>
      <c r="BN33" s="1"/>
      <c r="BO33" s="4"/>
      <c r="BP33" s="2">
        <f t="shared" si="23"/>
        <v>0</v>
      </c>
      <c r="BQ33" s="2"/>
      <c r="BR33" s="3"/>
      <c r="BS33" s="1"/>
      <c r="BT33" s="2"/>
      <c r="BU33" s="21"/>
      <c r="BV33" s="2"/>
      <c r="BW33" s="2"/>
      <c r="BX33" s="21"/>
      <c r="BY33" s="15"/>
    </row>
    <row r="34" spans="1:77" x14ac:dyDescent="0.25">
      <c r="A34" t="str">
        <f t="shared" si="24"/>
        <v>Travée</v>
      </c>
      <c r="B34" t="b">
        <f t="shared" si="25"/>
        <v>1</v>
      </c>
      <c r="C34">
        <f>IF(D34=D32,C32,C32+1)</f>
        <v>4</v>
      </c>
      <c r="D34" s="5" t="s">
        <v>91</v>
      </c>
      <c r="E34" t="s">
        <v>45</v>
      </c>
      <c r="F34" s="5">
        <v>25</v>
      </c>
      <c r="G34" t="s">
        <v>46</v>
      </c>
      <c r="H34">
        <v>500</v>
      </c>
      <c r="I34">
        <v>170000</v>
      </c>
      <c r="J34">
        <v>1300</v>
      </c>
      <c r="K34" s="10">
        <v>1445</v>
      </c>
      <c r="L34" s="12">
        <v>1</v>
      </c>
      <c r="M34" s="5">
        <v>0.26</v>
      </c>
      <c r="N34" s="10">
        <v>2.2000000000000002</v>
      </c>
      <c r="O34" s="5">
        <v>5.6539999999999997E-4</v>
      </c>
      <c r="P34">
        <v>0.04</v>
      </c>
      <c r="Q34" s="10">
        <v>1</v>
      </c>
      <c r="R34" s="8">
        <v>0</v>
      </c>
      <c r="S34">
        <v>0</v>
      </c>
      <c r="T34">
        <v>1</v>
      </c>
      <c r="U34" s="9">
        <v>9.6000000000000002E-5</v>
      </c>
      <c r="V34">
        <v>0</v>
      </c>
      <c r="W34" s="10">
        <v>1</v>
      </c>
      <c r="X34" s="1">
        <v>26.252800000000001</v>
      </c>
      <c r="Y34" s="2">
        <v>7.9744000000000002</v>
      </c>
      <c r="Z34" s="13">
        <v>0.5</v>
      </c>
      <c r="AA34" s="2">
        <v>13.1264</v>
      </c>
      <c r="AB34" s="2">
        <v>21.1008</v>
      </c>
      <c r="AC34" s="2">
        <v>44.8</v>
      </c>
      <c r="AD34" s="2"/>
      <c r="AE34" s="7">
        <v>34.227200000000003</v>
      </c>
      <c r="AF34" s="2">
        <v>13.1264</v>
      </c>
      <c r="AG34" s="2">
        <v>21.1008</v>
      </c>
      <c r="AH34" s="2">
        <v>2.2378258321754481</v>
      </c>
      <c r="AI34" s="2">
        <v>3.2657248978883269</v>
      </c>
      <c r="AJ34" s="2">
        <v>-109.8053111660324</v>
      </c>
      <c r="AK34" s="2">
        <v>-146.580085012853</v>
      </c>
      <c r="AL34" s="2">
        <v>0</v>
      </c>
      <c r="AM34" s="2">
        <v>-150.45328433137311</v>
      </c>
      <c r="AN34" s="2">
        <v>44.8</v>
      </c>
      <c r="AO34" s="2">
        <v>56.863742648834233</v>
      </c>
      <c r="AP34" s="2">
        <v>87.007089877328099</v>
      </c>
      <c r="AQ34" s="2">
        <v>4.9687947689809571</v>
      </c>
      <c r="AR34" s="2">
        <v>-315.87079891711699</v>
      </c>
      <c r="AS34" s="2">
        <v>0</v>
      </c>
      <c r="AT34" s="2">
        <v>-327.33483194902072</v>
      </c>
      <c r="AU34" s="1">
        <v>34.227200000000003</v>
      </c>
      <c r="AV34" s="2">
        <v>4.2157114903331907</v>
      </c>
      <c r="AW34" s="2">
        <v>-290.74482712877892</v>
      </c>
      <c r="AX34" s="2">
        <v>56.863742648834233</v>
      </c>
      <c r="AZ34" s="1">
        <f t="shared" ref="AZ34:AZ44" si="87">AF34</f>
        <v>13.1264</v>
      </c>
      <c r="BA34" s="2">
        <f t="shared" ref="BA34:BA44" si="88">AH34</f>
        <v>2.2378258321754481</v>
      </c>
      <c r="BB34" s="7">
        <f t="shared" ref="BB34:BB44" si="89">AJ34</f>
        <v>-109.8053111660324</v>
      </c>
      <c r="BC34" s="1">
        <f t="shared" ref="BC34:BC44" si="90">AG34</f>
        <v>21.1008</v>
      </c>
      <c r="BD34" s="2">
        <f t="shared" ref="BD34:BD44" si="91">AI34</f>
        <v>3.2657248978883269</v>
      </c>
      <c r="BE34" s="2">
        <f t="shared" ref="BE34:BE44" si="92">AK34</f>
        <v>-146.580085012853</v>
      </c>
      <c r="BF34" s="2">
        <f t="shared" ref="BF34:BF44" si="93">AL34</f>
        <v>0</v>
      </c>
      <c r="BG34" s="7">
        <f t="shared" ref="BG34:BG44" si="94">AM34</f>
        <v>-150.45328433137311</v>
      </c>
      <c r="BH34" s="1">
        <f t="shared" ref="BH34:BH44" si="95">AZ34+BC34</f>
        <v>34.227199999999996</v>
      </c>
      <c r="BI34" s="2">
        <f t="shared" ref="BI34:BI44" si="96">BA34+BD34</f>
        <v>5.5035507300637754</v>
      </c>
      <c r="BJ34" s="2">
        <f t="shared" ref="BJ34:BJ44" si="97">ABS(BB34+BE34)</f>
        <v>256.3853961788854</v>
      </c>
      <c r="BK34" s="2">
        <f t="shared" ref="BK34:BK44" si="98">ABS(BF34)</f>
        <v>0</v>
      </c>
      <c r="BL34" s="7">
        <f t="shared" ref="BL34:BL44" si="99">BG34</f>
        <v>-150.45328433137311</v>
      </c>
      <c r="BM34" s="2"/>
      <c r="BN34" s="1">
        <f t="shared" si="28"/>
        <v>34.227200000000003</v>
      </c>
      <c r="BO34" s="4" t="str">
        <f t="shared" ref="BO34" si="100">IF(ISNUMBER(SEARCH("Appui",E34)),0,"0")</f>
        <v>0</v>
      </c>
      <c r="BP34" s="2">
        <f t="shared" si="23"/>
        <v>34.227200000000003</v>
      </c>
      <c r="BQ34" s="2">
        <f t="shared" si="30"/>
        <v>56.863742648834233</v>
      </c>
      <c r="BR34" s="3">
        <f t="shared" si="31"/>
        <v>0.60191606119513308</v>
      </c>
      <c r="BS34" s="1">
        <f t="shared" si="32"/>
        <v>44.8</v>
      </c>
      <c r="BT34" s="2">
        <f t="shared" si="33"/>
        <v>87.007089877328099</v>
      </c>
      <c r="BU34" s="21">
        <f t="shared" si="34"/>
        <v>0.51490056802455786</v>
      </c>
      <c r="BV34" s="2">
        <f t="shared" si="35"/>
        <v>127.3</v>
      </c>
      <c r="BW34" s="2">
        <f t="shared" si="36"/>
        <v>144.59739211222291</v>
      </c>
      <c r="BX34" s="21">
        <f t="shared" si="37"/>
        <v>1.1358789639609026</v>
      </c>
      <c r="BY34" s="10" t="str">
        <f t="shared" ref="BY34" si="101">IF(C32&lt;C34,"Rive",IF(C36&gt;C34,"Rive","Inter"))</f>
        <v>Rive</v>
      </c>
    </row>
    <row r="35" spans="1:77" x14ac:dyDescent="0.25">
      <c r="A35" t="str">
        <f t="shared" si="24"/>
        <v>Appui</v>
      </c>
      <c r="B35" t="b">
        <f t="shared" si="25"/>
        <v>1</v>
      </c>
      <c r="C35">
        <f>IF(D35="",100000,IF(D35=D34,C34,C34+1))</f>
        <v>4</v>
      </c>
      <c r="D35" s="5" t="s">
        <v>91</v>
      </c>
      <c r="E35" t="s">
        <v>47</v>
      </c>
      <c r="F35" s="5">
        <v>25</v>
      </c>
      <c r="G35" t="s">
        <v>46</v>
      </c>
      <c r="H35">
        <v>500</v>
      </c>
      <c r="I35">
        <v>170000</v>
      </c>
      <c r="J35">
        <v>1300</v>
      </c>
      <c r="K35" s="10">
        <v>1445</v>
      </c>
      <c r="L35" s="12">
        <v>1</v>
      </c>
      <c r="M35" s="5">
        <v>0.25</v>
      </c>
      <c r="N35" s="10">
        <v>2.2000000000000002</v>
      </c>
      <c r="O35" s="5">
        <v>1.1286E-3</v>
      </c>
      <c r="P35">
        <v>6.9999999999999993E-2</v>
      </c>
      <c r="Q35" s="10">
        <v>1</v>
      </c>
      <c r="R35" s="8">
        <v>3.0789462068965518E-4</v>
      </c>
      <c r="S35">
        <v>0.04</v>
      </c>
      <c r="T35">
        <v>1</v>
      </c>
      <c r="U35" s="9">
        <v>0</v>
      </c>
      <c r="V35">
        <v>0</v>
      </c>
      <c r="W35" s="10">
        <v>1</v>
      </c>
      <c r="X35" s="1">
        <v>96.69</v>
      </c>
      <c r="Y35" s="2">
        <v>29.37</v>
      </c>
      <c r="Z35" s="13">
        <v>0.5</v>
      </c>
      <c r="AA35" s="2">
        <v>48.344999999999999</v>
      </c>
      <c r="AB35" s="2">
        <v>77.715000000000003</v>
      </c>
      <c r="AC35" s="2">
        <v>165</v>
      </c>
      <c r="AD35" s="2"/>
      <c r="AE35" s="7">
        <v>126.06</v>
      </c>
      <c r="AF35" s="2">
        <v>48.344999999999999</v>
      </c>
      <c r="AG35" s="2">
        <v>77.715000000000003</v>
      </c>
      <c r="AH35" s="2">
        <v>8.3296834260495327</v>
      </c>
      <c r="AI35" s="2">
        <v>11.37117563626099</v>
      </c>
      <c r="AJ35" s="2">
        <v>-252.707712912071</v>
      </c>
      <c r="AK35" s="2">
        <v>-295.10748234491302</v>
      </c>
      <c r="AL35" s="2">
        <v>-356.33430195102829</v>
      </c>
      <c r="AM35" s="2">
        <v>0</v>
      </c>
      <c r="AN35" s="2">
        <v>165</v>
      </c>
      <c r="AO35" s="2">
        <v>89.006595086179289</v>
      </c>
      <c r="AP35" s="2">
        <v>115.1806044697896</v>
      </c>
      <c r="AQ35" s="2">
        <v>0</v>
      </c>
      <c r="AR35" s="2">
        <v>0</v>
      </c>
      <c r="AS35" s="2">
        <v>0</v>
      </c>
      <c r="AT35" s="2">
        <v>0</v>
      </c>
      <c r="AU35" s="1">
        <v>126.06</v>
      </c>
      <c r="AV35" s="2">
        <v>0</v>
      </c>
      <c r="AW35" s="2">
        <v>0</v>
      </c>
      <c r="AX35" s="2">
        <v>115.1806044697896</v>
      </c>
      <c r="AZ35" s="1">
        <f t="shared" si="87"/>
        <v>48.344999999999999</v>
      </c>
      <c r="BA35" s="2">
        <f t="shared" si="88"/>
        <v>8.3296834260495327</v>
      </c>
      <c r="BB35" s="7">
        <f t="shared" si="89"/>
        <v>-252.707712912071</v>
      </c>
      <c r="BC35" s="1">
        <f t="shared" si="90"/>
        <v>77.715000000000003</v>
      </c>
      <c r="BD35" s="2">
        <f t="shared" si="91"/>
        <v>11.37117563626099</v>
      </c>
      <c r="BE35" s="2">
        <f t="shared" si="92"/>
        <v>-295.10748234491302</v>
      </c>
      <c r="BF35" s="2">
        <f t="shared" si="93"/>
        <v>-356.33430195102829</v>
      </c>
      <c r="BG35" s="7">
        <f t="shared" si="94"/>
        <v>0</v>
      </c>
      <c r="BH35" s="1">
        <f t="shared" si="95"/>
        <v>126.06</v>
      </c>
      <c r="BI35" s="2">
        <f t="shared" si="96"/>
        <v>19.700859062310521</v>
      </c>
      <c r="BJ35" s="2">
        <f t="shared" si="97"/>
        <v>547.815195256984</v>
      </c>
      <c r="BK35" s="2">
        <f t="shared" si="98"/>
        <v>356.33430195102829</v>
      </c>
      <c r="BL35" s="7">
        <f t="shared" si="99"/>
        <v>0</v>
      </c>
      <c r="BM35" s="2"/>
      <c r="BN35" s="1">
        <f t="shared" si="28"/>
        <v>126.06</v>
      </c>
      <c r="BO35" s="4">
        <v>0</v>
      </c>
      <c r="BP35" s="2">
        <f t="shared" si="23"/>
        <v>126.06</v>
      </c>
      <c r="BQ35" s="2">
        <f t="shared" si="30"/>
        <v>115.1806044697896</v>
      </c>
      <c r="BR35" s="3">
        <f t="shared" si="31"/>
        <v>1.094455100147212</v>
      </c>
      <c r="BS35" s="1">
        <f t="shared" si="32"/>
        <v>165</v>
      </c>
      <c r="BT35" s="2">
        <f t="shared" si="33"/>
        <v>115.1806044697896</v>
      </c>
      <c r="BU35" s="21">
        <f t="shared" si="34"/>
        <v>1.4325328535958273</v>
      </c>
      <c r="BV35" s="2" t="str">
        <f t="shared" si="35"/>
        <v/>
      </c>
      <c r="BW35" s="2" t="str">
        <f t="shared" si="36"/>
        <v/>
      </c>
      <c r="BX35" s="21" t="str">
        <f t="shared" si="37"/>
        <v/>
      </c>
      <c r="BY35" s="15"/>
    </row>
    <row r="36" spans="1:77" x14ac:dyDescent="0.25">
      <c r="A36" t="str">
        <f t="shared" si="24"/>
        <v>Travée</v>
      </c>
      <c r="B36" t="b">
        <f t="shared" si="25"/>
        <v>1</v>
      </c>
      <c r="C36">
        <f>IF(D36="",100000,IF(D36=D35,C35,C35+1))</f>
        <v>4</v>
      </c>
      <c r="D36" s="5" t="s">
        <v>91</v>
      </c>
      <c r="E36" t="s">
        <v>48</v>
      </c>
      <c r="F36" s="5">
        <v>25</v>
      </c>
      <c r="G36" t="s">
        <v>46</v>
      </c>
      <c r="H36">
        <v>500</v>
      </c>
      <c r="I36">
        <v>170000</v>
      </c>
      <c r="J36">
        <v>1300</v>
      </c>
      <c r="K36" s="10">
        <v>1445</v>
      </c>
      <c r="L36" s="12">
        <v>1</v>
      </c>
      <c r="M36" s="5">
        <v>0.23499999999999999</v>
      </c>
      <c r="N36" s="10">
        <v>2.2000000000000002</v>
      </c>
      <c r="O36" s="5">
        <v>8.470000000000001E-4</v>
      </c>
      <c r="P36">
        <v>0.04</v>
      </c>
      <c r="Q36" s="10">
        <v>1</v>
      </c>
      <c r="R36" s="8">
        <v>0</v>
      </c>
      <c r="S36">
        <v>0</v>
      </c>
      <c r="T36">
        <v>1</v>
      </c>
      <c r="U36" s="9">
        <v>2.8800000000000001E-4</v>
      </c>
      <c r="V36">
        <v>0</v>
      </c>
      <c r="W36" s="10">
        <v>1</v>
      </c>
      <c r="X36" s="1">
        <v>61.50656</v>
      </c>
      <c r="Y36" s="2">
        <v>18.682880000000001</v>
      </c>
      <c r="Z36" s="13">
        <v>0.5</v>
      </c>
      <c r="AA36" s="2">
        <v>30.75328</v>
      </c>
      <c r="AB36" s="2">
        <v>49.436160000000001</v>
      </c>
      <c r="AC36" s="2">
        <v>104.96</v>
      </c>
      <c r="AD36" s="2"/>
      <c r="AE36" s="7">
        <v>80.189440000000005</v>
      </c>
      <c r="AF36" s="2">
        <v>30.75328</v>
      </c>
      <c r="AG36" s="2">
        <v>49.436160000000001</v>
      </c>
      <c r="AH36" s="2">
        <v>5.2918825550539461</v>
      </c>
      <c r="AI36" s="2">
        <v>7.0460874819242099</v>
      </c>
      <c r="AJ36" s="2">
        <v>-195.8672698415225</v>
      </c>
      <c r="AK36" s="2">
        <v>-220.49803165518011</v>
      </c>
      <c r="AL36" s="2">
        <v>0</v>
      </c>
      <c r="AM36" s="2">
        <v>-233.6754417259661</v>
      </c>
      <c r="AN36" s="2">
        <v>104.96</v>
      </c>
      <c r="AO36" s="2">
        <v>74.708892277634163</v>
      </c>
      <c r="AP36" s="2">
        <v>159.59855307589541</v>
      </c>
      <c r="AQ36" s="2">
        <v>10.658417157165781</v>
      </c>
      <c r="AR36" s="2">
        <v>-435.26142567572998</v>
      </c>
      <c r="AS36" s="2">
        <v>0</v>
      </c>
      <c r="AT36" s="2">
        <v>-608.12427479116457</v>
      </c>
      <c r="AU36" s="1">
        <v>80.189440000000005</v>
      </c>
      <c r="AV36" s="2">
        <v>0</v>
      </c>
      <c r="AW36" s="2">
        <v>0</v>
      </c>
      <c r="AX36" s="2">
        <v>74.708892277634163</v>
      </c>
      <c r="AZ36" s="1">
        <f t="shared" si="87"/>
        <v>30.75328</v>
      </c>
      <c r="BA36" s="2">
        <f t="shared" si="88"/>
        <v>5.2918825550539461</v>
      </c>
      <c r="BB36" s="7">
        <f t="shared" si="89"/>
        <v>-195.8672698415225</v>
      </c>
      <c r="BC36" s="1">
        <f t="shared" si="90"/>
        <v>49.436160000000001</v>
      </c>
      <c r="BD36" s="2">
        <f t="shared" si="91"/>
        <v>7.0460874819242099</v>
      </c>
      <c r="BE36" s="2">
        <f t="shared" si="92"/>
        <v>-220.49803165518011</v>
      </c>
      <c r="BF36" s="2">
        <f t="shared" si="93"/>
        <v>0</v>
      </c>
      <c r="BG36" s="7">
        <f t="shared" si="94"/>
        <v>-233.6754417259661</v>
      </c>
      <c r="BH36" s="1">
        <f t="shared" si="95"/>
        <v>80.189440000000005</v>
      </c>
      <c r="BI36" s="2">
        <f t="shared" si="96"/>
        <v>12.337970036978156</v>
      </c>
      <c r="BJ36" s="2">
        <f t="shared" si="97"/>
        <v>416.36530149670261</v>
      </c>
      <c r="BK36" s="2">
        <f t="shared" si="98"/>
        <v>0</v>
      </c>
      <c r="BL36" s="7">
        <f t="shared" si="99"/>
        <v>-233.6754417259661</v>
      </c>
      <c r="BN36" s="1">
        <f t="shared" si="28"/>
        <v>80.189440000000005</v>
      </c>
      <c r="BO36" s="4" t="str">
        <f t="shared" ref="BO36" si="102">IF(ISNUMBER(SEARCH("Appui",E36)),0,"0")</f>
        <v>0</v>
      </c>
      <c r="BP36" s="2">
        <f t="shared" si="23"/>
        <v>80.189440000000005</v>
      </c>
      <c r="BQ36" s="2">
        <f t="shared" si="30"/>
        <v>74.708892277634163</v>
      </c>
      <c r="BR36" s="3">
        <f t="shared" si="31"/>
        <v>1.0733587067788257</v>
      </c>
      <c r="BS36" s="1">
        <f t="shared" si="32"/>
        <v>104.96</v>
      </c>
      <c r="BT36" s="2">
        <f t="shared" si="33"/>
        <v>159.59855307589541</v>
      </c>
      <c r="BU36" s="21">
        <f t="shared" si="34"/>
        <v>0.65765007249211949</v>
      </c>
      <c r="BV36" s="2">
        <f t="shared" si="35"/>
        <v>267.20999999999998</v>
      </c>
      <c r="BW36" s="2">
        <f t="shared" si="36"/>
        <v>311.62512712741216</v>
      </c>
      <c r="BX36" s="21">
        <f t="shared" si="37"/>
        <v>1.1662180574357703</v>
      </c>
      <c r="BY36" s="10" t="str">
        <f t="shared" ref="BY36" si="103">IF(C34&lt;C36,"Rive",IF(C38&gt;C36,"Rive","Inter"))</f>
        <v>Inter</v>
      </c>
    </row>
    <row r="37" spans="1:77" x14ac:dyDescent="0.25">
      <c r="A37" t="str">
        <f t="shared" si="24"/>
        <v>Appui</v>
      </c>
      <c r="B37" t="b">
        <f t="shared" si="25"/>
        <v>1</v>
      </c>
      <c r="C37">
        <f t="shared" ref="C37:C69" si="104">IF(D37="",100000,IF(D37=D36,C36,C36+1))</f>
        <v>4</v>
      </c>
      <c r="D37" s="5" t="s">
        <v>91</v>
      </c>
      <c r="E37" t="s">
        <v>49</v>
      </c>
      <c r="F37" s="5">
        <v>25</v>
      </c>
      <c r="G37" t="s">
        <v>46</v>
      </c>
      <c r="H37">
        <v>500</v>
      </c>
      <c r="I37">
        <v>170000</v>
      </c>
      <c r="J37">
        <v>1300</v>
      </c>
      <c r="K37" s="10">
        <v>1445</v>
      </c>
      <c r="L37" s="12">
        <v>1</v>
      </c>
      <c r="M37" s="5">
        <v>0.22</v>
      </c>
      <c r="N37" s="10">
        <v>2.2000000000000002</v>
      </c>
      <c r="O37" s="5">
        <v>1.0482E-3</v>
      </c>
      <c r="P37">
        <v>0.04</v>
      </c>
      <c r="Q37" s="10">
        <v>1</v>
      </c>
      <c r="R37" s="8">
        <v>0</v>
      </c>
      <c r="S37">
        <v>0</v>
      </c>
      <c r="T37">
        <v>1</v>
      </c>
      <c r="U37" s="9">
        <v>3.8400000000000001E-4</v>
      </c>
      <c r="V37">
        <v>0</v>
      </c>
      <c r="W37" s="10">
        <v>1</v>
      </c>
      <c r="X37" s="1">
        <v>93.466999999999999</v>
      </c>
      <c r="Y37" s="2">
        <v>28.390999999999998</v>
      </c>
      <c r="Z37" s="13">
        <v>0.25</v>
      </c>
      <c r="AA37" s="2">
        <v>70.100250000000003</v>
      </c>
      <c r="AB37" s="2">
        <v>51.757750000000001</v>
      </c>
      <c r="AC37" s="2">
        <v>159.5</v>
      </c>
      <c r="AD37" s="2"/>
      <c r="AE37" s="7">
        <v>121.858</v>
      </c>
      <c r="AF37" s="2">
        <v>70.100250000000003</v>
      </c>
      <c r="AG37" s="2">
        <v>51.757750000000001</v>
      </c>
      <c r="AH37" s="2">
        <v>12.45723179484385</v>
      </c>
      <c r="AI37" s="2">
        <v>7.4812773070670522</v>
      </c>
      <c r="AJ37" s="2">
        <v>-393.80737817418191</v>
      </c>
      <c r="AK37" s="2">
        <v>-196.7800269046302</v>
      </c>
      <c r="AL37" s="2">
        <v>0</v>
      </c>
      <c r="AM37" s="2">
        <v>-213.41173497648271</v>
      </c>
      <c r="AN37" s="2">
        <v>159.5</v>
      </c>
      <c r="AO37" s="2">
        <v>83.355148555521154</v>
      </c>
      <c r="AP37" s="2">
        <v>188.87254363324391</v>
      </c>
      <c r="AQ37" s="2">
        <v>15.61100016823038</v>
      </c>
      <c r="AR37" s="2">
        <v>-436.74665236527989</v>
      </c>
      <c r="AS37" s="2">
        <v>0</v>
      </c>
      <c r="AT37" s="2">
        <v>-1069.3473448172469</v>
      </c>
      <c r="AU37" s="1">
        <v>121.858</v>
      </c>
      <c r="AV37" s="2">
        <v>0</v>
      </c>
      <c r="AW37" s="2">
        <v>0</v>
      </c>
      <c r="AX37" s="2">
        <v>83.355148555521154</v>
      </c>
      <c r="AZ37" s="1">
        <f t="shared" si="87"/>
        <v>70.100250000000003</v>
      </c>
      <c r="BA37" s="2">
        <f t="shared" si="88"/>
        <v>12.45723179484385</v>
      </c>
      <c r="BB37" s="7">
        <f t="shared" si="89"/>
        <v>-393.80737817418191</v>
      </c>
      <c r="BC37" s="1">
        <f t="shared" si="90"/>
        <v>51.757750000000001</v>
      </c>
      <c r="BD37" s="2">
        <f t="shared" si="91"/>
        <v>7.4812773070670522</v>
      </c>
      <c r="BE37" s="2">
        <f t="shared" si="92"/>
        <v>-196.7800269046302</v>
      </c>
      <c r="BF37" s="2">
        <f t="shared" si="93"/>
        <v>0</v>
      </c>
      <c r="BG37" s="7">
        <f t="shared" si="94"/>
        <v>-213.41173497648271</v>
      </c>
      <c r="BH37" s="1">
        <f t="shared" si="95"/>
        <v>121.858</v>
      </c>
      <c r="BI37" s="2">
        <f t="shared" si="96"/>
        <v>19.938509101910903</v>
      </c>
      <c r="BJ37" s="2">
        <f t="shared" si="97"/>
        <v>590.58740507881214</v>
      </c>
      <c r="BK37" s="2">
        <f t="shared" si="98"/>
        <v>0</v>
      </c>
      <c r="BL37" s="7">
        <f t="shared" si="99"/>
        <v>-213.41173497648271</v>
      </c>
      <c r="BN37" s="1">
        <f t="shared" si="28"/>
        <v>121.858</v>
      </c>
      <c r="BO37" s="4">
        <v>0</v>
      </c>
      <c r="BP37" s="2">
        <f t="shared" si="23"/>
        <v>121.858</v>
      </c>
      <c r="BQ37" s="2">
        <f t="shared" si="30"/>
        <v>83.355148555521154</v>
      </c>
      <c r="BR37" s="3">
        <f t="shared" si="31"/>
        <v>1.4619132964394261</v>
      </c>
      <c r="BS37" s="1">
        <f t="shared" si="32"/>
        <v>159.5</v>
      </c>
      <c r="BT37" s="2">
        <f t="shared" si="33"/>
        <v>188.87254363324391</v>
      </c>
      <c r="BU37" s="21">
        <f t="shared" si="34"/>
        <v>0.84448484110914479</v>
      </c>
      <c r="BV37" s="2" t="str">
        <f t="shared" si="35"/>
        <v/>
      </c>
      <c r="BW37" s="2" t="str">
        <f t="shared" si="36"/>
        <v/>
      </c>
      <c r="BX37" s="21" t="str">
        <f t="shared" si="37"/>
        <v/>
      </c>
      <c r="BY37" s="15"/>
    </row>
    <row r="38" spans="1:77" x14ac:dyDescent="0.25">
      <c r="A38" t="str">
        <f t="shared" si="24"/>
        <v>Travée</v>
      </c>
      <c r="B38" t="b">
        <f t="shared" si="25"/>
        <v>1</v>
      </c>
      <c r="C38">
        <f t="shared" si="104"/>
        <v>4</v>
      </c>
      <c r="D38" s="5" t="s">
        <v>91</v>
      </c>
      <c r="E38" t="s">
        <v>51</v>
      </c>
      <c r="F38" s="5">
        <v>25</v>
      </c>
      <c r="G38" t="s">
        <v>46</v>
      </c>
      <c r="H38">
        <v>500</v>
      </c>
      <c r="I38">
        <v>170000</v>
      </c>
      <c r="J38">
        <v>1300</v>
      </c>
      <c r="K38" s="10">
        <v>1445</v>
      </c>
      <c r="L38" s="12">
        <v>1</v>
      </c>
      <c r="M38" s="5">
        <v>0.23499999999999999</v>
      </c>
      <c r="N38" s="10">
        <v>2.2000000000000002</v>
      </c>
      <c r="O38" s="5">
        <v>2.8160000000000001E-4</v>
      </c>
      <c r="P38">
        <v>0.04</v>
      </c>
      <c r="Q38" s="10">
        <v>1</v>
      </c>
      <c r="R38" s="8">
        <v>0</v>
      </c>
      <c r="S38">
        <v>0</v>
      </c>
      <c r="T38">
        <v>1</v>
      </c>
      <c r="U38" s="9">
        <v>2.8800000000000001E-4</v>
      </c>
      <c r="V38">
        <v>0</v>
      </c>
      <c r="W38" s="10">
        <v>1</v>
      </c>
      <c r="X38" s="1">
        <v>2.1002239999999999</v>
      </c>
      <c r="Y38" s="2">
        <v>0.63795199999999985</v>
      </c>
      <c r="Z38" s="13">
        <v>0</v>
      </c>
      <c r="AA38" s="2">
        <v>2.1002239999999999</v>
      </c>
      <c r="AB38" s="2">
        <v>0.63795199999999985</v>
      </c>
      <c r="AC38" s="2">
        <v>3.5840000000000001</v>
      </c>
      <c r="AD38" s="2"/>
      <c r="AE38" s="7">
        <v>2.7381760000000002</v>
      </c>
      <c r="AF38" s="2">
        <v>2.1002239999999999</v>
      </c>
      <c r="AG38" s="2">
        <v>0.63795199999999985</v>
      </c>
      <c r="AH38" s="2">
        <v>0.5979027869104363</v>
      </c>
      <c r="AI38" s="2">
        <v>0.1164864337540001</v>
      </c>
      <c r="AJ38" s="2">
        <v>-39.413653129617629</v>
      </c>
      <c r="AK38" s="2">
        <v>-5.2664733514664128</v>
      </c>
      <c r="AL38" s="2">
        <v>0</v>
      </c>
      <c r="AM38" s="2">
        <v>-5.5238136324816054</v>
      </c>
      <c r="AN38" s="2">
        <v>3.5840000000000001</v>
      </c>
      <c r="AO38" s="2">
        <v>25.257071304347711</v>
      </c>
      <c r="AP38" s="2">
        <v>116.06408347683259</v>
      </c>
      <c r="AQ38" s="2">
        <v>0.49174458195578868</v>
      </c>
      <c r="AR38" s="2">
        <v>-29.806571050681381</v>
      </c>
      <c r="AS38" s="2">
        <v>0</v>
      </c>
      <c r="AT38" s="2">
        <v>-31.569212788359529</v>
      </c>
      <c r="AU38" s="1">
        <v>2.7381760000000002</v>
      </c>
      <c r="AV38" s="2">
        <v>0.57721553800211645</v>
      </c>
      <c r="AW38" s="2">
        <v>-51.9434008359583</v>
      </c>
      <c r="AX38" s="2">
        <v>25.257071304347711</v>
      </c>
      <c r="AZ38" s="1">
        <f t="shared" si="87"/>
        <v>2.1002239999999999</v>
      </c>
      <c r="BA38" s="2">
        <f t="shared" si="88"/>
        <v>0.5979027869104363</v>
      </c>
      <c r="BB38" s="7">
        <f t="shared" si="89"/>
        <v>-39.413653129617629</v>
      </c>
      <c r="BC38" s="1">
        <f t="shared" si="90"/>
        <v>0.63795199999999985</v>
      </c>
      <c r="BD38" s="2">
        <f t="shared" si="91"/>
        <v>0.1164864337540001</v>
      </c>
      <c r="BE38" s="2">
        <f t="shared" si="92"/>
        <v>-5.2664733514664128</v>
      </c>
      <c r="BF38" s="2">
        <f t="shared" si="93"/>
        <v>0</v>
      </c>
      <c r="BG38" s="7">
        <f t="shared" si="94"/>
        <v>-5.5238136324816054</v>
      </c>
      <c r="BH38" s="1">
        <f t="shared" si="95"/>
        <v>2.7381759999999997</v>
      </c>
      <c r="BI38" s="2">
        <f t="shared" si="96"/>
        <v>0.71438922066443644</v>
      </c>
      <c r="BJ38" s="2">
        <f t="shared" si="97"/>
        <v>44.680126481084045</v>
      </c>
      <c r="BK38" s="2">
        <f t="shared" si="98"/>
        <v>0</v>
      </c>
      <c r="BL38" s="7">
        <f t="shared" si="99"/>
        <v>-5.5238136324816054</v>
      </c>
      <c r="BN38" s="1">
        <f t="shared" si="28"/>
        <v>2.7381760000000002</v>
      </c>
      <c r="BO38" s="4" t="str">
        <f t="shared" ref="BO38" si="105">IF(ISNUMBER(SEARCH("Appui",E38)),0,"0")</f>
        <v>0</v>
      </c>
      <c r="BP38" s="2">
        <f t="shared" si="23"/>
        <v>2.7381760000000002</v>
      </c>
      <c r="BQ38" s="2">
        <f t="shared" si="30"/>
        <v>25.257071304347711</v>
      </c>
      <c r="BR38" s="3">
        <f t="shared" si="31"/>
        <v>0.10841225283030559</v>
      </c>
      <c r="BS38" s="1">
        <f t="shared" si="32"/>
        <v>3.5840000000000001</v>
      </c>
      <c r="BT38" s="2">
        <f t="shared" si="33"/>
        <v>116.06408347683259</v>
      </c>
      <c r="BU38" s="21">
        <f t="shared" si="34"/>
        <v>3.0879492540992648E-2</v>
      </c>
      <c r="BV38" s="2">
        <f t="shared" si="35"/>
        <v>99.834000000000003</v>
      </c>
      <c r="BW38" s="2">
        <f t="shared" si="36"/>
        <v>248.10156848735238</v>
      </c>
      <c r="BX38" s="21">
        <f t="shared" si="37"/>
        <v>2.4851410189650056</v>
      </c>
      <c r="BY38" s="10" t="str">
        <f t="shared" ref="BY38" si="106">IF(C36&lt;C38,"Rive",IF(C40&gt;C38,"Rive","Inter"))</f>
        <v>Inter</v>
      </c>
    </row>
    <row r="39" spans="1:77" x14ac:dyDescent="0.25">
      <c r="A39" t="str">
        <f t="shared" si="24"/>
        <v>Appui</v>
      </c>
      <c r="B39" t="b">
        <f t="shared" si="25"/>
        <v>1</v>
      </c>
      <c r="C39">
        <f t="shared" si="104"/>
        <v>4</v>
      </c>
      <c r="D39" s="5" t="s">
        <v>91</v>
      </c>
      <c r="E39" t="s">
        <v>52</v>
      </c>
      <c r="F39" s="5">
        <v>25</v>
      </c>
      <c r="G39" t="s">
        <v>46</v>
      </c>
      <c r="H39">
        <v>500</v>
      </c>
      <c r="I39">
        <v>170000</v>
      </c>
      <c r="J39">
        <v>1300</v>
      </c>
      <c r="K39" s="10">
        <v>1445</v>
      </c>
      <c r="L39" s="12">
        <v>1</v>
      </c>
      <c r="M39" s="5">
        <v>0.25</v>
      </c>
      <c r="N39" s="10">
        <v>2.2000000000000002</v>
      </c>
      <c r="O39" s="5">
        <v>9.3510000000000012E-4</v>
      </c>
      <c r="P39">
        <v>6.9999999999999993E-2</v>
      </c>
      <c r="Q39" s="10">
        <v>1</v>
      </c>
      <c r="R39" s="8">
        <v>0</v>
      </c>
      <c r="S39">
        <v>0</v>
      </c>
      <c r="T39">
        <v>1</v>
      </c>
      <c r="U39" s="9">
        <v>0</v>
      </c>
      <c r="V39">
        <v>0</v>
      </c>
      <c r="W39" s="10">
        <v>1</v>
      </c>
      <c r="X39" s="1">
        <v>19.338000000000001</v>
      </c>
      <c r="Y39" s="2">
        <v>5.8739999999999997</v>
      </c>
      <c r="Z39" s="13">
        <v>0</v>
      </c>
      <c r="AA39" s="2">
        <v>19.338000000000001</v>
      </c>
      <c r="AB39" s="2">
        <v>5.8739999999999997</v>
      </c>
      <c r="AC39" s="2">
        <v>33</v>
      </c>
      <c r="AD39" s="2"/>
      <c r="AE39" s="7">
        <v>25.212</v>
      </c>
      <c r="AF39" s="2">
        <v>19.338000000000001</v>
      </c>
      <c r="AG39" s="2">
        <v>5.8739999999999997</v>
      </c>
      <c r="AH39" s="2">
        <v>3.6131984267820552</v>
      </c>
      <c r="AI39" s="2">
        <v>1.0975244368041059</v>
      </c>
      <c r="AJ39" s="2">
        <v>-121.3974375236764</v>
      </c>
      <c r="AK39" s="2">
        <v>-36.874989554973382</v>
      </c>
      <c r="AL39" s="2">
        <v>0</v>
      </c>
      <c r="AM39" s="2">
        <v>0</v>
      </c>
      <c r="AN39" s="2">
        <v>33</v>
      </c>
      <c r="AO39" s="2">
        <v>75.202426387795668</v>
      </c>
      <c r="AP39" s="2">
        <v>75.202426387795668</v>
      </c>
      <c r="AQ39" s="2">
        <v>4.5078870306125642</v>
      </c>
      <c r="AR39" s="2">
        <v>-211.60062917706571</v>
      </c>
      <c r="AS39" s="2">
        <v>0</v>
      </c>
      <c r="AT39" s="2">
        <v>0</v>
      </c>
      <c r="AU39" s="1">
        <v>25.212</v>
      </c>
      <c r="AV39" s="2">
        <v>3.4837438575722639</v>
      </c>
      <c r="AW39" s="2">
        <v>-161.5493429533955</v>
      </c>
      <c r="AX39" s="2">
        <v>75.202426387795668</v>
      </c>
      <c r="AZ39" s="1">
        <f t="shared" si="87"/>
        <v>19.338000000000001</v>
      </c>
      <c r="BA39" s="2">
        <f t="shared" si="88"/>
        <v>3.6131984267820552</v>
      </c>
      <c r="BB39" s="7">
        <f t="shared" si="89"/>
        <v>-121.3974375236764</v>
      </c>
      <c r="BC39" s="1">
        <f t="shared" si="90"/>
        <v>5.8739999999999997</v>
      </c>
      <c r="BD39" s="2">
        <f t="shared" si="91"/>
        <v>1.0975244368041059</v>
      </c>
      <c r="BE39" s="2">
        <f t="shared" si="92"/>
        <v>-36.874989554973382</v>
      </c>
      <c r="BF39" s="2">
        <f t="shared" si="93"/>
        <v>0</v>
      </c>
      <c r="BG39" s="7">
        <f t="shared" si="94"/>
        <v>0</v>
      </c>
      <c r="BH39" s="1">
        <f t="shared" si="95"/>
        <v>25.212</v>
      </c>
      <c r="BI39" s="2">
        <f t="shared" si="96"/>
        <v>4.7107228635861613</v>
      </c>
      <c r="BJ39" s="2">
        <f t="shared" si="97"/>
        <v>158.2724270786498</v>
      </c>
      <c r="BK39" s="2">
        <f t="shared" si="98"/>
        <v>0</v>
      </c>
      <c r="BL39" s="7">
        <f t="shared" si="99"/>
        <v>0</v>
      </c>
      <c r="BN39" s="1">
        <f t="shared" si="28"/>
        <v>25.212</v>
      </c>
      <c r="BO39" s="4">
        <v>0</v>
      </c>
      <c r="BP39" s="2">
        <f t="shared" si="23"/>
        <v>25.212</v>
      </c>
      <c r="BQ39" s="2">
        <f t="shared" si="30"/>
        <v>75.202426387795668</v>
      </c>
      <c r="BR39" s="3">
        <f t="shared" si="31"/>
        <v>0.33525514017313096</v>
      </c>
      <c r="BS39" s="1">
        <f t="shared" si="32"/>
        <v>33</v>
      </c>
      <c r="BT39" s="2">
        <f t="shared" si="33"/>
        <v>75.202426387795668</v>
      </c>
      <c r="BU39" s="21">
        <f t="shared" si="34"/>
        <v>0.43881562849886252</v>
      </c>
      <c r="BV39" s="2" t="str">
        <f t="shared" si="35"/>
        <v/>
      </c>
      <c r="BW39" s="2" t="str">
        <f t="shared" si="36"/>
        <v/>
      </c>
      <c r="BX39" s="21" t="str">
        <f t="shared" si="37"/>
        <v/>
      </c>
      <c r="BY39" s="15"/>
    </row>
    <row r="40" spans="1:77" x14ac:dyDescent="0.25">
      <c r="A40" t="str">
        <f t="shared" si="24"/>
        <v>Travée</v>
      </c>
      <c r="B40" t="b">
        <f t="shared" si="25"/>
        <v>1</v>
      </c>
      <c r="C40">
        <f t="shared" si="104"/>
        <v>4</v>
      </c>
      <c r="D40" s="5" t="s">
        <v>91</v>
      </c>
      <c r="E40" t="s">
        <v>53</v>
      </c>
      <c r="F40" s="5">
        <v>25</v>
      </c>
      <c r="G40" t="s">
        <v>46</v>
      </c>
      <c r="H40">
        <v>500</v>
      </c>
      <c r="I40">
        <v>170000</v>
      </c>
      <c r="J40">
        <v>1300</v>
      </c>
      <c r="K40" s="10">
        <v>1445</v>
      </c>
      <c r="L40" s="12">
        <v>1</v>
      </c>
      <c r="M40" s="5">
        <v>0.23499999999999999</v>
      </c>
      <c r="N40" s="10">
        <v>2.2000000000000002</v>
      </c>
      <c r="O40" s="5">
        <v>2.8160000000000001E-4</v>
      </c>
      <c r="P40">
        <v>0.04</v>
      </c>
      <c r="Q40" s="10">
        <v>1</v>
      </c>
      <c r="R40" s="8">
        <v>0</v>
      </c>
      <c r="S40">
        <v>0</v>
      </c>
      <c r="T40">
        <v>1</v>
      </c>
      <c r="U40" s="9">
        <v>2.8800000000000001E-4</v>
      </c>
      <c r="V40">
        <v>0</v>
      </c>
      <c r="W40" s="10">
        <v>1</v>
      </c>
      <c r="X40" s="1">
        <v>5.7006079999999999</v>
      </c>
      <c r="Y40" s="2">
        <v>1.731584</v>
      </c>
      <c r="Z40" s="13">
        <v>0</v>
      </c>
      <c r="AA40" s="2">
        <v>5.7006079999999999</v>
      </c>
      <c r="AB40" s="2">
        <v>1.731584</v>
      </c>
      <c r="AC40" s="2">
        <v>9.7279999999999998</v>
      </c>
      <c r="AD40" s="2"/>
      <c r="AE40" s="7">
        <v>7.4321919999999997</v>
      </c>
      <c r="AF40" s="2">
        <v>5.7006079999999999</v>
      </c>
      <c r="AG40" s="2">
        <v>1.731584</v>
      </c>
      <c r="AH40" s="2">
        <v>1.6228680111041129</v>
      </c>
      <c r="AI40" s="2">
        <v>0.31617957064281998</v>
      </c>
      <c r="AJ40" s="2">
        <v>-106.97998822890671</v>
      </c>
      <c r="AK40" s="2">
        <v>-14.29470143884512</v>
      </c>
      <c r="AL40" s="2">
        <v>0</v>
      </c>
      <c r="AM40" s="2">
        <v>-14.99319853136757</v>
      </c>
      <c r="AN40" s="2">
        <v>9.7279999999999998</v>
      </c>
      <c r="AO40" s="2">
        <v>25.257071304347711</v>
      </c>
      <c r="AP40" s="2">
        <v>116.06408347683259</v>
      </c>
      <c r="AQ40" s="2">
        <v>1.324079166509825</v>
      </c>
      <c r="AR40" s="2">
        <v>-80.921865366120898</v>
      </c>
      <c r="AS40" s="2">
        <v>0</v>
      </c>
      <c r="AT40" s="2">
        <v>-85.720743681039991</v>
      </c>
      <c r="AU40" s="1">
        <v>7.4321919999999997</v>
      </c>
      <c r="AV40" s="2">
        <v>1.551082919378423</v>
      </c>
      <c r="AW40" s="2">
        <v>-141.03705800918021</v>
      </c>
      <c r="AX40" s="2">
        <v>25.257071304347711</v>
      </c>
      <c r="AZ40" s="1">
        <f t="shared" si="87"/>
        <v>5.7006079999999999</v>
      </c>
      <c r="BA40" s="2">
        <f t="shared" si="88"/>
        <v>1.6228680111041129</v>
      </c>
      <c r="BB40" s="7">
        <f t="shared" si="89"/>
        <v>-106.97998822890671</v>
      </c>
      <c r="BC40" s="1">
        <f t="shared" si="90"/>
        <v>1.731584</v>
      </c>
      <c r="BD40" s="2">
        <f t="shared" si="91"/>
        <v>0.31617957064281998</v>
      </c>
      <c r="BE40" s="2">
        <f t="shared" si="92"/>
        <v>-14.29470143884512</v>
      </c>
      <c r="BF40" s="2">
        <f t="shared" si="93"/>
        <v>0</v>
      </c>
      <c r="BG40" s="7">
        <f t="shared" si="94"/>
        <v>-14.99319853136757</v>
      </c>
      <c r="BH40" s="1">
        <f t="shared" si="95"/>
        <v>7.4321919999999997</v>
      </c>
      <c r="BI40" s="2">
        <f t="shared" si="96"/>
        <v>1.9390475817469328</v>
      </c>
      <c r="BJ40" s="2">
        <f t="shared" si="97"/>
        <v>121.27468966775183</v>
      </c>
      <c r="BK40" s="2">
        <f t="shared" si="98"/>
        <v>0</v>
      </c>
      <c r="BL40" s="7">
        <f t="shared" si="99"/>
        <v>-14.99319853136757</v>
      </c>
      <c r="BN40" s="1">
        <f t="shared" si="28"/>
        <v>7.4321919999999997</v>
      </c>
      <c r="BO40" s="4" t="str">
        <f t="shared" ref="BO40" si="107">IF(ISNUMBER(SEARCH("Appui",E40)),0,"0")</f>
        <v>0</v>
      </c>
      <c r="BP40" s="2">
        <f t="shared" si="23"/>
        <v>7.4321919999999997</v>
      </c>
      <c r="BQ40" s="2">
        <f t="shared" si="30"/>
        <v>25.257071304347711</v>
      </c>
      <c r="BR40" s="3">
        <f t="shared" si="31"/>
        <v>0.29426182911082943</v>
      </c>
      <c r="BS40" s="1">
        <f t="shared" si="32"/>
        <v>9.7279999999999998</v>
      </c>
      <c r="BT40" s="2">
        <f t="shared" si="33"/>
        <v>116.06408347683259</v>
      </c>
      <c r="BU40" s="21">
        <f t="shared" si="34"/>
        <v>8.3815765468408618E-2</v>
      </c>
      <c r="BV40" s="2">
        <f t="shared" si="35"/>
        <v>103.22799999999999</v>
      </c>
      <c r="BW40" s="2">
        <f t="shared" si="36"/>
        <v>248.10156848735238</v>
      </c>
      <c r="BX40" s="21">
        <f t="shared" si="37"/>
        <v>2.4034328717727012</v>
      </c>
      <c r="BY40" s="10" t="str">
        <f t="shared" ref="BY40" si="108">IF(C38&lt;C40,"Rive",IF(C42&gt;C40,"Rive","Inter"))</f>
        <v>Inter</v>
      </c>
    </row>
    <row r="41" spans="1:77" x14ac:dyDescent="0.25">
      <c r="A41" t="str">
        <f t="shared" si="24"/>
        <v>Appui</v>
      </c>
      <c r="B41" t="b">
        <f t="shared" si="25"/>
        <v>1</v>
      </c>
      <c r="C41">
        <f t="shared" si="104"/>
        <v>4</v>
      </c>
      <c r="D41" s="5" t="s">
        <v>91</v>
      </c>
      <c r="E41" t="s">
        <v>54</v>
      </c>
      <c r="F41" s="5">
        <v>25</v>
      </c>
      <c r="G41" t="s">
        <v>46</v>
      </c>
      <c r="H41">
        <v>500</v>
      </c>
      <c r="I41">
        <v>170000</v>
      </c>
      <c r="J41">
        <v>1300</v>
      </c>
      <c r="K41" s="10">
        <v>1445</v>
      </c>
      <c r="L41" s="12">
        <v>1</v>
      </c>
      <c r="M41" s="5">
        <v>0.22</v>
      </c>
      <c r="N41" s="10">
        <v>2.2000000000000002</v>
      </c>
      <c r="O41" s="5">
        <v>1.0482E-3</v>
      </c>
      <c r="P41">
        <v>0.04</v>
      </c>
      <c r="Q41" s="10">
        <v>1</v>
      </c>
      <c r="R41" s="8">
        <v>0</v>
      </c>
      <c r="S41">
        <v>0</v>
      </c>
      <c r="T41">
        <v>1</v>
      </c>
      <c r="U41" s="9">
        <v>3.8400000000000001E-4</v>
      </c>
      <c r="V41">
        <v>0</v>
      </c>
      <c r="W41" s="10">
        <v>1</v>
      </c>
      <c r="X41" s="1">
        <v>90.244</v>
      </c>
      <c r="Y41" s="2">
        <v>27.411999999999999</v>
      </c>
      <c r="Z41" s="13">
        <v>0</v>
      </c>
      <c r="AA41" s="2">
        <v>90.244</v>
      </c>
      <c r="AB41" s="2">
        <v>27.411999999999999</v>
      </c>
      <c r="AC41" s="2">
        <v>154</v>
      </c>
      <c r="AD41" s="2"/>
      <c r="AE41" s="7">
        <v>117.65600000000001</v>
      </c>
      <c r="AF41" s="2">
        <v>90.244</v>
      </c>
      <c r="AG41" s="2">
        <v>27.411999999999999</v>
      </c>
      <c r="AH41" s="2">
        <v>16.036896103707001</v>
      </c>
      <c r="AI41" s="2">
        <v>3.9622428243368759</v>
      </c>
      <c r="AJ41" s="2">
        <v>-506.97041787940668</v>
      </c>
      <c r="AK41" s="2">
        <v>-104.21886765768841</v>
      </c>
      <c r="AL41" s="2">
        <v>0</v>
      </c>
      <c r="AM41" s="2">
        <v>-113.02737230995059</v>
      </c>
      <c r="AN41" s="2">
        <v>154</v>
      </c>
      <c r="AO41" s="2">
        <v>83.355148555521154</v>
      </c>
      <c r="AP41" s="2">
        <v>188.87254363324391</v>
      </c>
      <c r="AQ41" s="2">
        <v>15.233511667584089</v>
      </c>
      <c r="AR41" s="2">
        <v>-436.51567543312609</v>
      </c>
      <c r="AS41" s="2">
        <v>0</v>
      </c>
      <c r="AT41" s="2">
        <v>-1000.218055677748</v>
      </c>
      <c r="AU41" s="1">
        <v>117.65600000000001</v>
      </c>
      <c r="AV41" s="2">
        <v>0</v>
      </c>
      <c r="AW41" s="2">
        <v>0</v>
      </c>
      <c r="AX41" s="2">
        <v>83.355148555521154</v>
      </c>
      <c r="AZ41" s="1">
        <f t="shared" si="87"/>
        <v>90.244</v>
      </c>
      <c r="BA41" s="2">
        <f t="shared" si="88"/>
        <v>16.036896103707001</v>
      </c>
      <c r="BB41" s="7">
        <f t="shared" si="89"/>
        <v>-506.97041787940668</v>
      </c>
      <c r="BC41" s="1">
        <f t="shared" si="90"/>
        <v>27.411999999999999</v>
      </c>
      <c r="BD41" s="2">
        <f t="shared" si="91"/>
        <v>3.9622428243368759</v>
      </c>
      <c r="BE41" s="2">
        <f t="shared" si="92"/>
        <v>-104.21886765768841</v>
      </c>
      <c r="BF41" s="2">
        <f t="shared" si="93"/>
        <v>0</v>
      </c>
      <c r="BG41" s="7">
        <f t="shared" si="94"/>
        <v>-113.02737230995059</v>
      </c>
      <c r="BH41" s="1">
        <f t="shared" si="95"/>
        <v>117.65600000000001</v>
      </c>
      <c r="BI41" s="2">
        <f t="shared" si="96"/>
        <v>19.999138928043877</v>
      </c>
      <c r="BJ41" s="2">
        <f t="shared" si="97"/>
        <v>611.18928553709509</v>
      </c>
      <c r="BK41" s="2">
        <f t="shared" si="98"/>
        <v>0</v>
      </c>
      <c r="BL41" s="7">
        <f t="shared" si="99"/>
        <v>-113.02737230995059</v>
      </c>
      <c r="BN41" s="1">
        <f t="shared" si="28"/>
        <v>117.65600000000001</v>
      </c>
      <c r="BO41" s="4">
        <v>0</v>
      </c>
      <c r="BP41" s="2">
        <f t="shared" si="23"/>
        <v>117.65600000000001</v>
      </c>
      <c r="BQ41" s="2">
        <f t="shared" si="30"/>
        <v>83.355148555521154</v>
      </c>
      <c r="BR41" s="3">
        <f t="shared" si="31"/>
        <v>1.4115024931139288</v>
      </c>
      <c r="BS41" s="1">
        <f t="shared" si="32"/>
        <v>154</v>
      </c>
      <c r="BT41" s="2">
        <f t="shared" si="33"/>
        <v>188.87254363324391</v>
      </c>
      <c r="BU41" s="21">
        <f t="shared" si="34"/>
        <v>0.81536467417434666</v>
      </c>
      <c r="BV41" s="2" t="str">
        <f t="shared" si="35"/>
        <v/>
      </c>
      <c r="BW41" s="2" t="str">
        <f t="shared" si="36"/>
        <v/>
      </c>
      <c r="BX41" s="21" t="str">
        <f t="shared" si="37"/>
        <v/>
      </c>
      <c r="BY41" s="15"/>
    </row>
    <row r="42" spans="1:77" x14ac:dyDescent="0.25">
      <c r="A42" t="str">
        <f t="shared" si="24"/>
        <v>Travée</v>
      </c>
      <c r="B42" t="b">
        <f t="shared" si="25"/>
        <v>1</v>
      </c>
      <c r="C42">
        <f t="shared" si="104"/>
        <v>4</v>
      </c>
      <c r="D42" s="5" t="s">
        <v>91</v>
      </c>
      <c r="E42" t="s">
        <v>55</v>
      </c>
      <c r="F42" s="5">
        <v>25</v>
      </c>
      <c r="G42" t="s">
        <v>46</v>
      </c>
      <c r="H42">
        <v>500</v>
      </c>
      <c r="I42">
        <v>170000</v>
      </c>
      <c r="J42">
        <v>1300</v>
      </c>
      <c r="K42" s="10">
        <v>1445</v>
      </c>
      <c r="L42" s="12">
        <v>1</v>
      </c>
      <c r="M42" s="5">
        <v>0.23499999999999999</v>
      </c>
      <c r="N42" s="10">
        <v>2.2000000000000002</v>
      </c>
      <c r="O42" s="5">
        <v>5.6539999999999997E-4</v>
      </c>
      <c r="P42">
        <v>0.04</v>
      </c>
      <c r="Q42" s="10">
        <v>1</v>
      </c>
      <c r="R42" s="8">
        <v>0</v>
      </c>
      <c r="S42">
        <v>0</v>
      </c>
      <c r="T42">
        <v>1</v>
      </c>
      <c r="U42" s="9">
        <v>2.8800000000000001E-4</v>
      </c>
      <c r="V42">
        <v>0</v>
      </c>
      <c r="W42" s="10">
        <v>1</v>
      </c>
      <c r="X42" s="1">
        <v>57.006079999999997</v>
      </c>
      <c r="Y42" s="2">
        <v>17.315840000000001</v>
      </c>
      <c r="Z42" s="13">
        <v>0</v>
      </c>
      <c r="AA42" s="2">
        <v>57.006079999999997</v>
      </c>
      <c r="AB42" s="2">
        <v>17.315840000000001</v>
      </c>
      <c r="AC42" s="2">
        <v>97.28</v>
      </c>
      <c r="AD42" s="2"/>
      <c r="AE42" s="7">
        <v>74.321919999999992</v>
      </c>
      <c r="AF42" s="2">
        <v>57.006079999999997</v>
      </c>
      <c r="AG42" s="2">
        <v>17.315840000000001</v>
      </c>
      <c r="AH42" s="2">
        <v>11.736161370117109</v>
      </c>
      <c r="AI42" s="2">
        <v>2.7381487750762421</v>
      </c>
      <c r="AJ42" s="2">
        <v>-539.2590308001794</v>
      </c>
      <c r="AK42" s="2">
        <v>-100.00067339882899</v>
      </c>
      <c r="AL42" s="2">
        <v>0</v>
      </c>
      <c r="AM42" s="2">
        <v>-105.47016044584061</v>
      </c>
      <c r="AN42" s="2">
        <v>97.28</v>
      </c>
      <c r="AO42" s="2">
        <v>50.295035765929093</v>
      </c>
      <c r="AP42" s="2">
        <v>138.07146803222261</v>
      </c>
      <c r="AQ42" s="2">
        <v>11.24156074667609</v>
      </c>
      <c r="AR42" s="2">
        <v>-435.99174806717917</v>
      </c>
      <c r="AS42" s="2">
        <v>0</v>
      </c>
      <c r="AT42" s="2">
        <v>-815.93914281996047</v>
      </c>
      <c r="AU42" s="1">
        <v>74.321919999999992</v>
      </c>
      <c r="AV42" s="2">
        <v>0</v>
      </c>
      <c r="AW42" s="2">
        <v>0</v>
      </c>
      <c r="AX42" s="2">
        <v>50.295035765929093</v>
      </c>
      <c r="AZ42" s="1">
        <f t="shared" si="87"/>
        <v>57.006079999999997</v>
      </c>
      <c r="BA42" s="2">
        <f t="shared" si="88"/>
        <v>11.736161370117109</v>
      </c>
      <c r="BB42" s="7">
        <f t="shared" si="89"/>
        <v>-539.2590308001794</v>
      </c>
      <c r="BC42" s="1">
        <f t="shared" si="90"/>
        <v>17.315840000000001</v>
      </c>
      <c r="BD42" s="2">
        <f t="shared" si="91"/>
        <v>2.7381487750762421</v>
      </c>
      <c r="BE42" s="2">
        <f t="shared" si="92"/>
        <v>-100.00067339882899</v>
      </c>
      <c r="BF42" s="2">
        <f t="shared" si="93"/>
        <v>0</v>
      </c>
      <c r="BG42" s="7">
        <f t="shared" si="94"/>
        <v>-105.47016044584061</v>
      </c>
      <c r="BH42" s="1">
        <f t="shared" si="95"/>
        <v>74.321920000000006</v>
      </c>
      <c r="BI42" s="2">
        <f t="shared" si="96"/>
        <v>14.474310145193352</v>
      </c>
      <c r="BJ42" s="2">
        <f t="shared" si="97"/>
        <v>639.25970419900841</v>
      </c>
      <c r="BK42" s="2">
        <f t="shared" si="98"/>
        <v>0</v>
      </c>
      <c r="BL42" s="7">
        <f t="shared" si="99"/>
        <v>-105.47016044584061</v>
      </c>
      <c r="BN42" s="1">
        <f t="shared" si="28"/>
        <v>74.321919999999992</v>
      </c>
      <c r="BO42" s="4" t="str">
        <f t="shared" ref="BO42" si="109">IF(ISNUMBER(SEARCH("Appui",E42)),0,"0")</f>
        <v>0</v>
      </c>
      <c r="BP42" s="2">
        <f t="shared" si="23"/>
        <v>74.321919999999992</v>
      </c>
      <c r="BQ42" s="2">
        <f t="shared" si="30"/>
        <v>50.295035765929093</v>
      </c>
      <c r="BR42" s="3">
        <f t="shared" si="31"/>
        <v>1.477718802028315</v>
      </c>
      <c r="BS42" s="1">
        <f t="shared" si="32"/>
        <v>97.28</v>
      </c>
      <c r="BT42" s="2">
        <f t="shared" si="33"/>
        <v>138.07146803222261</v>
      </c>
      <c r="BU42" s="21">
        <f t="shared" si="34"/>
        <v>0.70456265430086651</v>
      </c>
      <c r="BV42" s="2">
        <f t="shared" si="35"/>
        <v>254.03</v>
      </c>
      <c r="BW42" s="2">
        <f t="shared" si="36"/>
        <v>332.06200224709994</v>
      </c>
      <c r="BX42" s="21">
        <f t="shared" si="37"/>
        <v>1.3071763266035505</v>
      </c>
      <c r="BY42" s="10" t="str">
        <f t="shared" ref="BY42" si="110">IF(C40&lt;C42,"Rive",IF(C44&gt;C42,"Rive","Inter"))</f>
        <v>Inter</v>
      </c>
    </row>
    <row r="43" spans="1:77" x14ac:dyDescent="0.25">
      <c r="A43" t="str">
        <f t="shared" si="24"/>
        <v>Appui</v>
      </c>
      <c r="B43" t="b">
        <f t="shared" si="25"/>
        <v>1</v>
      </c>
      <c r="C43">
        <f t="shared" si="104"/>
        <v>4</v>
      </c>
      <c r="D43" s="5" t="s">
        <v>91</v>
      </c>
      <c r="E43" t="s">
        <v>56</v>
      </c>
      <c r="F43" s="5">
        <v>25</v>
      </c>
      <c r="G43" t="s">
        <v>46</v>
      </c>
      <c r="H43">
        <v>500</v>
      </c>
      <c r="I43">
        <v>170000</v>
      </c>
      <c r="J43">
        <v>1300</v>
      </c>
      <c r="K43" s="10">
        <v>1445</v>
      </c>
      <c r="L43" s="12">
        <v>1</v>
      </c>
      <c r="M43" s="5">
        <v>0.25</v>
      </c>
      <c r="N43" s="10">
        <v>2.2000000000000002</v>
      </c>
      <c r="O43" s="5">
        <v>1.89E-3</v>
      </c>
      <c r="P43">
        <v>6.9999999999999993E-2</v>
      </c>
      <c r="Q43" s="10">
        <v>1</v>
      </c>
      <c r="R43" s="8">
        <v>0</v>
      </c>
      <c r="S43">
        <v>0</v>
      </c>
      <c r="T43">
        <v>1</v>
      </c>
      <c r="U43" s="9">
        <v>1.92E-4</v>
      </c>
      <c r="V43">
        <v>0</v>
      </c>
      <c r="W43" s="10">
        <v>1</v>
      </c>
      <c r="X43" s="1">
        <v>93.466999999999999</v>
      </c>
      <c r="Y43" s="2">
        <v>28.390999999999998</v>
      </c>
      <c r="Z43" s="13">
        <v>0</v>
      </c>
      <c r="AA43" s="2">
        <v>93.466999999999999</v>
      </c>
      <c r="AB43" s="2">
        <v>28.390999999999998</v>
      </c>
      <c r="AC43" s="2">
        <v>159.5</v>
      </c>
      <c r="AD43" s="2"/>
      <c r="AE43" s="7">
        <v>121.858</v>
      </c>
      <c r="AF43" s="2">
        <v>93.466999999999999</v>
      </c>
      <c r="AG43" s="2">
        <v>28.390999999999998</v>
      </c>
      <c r="AH43" s="2">
        <v>12.993707979616129</v>
      </c>
      <c r="AI43" s="2">
        <v>3.585038060347737</v>
      </c>
      <c r="AJ43" s="2">
        <v>-296.427793029741</v>
      </c>
      <c r="AK43" s="2">
        <v>-76.319279910673188</v>
      </c>
      <c r="AL43" s="2">
        <v>0</v>
      </c>
      <c r="AM43" s="2">
        <v>-97.629087268150954</v>
      </c>
      <c r="AN43" s="2">
        <v>159.5</v>
      </c>
      <c r="AO43" s="2">
        <v>141.95252023933841</v>
      </c>
      <c r="AP43" s="2">
        <v>199.10852479651081</v>
      </c>
      <c r="AQ43" s="2">
        <v>13.34693922504519</v>
      </c>
      <c r="AR43" s="2">
        <v>-434.93506243913089</v>
      </c>
      <c r="AS43" s="2">
        <v>0</v>
      </c>
      <c r="AT43" s="2">
        <v>-635.99100634614388</v>
      </c>
      <c r="AU43" s="1">
        <v>121.858</v>
      </c>
      <c r="AV43" s="2">
        <v>11.45054088172761</v>
      </c>
      <c r="AW43" s="2">
        <v>-400.91782731996852</v>
      </c>
      <c r="AX43" s="2">
        <v>141.95252023933841</v>
      </c>
      <c r="AZ43" s="1">
        <f t="shared" si="87"/>
        <v>93.466999999999999</v>
      </c>
      <c r="BA43" s="2">
        <f t="shared" si="88"/>
        <v>12.993707979616129</v>
      </c>
      <c r="BB43" s="7">
        <f t="shared" si="89"/>
        <v>-296.427793029741</v>
      </c>
      <c r="BC43" s="1">
        <f t="shared" si="90"/>
        <v>28.390999999999998</v>
      </c>
      <c r="BD43" s="2">
        <f t="shared" si="91"/>
        <v>3.585038060347737</v>
      </c>
      <c r="BE43" s="2">
        <f t="shared" si="92"/>
        <v>-76.319279910673188</v>
      </c>
      <c r="BF43" s="2">
        <f t="shared" si="93"/>
        <v>0</v>
      </c>
      <c r="BG43" s="7">
        <f t="shared" si="94"/>
        <v>-97.629087268150954</v>
      </c>
      <c r="BH43" s="1">
        <f t="shared" si="95"/>
        <v>121.858</v>
      </c>
      <c r="BI43" s="2">
        <f t="shared" si="96"/>
        <v>16.578746039963868</v>
      </c>
      <c r="BJ43" s="2">
        <f t="shared" si="97"/>
        <v>372.74707294041417</v>
      </c>
      <c r="BK43" s="2">
        <f t="shared" si="98"/>
        <v>0</v>
      </c>
      <c r="BL43" s="7">
        <f t="shared" si="99"/>
        <v>-97.629087268150954</v>
      </c>
      <c r="BN43" s="1">
        <f t="shared" si="28"/>
        <v>121.858</v>
      </c>
      <c r="BO43" s="4">
        <v>0</v>
      </c>
      <c r="BP43" s="2">
        <f t="shared" si="23"/>
        <v>121.858</v>
      </c>
      <c r="BQ43" s="2">
        <f t="shared" si="30"/>
        <v>141.95252023933841</v>
      </c>
      <c r="BR43" s="3">
        <f t="shared" si="31"/>
        <v>0.85844196210494794</v>
      </c>
      <c r="BS43" s="1">
        <f t="shared" si="32"/>
        <v>159.5</v>
      </c>
      <c r="BT43" s="2">
        <f t="shared" si="33"/>
        <v>199.10852479651081</v>
      </c>
      <c r="BU43" s="21">
        <f t="shared" si="34"/>
        <v>0.80107067320703229</v>
      </c>
      <c r="BV43" s="2" t="str">
        <f t="shared" si="35"/>
        <v/>
      </c>
      <c r="BW43" s="2" t="str">
        <f t="shared" si="36"/>
        <v/>
      </c>
      <c r="BX43" s="21" t="str">
        <f t="shared" si="37"/>
        <v/>
      </c>
      <c r="BY43" s="15"/>
    </row>
    <row r="44" spans="1:77" x14ac:dyDescent="0.25">
      <c r="A44" t="str">
        <f t="shared" si="24"/>
        <v>Travée</v>
      </c>
      <c r="B44" t="b">
        <f t="shared" si="25"/>
        <v>1</v>
      </c>
      <c r="C44">
        <f t="shared" si="104"/>
        <v>4</v>
      </c>
      <c r="D44" s="5" t="s">
        <v>91</v>
      </c>
      <c r="E44" t="s">
        <v>57</v>
      </c>
      <c r="F44" s="5">
        <v>25</v>
      </c>
      <c r="G44" t="s">
        <v>46</v>
      </c>
      <c r="H44">
        <v>500</v>
      </c>
      <c r="I44">
        <v>170000</v>
      </c>
      <c r="J44">
        <v>1300</v>
      </c>
      <c r="K44" s="10">
        <v>1445</v>
      </c>
      <c r="L44" s="12">
        <v>1</v>
      </c>
      <c r="M44" s="5">
        <v>0.26</v>
      </c>
      <c r="N44" s="10">
        <v>2.2000000000000002</v>
      </c>
      <c r="O44" s="5">
        <v>5.6539999999999997E-4</v>
      </c>
      <c r="P44">
        <v>0.04</v>
      </c>
      <c r="Q44" s="10">
        <v>1</v>
      </c>
      <c r="R44" s="8">
        <v>0</v>
      </c>
      <c r="S44">
        <v>0</v>
      </c>
      <c r="T44">
        <v>1</v>
      </c>
      <c r="U44" s="9">
        <v>9.6000000000000002E-5</v>
      </c>
      <c r="V44">
        <v>0</v>
      </c>
      <c r="W44" s="10">
        <v>1</v>
      </c>
      <c r="X44" s="1">
        <v>26.252800000000001</v>
      </c>
      <c r="Y44" s="2">
        <v>7.9744000000000002</v>
      </c>
      <c r="Z44" s="13">
        <v>0</v>
      </c>
      <c r="AA44" s="2">
        <v>26.252800000000001</v>
      </c>
      <c r="AB44" s="2">
        <v>7.9744000000000002</v>
      </c>
      <c r="AC44" s="2">
        <v>44.8</v>
      </c>
      <c r="AD44" s="2"/>
      <c r="AE44" s="7">
        <v>34.227200000000003</v>
      </c>
      <c r="AF44" s="2">
        <v>26.252800000000001</v>
      </c>
      <c r="AG44" s="2">
        <v>7.9744000000000002</v>
      </c>
      <c r="AH44" s="2">
        <v>4.4756516643508961</v>
      </c>
      <c r="AI44" s="2">
        <v>1.2341820804058361</v>
      </c>
      <c r="AJ44" s="2">
        <v>-219.61062233206471</v>
      </c>
      <c r="AK44" s="2">
        <v>-55.395436160794503</v>
      </c>
      <c r="AL44" s="2">
        <v>0</v>
      </c>
      <c r="AM44" s="2">
        <v>-56.859194488329749</v>
      </c>
      <c r="AN44" s="2">
        <v>44.8</v>
      </c>
      <c r="AO44" s="2">
        <v>56.863742648834233</v>
      </c>
      <c r="AP44" s="2">
        <v>87.007089877328099</v>
      </c>
      <c r="AQ44" s="2">
        <v>4.9687947689809571</v>
      </c>
      <c r="AR44" s="2">
        <v>-315.87079891711699</v>
      </c>
      <c r="AS44" s="2">
        <v>0</v>
      </c>
      <c r="AT44" s="2">
        <v>-327.33483194902072</v>
      </c>
      <c r="AU44" s="1">
        <v>34.227200000000003</v>
      </c>
      <c r="AV44" s="2">
        <v>4.2157114903331907</v>
      </c>
      <c r="AW44" s="2">
        <v>-290.74482712877892</v>
      </c>
      <c r="AX44" s="2">
        <v>56.863742648834233</v>
      </c>
      <c r="AZ44" s="1">
        <f t="shared" si="87"/>
        <v>26.252800000000001</v>
      </c>
      <c r="BA44" s="2">
        <f t="shared" si="88"/>
        <v>4.4756516643508961</v>
      </c>
      <c r="BB44" s="7">
        <f t="shared" si="89"/>
        <v>-219.61062233206471</v>
      </c>
      <c r="BC44" s="1">
        <f t="shared" si="90"/>
        <v>7.9744000000000002</v>
      </c>
      <c r="BD44" s="2">
        <f t="shared" si="91"/>
        <v>1.2341820804058361</v>
      </c>
      <c r="BE44" s="2">
        <f t="shared" si="92"/>
        <v>-55.395436160794503</v>
      </c>
      <c r="BF44" s="2">
        <f t="shared" si="93"/>
        <v>0</v>
      </c>
      <c r="BG44" s="7">
        <f t="shared" si="94"/>
        <v>-56.859194488329749</v>
      </c>
      <c r="BH44" s="1">
        <f t="shared" si="95"/>
        <v>34.227200000000003</v>
      </c>
      <c r="BI44" s="2">
        <f t="shared" si="96"/>
        <v>5.7098337447567324</v>
      </c>
      <c r="BJ44" s="2">
        <f t="shared" si="97"/>
        <v>275.00605849285921</v>
      </c>
      <c r="BK44" s="2">
        <f t="shared" si="98"/>
        <v>0</v>
      </c>
      <c r="BL44" s="7">
        <f t="shared" si="99"/>
        <v>-56.859194488329749</v>
      </c>
      <c r="BN44" s="1">
        <f t="shared" si="28"/>
        <v>34.227200000000003</v>
      </c>
      <c r="BO44" s="4" t="str">
        <f t="shared" ref="BO44" si="111">IF(ISNUMBER(SEARCH("Appui",E44)),0,"0")</f>
        <v>0</v>
      </c>
      <c r="BP44" s="2">
        <f t="shared" si="23"/>
        <v>34.227200000000003</v>
      </c>
      <c r="BQ44" s="2">
        <f t="shared" si="30"/>
        <v>56.863742648834233</v>
      </c>
      <c r="BR44" s="3">
        <f t="shared" si="31"/>
        <v>0.60191606119513308</v>
      </c>
      <c r="BS44" s="1">
        <f t="shared" si="32"/>
        <v>44.8</v>
      </c>
      <c r="BT44" s="2">
        <f t="shared" si="33"/>
        <v>87.007089877328099</v>
      </c>
      <c r="BU44" s="21">
        <f t="shared" si="34"/>
        <v>0.51490056802455786</v>
      </c>
      <c r="BV44" s="2">
        <f t="shared" si="35"/>
        <v>124.55</v>
      </c>
      <c r="BW44" s="2">
        <f t="shared" si="36"/>
        <v>186.56135227558349</v>
      </c>
      <c r="BX44" s="21">
        <f t="shared" si="37"/>
        <v>1.4978831977164471</v>
      </c>
      <c r="BY44" s="10" t="str">
        <f t="shared" ref="BY44" si="112">IF(C42&lt;C44,"Rive",IF(C46&gt;C44,"Rive","Inter"))</f>
        <v>Rive</v>
      </c>
    </row>
    <row r="45" spans="1:77" x14ac:dyDescent="0.25">
      <c r="A45" t="str">
        <f t="shared" ref="A45" si="113">IF(ISNUMBER(SEARCH("Appui",E45)),"Appui",IF(ISNUMBER(SEARCH("Travée",E45)),"Travée",""))</f>
        <v/>
      </c>
      <c r="B45" t="b">
        <f>MOD(C45,2)=0</f>
        <v>1</v>
      </c>
      <c r="C45">
        <f>IF(D45="",100000,IF(D45=D43,C43,C43+1))</f>
        <v>4</v>
      </c>
      <c r="D45" s="5" t="s">
        <v>91</v>
      </c>
      <c r="F45" s="5"/>
      <c r="K45" s="10"/>
      <c r="L45" s="12"/>
      <c r="M45" s="5"/>
      <c r="N45" s="10"/>
      <c r="O45" s="5"/>
      <c r="Q45" s="10"/>
      <c r="R45" s="8"/>
      <c r="U45" s="9"/>
      <c r="W45" s="10"/>
      <c r="X45" s="1"/>
      <c r="Y45" s="2"/>
      <c r="Z45" s="13"/>
      <c r="AA45" s="2"/>
      <c r="AB45" s="2"/>
      <c r="AC45" s="2"/>
      <c r="AD45" s="2"/>
      <c r="AE45" s="7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1"/>
      <c r="AV45" s="2"/>
      <c r="AW45" s="2"/>
      <c r="AX45" s="2"/>
      <c r="AZ45" s="1"/>
      <c r="BA45" s="2"/>
      <c r="BB45" s="7"/>
      <c r="BC45" s="1"/>
      <c r="BD45" s="2"/>
      <c r="BE45" s="2"/>
      <c r="BF45" s="2"/>
      <c r="BG45" s="7"/>
      <c r="BH45" s="1"/>
      <c r="BI45" s="2"/>
      <c r="BJ45" s="2"/>
      <c r="BK45" s="2"/>
      <c r="BL45" s="7"/>
      <c r="BN45" s="1"/>
      <c r="BO45" s="4"/>
      <c r="BP45" s="2">
        <f t="shared" si="23"/>
        <v>0</v>
      </c>
      <c r="BQ45" s="2"/>
      <c r="BR45" s="3"/>
      <c r="BS45" s="1"/>
      <c r="BT45" s="2"/>
      <c r="BU45" s="21"/>
      <c r="BV45" s="2"/>
      <c r="BW45" s="2"/>
      <c r="BX45" s="21"/>
      <c r="BY45" s="15"/>
    </row>
    <row r="46" spans="1:77" x14ac:dyDescent="0.25">
      <c r="A46" t="str">
        <f t="shared" si="24"/>
        <v>Travée</v>
      </c>
      <c r="B46" t="b">
        <f t="shared" si="25"/>
        <v>0</v>
      </c>
      <c r="C46">
        <f>IF(D46="",100000,IF(D46=D44,C44,C44+1))</f>
        <v>5</v>
      </c>
      <c r="D46" s="5" t="s">
        <v>92</v>
      </c>
      <c r="E46" t="s">
        <v>45</v>
      </c>
      <c r="F46" s="5">
        <v>25</v>
      </c>
      <c r="G46" t="s">
        <v>46</v>
      </c>
      <c r="H46">
        <v>500</v>
      </c>
      <c r="I46">
        <v>170000</v>
      </c>
      <c r="J46">
        <v>1300</v>
      </c>
      <c r="K46" s="10">
        <v>1445</v>
      </c>
      <c r="L46" s="12">
        <v>1</v>
      </c>
      <c r="M46" s="5">
        <v>0.26</v>
      </c>
      <c r="N46" s="10">
        <v>2.2000000000000002</v>
      </c>
      <c r="O46" s="5">
        <v>5.6539999999999997E-4</v>
      </c>
      <c r="P46">
        <v>0.04</v>
      </c>
      <c r="Q46" s="10">
        <v>1</v>
      </c>
      <c r="R46" s="8">
        <v>0</v>
      </c>
      <c r="S46">
        <v>0</v>
      </c>
      <c r="T46">
        <v>1</v>
      </c>
      <c r="U46" s="9">
        <v>9.6000000000000002E-5</v>
      </c>
      <c r="V46">
        <v>0</v>
      </c>
      <c r="W46" s="10">
        <v>1</v>
      </c>
      <c r="X46" s="1">
        <v>24.75264</v>
      </c>
      <c r="Y46" s="2">
        <v>7.5187200000000001</v>
      </c>
      <c r="Z46" s="13">
        <v>0.5</v>
      </c>
      <c r="AA46" s="2">
        <v>12.37632</v>
      </c>
      <c r="AB46" s="2">
        <v>19.895040000000002</v>
      </c>
      <c r="AC46" s="2">
        <v>42.24</v>
      </c>
      <c r="AD46" s="2"/>
      <c r="AE46" s="7">
        <v>32.271360000000001</v>
      </c>
      <c r="AF46" s="2">
        <v>12.37632</v>
      </c>
      <c r="AG46" s="2">
        <v>19.895040000000002</v>
      </c>
      <c r="AH46" s="2">
        <v>2.1099500703368519</v>
      </c>
      <c r="AI46" s="2">
        <v>3.0791127924315349</v>
      </c>
      <c r="AJ46" s="2">
        <v>-103.5307219565448</v>
      </c>
      <c r="AK46" s="2">
        <v>-138.2040753394721</v>
      </c>
      <c r="AL46" s="2">
        <v>0</v>
      </c>
      <c r="AM46" s="2">
        <v>-141.85594969318171</v>
      </c>
      <c r="AN46" s="2">
        <v>42.24</v>
      </c>
      <c r="AO46" s="2">
        <v>56.863742648834233</v>
      </c>
      <c r="AP46" s="2">
        <v>87.007089877328099</v>
      </c>
      <c r="AQ46" s="2">
        <v>4.6995347318628848</v>
      </c>
      <c r="AR46" s="2">
        <v>-297.78780288139598</v>
      </c>
      <c r="AS46" s="2">
        <v>0</v>
      </c>
      <c r="AT46" s="2">
        <v>-308.5769847369084</v>
      </c>
      <c r="AU46" s="1">
        <v>32.271360000000001</v>
      </c>
      <c r="AV46" s="2">
        <v>3.9854271712833809</v>
      </c>
      <c r="AW46" s="2">
        <v>-274.10025081324488</v>
      </c>
      <c r="AX46" s="2">
        <v>56.863742648834233</v>
      </c>
      <c r="AZ46" s="1">
        <f t="shared" ref="AZ46:AZ56" si="114">AF46</f>
        <v>12.37632</v>
      </c>
      <c r="BA46" s="2">
        <f t="shared" ref="BA46:BA56" si="115">AH46</f>
        <v>2.1099500703368519</v>
      </c>
      <c r="BB46" s="7">
        <f t="shared" ref="BB46:BB56" si="116">AJ46</f>
        <v>-103.5307219565448</v>
      </c>
      <c r="BC46" s="1">
        <f t="shared" ref="BC46:BC56" si="117">AG46</f>
        <v>19.895040000000002</v>
      </c>
      <c r="BD46" s="2">
        <f t="shared" ref="BD46:BD56" si="118">AI46</f>
        <v>3.0791127924315349</v>
      </c>
      <c r="BE46" s="2">
        <f t="shared" ref="BE46:BE56" si="119">AK46</f>
        <v>-138.2040753394721</v>
      </c>
      <c r="BF46" s="2">
        <f t="shared" ref="BF46:BF56" si="120">AL46</f>
        <v>0</v>
      </c>
      <c r="BG46" s="7">
        <f t="shared" ref="BG46:BG56" si="121">AM46</f>
        <v>-141.85594969318171</v>
      </c>
      <c r="BH46" s="1">
        <f t="shared" ref="BH46:BH56" si="122">AZ46+BC46</f>
        <v>32.271360000000001</v>
      </c>
      <c r="BI46" s="2">
        <f t="shared" ref="BI46:BI56" si="123">BA46+BD46</f>
        <v>5.1890628627683864</v>
      </c>
      <c r="BJ46" s="2">
        <f t="shared" ref="BJ46:BJ56" si="124">ABS(BB46+BE46)</f>
        <v>241.73479729601689</v>
      </c>
      <c r="BK46" s="2">
        <f t="shared" ref="BK46:BK56" si="125">ABS(BF46)</f>
        <v>0</v>
      </c>
      <c r="BL46" s="7">
        <f t="shared" ref="BL46:BL56" si="126">BG46</f>
        <v>-141.85594969318171</v>
      </c>
      <c r="BN46" s="1">
        <f t="shared" si="28"/>
        <v>32.271360000000001</v>
      </c>
      <c r="BO46" s="4" t="str">
        <f t="shared" ref="BO46" si="127">IF(ISNUMBER(SEARCH("Appui",E46)),0,"0")</f>
        <v>0</v>
      </c>
      <c r="BP46" s="2">
        <f t="shared" si="23"/>
        <v>32.271360000000001</v>
      </c>
      <c r="BQ46" s="2">
        <f t="shared" si="30"/>
        <v>56.863742648834233</v>
      </c>
      <c r="BR46" s="3">
        <f t="shared" si="31"/>
        <v>0.56752085769826832</v>
      </c>
      <c r="BS46" s="1">
        <f t="shared" si="32"/>
        <v>42.24</v>
      </c>
      <c r="BT46" s="2">
        <f t="shared" si="33"/>
        <v>87.007089877328099</v>
      </c>
      <c r="BU46" s="21">
        <f t="shared" si="34"/>
        <v>0.48547767842315459</v>
      </c>
      <c r="BV46" s="2">
        <f t="shared" si="35"/>
        <v>124.74000000000001</v>
      </c>
      <c r="BW46" s="2">
        <f t="shared" si="36"/>
        <v>144.59739211222291</v>
      </c>
      <c r="BX46" s="21">
        <f t="shared" si="37"/>
        <v>1.1591902526232396</v>
      </c>
      <c r="BY46" s="10" t="str">
        <f t="shared" ref="BY46" si="128">IF(C44&lt;C46,"Rive",IF(C48&gt;C46,"Rive","Inter"))</f>
        <v>Rive</v>
      </c>
    </row>
    <row r="47" spans="1:77" x14ac:dyDescent="0.25">
      <c r="A47" t="str">
        <f t="shared" si="24"/>
        <v>Appui</v>
      </c>
      <c r="B47" t="b">
        <f t="shared" si="25"/>
        <v>0</v>
      </c>
      <c r="C47">
        <f t="shared" si="104"/>
        <v>5</v>
      </c>
      <c r="D47" s="5" t="s">
        <v>92</v>
      </c>
      <c r="E47" t="s">
        <v>47</v>
      </c>
      <c r="F47" s="5">
        <v>25</v>
      </c>
      <c r="G47" t="s">
        <v>46</v>
      </c>
      <c r="H47">
        <v>500</v>
      </c>
      <c r="I47">
        <v>170000</v>
      </c>
      <c r="J47">
        <v>1300</v>
      </c>
      <c r="K47" s="10">
        <v>1445</v>
      </c>
      <c r="L47" s="12">
        <v>1</v>
      </c>
      <c r="M47" s="5">
        <v>0.25</v>
      </c>
      <c r="N47" s="10">
        <v>2.2000000000000002</v>
      </c>
      <c r="O47" s="5">
        <v>1.1286E-3</v>
      </c>
      <c r="P47">
        <v>6.9999999999999993E-2</v>
      </c>
      <c r="Q47" s="10">
        <v>1</v>
      </c>
      <c r="R47" s="8">
        <v>3.0789462068965518E-4</v>
      </c>
      <c r="S47">
        <v>0.04</v>
      </c>
      <c r="T47">
        <v>1</v>
      </c>
      <c r="U47" s="9">
        <v>0</v>
      </c>
      <c r="V47">
        <v>0</v>
      </c>
      <c r="W47" s="10">
        <v>1</v>
      </c>
      <c r="X47" s="1">
        <v>96.69</v>
      </c>
      <c r="Y47" s="2">
        <v>29.37</v>
      </c>
      <c r="Z47" s="13">
        <v>0.5</v>
      </c>
      <c r="AA47" s="2">
        <v>48.344999999999999</v>
      </c>
      <c r="AB47" s="2">
        <v>77.715000000000003</v>
      </c>
      <c r="AC47" s="2">
        <v>165</v>
      </c>
      <c r="AD47" s="2"/>
      <c r="AE47" s="7">
        <v>126.06</v>
      </c>
      <c r="AF47" s="2">
        <v>48.344999999999999</v>
      </c>
      <c r="AG47" s="2">
        <v>77.715000000000003</v>
      </c>
      <c r="AH47" s="2">
        <v>8.3296834260495327</v>
      </c>
      <c r="AI47" s="2">
        <v>11.37117563626099</v>
      </c>
      <c r="AJ47" s="2">
        <v>-252.707712912071</v>
      </c>
      <c r="AK47" s="2">
        <v>-295.10748234491302</v>
      </c>
      <c r="AL47" s="2">
        <v>-356.33430195102829</v>
      </c>
      <c r="AM47" s="2">
        <v>0</v>
      </c>
      <c r="AN47" s="2">
        <v>165</v>
      </c>
      <c r="AO47" s="2">
        <v>89.006595086179289</v>
      </c>
      <c r="AP47" s="2">
        <v>115.1806044697896</v>
      </c>
      <c r="AQ47" s="2">
        <v>0</v>
      </c>
      <c r="AR47" s="2">
        <v>0</v>
      </c>
      <c r="AS47" s="2">
        <v>0</v>
      </c>
      <c r="AT47" s="2">
        <v>0</v>
      </c>
      <c r="AU47" s="1">
        <v>126.06</v>
      </c>
      <c r="AV47" s="2">
        <v>0</v>
      </c>
      <c r="AW47" s="2">
        <v>0</v>
      </c>
      <c r="AX47" s="2">
        <v>115.1806044697896</v>
      </c>
      <c r="AZ47" s="1">
        <f t="shared" si="114"/>
        <v>48.344999999999999</v>
      </c>
      <c r="BA47" s="2">
        <f t="shared" si="115"/>
        <v>8.3296834260495327</v>
      </c>
      <c r="BB47" s="7">
        <f t="shared" si="116"/>
        <v>-252.707712912071</v>
      </c>
      <c r="BC47" s="1">
        <f t="shared" si="117"/>
        <v>77.715000000000003</v>
      </c>
      <c r="BD47" s="2">
        <f t="shared" si="118"/>
        <v>11.37117563626099</v>
      </c>
      <c r="BE47" s="2">
        <f t="shared" si="119"/>
        <v>-295.10748234491302</v>
      </c>
      <c r="BF47" s="2">
        <f t="shared" si="120"/>
        <v>-356.33430195102829</v>
      </c>
      <c r="BG47" s="7">
        <f t="shared" si="121"/>
        <v>0</v>
      </c>
      <c r="BH47" s="1">
        <f t="shared" si="122"/>
        <v>126.06</v>
      </c>
      <c r="BI47" s="2">
        <f t="shared" si="123"/>
        <v>19.700859062310521</v>
      </c>
      <c r="BJ47" s="2">
        <f t="shared" si="124"/>
        <v>547.815195256984</v>
      </c>
      <c r="BK47" s="2">
        <f t="shared" si="125"/>
        <v>356.33430195102829</v>
      </c>
      <c r="BL47" s="7">
        <f t="shared" si="126"/>
        <v>0</v>
      </c>
      <c r="BN47" s="1">
        <f t="shared" si="28"/>
        <v>126.06</v>
      </c>
      <c r="BO47" s="4">
        <v>0</v>
      </c>
      <c r="BP47" s="2">
        <f t="shared" si="23"/>
        <v>126.06</v>
      </c>
      <c r="BQ47" s="2">
        <f t="shared" si="30"/>
        <v>115.1806044697896</v>
      </c>
      <c r="BR47" s="3">
        <f t="shared" si="31"/>
        <v>1.094455100147212</v>
      </c>
      <c r="BS47" s="1">
        <f t="shared" si="32"/>
        <v>165</v>
      </c>
      <c r="BT47" s="2">
        <f t="shared" si="33"/>
        <v>115.1806044697896</v>
      </c>
      <c r="BU47" s="21">
        <f t="shared" si="34"/>
        <v>1.4325328535958273</v>
      </c>
      <c r="BV47" s="2" t="str">
        <f t="shared" si="35"/>
        <v/>
      </c>
      <c r="BW47" s="2" t="str">
        <f t="shared" si="36"/>
        <v/>
      </c>
      <c r="BX47" s="21" t="str">
        <f t="shared" si="37"/>
        <v/>
      </c>
      <c r="BY47" s="15"/>
    </row>
    <row r="48" spans="1:77" x14ac:dyDescent="0.25">
      <c r="A48" t="str">
        <f t="shared" si="24"/>
        <v>Travée</v>
      </c>
      <c r="B48" t="b">
        <f t="shared" si="25"/>
        <v>0</v>
      </c>
      <c r="C48">
        <f t="shared" si="104"/>
        <v>5</v>
      </c>
      <c r="D48" s="5" t="s">
        <v>92</v>
      </c>
      <c r="E48" t="s">
        <v>48</v>
      </c>
      <c r="F48" s="5">
        <v>25</v>
      </c>
      <c r="G48" t="s">
        <v>46</v>
      </c>
      <c r="H48">
        <v>500</v>
      </c>
      <c r="I48">
        <v>170000</v>
      </c>
      <c r="J48">
        <v>1300</v>
      </c>
      <c r="K48" s="10">
        <v>1445</v>
      </c>
      <c r="L48" s="12">
        <v>1</v>
      </c>
      <c r="M48" s="5">
        <v>0.23499999999999999</v>
      </c>
      <c r="N48" s="10">
        <v>2.2000000000000002</v>
      </c>
      <c r="O48" s="5">
        <v>8.470000000000001E-4</v>
      </c>
      <c r="P48">
        <v>0.04</v>
      </c>
      <c r="Q48" s="10">
        <v>1</v>
      </c>
      <c r="R48" s="8">
        <v>0</v>
      </c>
      <c r="S48">
        <v>0</v>
      </c>
      <c r="T48">
        <v>1</v>
      </c>
      <c r="U48" s="9">
        <v>2.8800000000000001E-4</v>
      </c>
      <c r="V48">
        <v>0</v>
      </c>
      <c r="W48" s="10">
        <v>1</v>
      </c>
      <c r="X48" s="1">
        <v>65.256959999999992</v>
      </c>
      <c r="Y48" s="2">
        <v>19.82208</v>
      </c>
      <c r="Z48" s="13">
        <v>0.5</v>
      </c>
      <c r="AA48" s="2">
        <v>32.628480000000003</v>
      </c>
      <c r="AB48" s="2">
        <v>52.450560000000003</v>
      </c>
      <c r="AC48" s="2">
        <v>111.36</v>
      </c>
      <c r="AD48" s="2"/>
      <c r="AE48" s="7">
        <v>85.079039999999992</v>
      </c>
      <c r="AF48" s="2">
        <v>32.628480000000003</v>
      </c>
      <c r="AG48" s="2">
        <v>52.450560000000003</v>
      </c>
      <c r="AH48" s="2">
        <v>5.6145583206060117</v>
      </c>
      <c r="AI48" s="2">
        <v>7.4757269625293468</v>
      </c>
      <c r="AJ48" s="2">
        <v>-207.8103960513713</v>
      </c>
      <c r="AK48" s="2">
        <v>-233.94303358537411</v>
      </c>
      <c r="AL48" s="2">
        <v>0</v>
      </c>
      <c r="AM48" s="2">
        <v>-247.92394427023231</v>
      </c>
      <c r="AN48" s="2">
        <v>111.36</v>
      </c>
      <c r="AO48" s="2">
        <v>74.708892277634163</v>
      </c>
      <c r="AP48" s="2">
        <v>159.59855307589541</v>
      </c>
      <c r="AQ48" s="2">
        <v>11.48762739491028</v>
      </c>
      <c r="AR48" s="2">
        <v>-435.59256480077141</v>
      </c>
      <c r="AS48" s="2">
        <v>0</v>
      </c>
      <c r="AT48" s="2">
        <v>-704.40259875644472</v>
      </c>
      <c r="AU48" s="1">
        <v>85.079039999999992</v>
      </c>
      <c r="AV48" s="2">
        <v>0</v>
      </c>
      <c r="AW48" s="2">
        <v>0</v>
      </c>
      <c r="AX48" s="2">
        <v>74.708892277634163</v>
      </c>
      <c r="AZ48" s="1">
        <f t="shared" si="114"/>
        <v>32.628480000000003</v>
      </c>
      <c r="BA48" s="2">
        <f t="shared" si="115"/>
        <v>5.6145583206060117</v>
      </c>
      <c r="BB48" s="7">
        <f t="shared" si="116"/>
        <v>-207.8103960513713</v>
      </c>
      <c r="BC48" s="1">
        <f t="shared" si="117"/>
        <v>52.450560000000003</v>
      </c>
      <c r="BD48" s="2">
        <f t="shared" si="118"/>
        <v>7.4757269625293468</v>
      </c>
      <c r="BE48" s="2">
        <f t="shared" si="119"/>
        <v>-233.94303358537411</v>
      </c>
      <c r="BF48" s="2">
        <f t="shared" si="120"/>
        <v>0</v>
      </c>
      <c r="BG48" s="7">
        <f t="shared" si="121"/>
        <v>-247.92394427023231</v>
      </c>
      <c r="BH48" s="1">
        <f t="shared" si="122"/>
        <v>85.079040000000006</v>
      </c>
      <c r="BI48" s="2">
        <f t="shared" si="123"/>
        <v>13.090285283135358</v>
      </c>
      <c r="BJ48" s="2">
        <f t="shared" si="124"/>
        <v>441.75342963674541</v>
      </c>
      <c r="BK48" s="2">
        <f t="shared" si="125"/>
        <v>0</v>
      </c>
      <c r="BL48" s="7">
        <f t="shared" si="126"/>
        <v>-247.92394427023231</v>
      </c>
      <c r="BN48" s="1">
        <f t="shared" si="28"/>
        <v>85.079039999999992</v>
      </c>
      <c r="BO48" s="4" t="str">
        <f t="shared" ref="BO48" si="129">IF(ISNUMBER(SEARCH("Appui",E48)),0,"0")</f>
        <v>0</v>
      </c>
      <c r="BP48" s="2">
        <f t="shared" si="23"/>
        <v>85.079039999999992</v>
      </c>
      <c r="BQ48" s="2">
        <f t="shared" si="30"/>
        <v>74.708892277634163</v>
      </c>
      <c r="BR48" s="3">
        <f t="shared" si="31"/>
        <v>1.1388074084116808</v>
      </c>
      <c r="BS48" s="1">
        <f t="shared" si="32"/>
        <v>111.36</v>
      </c>
      <c r="BT48" s="2">
        <f t="shared" si="33"/>
        <v>159.59855307589541</v>
      </c>
      <c r="BU48" s="21">
        <f t="shared" si="34"/>
        <v>0.69775068666846829</v>
      </c>
      <c r="BV48" s="2">
        <f t="shared" si="35"/>
        <v>273.61</v>
      </c>
      <c r="BW48" s="2">
        <f t="shared" si="36"/>
        <v>319.72122623842017</v>
      </c>
      <c r="BX48" s="21">
        <f t="shared" si="37"/>
        <v>1.1685290239334094</v>
      </c>
      <c r="BY48" s="10" t="str">
        <f t="shared" ref="BY48" si="130">IF(C46&lt;C48,"Rive",IF(C50&gt;C48,"Rive","Inter"))</f>
        <v>Inter</v>
      </c>
    </row>
    <row r="49" spans="1:77" x14ac:dyDescent="0.25">
      <c r="A49" t="str">
        <f t="shared" si="24"/>
        <v>Appui</v>
      </c>
      <c r="B49" t="b">
        <f t="shared" si="25"/>
        <v>0</v>
      </c>
      <c r="C49">
        <f t="shared" si="104"/>
        <v>5</v>
      </c>
      <c r="D49" s="5" t="s">
        <v>92</v>
      </c>
      <c r="E49" t="s">
        <v>49</v>
      </c>
      <c r="F49" s="5">
        <v>25</v>
      </c>
      <c r="G49" t="s">
        <v>46</v>
      </c>
      <c r="H49">
        <v>500</v>
      </c>
      <c r="I49">
        <v>170000</v>
      </c>
      <c r="J49">
        <v>1300</v>
      </c>
      <c r="K49" s="10">
        <v>1445</v>
      </c>
      <c r="L49" s="12">
        <v>1</v>
      </c>
      <c r="M49" s="5">
        <v>0.22</v>
      </c>
      <c r="N49" s="10">
        <v>2.2000000000000002</v>
      </c>
      <c r="O49" s="5">
        <v>1.2930000000000001E-3</v>
      </c>
      <c r="P49">
        <v>0.04</v>
      </c>
      <c r="Q49" s="10">
        <v>1</v>
      </c>
      <c r="R49" s="8">
        <v>0</v>
      </c>
      <c r="S49">
        <v>0</v>
      </c>
      <c r="T49">
        <v>1</v>
      </c>
      <c r="U49" s="9">
        <v>3.8400000000000001E-4</v>
      </c>
      <c r="V49">
        <v>0</v>
      </c>
      <c r="W49" s="10">
        <v>1</v>
      </c>
      <c r="X49" s="1">
        <v>93.466999999999999</v>
      </c>
      <c r="Y49" s="2">
        <v>28.390999999999998</v>
      </c>
      <c r="Z49" s="13">
        <v>0.25</v>
      </c>
      <c r="AA49" s="2">
        <v>70.100250000000003</v>
      </c>
      <c r="AB49" s="2">
        <v>51.757750000000001</v>
      </c>
      <c r="AC49" s="2">
        <v>159.5</v>
      </c>
      <c r="AD49" s="2"/>
      <c r="AE49" s="7">
        <v>121.858</v>
      </c>
      <c r="AF49" s="2">
        <v>70.100250000000003</v>
      </c>
      <c r="AG49" s="2">
        <v>51.757750000000001</v>
      </c>
      <c r="AH49" s="2">
        <v>11.41206419870036</v>
      </c>
      <c r="AI49" s="2">
        <v>7.0908594565377498</v>
      </c>
      <c r="AJ49" s="2">
        <v>-321.02249700454911</v>
      </c>
      <c r="AK49" s="2">
        <v>-170.6707845645962</v>
      </c>
      <c r="AL49" s="2">
        <v>0</v>
      </c>
      <c r="AM49" s="2">
        <v>-185.81854731793979</v>
      </c>
      <c r="AN49" s="2">
        <v>159.5</v>
      </c>
      <c r="AO49" s="2">
        <v>100.77944367559419</v>
      </c>
      <c r="AP49" s="2">
        <v>205.06474185525991</v>
      </c>
      <c r="AQ49" s="2">
        <v>14.95826413385667</v>
      </c>
      <c r="AR49" s="2">
        <v>-436.04364887741508</v>
      </c>
      <c r="AS49" s="2">
        <v>0</v>
      </c>
      <c r="AT49" s="2">
        <v>-863.32848059112189</v>
      </c>
      <c r="AU49" s="1">
        <v>121.858</v>
      </c>
      <c r="AV49" s="2">
        <v>0</v>
      </c>
      <c r="AW49" s="2">
        <v>0</v>
      </c>
      <c r="AX49" s="2">
        <v>100.77944367559419</v>
      </c>
      <c r="AZ49" s="1">
        <f t="shared" si="114"/>
        <v>70.100250000000003</v>
      </c>
      <c r="BA49" s="2">
        <f t="shared" si="115"/>
        <v>11.41206419870036</v>
      </c>
      <c r="BB49" s="7">
        <f t="shared" si="116"/>
        <v>-321.02249700454911</v>
      </c>
      <c r="BC49" s="1">
        <f t="shared" si="117"/>
        <v>51.757750000000001</v>
      </c>
      <c r="BD49" s="2">
        <f t="shared" si="118"/>
        <v>7.0908594565377498</v>
      </c>
      <c r="BE49" s="2">
        <f t="shared" si="119"/>
        <v>-170.6707845645962</v>
      </c>
      <c r="BF49" s="2">
        <f t="shared" si="120"/>
        <v>0</v>
      </c>
      <c r="BG49" s="7">
        <f t="shared" si="121"/>
        <v>-185.81854731793979</v>
      </c>
      <c r="BH49" s="1">
        <f t="shared" si="122"/>
        <v>121.858</v>
      </c>
      <c r="BI49" s="2">
        <f t="shared" si="123"/>
        <v>18.50292365523811</v>
      </c>
      <c r="BJ49" s="2">
        <f t="shared" si="124"/>
        <v>491.69328156914531</v>
      </c>
      <c r="BK49" s="2">
        <f t="shared" si="125"/>
        <v>0</v>
      </c>
      <c r="BL49" s="7">
        <f t="shared" si="126"/>
        <v>-185.81854731793979</v>
      </c>
      <c r="BN49" s="1">
        <f t="shared" si="28"/>
        <v>121.858</v>
      </c>
      <c r="BO49" s="4">
        <v>0</v>
      </c>
      <c r="BP49" s="2">
        <f t="shared" si="23"/>
        <v>121.858</v>
      </c>
      <c r="BQ49" s="2">
        <f t="shared" si="30"/>
        <v>100.77944367559419</v>
      </c>
      <c r="BR49" s="3">
        <f t="shared" si="31"/>
        <v>1.2091553153662666</v>
      </c>
      <c r="BS49" s="1">
        <f t="shared" si="32"/>
        <v>159.5</v>
      </c>
      <c r="BT49" s="2">
        <f t="shared" si="33"/>
        <v>205.06474185525991</v>
      </c>
      <c r="BU49" s="21">
        <f t="shared" si="34"/>
        <v>0.77780313942305745</v>
      </c>
      <c r="BV49" s="2" t="str">
        <f t="shared" si="35"/>
        <v/>
      </c>
      <c r="BW49" s="2" t="str">
        <f t="shared" si="36"/>
        <v/>
      </c>
      <c r="BX49" s="21" t="str">
        <f t="shared" si="37"/>
        <v/>
      </c>
      <c r="BY49" s="15"/>
    </row>
    <row r="50" spans="1:77" x14ac:dyDescent="0.25">
      <c r="A50" t="str">
        <f t="shared" si="24"/>
        <v>Travée</v>
      </c>
      <c r="B50" t="b">
        <f t="shared" si="25"/>
        <v>0</v>
      </c>
      <c r="C50">
        <f t="shared" si="104"/>
        <v>5</v>
      </c>
      <c r="D50" s="5" t="s">
        <v>92</v>
      </c>
      <c r="E50" t="s">
        <v>51</v>
      </c>
      <c r="F50" s="5">
        <v>25</v>
      </c>
      <c r="G50" t="s">
        <v>46</v>
      </c>
      <c r="H50">
        <v>500</v>
      </c>
      <c r="I50">
        <v>170000</v>
      </c>
      <c r="J50">
        <v>1300</v>
      </c>
      <c r="K50" s="10">
        <v>1445</v>
      </c>
      <c r="L50" s="12">
        <v>1</v>
      </c>
      <c r="M50" s="5">
        <v>0.23499999999999999</v>
      </c>
      <c r="N50" s="10">
        <v>2.2000000000000002</v>
      </c>
      <c r="O50" s="5">
        <v>2.8160000000000001E-4</v>
      </c>
      <c r="P50">
        <v>0.04</v>
      </c>
      <c r="Q50" s="10">
        <v>1</v>
      </c>
      <c r="R50" s="8">
        <v>0</v>
      </c>
      <c r="S50">
        <v>0</v>
      </c>
      <c r="T50">
        <v>1</v>
      </c>
      <c r="U50" s="9">
        <v>2.8800000000000001E-4</v>
      </c>
      <c r="V50">
        <v>0</v>
      </c>
      <c r="W50" s="10">
        <v>1</v>
      </c>
      <c r="X50" s="1">
        <v>2.1002239999999999</v>
      </c>
      <c r="Y50" s="2">
        <v>0.63795199999999985</v>
      </c>
      <c r="Z50" s="13">
        <v>0</v>
      </c>
      <c r="AA50" s="2">
        <v>2.1002239999999999</v>
      </c>
      <c r="AB50" s="2">
        <v>0.63795199999999985</v>
      </c>
      <c r="AC50" s="2">
        <v>3.5840000000000001</v>
      </c>
      <c r="AD50" s="2"/>
      <c r="AE50" s="7">
        <v>2.7381760000000002</v>
      </c>
      <c r="AF50" s="2">
        <v>2.1002239999999999</v>
      </c>
      <c r="AG50" s="2">
        <v>0.63795199999999985</v>
      </c>
      <c r="AH50" s="2">
        <v>0.5979027869104363</v>
      </c>
      <c r="AI50" s="2">
        <v>0.1164864337540001</v>
      </c>
      <c r="AJ50" s="2">
        <v>-39.413653129617629</v>
      </c>
      <c r="AK50" s="2">
        <v>-5.2664733514664128</v>
      </c>
      <c r="AL50" s="2">
        <v>0</v>
      </c>
      <c r="AM50" s="2">
        <v>-5.5238136324816054</v>
      </c>
      <c r="AN50" s="2">
        <v>3.5840000000000001</v>
      </c>
      <c r="AO50" s="2">
        <v>25.257071304347711</v>
      </c>
      <c r="AP50" s="2">
        <v>116.06408347683259</v>
      </c>
      <c r="AQ50" s="2">
        <v>0.49174458195578868</v>
      </c>
      <c r="AR50" s="2">
        <v>-29.806571050681381</v>
      </c>
      <c r="AS50" s="2">
        <v>0</v>
      </c>
      <c r="AT50" s="2">
        <v>-31.569212788359529</v>
      </c>
      <c r="AU50" s="1">
        <v>2.7381760000000002</v>
      </c>
      <c r="AV50" s="2">
        <v>0.57721553800211645</v>
      </c>
      <c r="AW50" s="2">
        <v>-51.9434008359583</v>
      </c>
      <c r="AX50" s="2">
        <v>25.257071304347711</v>
      </c>
      <c r="AZ50" s="1">
        <f t="shared" si="114"/>
        <v>2.1002239999999999</v>
      </c>
      <c r="BA50" s="2">
        <f t="shared" si="115"/>
        <v>0.5979027869104363</v>
      </c>
      <c r="BB50" s="7">
        <f t="shared" si="116"/>
        <v>-39.413653129617629</v>
      </c>
      <c r="BC50" s="1">
        <f t="shared" si="117"/>
        <v>0.63795199999999985</v>
      </c>
      <c r="BD50" s="2">
        <f t="shared" si="118"/>
        <v>0.1164864337540001</v>
      </c>
      <c r="BE50" s="2">
        <f t="shared" si="119"/>
        <v>-5.2664733514664128</v>
      </c>
      <c r="BF50" s="2">
        <f t="shared" si="120"/>
        <v>0</v>
      </c>
      <c r="BG50" s="7">
        <f t="shared" si="121"/>
        <v>-5.5238136324816054</v>
      </c>
      <c r="BH50" s="1">
        <f t="shared" si="122"/>
        <v>2.7381759999999997</v>
      </c>
      <c r="BI50" s="2">
        <f t="shared" si="123"/>
        <v>0.71438922066443644</v>
      </c>
      <c r="BJ50" s="2">
        <f t="shared" si="124"/>
        <v>44.680126481084045</v>
      </c>
      <c r="BK50" s="2">
        <f t="shared" si="125"/>
        <v>0</v>
      </c>
      <c r="BL50" s="7">
        <f t="shared" si="126"/>
        <v>-5.5238136324816054</v>
      </c>
      <c r="BN50" s="1">
        <f t="shared" si="28"/>
        <v>2.7381760000000002</v>
      </c>
      <c r="BO50" s="4" t="str">
        <f t="shared" ref="BO50" si="131">IF(ISNUMBER(SEARCH("Appui",E50)),0,"0")</f>
        <v>0</v>
      </c>
      <c r="BP50" s="2">
        <f t="shared" si="23"/>
        <v>2.7381760000000002</v>
      </c>
      <c r="BQ50" s="2">
        <f t="shared" si="30"/>
        <v>25.257071304347711</v>
      </c>
      <c r="BR50" s="3">
        <f t="shared" si="31"/>
        <v>0.10841225283030559</v>
      </c>
      <c r="BS50" s="1">
        <f t="shared" si="32"/>
        <v>3.5840000000000001</v>
      </c>
      <c r="BT50" s="2">
        <f t="shared" si="33"/>
        <v>116.06408347683259</v>
      </c>
      <c r="BU50" s="21">
        <f t="shared" si="34"/>
        <v>3.0879492540992648E-2</v>
      </c>
      <c r="BV50" s="2">
        <f t="shared" si="35"/>
        <v>99.834000000000003</v>
      </c>
      <c r="BW50" s="2">
        <f t="shared" si="36"/>
        <v>268.98617624225983</v>
      </c>
      <c r="BX50" s="21">
        <f t="shared" si="37"/>
        <v>2.694334357455975</v>
      </c>
      <c r="BY50" s="10" t="str">
        <f t="shared" ref="BY50" si="132">IF(C48&lt;C50,"Rive",IF(C52&gt;C50,"Rive","Inter"))</f>
        <v>Inter</v>
      </c>
    </row>
    <row r="51" spans="1:77" x14ac:dyDescent="0.25">
      <c r="A51" t="str">
        <f t="shared" si="24"/>
        <v>Appui</v>
      </c>
      <c r="B51" t="b">
        <f t="shared" si="25"/>
        <v>0</v>
      </c>
      <c r="C51">
        <f t="shared" si="104"/>
        <v>5</v>
      </c>
      <c r="D51" s="5" t="s">
        <v>92</v>
      </c>
      <c r="E51" t="s">
        <v>52</v>
      </c>
      <c r="F51" s="5">
        <v>25</v>
      </c>
      <c r="G51" t="s">
        <v>46</v>
      </c>
      <c r="H51">
        <v>500</v>
      </c>
      <c r="I51">
        <v>170000</v>
      </c>
      <c r="J51">
        <v>1300</v>
      </c>
      <c r="K51" s="10">
        <v>1445</v>
      </c>
      <c r="L51" s="12">
        <v>1</v>
      </c>
      <c r="M51" s="5">
        <v>0.25</v>
      </c>
      <c r="N51" s="10">
        <v>2.2000000000000002</v>
      </c>
      <c r="O51" s="5">
        <v>1.2930000000000001E-3</v>
      </c>
      <c r="P51">
        <v>6.9999999999999993E-2</v>
      </c>
      <c r="Q51" s="10">
        <v>1</v>
      </c>
      <c r="R51" s="8">
        <v>0</v>
      </c>
      <c r="S51">
        <v>0</v>
      </c>
      <c r="T51">
        <v>1</v>
      </c>
      <c r="U51" s="9">
        <v>0</v>
      </c>
      <c r="V51">
        <v>0</v>
      </c>
      <c r="W51" s="10">
        <v>1</v>
      </c>
      <c r="X51" s="1">
        <v>19.338000000000001</v>
      </c>
      <c r="Y51" s="2">
        <v>5.8739999999999997</v>
      </c>
      <c r="Z51" s="13">
        <v>0</v>
      </c>
      <c r="AA51" s="2">
        <v>19.338000000000001</v>
      </c>
      <c r="AB51" s="2">
        <v>5.8739999999999997</v>
      </c>
      <c r="AC51" s="2">
        <v>33</v>
      </c>
      <c r="AD51" s="2"/>
      <c r="AE51" s="7">
        <v>25.212</v>
      </c>
      <c r="AF51" s="2">
        <v>19.338000000000001</v>
      </c>
      <c r="AG51" s="2">
        <v>5.8739999999999997</v>
      </c>
      <c r="AH51" s="2">
        <v>3.1481556410207858</v>
      </c>
      <c r="AI51" s="2">
        <v>0.95626570665819077</v>
      </c>
      <c r="AJ51" s="2">
        <v>-88.557930208151433</v>
      </c>
      <c r="AK51" s="2">
        <v>-26.89984910759549</v>
      </c>
      <c r="AL51" s="2">
        <v>0</v>
      </c>
      <c r="AM51" s="2">
        <v>0</v>
      </c>
      <c r="AN51" s="2">
        <v>33</v>
      </c>
      <c r="AO51" s="2">
        <v>100.77944367559449</v>
      </c>
      <c r="AP51" s="2">
        <v>100.77944367559449</v>
      </c>
      <c r="AQ51" s="2">
        <v>3.9844299450829159</v>
      </c>
      <c r="AR51" s="2">
        <v>-154.81109984082079</v>
      </c>
      <c r="AS51" s="2">
        <v>0</v>
      </c>
      <c r="AT51" s="2">
        <v>0</v>
      </c>
      <c r="AU51" s="1">
        <v>25.212</v>
      </c>
      <c r="AV51" s="2">
        <v>3.0735513822710732</v>
      </c>
      <c r="AW51" s="2">
        <v>-118.1963788943083</v>
      </c>
      <c r="AX51" s="2">
        <v>100.77944367559449</v>
      </c>
      <c r="AZ51" s="1">
        <f t="shared" si="114"/>
        <v>19.338000000000001</v>
      </c>
      <c r="BA51" s="2">
        <f t="shared" si="115"/>
        <v>3.1481556410207858</v>
      </c>
      <c r="BB51" s="7">
        <f t="shared" si="116"/>
        <v>-88.557930208151433</v>
      </c>
      <c r="BC51" s="1">
        <f t="shared" si="117"/>
        <v>5.8739999999999997</v>
      </c>
      <c r="BD51" s="2">
        <f t="shared" si="118"/>
        <v>0.95626570665819077</v>
      </c>
      <c r="BE51" s="2">
        <f t="shared" si="119"/>
        <v>-26.89984910759549</v>
      </c>
      <c r="BF51" s="2">
        <f t="shared" si="120"/>
        <v>0</v>
      </c>
      <c r="BG51" s="7">
        <f t="shared" si="121"/>
        <v>0</v>
      </c>
      <c r="BH51" s="1">
        <f t="shared" si="122"/>
        <v>25.212</v>
      </c>
      <c r="BI51" s="2">
        <f t="shared" si="123"/>
        <v>4.1044213476789766</v>
      </c>
      <c r="BJ51" s="2">
        <f t="shared" si="124"/>
        <v>115.45777931574692</v>
      </c>
      <c r="BK51" s="2">
        <f t="shared" si="125"/>
        <v>0</v>
      </c>
      <c r="BL51" s="7">
        <f t="shared" si="126"/>
        <v>0</v>
      </c>
      <c r="BN51" s="1">
        <f t="shared" si="28"/>
        <v>25.212</v>
      </c>
      <c r="BO51" s="4">
        <v>0</v>
      </c>
      <c r="BP51" s="2">
        <f t="shared" si="23"/>
        <v>25.212</v>
      </c>
      <c r="BQ51" s="2">
        <f t="shared" si="30"/>
        <v>100.77944367559449</v>
      </c>
      <c r="BR51" s="3">
        <f t="shared" si="31"/>
        <v>0.25017006524819235</v>
      </c>
      <c r="BS51" s="1">
        <f t="shared" si="32"/>
        <v>33</v>
      </c>
      <c r="BT51" s="2">
        <f t="shared" si="33"/>
        <v>100.77944367559449</v>
      </c>
      <c r="BU51" s="21">
        <f t="shared" si="34"/>
        <v>0.3274477293824507</v>
      </c>
      <c r="BV51" s="2" t="str">
        <f t="shared" si="35"/>
        <v/>
      </c>
      <c r="BW51" s="2" t="str">
        <f t="shared" si="36"/>
        <v/>
      </c>
      <c r="BX51" s="21" t="str">
        <f t="shared" si="37"/>
        <v/>
      </c>
      <c r="BY51" s="15"/>
    </row>
    <row r="52" spans="1:77" x14ac:dyDescent="0.25">
      <c r="A52" t="str">
        <f t="shared" si="24"/>
        <v>Travée</v>
      </c>
      <c r="B52" t="b">
        <f t="shared" si="25"/>
        <v>0</v>
      </c>
      <c r="C52">
        <f t="shared" si="104"/>
        <v>5</v>
      </c>
      <c r="D52" s="5" t="s">
        <v>92</v>
      </c>
      <c r="E52" t="s">
        <v>53</v>
      </c>
      <c r="F52" s="5">
        <v>25</v>
      </c>
      <c r="G52" t="s">
        <v>46</v>
      </c>
      <c r="H52">
        <v>500</v>
      </c>
      <c r="I52">
        <v>170000</v>
      </c>
      <c r="J52">
        <v>1300</v>
      </c>
      <c r="K52" s="10">
        <v>1445</v>
      </c>
      <c r="L52" s="12">
        <v>1</v>
      </c>
      <c r="M52" s="5">
        <v>0.23499999999999999</v>
      </c>
      <c r="N52" s="10">
        <v>2.2000000000000002</v>
      </c>
      <c r="O52" s="5">
        <v>2.8160000000000001E-4</v>
      </c>
      <c r="P52">
        <v>0.04</v>
      </c>
      <c r="Q52" s="10">
        <v>1</v>
      </c>
      <c r="R52" s="8">
        <v>0</v>
      </c>
      <c r="S52">
        <v>0</v>
      </c>
      <c r="T52">
        <v>1</v>
      </c>
      <c r="U52" s="9">
        <v>2.8800000000000001E-4</v>
      </c>
      <c r="V52">
        <v>0</v>
      </c>
      <c r="W52" s="10">
        <v>1</v>
      </c>
      <c r="X52" s="1">
        <v>5.7006079999999999</v>
      </c>
      <c r="Y52" s="2">
        <v>1.731584</v>
      </c>
      <c r="Z52" s="13">
        <v>0</v>
      </c>
      <c r="AA52" s="2">
        <v>5.7006079999999999</v>
      </c>
      <c r="AB52" s="2">
        <v>1.731584</v>
      </c>
      <c r="AC52" s="2">
        <v>9.7279999999999998</v>
      </c>
      <c r="AD52" s="2"/>
      <c r="AE52" s="7">
        <v>7.4321919999999997</v>
      </c>
      <c r="AF52" s="2">
        <v>5.7006079999999999</v>
      </c>
      <c r="AG52" s="2">
        <v>1.731584</v>
      </c>
      <c r="AH52" s="2">
        <v>1.6228680111041129</v>
      </c>
      <c r="AI52" s="2">
        <v>0.31617957064281998</v>
      </c>
      <c r="AJ52" s="2">
        <v>-106.97998822890671</v>
      </c>
      <c r="AK52" s="2">
        <v>-14.29470143884512</v>
      </c>
      <c r="AL52" s="2">
        <v>0</v>
      </c>
      <c r="AM52" s="2">
        <v>-14.99319853136757</v>
      </c>
      <c r="AN52" s="2">
        <v>9.7279999999999998</v>
      </c>
      <c r="AO52" s="2">
        <v>25.257071304347711</v>
      </c>
      <c r="AP52" s="2">
        <v>116.06408347683259</v>
      </c>
      <c r="AQ52" s="2">
        <v>1.324079166509825</v>
      </c>
      <c r="AR52" s="2">
        <v>-80.921865366120898</v>
      </c>
      <c r="AS52" s="2">
        <v>0</v>
      </c>
      <c r="AT52" s="2">
        <v>-85.720743681039991</v>
      </c>
      <c r="AU52" s="1">
        <v>7.4321919999999997</v>
      </c>
      <c r="AV52" s="2">
        <v>1.551082919378423</v>
      </c>
      <c r="AW52" s="2">
        <v>-141.03705800918021</v>
      </c>
      <c r="AX52" s="2">
        <v>25.257071304347711</v>
      </c>
      <c r="AZ52" s="1">
        <f t="shared" si="114"/>
        <v>5.7006079999999999</v>
      </c>
      <c r="BA52" s="2">
        <f t="shared" si="115"/>
        <v>1.6228680111041129</v>
      </c>
      <c r="BB52" s="7">
        <f t="shared" si="116"/>
        <v>-106.97998822890671</v>
      </c>
      <c r="BC52" s="1">
        <f t="shared" si="117"/>
        <v>1.731584</v>
      </c>
      <c r="BD52" s="2">
        <f t="shared" si="118"/>
        <v>0.31617957064281998</v>
      </c>
      <c r="BE52" s="2">
        <f t="shared" si="119"/>
        <v>-14.29470143884512</v>
      </c>
      <c r="BF52" s="2">
        <f t="shared" si="120"/>
        <v>0</v>
      </c>
      <c r="BG52" s="7">
        <f t="shared" si="121"/>
        <v>-14.99319853136757</v>
      </c>
      <c r="BH52" s="1">
        <f t="shared" si="122"/>
        <v>7.4321919999999997</v>
      </c>
      <c r="BI52" s="2">
        <f t="shared" si="123"/>
        <v>1.9390475817469328</v>
      </c>
      <c r="BJ52" s="2">
        <f t="shared" si="124"/>
        <v>121.27468966775183</v>
      </c>
      <c r="BK52" s="2">
        <f t="shared" si="125"/>
        <v>0</v>
      </c>
      <c r="BL52" s="7">
        <f t="shared" si="126"/>
        <v>-14.99319853136757</v>
      </c>
      <c r="BN52" s="1">
        <f t="shared" si="28"/>
        <v>7.4321919999999997</v>
      </c>
      <c r="BO52" s="4" t="str">
        <f t="shared" ref="BO52" si="133">IF(ISNUMBER(SEARCH("Appui",E52)),0,"0")</f>
        <v>0</v>
      </c>
      <c r="BP52" s="2">
        <f t="shared" si="23"/>
        <v>7.4321919999999997</v>
      </c>
      <c r="BQ52" s="2">
        <f t="shared" si="30"/>
        <v>25.257071304347711</v>
      </c>
      <c r="BR52" s="3">
        <f t="shared" si="31"/>
        <v>0.29426182911082943</v>
      </c>
      <c r="BS52" s="1">
        <f t="shared" si="32"/>
        <v>9.7279999999999998</v>
      </c>
      <c r="BT52" s="2">
        <f t="shared" si="33"/>
        <v>116.06408347683259</v>
      </c>
      <c r="BU52" s="21">
        <f t="shared" si="34"/>
        <v>8.3815765468408618E-2</v>
      </c>
      <c r="BV52" s="2">
        <f t="shared" si="35"/>
        <v>97.727999999999994</v>
      </c>
      <c r="BW52" s="2">
        <f t="shared" si="36"/>
        <v>268.98617624225983</v>
      </c>
      <c r="BX52" s="21">
        <f t="shared" si="37"/>
        <v>2.7523962041816046</v>
      </c>
      <c r="BY52" s="10" t="str">
        <f t="shared" ref="BY52" si="134">IF(C50&lt;C52,"Rive",IF(C54&gt;C52,"Rive","Inter"))</f>
        <v>Inter</v>
      </c>
    </row>
    <row r="53" spans="1:77" x14ac:dyDescent="0.25">
      <c r="A53" t="str">
        <f t="shared" si="24"/>
        <v>Appui</v>
      </c>
      <c r="B53" t="b">
        <f t="shared" si="25"/>
        <v>0</v>
      </c>
      <c r="C53">
        <f t="shared" si="104"/>
        <v>5</v>
      </c>
      <c r="D53" s="5" t="s">
        <v>92</v>
      </c>
      <c r="E53" t="s">
        <v>54</v>
      </c>
      <c r="F53" s="5">
        <v>25</v>
      </c>
      <c r="G53" t="s">
        <v>46</v>
      </c>
      <c r="H53">
        <v>500</v>
      </c>
      <c r="I53">
        <v>170000</v>
      </c>
      <c r="J53">
        <v>1300</v>
      </c>
      <c r="K53" s="10">
        <v>1445</v>
      </c>
      <c r="L53" s="12">
        <v>1</v>
      </c>
      <c r="M53" s="5">
        <v>0.22</v>
      </c>
      <c r="N53" s="10">
        <v>2.2000000000000002</v>
      </c>
      <c r="O53" s="5">
        <v>1.2930000000000001E-3</v>
      </c>
      <c r="P53">
        <v>0.04</v>
      </c>
      <c r="Q53" s="10">
        <v>1</v>
      </c>
      <c r="R53" s="8">
        <v>0</v>
      </c>
      <c r="S53">
        <v>0</v>
      </c>
      <c r="T53">
        <v>1</v>
      </c>
      <c r="U53" s="9">
        <v>3.8400000000000001E-4</v>
      </c>
      <c r="V53">
        <v>0</v>
      </c>
      <c r="W53" s="10">
        <v>1</v>
      </c>
      <c r="X53" s="1">
        <v>83.798000000000002</v>
      </c>
      <c r="Y53" s="2">
        <v>25.454000000000001</v>
      </c>
      <c r="Z53" s="13">
        <v>0</v>
      </c>
      <c r="AA53" s="2">
        <v>83.798000000000002</v>
      </c>
      <c r="AB53" s="2">
        <v>25.454000000000001</v>
      </c>
      <c r="AC53" s="2">
        <v>143</v>
      </c>
      <c r="AD53" s="2"/>
      <c r="AE53" s="7">
        <v>109.252</v>
      </c>
      <c r="AF53" s="2">
        <v>83.798000000000002</v>
      </c>
      <c r="AG53" s="2">
        <v>25.454000000000001</v>
      </c>
      <c r="AH53" s="2">
        <v>13.64200777775674</v>
      </c>
      <c r="AI53" s="2">
        <v>3.487221461649928</v>
      </c>
      <c r="AJ53" s="2">
        <v>-383.75103090198968</v>
      </c>
      <c r="AK53" s="2">
        <v>-83.934370221024508</v>
      </c>
      <c r="AL53" s="2">
        <v>0</v>
      </c>
      <c r="AM53" s="2">
        <v>-91.383904892133842</v>
      </c>
      <c r="AN53" s="2">
        <v>143</v>
      </c>
      <c r="AO53" s="2">
        <v>100.77944367559419</v>
      </c>
      <c r="AP53" s="2">
        <v>205.06474185525991</v>
      </c>
      <c r="AQ53" s="2">
        <v>13.40775533029622</v>
      </c>
      <c r="AR53" s="2">
        <v>-435.36780039117087</v>
      </c>
      <c r="AS53" s="2">
        <v>0</v>
      </c>
      <c r="AT53" s="2">
        <v>-661.02225273582462</v>
      </c>
      <c r="AU53" s="1">
        <v>109.252</v>
      </c>
      <c r="AV53" s="2">
        <v>0</v>
      </c>
      <c r="AW53" s="2">
        <v>0</v>
      </c>
      <c r="AX53" s="2">
        <v>100.77944367559419</v>
      </c>
      <c r="AZ53" s="1">
        <f t="shared" si="114"/>
        <v>83.798000000000002</v>
      </c>
      <c r="BA53" s="2">
        <f t="shared" si="115"/>
        <v>13.64200777775674</v>
      </c>
      <c r="BB53" s="7">
        <f t="shared" si="116"/>
        <v>-383.75103090198968</v>
      </c>
      <c r="BC53" s="1">
        <f t="shared" si="117"/>
        <v>25.454000000000001</v>
      </c>
      <c r="BD53" s="2">
        <f t="shared" si="118"/>
        <v>3.487221461649928</v>
      </c>
      <c r="BE53" s="2">
        <f t="shared" si="119"/>
        <v>-83.934370221024508</v>
      </c>
      <c r="BF53" s="2">
        <f t="shared" si="120"/>
        <v>0</v>
      </c>
      <c r="BG53" s="7">
        <f t="shared" si="121"/>
        <v>-91.383904892133842</v>
      </c>
      <c r="BH53" s="1">
        <f t="shared" si="122"/>
        <v>109.25200000000001</v>
      </c>
      <c r="BI53" s="2">
        <f t="shared" si="123"/>
        <v>17.129229239406669</v>
      </c>
      <c r="BJ53" s="2">
        <f t="shared" si="124"/>
        <v>467.68540112301417</v>
      </c>
      <c r="BK53" s="2">
        <f t="shared" si="125"/>
        <v>0</v>
      </c>
      <c r="BL53" s="7">
        <f t="shared" si="126"/>
        <v>-91.383904892133842</v>
      </c>
      <c r="BN53" s="1">
        <f t="shared" si="28"/>
        <v>109.252</v>
      </c>
      <c r="BO53" s="4">
        <v>0</v>
      </c>
      <c r="BP53" s="2">
        <f t="shared" si="23"/>
        <v>109.252</v>
      </c>
      <c r="BQ53" s="2">
        <f t="shared" si="30"/>
        <v>100.77944367559419</v>
      </c>
      <c r="BR53" s="3">
        <f t="shared" si="31"/>
        <v>1.08407028274217</v>
      </c>
      <c r="BS53" s="1">
        <f t="shared" si="32"/>
        <v>143</v>
      </c>
      <c r="BT53" s="2">
        <f t="shared" si="33"/>
        <v>205.06474185525991</v>
      </c>
      <c r="BU53" s="21">
        <f t="shared" si="34"/>
        <v>0.69734074568963766</v>
      </c>
      <c r="BV53" s="2" t="str">
        <f t="shared" si="35"/>
        <v/>
      </c>
      <c r="BW53" s="2" t="str">
        <f t="shared" si="36"/>
        <v/>
      </c>
      <c r="BX53" s="21" t="str">
        <f t="shared" si="37"/>
        <v/>
      </c>
      <c r="BY53" s="15"/>
    </row>
    <row r="54" spans="1:77" x14ac:dyDescent="0.25">
      <c r="A54" t="str">
        <f t="shared" si="24"/>
        <v>Travée</v>
      </c>
      <c r="B54" t="b">
        <f t="shared" si="25"/>
        <v>0</v>
      </c>
      <c r="C54">
        <f t="shared" si="104"/>
        <v>5</v>
      </c>
      <c r="D54" s="5" t="s">
        <v>92</v>
      </c>
      <c r="E54" t="s">
        <v>55</v>
      </c>
      <c r="F54" s="5">
        <v>25</v>
      </c>
      <c r="G54" t="s">
        <v>46</v>
      </c>
      <c r="H54">
        <v>500</v>
      </c>
      <c r="I54">
        <v>170000</v>
      </c>
      <c r="J54">
        <v>1300</v>
      </c>
      <c r="K54" s="10">
        <v>1445</v>
      </c>
      <c r="L54" s="12">
        <v>1</v>
      </c>
      <c r="M54" s="5">
        <v>0.23499999999999999</v>
      </c>
      <c r="N54" s="10">
        <v>2.2000000000000002</v>
      </c>
      <c r="O54" s="5">
        <v>5.6539999999999997E-4</v>
      </c>
      <c r="P54">
        <v>0.04</v>
      </c>
      <c r="Q54" s="10">
        <v>1</v>
      </c>
      <c r="R54" s="8">
        <v>0</v>
      </c>
      <c r="S54">
        <v>0</v>
      </c>
      <c r="T54">
        <v>1</v>
      </c>
      <c r="U54" s="9">
        <v>2.8800000000000001E-4</v>
      </c>
      <c r="V54">
        <v>0</v>
      </c>
      <c r="W54" s="10">
        <v>1</v>
      </c>
      <c r="X54" s="1">
        <v>56.256</v>
      </c>
      <c r="Y54" s="2">
        <v>17.088000000000001</v>
      </c>
      <c r="Z54" s="13">
        <v>0</v>
      </c>
      <c r="AA54" s="2">
        <v>56.256</v>
      </c>
      <c r="AB54" s="2">
        <v>17.088000000000001</v>
      </c>
      <c r="AC54" s="2">
        <v>96</v>
      </c>
      <c r="AD54" s="2"/>
      <c r="AE54" s="7">
        <v>73.343999999999994</v>
      </c>
      <c r="AF54" s="2">
        <v>56.256</v>
      </c>
      <c r="AG54" s="2">
        <v>17.088000000000001</v>
      </c>
      <c r="AH54" s="2">
        <v>11.581738194194511</v>
      </c>
      <c r="AI54" s="2">
        <v>2.7021205017199739</v>
      </c>
      <c r="AJ54" s="2">
        <v>-532.16351723701939</v>
      </c>
      <c r="AK54" s="2">
        <v>-98.684875064633871</v>
      </c>
      <c r="AL54" s="2">
        <v>0</v>
      </c>
      <c r="AM54" s="2">
        <v>-104.08239517681641</v>
      </c>
      <c r="AN54" s="2">
        <v>96</v>
      </c>
      <c r="AO54" s="2">
        <v>50.295035765929093</v>
      </c>
      <c r="AP54" s="2">
        <v>138.07146803222261</v>
      </c>
      <c r="AQ54" s="2">
        <v>11.085485658617049</v>
      </c>
      <c r="AR54" s="2">
        <v>-435.92423368016608</v>
      </c>
      <c r="AS54" s="2">
        <v>0</v>
      </c>
      <c r="AT54" s="2">
        <v>-796.35211169119907</v>
      </c>
      <c r="AU54" s="1">
        <v>73.343999999999994</v>
      </c>
      <c r="AV54" s="2">
        <v>0</v>
      </c>
      <c r="AW54" s="2">
        <v>0</v>
      </c>
      <c r="AX54" s="2">
        <v>50.295035765929093</v>
      </c>
      <c r="AZ54" s="1">
        <f t="shared" si="114"/>
        <v>56.256</v>
      </c>
      <c r="BA54" s="2">
        <f t="shared" si="115"/>
        <v>11.581738194194511</v>
      </c>
      <c r="BB54" s="7">
        <f t="shared" si="116"/>
        <v>-532.16351723701939</v>
      </c>
      <c r="BC54" s="1">
        <f t="shared" si="117"/>
        <v>17.088000000000001</v>
      </c>
      <c r="BD54" s="2">
        <f t="shared" si="118"/>
        <v>2.7021205017199739</v>
      </c>
      <c r="BE54" s="2">
        <f t="shared" si="119"/>
        <v>-98.684875064633871</v>
      </c>
      <c r="BF54" s="2">
        <f t="shared" si="120"/>
        <v>0</v>
      </c>
      <c r="BG54" s="7">
        <f t="shared" si="121"/>
        <v>-104.08239517681641</v>
      </c>
      <c r="BH54" s="1">
        <f t="shared" si="122"/>
        <v>73.343999999999994</v>
      </c>
      <c r="BI54" s="2">
        <f t="shared" si="123"/>
        <v>14.283858695914486</v>
      </c>
      <c r="BJ54" s="2">
        <f t="shared" si="124"/>
        <v>630.84839230165323</v>
      </c>
      <c r="BK54" s="2">
        <f t="shared" si="125"/>
        <v>0</v>
      </c>
      <c r="BL54" s="7">
        <f t="shared" si="126"/>
        <v>-104.08239517681641</v>
      </c>
      <c r="BN54" s="1">
        <f t="shared" si="28"/>
        <v>73.343999999999994</v>
      </c>
      <c r="BO54" s="4" t="str">
        <f t="shared" ref="BO54" si="135">IF(ISNUMBER(SEARCH("Appui",E54)),0,"0")</f>
        <v>0</v>
      </c>
      <c r="BP54" s="2">
        <f t="shared" si="23"/>
        <v>73.343999999999994</v>
      </c>
      <c r="BQ54" s="2">
        <f t="shared" si="30"/>
        <v>50.295035765929093</v>
      </c>
      <c r="BR54" s="3">
        <f t="shared" si="31"/>
        <v>1.4582751335805739</v>
      </c>
      <c r="BS54" s="1">
        <f t="shared" si="32"/>
        <v>96</v>
      </c>
      <c r="BT54" s="2">
        <f t="shared" si="33"/>
        <v>138.07146803222261</v>
      </c>
      <c r="BU54" s="21">
        <f t="shared" si="34"/>
        <v>0.69529209306006567</v>
      </c>
      <c r="BV54" s="2">
        <f t="shared" si="35"/>
        <v>247.25</v>
      </c>
      <c r="BW54" s="2">
        <f t="shared" si="36"/>
        <v>343.78666193276774</v>
      </c>
      <c r="BX54" s="21">
        <f t="shared" si="37"/>
        <v>1.3904415042781304</v>
      </c>
      <c r="BY54" s="10" t="str">
        <f t="shared" ref="BY54" si="136">IF(C52&lt;C54,"Rive",IF(C56&gt;C54,"Rive","Inter"))</f>
        <v>Inter</v>
      </c>
    </row>
    <row r="55" spans="1:77" x14ac:dyDescent="0.25">
      <c r="A55" t="str">
        <f t="shared" si="24"/>
        <v>Appui</v>
      </c>
      <c r="B55" t="b">
        <f t="shared" si="25"/>
        <v>0</v>
      </c>
      <c r="C55">
        <f t="shared" si="104"/>
        <v>5</v>
      </c>
      <c r="D55" s="5" t="s">
        <v>92</v>
      </c>
      <c r="E55" t="s">
        <v>56</v>
      </c>
      <c r="F55" s="5">
        <v>25</v>
      </c>
      <c r="G55" t="s">
        <v>46</v>
      </c>
      <c r="H55">
        <v>500</v>
      </c>
      <c r="I55">
        <v>170000</v>
      </c>
      <c r="J55">
        <v>1300</v>
      </c>
      <c r="K55" s="10">
        <v>1445</v>
      </c>
      <c r="L55" s="12">
        <v>1</v>
      </c>
      <c r="M55" s="5">
        <v>0.25</v>
      </c>
      <c r="N55" s="10">
        <v>2.2000000000000002</v>
      </c>
      <c r="O55" s="5">
        <v>2E-3</v>
      </c>
      <c r="P55">
        <v>6.9999999999999993E-2</v>
      </c>
      <c r="Q55" s="10">
        <v>1</v>
      </c>
      <c r="R55" s="8">
        <v>0</v>
      </c>
      <c r="S55">
        <v>0</v>
      </c>
      <c r="T55">
        <v>1</v>
      </c>
      <c r="U55" s="9">
        <v>1.92E-4</v>
      </c>
      <c r="V55">
        <v>0</v>
      </c>
      <c r="W55" s="10">
        <v>1</v>
      </c>
      <c r="X55" s="1">
        <v>93.466999999999999</v>
      </c>
      <c r="Y55" s="2">
        <v>28.390999999999998</v>
      </c>
      <c r="Z55" s="13">
        <v>0</v>
      </c>
      <c r="AA55" s="2">
        <v>93.466999999999999</v>
      </c>
      <c r="AB55" s="2">
        <v>28.390999999999998</v>
      </c>
      <c r="AC55" s="2">
        <v>159.5</v>
      </c>
      <c r="AD55" s="2"/>
      <c r="AE55" s="7">
        <v>121.858</v>
      </c>
      <c r="AF55" s="2">
        <v>93.466999999999999</v>
      </c>
      <c r="AG55" s="2">
        <v>28.390999999999998</v>
      </c>
      <c r="AH55" s="2">
        <v>12.69814236405387</v>
      </c>
      <c r="AI55" s="2">
        <v>3.52408754988571</v>
      </c>
      <c r="AJ55" s="2">
        <v>-280.68048157966228</v>
      </c>
      <c r="AK55" s="2">
        <v>-72.830152153538819</v>
      </c>
      <c r="AL55" s="2">
        <v>0</v>
      </c>
      <c r="AM55" s="2">
        <v>-93.381958960014231</v>
      </c>
      <c r="AN55" s="2">
        <v>159.5</v>
      </c>
      <c r="AO55" s="2">
        <v>149.34113150208651</v>
      </c>
      <c r="AP55" s="2">
        <v>206.36564594583041</v>
      </c>
      <c r="AQ55" s="2">
        <v>12.949107267232639</v>
      </c>
      <c r="AR55" s="2">
        <v>-423.15466972087728</v>
      </c>
      <c r="AS55" s="2">
        <v>0</v>
      </c>
      <c r="AT55" s="2">
        <v>-569.33318422278194</v>
      </c>
      <c r="AU55" s="1">
        <v>121.858</v>
      </c>
      <c r="AV55" s="2">
        <v>11.26420480054494</v>
      </c>
      <c r="AW55" s="2">
        <v>-379.75904111466463</v>
      </c>
      <c r="AX55" s="2">
        <v>149.34113150208651</v>
      </c>
      <c r="AZ55" s="1">
        <f t="shared" si="114"/>
        <v>93.466999999999999</v>
      </c>
      <c r="BA55" s="2">
        <f t="shared" si="115"/>
        <v>12.69814236405387</v>
      </c>
      <c r="BB55" s="7">
        <f t="shared" si="116"/>
        <v>-280.68048157966228</v>
      </c>
      <c r="BC55" s="1">
        <f t="shared" si="117"/>
        <v>28.390999999999998</v>
      </c>
      <c r="BD55" s="2">
        <f t="shared" si="118"/>
        <v>3.52408754988571</v>
      </c>
      <c r="BE55" s="2">
        <f t="shared" si="119"/>
        <v>-72.830152153538819</v>
      </c>
      <c r="BF55" s="2">
        <f t="shared" si="120"/>
        <v>0</v>
      </c>
      <c r="BG55" s="7">
        <f t="shared" si="121"/>
        <v>-93.381958960014231</v>
      </c>
      <c r="BH55" s="1">
        <f t="shared" si="122"/>
        <v>121.858</v>
      </c>
      <c r="BI55" s="2">
        <f t="shared" si="123"/>
        <v>16.222229913939579</v>
      </c>
      <c r="BJ55" s="2">
        <f t="shared" si="124"/>
        <v>353.51063373320108</v>
      </c>
      <c r="BK55" s="2">
        <f t="shared" si="125"/>
        <v>0</v>
      </c>
      <c r="BL55" s="7">
        <f t="shared" si="126"/>
        <v>-93.381958960014231</v>
      </c>
      <c r="BN55" s="1">
        <f t="shared" si="28"/>
        <v>121.858</v>
      </c>
      <c r="BO55" s="4">
        <v>0</v>
      </c>
      <c r="BP55" s="2">
        <f t="shared" si="23"/>
        <v>121.858</v>
      </c>
      <c r="BQ55" s="2">
        <f t="shared" si="30"/>
        <v>149.34113150208651</v>
      </c>
      <c r="BR55" s="3">
        <f t="shared" si="31"/>
        <v>0.81597078296073755</v>
      </c>
      <c r="BS55" s="1">
        <f t="shared" si="32"/>
        <v>159.5</v>
      </c>
      <c r="BT55" s="2">
        <f t="shared" si="33"/>
        <v>206.36564594583041</v>
      </c>
      <c r="BU55" s="21">
        <f t="shared" si="34"/>
        <v>0.7728999624378744</v>
      </c>
      <c r="BV55" s="2" t="str">
        <f t="shared" si="35"/>
        <v/>
      </c>
      <c r="BW55" s="2" t="str">
        <f t="shared" si="36"/>
        <v/>
      </c>
      <c r="BX55" s="21" t="str">
        <f t="shared" si="37"/>
        <v/>
      </c>
      <c r="BY55" s="15"/>
    </row>
    <row r="56" spans="1:77" x14ac:dyDescent="0.25">
      <c r="A56" t="str">
        <f t="shared" si="24"/>
        <v>Travée</v>
      </c>
      <c r="B56" t="b">
        <f t="shared" si="25"/>
        <v>0</v>
      </c>
      <c r="C56">
        <f t="shared" si="104"/>
        <v>5</v>
      </c>
      <c r="D56" s="5" t="s">
        <v>92</v>
      </c>
      <c r="E56" t="s">
        <v>57</v>
      </c>
      <c r="F56" s="5">
        <v>25</v>
      </c>
      <c r="G56" t="s">
        <v>46</v>
      </c>
      <c r="H56">
        <v>500</v>
      </c>
      <c r="I56">
        <v>170000</v>
      </c>
      <c r="J56">
        <v>1300</v>
      </c>
      <c r="K56" s="10">
        <v>1445</v>
      </c>
      <c r="L56" s="12">
        <v>1</v>
      </c>
      <c r="M56" s="5">
        <v>0.26</v>
      </c>
      <c r="N56" s="10">
        <v>2.2000000000000002</v>
      </c>
      <c r="O56" s="5">
        <v>5.6539999999999997E-4</v>
      </c>
      <c r="P56">
        <v>0.04</v>
      </c>
      <c r="Q56" s="10">
        <v>1</v>
      </c>
      <c r="R56" s="8">
        <v>0</v>
      </c>
      <c r="S56">
        <v>0</v>
      </c>
      <c r="T56">
        <v>1</v>
      </c>
      <c r="U56" s="9">
        <v>9.6000000000000002E-5</v>
      </c>
      <c r="V56">
        <v>0</v>
      </c>
      <c r="W56" s="10">
        <v>1</v>
      </c>
      <c r="X56" s="1">
        <v>20.25216</v>
      </c>
      <c r="Y56" s="2">
        <v>6.1516799999999998</v>
      </c>
      <c r="Z56" s="13">
        <v>0</v>
      </c>
      <c r="AA56" s="2">
        <v>20.25216</v>
      </c>
      <c r="AB56" s="2">
        <v>6.1516799999999998</v>
      </c>
      <c r="AC56" s="2">
        <v>34.56</v>
      </c>
      <c r="AD56" s="2"/>
      <c r="AE56" s="7">
        <v>26.403839999999999</v>
      </c>
      <c r="AF56" s="2">
        <v>20.25216</v>
      </c>
      <c r="AG56" s="2">
        <v>6.1516799999999998</v>
      </c>
      <c r="AH56" s="2">
        <v>3.4526455696421192</v>
      </c>
      <c r="AI56" s="2">
        <v>0.95208717796958564</v>
      </c>
      <c r="AJ56" s="2">
        <v>-169.41390865616421</v>
      </c>
      <c r="AK56" s="2">
        <v>-42.733597267280793</v>
      </c>
      <c r="AL56" s="2">
        <v>0</v>
      </c>
      <c r="AM56" s="2">
        <v>-43.862785938885473</v>
      </c>
      <c r="AN56" s="2">
        <v>34.56</v>
      </c>
      <c r="AO56" s="2">
        <v>56.863742648834233</v>
      </c>
      <c r="AP56" s="2">
        <v>87.007089877328099</v>
      </c>
      <c r="AQ56" s="2">
        <v>3.8806339781628529</v>
      </c>
      <c r="AR56" s="2">
        <v>-243.56409457042321</v>
      </c>
      <c r="AS56" s="2">
        <v>0</v>
      </c>
      <c r="AT56" s="2">
        <v>-252.3442113794662</v>
      </c>
      <c r="AU56" s="1">
        <v>26.403839999999999</v>
      </c>
      <c r="AV56" s="2">
        <v>3.2865946288741599</v>
      </c>
      <c r="AW56" s="2">
        <v>-224.189716889355</v>
      </c>
      <c r="AX56" s="2">
        <v>56.863742648834233</v>
      </c>
      <c r="AZ56" s="1">
        <f t="shared" si="114"/>
        <v>20.25216</v>
      </c>
      <c r="BA56" s="2">
        <f t="shared" si="115"/>
        <v>3.4526455696421192</v>
      </c>
      <c r="BB56" s="7">
        <f t="shared" si="116"/>
        <v>-169.41390865616421</v>
      </c>
      <c r="BC56" s="1">
        <f t="shared" si="117"/>
        <v>6.1516799999999998</v>
      </c>
      <c r="BD56" s="2">
        <f t="shared" si="118"/>
        <v>0.95208717796958564</v>
      </c>
      <c r="BE56" s="2">
        <f t="shared" si="119"/>
        <v>-42.733597267280793</v>
      </c>
      <c r="BF56" s="2">
        <f t="shared" si="120"/>
        <v>0</v>
      </c>
      <c r="BG56" s="7">
        <f t="shared" si="121"/>
        <v>-43.862785938885473</v>
      </c>
      <c r="BH56" s="1">
        <f t="shared" si="122"/>
        <v>26.403839999999999</v>
      </c>
      <c r="BI56" s="2">
        <f t="shared" si="123"/>
        <v>4.4047327476117051</v>
      </c>
      <c r="BJ56" s="2">
        <f t="shared" si="124"/>
        <v>212.14750592344501</v>
      </c>
      <c r="BK56" s="2">
        <f t="shared" si="125"/>
        <v>0</v>
      </c>
      <c r="BL56" s="7">
        <f t="shared" si="126"/>
        <v>-43.862785938885473</v>
      </c>
      <c r="BN56" s="1">
        <f t="shared" si="28"/>
        <v>26.403839999999999</v>
      </c>
      <c r="BO56" s="4" t="str">
        <f t="shared" ref="BO56" si="137">IF(ISNUMBER(SEARCH("Appui",E56)),0,"0")</f>
        <v>0</v>
      </c>
      <c r="BP56" s="2">
        <f t="shared" si="23"/>
        <v>26.403839999999999</v>
      </c>
      <c r="BQ56" s="2">
        <f t="shared" si="30"/>
        <v>56.863742648834233</v>
      </c>
      <c r="BR56" s="3">
        <f t="shared" si="31"/>
        <v>0.464335247207674</v>
      </c>
      <c r="BS56" s="1">
        <f t="shared" si="32"/>
        <v>34.56</v>
      </c>
      <c r="BT56" s="2">
        <f t="shared" si="33"/>
        <v>87.007089877328099</v>
      </c>
      <c r="BU56" s="21">
        <f t="shared" si="34"/>
        <v>0.39720900961894468</v>
      </c>
      <c r="BV56" s="2">
        <f t="shared" si="35"/>
        <v>114.31</v>
      </c>
      <c r="BW56" s="2">
        <f t="shared" si="36"/>
        <v>190.1899128502433</v>
      </c>
      <c r="BX56" s="21">
        <f t="shared" si="37"/>
        <v>1.6638081782017611</v>
      </c>
      <c r="BY56" s="10" t="str">
        <f t="shared" ref="BY56" si="138">IF(C54&lt;C56,"Rive",IF(C58&gt;C56,"Rive","Inter"))</f>
        <v>Rive</v>
      </c>
    </row>
    <row r="57" spans="1:77" x14ac:dyDescent="0.25">
      <c r="A57" t="str">
        <f t="shared" ref="A57" si="139">IF(ISNUMBER(SEARCH("Appui",E57)),"Appui",IF(ISNUMBER(SEARCH("Travée",E57)),"Travée",""))</f>
        <v/>
      </c>
      <c r="B57" t="b">
        <f t="shared" ref="B57" si="140">MOD(C57,2)=0</f>
        <v>0</v>
      </c>
      <c r="C57">
        <f>IF(D57="",100000,IF(D57=D55,C55,C55+1))</f>
        <v>5</v>
      </c>
      <c r="D57" s="5" t="s">
        <v>92</v>
      </c>
      <c r="F57" s="5"/>
      <c r="K57" s="10"/>
      <c r="L57" s="12"/>
      <c r="M57" s="5"/>
      <c r="N57" s="10"/>
      <c r="O57" s="5"/>
      <c r="Q57" s="10"/>
      <c r="R57" s="8"/>
      <c r="U57" s="9"/>
      <c r="W57" s="10"/>
      <c r="X57" s="1"/>
      <c r="Y57" s="2"/>
      <c r="Z57" s="13"/>
      <c r="AA57" s="2"/>
      <c r="AB57" s="2"/>
      <c r="AC57" s="2"/>
      <c r="AD57" s="2"/>
      <c r="AE57" s="7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"/>
      <c r="AV57" s="2"/>
      <c r="AW57" s="2"/>
      <c r="AX57" s="2"/>
      <c r="AZ57" s="1"/>
      <c r="BA57" s="2"/>
      <c r="BB57" s="7"/>
      <c r="BC57" s="1"/>
      <c r="BD57" s="2"/>
      <c r="BE57" s="2"/>
      <c r="BF57" s="2"/>
      <c r="BG57" s="7"/>
      <c r="BH57" s="1"/>
      <c r="BI57" s="2"/>
      <c r="BJ57" s="2"/>
      <c r="BK57" s="2"/>
      <c r="BL57" s="7"/>
      <c r="BN57" s="1"/>
      <c r="BO57" s="4"/>
      <c r="BP57" s="2">
        <f t="shared" si="23"/>
        <v>0</v>
      </c>
      <c r="BQ57" s="2"/>
      <c r="BR57" s="3"/>
      <c r="BS57" s="1"/>
      <c r="BT57" s="2"/>
      <c r="BU57" s="21"/>
      <c r="BV57" s="2"/>
      <c r="BW57" s="2" t="str">
        <f t="shared" si="36"/>
        <v/>
      </c>
      <c r="BX57" s="21" t="str">
        <f t="shared" si="37"/>
        <v/>
      </c>
      <c r="BY57" s="15"/>
    </row>
    <row r="58" spans="1:77" x14ac:dyDescent="0.25">
      <c r="A58" t="str">
        <f t="shared" si="24"/>
        <v>Travée</v>
      </c>
      <c r="B58" t="b">
        <f t="shared" si="25"/>
        <v>1</v>
      </c>
      <c r="C58">
        <f>IF(D58="",100000,IF(D58=D56,C56,C56+1))</f>
        <v>6</v>
      </c>
      <c r="D58" s="5" t="s">
        <v>93</v>
      </c>
      <c r="E58" t="s">
        <v>45</v>
      </c>
      <c r="F58" s="5">
        <v>25</v>
      </c>
      <c r="G58" t="s">
        <v>46</v>
      </c>
      <c r="H58">
        <v>500</v>
      </c>
      <c r="I58">
        <v>170000</v>
      </c>
      <c r="J58">
        <v>1300</v>
      </c>
      <c r="K58" s="10">
        <v>1445</v>
      </c>
      <c r="L58" s="12">
        <v>1</v>
      </c>
      <c r="M58" s="5">
        <v>0.26</v>
      </c>
      <c r="N58" s="10">
        <v>2.2000000000000002</v>
      </c>
      <c r="O58" s="5">
        <v>5.6539999999999997E-4</v>
      </c>
      <c r="P58">
        <v>0.04</v>
      </c>
      <c r="Q58" s="10">
        <v>1</v>
      </c>
      <c r="R58" s="8">
        <v>0</v>
      </c>
      <c r="S58">
        <v>0</v>
      </c>
      <c r="T58">
        <v>1</v>
      </c>
      <c r="U58" s="9">
        <v>1.92E-4</v>
      </c>
      <c r="V58">
        <v>0</v>
      </c>
      <c r="W58" s="10">
        <v>1</v>
      </c>
      <c r="X58" s="1">
        <v>29.253119999999999</v>
      </c>
      <c r="Y58" s="2">
        <v>8.8857599999999994</v>
      </c>
      <c r="Z58" s="13">
        <v>0.5</v>
      </c>
      <c r="AA58" s="2">
        <v>14.62656</v>
      </c>
      <c r="AB58" s="2">
        <v>23.512319999999999</v>
      </c>
      <c r="AC58" s="2">
        <v>49.92</v>
      </c>
      <c r="AD58" s="2"/>
      <c r="AE58" s="7">
        <v>38.13888</v>
      </c>
      <c r="AF58" s="2">
        <v>14.62656</v>
      </c>
      <c r="AG58" s="2">
        <v>23.512319999999999</v>
      </c>
      <c r="AH58" s="2">
        <v>2.49357735585264</v>
      </c>
      <c r="AI58" s="2">
        <v>3.342889406482461</v>
      </c>
      <c r="AJ58" s="2">
        <v>-122.3544895850075</v>
      </c>
      <c r="AK58" s="2">
        <v>-139.76163879781879</v>
      </c>
      <c r="AL58" s="2">
        <v>0</v>
      </c>
      <c r="AM58" s="2">
        <v>-143.67962035677019</v>
      </c>
      <c r="AN58" s="2">
        <v>49.92</v>
      </c>
      <c r="AO58" s="2">
        <v>56.863742648834233</v>
      </c>
      <c r="AP58" s="2">
        <v>120.87399501071729</v>
      </c>
      <c r="AQ58" s="2">
        <v>5.091820818581609</v>
      </c>
      <c r="AR58" s="2">
        <v>-301.0015361352506</v>
      </c>
      <c r="AS58" s="2">
        <v>0</v>
      </c>
      <c r="AT58" s="2">
        <v>-312.67103771954601</v>
      </c>
      <c r="AU58" s="1">
        <v>38.13888</v>
      </c>
      <c r="AV58" s="2">
        <v>4.6722269900562337</v>
      </c>
      <c r="AW58" s="2">
        <v>-324.04580836461582</v>
      </c>
      <c r="AX58" s="2">
        <v>56.863742648834233</v>
      </c>
      <c r="AZ58" s="1">
        <f t="shared" ref="AZ58:AZ60" si="141">AF58</f>
        <v>14.62656</v>
      </c>
      <c r="BA58" s="2">
        <f t="shared" ref="BA58:BA60" si="142">AH58</f>
        <v>2.49357735585264</v>
      </c>
      <c r="BB58" s="7">
        <f t="shared" ref="BB58:BB60" si="143">AJ58</f>
        <v>-122.3544895850075</v>
      </c>
      <c r="BC58" s="1">
        <f t="shared" ref="BC58:BC60" si="144">AG58</f>
        <v>23.512319999999999</v>
      </c>
      <c r="BD58" s="2">
        <f t="shared" ref="BD58:BD60" si="145">AI58</f>
        <v>3.342889406482461</v>
      </c>
      <c r="BE58" s="2">
        <f t="shared" ref="BE58:BE60" si="146">AK58</f>
        <v>-139.76163879781879</v>
      </c>
      <c r="BF58" s="2">
        <f t="shared" ref="BF58:BF60" si="147">AL58</f>
        <v>0</v>
      </c>
      <c r="BG58" s="7">
        <f t="shared" ref="BG58:BG60" si="148">AM58</f>
        <v>-143.67962035677019</v>
      </c>
      <c r="BH58" s="1">
        <f t="shared" ref="BH58:BH60" si="149">AZ58+BC58</f>
        <v>38.13888</v>
      </c>
      <c r="BI58" s="2">
        <f t="shared" ref="BI58:BI60" si="150">BA58+BD58</f>
        <v>5.8364667623351014</v>
      </c>
      <c r="BJ58" s="2">
        <f t="shared" ref="BJ58:BJ60" si="151">ABS(BB58+BE58)</f>
        <v>262.11612838282628</v>
      </c>
      <c r="BK58" s="2">
        <f t="shared" ref="BK58:BK60" si="152">ABS(BF58)</f>
        <v>0</v>
      </c>
      <c r="BL58" s="7">
        <f t="shared" ref="BL58:BL60" si="153">BG58</f>
        <v>-143.67962035677019</v>
      </c>
      <c r="BN58" s="1">
        <f t="shared" si="28"/>
        <v>38.13888</v>
      </c>
      <c r="BO58" s="4" t="str">
        <f t="shared" ref="BO58" si="154">IF(ISNUMBER(SEARCH("Appui",E58)),0,"0")</f>
        <v>0</v>
      </c>
      <c r="BP58" s="2">
        <f t="shared" si="23"/>
        <v>38.13888</v>
      </c>
      <c r="BQ58" s="2">
        <f t="shared" si="30"/>
        <v>56.863742648834233</v>
      </c>
      <c r="BR58" s="3">
        <f t="shared" si="31"/>
        <v>0.67070646818886248</v>
      </c>
      <c r="BS58" s="1">
        <f t="shared" si="32"/>
        <v>49.92</v>
      </c>
      <c r="BT58" s="2">
        <f t="shared" si="33"/>
        <v>120.87399501071729</v>
      </c>
      <c r="BU58" s="21">
        <f t="shared" si="34"/>
        <v>0.41299205834616326</v>
      </c>
      <c r="BV58" s="2">
        <f t="shared" si="35"/>
        <v>132.42000000000002</v>
      </c>
      <c r="BW58" s="2">
        <f t="shared" si="36"/>
        <v>205.8749635877723</v>
      </c>
      <c r="BX58" s="21">
        <f t="shared" si="37"/>
        <v>1.554712004136628</v>
      </c>
      <c r="BY58" s="10" t="str">
        <f t="shared" ref="BY58" si="155">IF(C56&lt;C58,"Rive",IF(C60&gt;C58,"Rive","Inter"))</f>
        <v>Rive</v>
      </c>
    </row>
    <row r="59" spans="1:77" x14ac:dyDescent="0.25">
      <c r="A59" t="str">
        <f t="shared" si="24"/>
        <v>Appui</v>
      </c>
      <c r="B59" t="b">
        <f t="shared" si="25"/>
        <v>1</v>
      </c>
      <c r="C59">
        <f t="shared" si="104"/>
        <v>6</v>
      </c>
      <c r="D59" s="5" t="s">
        <v>93</v>
      </c>
      <c r="E59" t="s">
        <v>47</v>
      </c>
      <c r="F59" s="5">
        <v>25</v>
      </c>
      <c r="G59" t="s">
        <v>46</v>
      </c>
      <c r="H59">
        <v>500</v>
      </c>
      <c r="I59">
        <v>170000</v>
      </c>
      <c r="J59">
        <v>1300</v>
      </c>
      <c r="K59" s="10">
        <v>1445</v>
      </c>
      <c r="L59" s="12">
        <v>1</v>
      </c>
      <c r="M59" s="5">
        <v>0.25</v>
      </c>
      <c r="N59" s="10">
        <v>2.2000000000000002</v>
      </c>
      <c r="O59" s="5">
        <v>1.8979999999999999E-3</v>
      </c>
      <c r="P59">
        <v>9.5000000000000001E-2</v>
      </c>
      <c r="Q59" s="10">
        <v>1</v>
      </c>
      <c r="R59" s="8">
        <v>6.1578924137931036E-4</v>
      </c>
      <c r="S59">
        <v>0.04</v>
      </c>
      <c r="T59">
        <v>1</v>
      </c>
      <c r="U59" s="9">
        <v>0</v>
      </c>
      <c r="V59">
        <v>0</v>
      </c>
      <c r="W59" s="10">
        <v>1</v>
      </c>
      <c r="X59" s="1">
        <v>96.69</v>
      </c>
      <c r="Y59" s="2">
        <v>29.37</v>
      </c>
      <c r="Z59" s="13">
        <v>0.5</v>
      </c>
      <c r="AA59" s="2">
        <v>48.344999999999999</v>
      </c>
      <c r="AB59" s="2">
        <v>77.715000000000003</v>
      </c>
      <c r="AC59" s="2">
        <v>165</v>
      </c>
      <c r="AD59" s="2"/>
      <c r="AE59" s="7">
        <v>126.06</v>
      </c>
      <c r="AF59" s="2">
        <v>48.344999999999999</v>
      </c>
      <c r="AG59" s="2">
        <v>77.715000000000003</v>
      </c>
      <c r="AH59" s="2">
        <v>8.5249309113057627</v>
      </c>
      <c r="AI59" s="2">
        <v>10.438226755949559</v>
      </c>
      <c r="AJ59" s="2">
        <v>-178.2839233386039</v>
      </c>
      <c r="AK59" s="2">
        <v>-173.98624565474191</v>
      </c>
      <c r="AL59" s="2">
        <v>-259.25811894968052</v>
      </c>
      <c r="AM59" s="2">
        <v>0</v>
      </c>
      <c r="AN59" s="2">
        <v>165</v>
      </c>
      <c r="AO59" s="2">
        <v>120.7579599379872</v>
      </c>
      <c r="AP59" s="2">
        <v>170.00193715411001</v>
      </c>
      <c r="AQ59" s="2">
        <v>16.29222379259134</v>
      </c>
      <c r="AR59" s="2">
        <v>-435.87151436689538</v>
      </c>
      <c r="AS59" s="2">
        <v>-437.25767727647991</v>
      </c>
      <c r="AT59" s="2">
        <v>0</v>
      </c>
      <c r="AU59" s="1">
        <v>126.06</v>
      </c>
      <c r="AV59" s="2">
        <v>11.656565664049181</v>
      </c>
      <c r="AW59" s="2">
        <v>-295.14781651218868</v>
      </c>
      <c r="AX59" s="2">
        <v>170.00193715411001</v>
      </c>
      <c r="AZ59" s="1">
        <f t="shared" si="141"/>
        <v>48.344999999999999</v>
      </c>
      <c r="BA59" s="2">
        <f t="shared" si="142"/>
        <v>8.5249309113057627</v>
      </c>
      <c r="BB59" s="7">
        <f t="shared" si="143"/>
        <v>-178.2839233386039</v>
      </c>
      <c r="BC59" s="1">
        <f t="shared" si="144"/>
        <v>77.715000000000003</v>
      </c>
      <c r="BD59" s="2">
        <f t="shared" si="145"/>
        <v>10.438226755949559</v>
      </c>
      <c r="BE59" s="2">
        <f t="shared" si="146"/>
        <v>-173.98624565474191</v>
      </c>
      <c r="BF59" s="2">
        <f t="shared" si="147"/>
        <v>-259.25811894968052</v>
      </c>
      <c r="BG59" s="7">
        <f t="shared" si="148"/>
        <v>0</v>
      </c>
      <c r="BH59" s="1">
        <f t="shared" si="149"/>
        <v>126.06</v>
      </c>
      <c r="BI59" s="2">
        <f t="shared" si="150"/>
        <v>18.963157667255324</v>
      </c>
      <c r="BJ59" s="2">
        <f t="shared" si="151"/>
        <v>352.27016899334581</v>
      </c>
      <c r="BK59" s="2">
        <f t="shared" si="152"/>
        <v>259.25811894968052</v>
      </c>
      <c r="BL59" s="7">
        <f t="shared" si="153"/>
        <v>0</v>
      </c>
      <c r="BN59" s="1">
        <f t="shared" si="28"/>
        <v>126.06</v>
      </c>
      <c r="BO59" s="4">
        <v>0</v>
      </c>
      <c r="BP59" s="2">
        <f t="shared" si="23"/>
        <v>126.06</v>
      </c>
      <c r="BQ59" s="2">
        <f t="shared" si="30"/>
        <v>170.00193715411001</v>
      </c>
      <c r="BR59" s="3">
        <f t="shared" si="31"/>
        <v>0.74152096211541518</v>
      </c>
      <c r="BS59" s="1">
        <f t="shared" si="32"/>
        <v>165</v>
      </c>
      <c r="BT59" s="2">
        <f t="shared" si="33"/>
        <v>170.00193715411001</v>
      </c>
      <c r="BU59" s="21">
        <f t="shared" si="34"/>
        <v>0.97057717554373713</v>
      </c>
      <c r="BV59" s="2" t="str">
        <f t="shared" si="35"/>
        <v/>
      </c>
      <c r="BW59" s="2" t="str">
        <f t="shared" si="36"/>
        <v/>
      </c>
      <c r="BX59" s="21" t="str">
        <f t="shared" si="37"/>
        <v/>
      </c>
      <c r="BY59" s="15"/>
    </row>
    <row r="60" spans="1:77" x14ac:dyDescent="0.25">
      <c r="A60" t="str">
        <f t="shared" si="24"/>
        <v>Travée</v>
      </c>
      <c r="B60" t="b">
        <f t="shared" si="25"/>
        <v>1</v>
      </c>
      <c r="C60">
        <f t="shared" si="104"/>
        <v>6</v>
      </c>
      <c r="D60" s="5" t="s">
        <v>93</v>
      </c>
      <c r="E60" t="s">
        <v>48</v>
      </c>
      <c r="F60" s="5">
        <v>25</v>
      </c>
      <c r="G60" t="s">
        <v>46</v>
      </c>
      <c r="H60">
        <v>500</v>
      </c>
      <c r="I60">
        <v>170000</v>
      </c>
      <c r="J60">
        <v>1300</v>
      </c>
      <c r="K60" s="10">
        <v>1445</v>
      </c>
      <c r="L60" s="12">
        <v>1</v>
      </c>
      <c r="M60" s="5">
        <v>0.23499999999999999</v>
      </c>
      <c r="N60" s="10">
        <v>2.2000000000000002</v>
      </c>
      <c r="O60" s="5">
        <v>8.470000000000001E-4</v>
      </c>
      <c r="P60">
        <v>0.04</v>
      </c>
      <c r="Q60" s="10">
        <v>1</v>
      </c>
      <c r="R60" s="8">
        <v>0</v>
      </c>
      <c r="S60">
        <v>0</v>
      </c>
      <c r="T60">
        <v>1</v>
      </c>
      <c r="U60" s="9">
        <v>1.92E-4</v>
      </c>
      <c r="V60">
        <v>0</v>
      </c>
      <c r="W60" s="10">
        <v>1</v>
      </c>
      <c r="X60" s="1">
        <v>51.00544</v>
      </c>
      <c r="Y60" s="2">
        <v>15.493119999999999</v>
      </c>
      <c r="Z60" s="13">
        <v>0.5</v>
      </c>
      <c r="AA60" s="2">
        <v>25.50272</v>
      </c>
      <c r="AB60" s="2">
        <v>40.995840000000001</v>
      </c>
      <c r="AC60" s="2">
        <v>87.04</v>
      </c>
      <c r="AD60" s="2"/>
      <c r="AE60" s="7">
        <v>66.498559999999998</v>
      </c>
      <c r="AF60" s="2">
        <v>25.50272</v>
      </c>
      <c r="AG60" s="2">
        <v>40.995840000000001</v>
      </c>
      <c r="AH60" s="2">
        <v>4.3883904115081469</v>
      </c>
      <c r="AI60" s="2">
        <v>6.1665624431622517</v>
      </c>
      <c r="AJ60" s="2">
        <v>-162.42651645394551</v>
      </c>
      <c r="AK60" s="2">
        <v>-203.1685427695945</v>
      </c>
      <c r="AL60" s="2">
        <v>0</v>
      </c>
      <c r="AM60" s="2">
        <v>-214.9494054833855</v>
      </c>
      <c r="AN60" s="2">
        <v>87.04</v>
      </c>
      <c r="AO60" s="2">
        <v>74.708892277634163</v>
      </c>
      <c r="AP60" s="2">
        <v>129.8430697248001</v>
      </c>
      <c r="AQ60" s="2">
        <v>9.1099672006032382</v>
      </c>
      <c r="AR60" s="2">
        <v>-434.86202284739949</v>
      </c>
      <c r="AS60" s="2">
        <v>0</v>
      </c>
      <c r="AT60" s="2">
        <v>-490.5259850416677</v>
      </c>
      <c r="AU60" s="1">
        <v>66.498559999999998</v>
      </c>
      <c r="AV60" s="2">
        <v>7.9584122632129652</v>
      </c>
      <c r="AW60" s="2">
        <v>-433.01533998855371</v>
      </c>
      <c r="AX60" s="2">
        <v>74.708892277634163</v>
      </c>
      <c r="AZ60" s="1">
        <f t="shared" si="141"/>
        <v>25.50272</v>
      </c>
      <c r="BA60" s="2">
        <f t="shared" si="142"/>
        <v>4.3883904115081469</v>
      </c>
      <c r="BB60" s="7">
        <f t="shared" si="143"/>
        <v>-162.42651645394551</v>
      </c>
      <c r="BC60" s="1">
        <f t="shared" si="144"/>
        <v>40.995840000000001</v>
      </c>
      <c r="BD60" s="2">
        <f t="shared" si="145"/>
        <v>6.1665624431622517</v>
      </c>
      <c r="BE60" s="2">
        <f t="shared" si="146"/>
        <v>-203.1685427695945</v>
      </c>
      <c r="BF60" s="2">
        <f t="shared" si="147"/>
        <v>0</v>
      </c>
      <c r="BG60" s="7">
        <f t="shared" si="148"/>
        <v>-214.9494054833855</v>
      </c>
      <c r="BH60" s="1">
        <f t="shared" si="149"/>
        <v>66.498559999999998</v>
      </c>
      <c r="BI60" s="2">
        <f t="shared" si="150"/>
        <v>10.554952854670399</v>
      </c>
      <c r="BJ60" s="2">
        <f t="shared" si="151"/>
        <v>365.59505922354003</v>
      </c>
      <c r="BK60" s="2">
        <f t="shared" si="152"/>
        <v>0</v>
      </c>
      <c r="BL60" s="7">
        <f t="shared" si="153"/>
        <v>-214.9494054833855</v>
      </c>
      <c r="BN60" s="1">
        <f t="shared" si="28"/>
        <v>66.498559999999998</v>
      </c>
      <c r="BO60" s="4" t="str">
        <f t="shared" ref="BO60" si="156">IF(ISNUMBER(SEARCH("Appui",E60)),0,"0")</f>
        <v>0</v>
      </c>
      <c r="BP60" s="2">
        <f t="shared" si="23"/>
        <v>66.498559999999998</v>
      </c>
      <c r="BQ60" s="2">
        <f t="shared" ref="BQ60:BQ66" si="157">AX60</f>
        <v>74.708892277634163</v>
      </c>
      <c r="BR60" s="3">
        <f t="shared" ref="BR60:BR66" si="158">BP60/BQ60</f>
        <v>0.89010234220683104</v>
      </c>
      <c r="BS60" s="1">
        <f t="shared" ref="BS60:BS66" si="159">AN60</f>
        <v>87.04</v>
      </c>
      <c r="BT60" s="2">
        <f t="shared" ref="BT60:BT66" si="160">AP60</f>
        <v>129.8430697248001</v>
      </c>
      <c r="BU60" s="21">
        <f t="shared" ref="BU60:BU66" si="161">BS60/BT60</f>
        <v>0.67034767573255638</v>
      </c>
      <c r="BV60" s="2">
        <f t="shared" ref="BV60:BV66" si="162">IF(ISNUMBER(SEARCH("Travée",E60)),BS60+(IF(C59&lt;C60,0,BS59)+IF(C61&gt;C60,0,BS61))/2,"")</f>
        <v>169.54000000000002</v>
      </c>
      <c r="BW60" s="2">
        <f t="shared" ref="BW60:BW66" si="163">IF(ISNUMBER(SEARCH("Travée",E60)),BT60+(IF(C59&lt;C60,0,BT59)+IF(C61&gt;C60,0,BT61))/2,"")</f>
        <v>214.84403830185511</v>
      </c>
      <c r="BX60" s="21">
        <f t="shared" ref="BX60:BX66" si="164">IF(ISNUMBER(SEARCH("Travée",E60)),BW60/BV60,"")</f>
        <v>1.267217401804029</v>
      </c>
      <c r="BY60" s="10" t="str">
        <f t="shared" ref="BY60" si="165">IF(C58&lt;C60,"Rive",IF(C62&gt;C60,"Rive","Inter"))</f>
        <v>Inter</v>
      </c>
    </row>
    <row r="61" spans="1:77" x14ac:dyDescent="0.25">
      <c r="B61" t="b">
        <f t="shared" si="25"/>
        <v>1</v>
      </c>
      <c r="C61">
        <f t="shared" si="104"/>
        <v>6</v>
      </c>
      <c r="D61" s="5" t="s">
        <v>93</v>
      </c>
      <c r="F61" s="5"/>
      <c r="K61" s="10"/>
      <c r="L61" s="12"/>
      <c r="M61" s="5"/>
      <c r="N61" s="10"/>
      <c r="O61" s="5"/>
      <c r="Q61" s="10"/>
      <c r="R61" s="8"/>
      <c r="U61" s="9"/>
      <c r="W61" s="10"/>
      <c r="X61" s="1"/>
      <c r="Y61" s="2"/>
      <c r="Z61" s="13"/>
      <c r="AA61" s="2"/>
      <c r="AB61" s="2"/>
      <c r="AC61" s="2"/>
      <c r="AD61" s="2"/>
      <c r="AE61" s="7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"/>
      <c r="AV61" s="2"/>
      <c r="AW61" s="2"/>
      <c r="AX61" s="2"/>
      <c r="AZ61" s="1"/>
      <c r="BA61" s="2"/>
      <c r="BB61" s="7"/>
      <c r="BC61" s="1"/>
      <c r="BD61" s="2"/>
      <c r="BE61" s="2"/>
      <c r="BF61" s="2"/>
      <c r="BG61" s="7"/>
      <c r="BH61" s="1"/>
      <c r="BI61" s="2"/>
      <c r="BJ61" s="2"/>
      <c r="BK61" s="2"/>
      <c r="BL61" s="7"/>
      <c r="BN61" s="1"/>
      <c r="BO61" s="4"/>
      <c r="BP61" s="2">
        <f t="shared" si="23"/>
        <v>0</v>
      </c>
      <c r="BQ61" s="2"/>
      <c r="BR61" s="3"/>
      <c r="BS61" s="1"/>
      <c r="BT61" s="2"/>
      <c r="BU61" s="21"/>
      <c r="BV61" s="2"/>
      <c r="BW61" s="2"/>
      <c r="BX61" s="21"/>
      <c r="BY61" s="15"/>
    </row>
    <row r="62" spans="1:77" x14ac:dyDescent="0.25">
      <c r="A62" t="str">
        <f t="shared" si="24"/>
        <v>Travée</v>
      </c>
      <c r="B62" t="b">
        <f t="shared" si="25"/>
        <v>1</v>
      </c>
      <c r="C62">
        <f>IF(D62="",100000,IF(D62=D60,C60,C60+1))</f>
        <v>6</v>
      </c>
      <c r="D62" s="5" t="s">
        <v>93</v>
      </c>
      <c r="E62" t="s">
        <v>51</v>
      </c>
      <c r="F62" s="5">
        <v>25</v>
      </c>
      <c r="G62" t="s">
        <v>46</v>
      </c>
      <c r="H62">
        <v>500</v>
      </c>
      <c r="I62">
        <v>170000</v>
      </c>
      <c r="J62">
        <v>1300</v>
      </c>
      <c r="K62" s="10">
        <v>1445</v>
      </c>
      <c r="L62" s="12">
        <v>1</v>
      </c>
      <c r="M62" s="5">
        <v>0.23499999999999999</v>
      </c>
      <c r="N62" s="10">
        <v>2.2000000000000002</v>
      </c>
      <c r="O62" s="5">
        <v>2.8160000000000001E-4</v>
      </c>
      <c r="P62">
        <v>0.04</v>
      </c>
      <c r="Q62" s="10">
        <v>1</v>
      </c>
      <c r="R62" s="8">
        <v>0</v>
      </c>
      <c r="S62">
        <v>0</v>
      </c>
      <c r="T62">
        <v>1</v>
      </c>
      <c r="U62" s="9">
        <v>2.8800000000000001E-4</v>
      </c>
      <c r="V62">
        <v>0</v>
      </c>
      <c r="W62" s="10">
        <v>1</v>
      </c>
      <c r="X62" s="1">
        <v>29.651599999999998</v>
      </c>
      <c r="Y62" s="2">
        <v>9.0068000000000001</v>
      </c>
      <c r="Z62" s="13">
        <v>0.25</v>
      </c>
      <c r="AA62" s="2">
        <v>22.238700000000001</v>
      </c>
      <c r="AB62" s="2">
        <v>16.419699999999999</v>
      </c>
      <c r="AC62" s="2">
        <v>50.6</v>
      </c>
      <c r="AD62" s="2"/>
      <c r="AE62" s="7">
        <v>38.6584</v>
      </c>
      <c r="AF62" s="2">
        <v>22.238700000000001</v>
      </c>
      <c r="AG62" s="2">
        <v>16.419699999999999</v>
      </c>
      <c r="AH62" s="2">
        <v>6.3309869471012794</v>
      </c>
      <c r="AI62" s="2">
        <v>2.9981437917613909</v>
      </c>
      <c r="AJ62" s="2">
        <v>-417.34072299414157</v>
      </c>
      <c r="AK62" s="2">
        <v>-135.54924712353059</v>
      </c>
      <c r="AL62" s="2">
        <v>0</v>
      </c>
      <c r="AM62" s="2">
        <v>-142.17270737350549</v>
      </c>
      <c r="AN62" s="2">
        <v>50.6</v>
      </c>
      <c r="AO62" s="2">
        <v>25.257071304347711</v>
      </c>
      <c r="AP62" s="2">
        <v>116.06408347683259</v>
      </c>
      <c r="AQ62" s="2">
        <v>6.4801375962115086</v>
      </c>
      <c r="AR62" s="2">
        <v>-421.77700587877172</v>
      </c>
      <c r="AS62" s="2">
        <v>0</v>
      </c>
      <c r="AT62" s="2">
        <v>-447.26998203827588</v>
      </c>
      <c r="AU62" s="1">
        <v>38.6584</v>
      </c>
      <c r="AV62" s="2">
        <v>0</v>
      </c>
      <c r="AW62" s="2">
        <v>0</v>
      </c>
      <c r="AX62" s="2">
        <v>25.257071304347711</v>
      </c>
      <c r="AZ62" s="1">
        <f t="shared" ref="AZ62" si="166">AF62</f>
        <v>22.238700000000001</v>
      </c>
      <c r="BA62" s="2">
        <f t="shared" ref="BA62" si="167">AH62</f>
        <v>6.3309869471012794</v>
      </c>
      <c r="BB62" s="7">
        <f t="shared" ref="BB62" si="168">AJ62</f>
        <v>-417.34072299414157</v>
      </c>
      <c r="BC62" s="1">
        <f t="shared" ref="BC62" si="169">AG62</f>
        <v>16.419699999999999</v>
      </c>
      <c r="BD62" s="2">
        <f t="shared" ref="BD62" si="170">AI62</f>
        <v>2.9981437917613909</v>
      </c>
      <c r="BE62" s="2">
        <f t="shared" ref="BE62" si="171">AK62</f>
        <v>-135.54924712353059</v>
      </c>
      <c r="BF62" s="2">
        <f t="shared" ref="BF62" si="172">AL62</f>
        <v>0</v>
      </c>
      <c r="BG62" s="7">
        <f t="shared" ref="BG62" si="173">AM62</f>
        <v>-142.17270737350549</v>
      </c>
      <c r="BH62" s="1">
        <f t="shared" ref="BH62" si="174">AZ62+BC62</f>
        <v>38.6584</v>
      </c>
      <c r="BI62" s="2">
        <f t="shared" ref="BI62" si="175">BA62+BD62</f>
        <v>9.3291307388626699</v>
      </c>
      <c r="BJ62" s="2">
        <f t="shared" ref="BJ62" si="176">ABS(BB62+BE62)</f>
        <v>552.88997011767219</v>
      </c>
      <c r="BK62" s="2">
        <f t="shared" ref="BK62" si="177">ABS(BF62)</f>
        <v>0</v>
      </c>
      <c r="BL62" s="7">
        <f t="shared" ref="BL62" si="178">BG62</f>
        <v>-142.17270737350549</v>
      </c>
      <c r="BN62" s="1"/>
      <c r="BO62" s="4" t="str">
        <f t="shared" ref="BO62" si="179">IF(ISNUMBER(SEARCH("Appui",E62)),0,"0")</f>
        <v>0</v>
      </c>
      <c r="BP62" s="2">
        <f t="shared" si="23"/>
        <v>0</v>
      </c>
      <c r="BQ62" s="2">
        <f t="shared" si="157"/>
        <v>25.257071304347711</v>
      </c>
      <c r="BR62" s="3">
        <f t="shared" si="158"/>
        <v>0</v>
      </c>
      <c r="BS62" s="1">
        <f t="shared" si="159"/>
        <v>50.6</v>
      </c>
      <c r="BT62" s="2">
        <f t="shared" si="160"/>
        <v>116.06408347683259</v>
      </c>
      <c r="BU62" s="21">
        <f t="shared" si="161"/>
        <v>0.43596604982539844</v>
      </c>
      <c r="BV62" s="2">
        <f t="shared" si="162"/>
        <v>98.6</v>
      </c>
      <c r="BW62" s="2">
        <f t="shared" si="163"/>
        <v>160.56738101992224</v>
      </c>
      <c r="BX62" s="21">
        <f t="shared" si="164"/>
        <v>1.6284724241371424</v>
      </c>
      <c r="BY62" s="10" t="str">
        <f t="shared" ref="BY62" si="180">IF(C60&lt;C62,"Rive",IF(C64&gt;C62,"Rive","Inter"))</f>
        <v>Inter</v>
      </c>
    </row>
    <row r="63" spans="1:77" x14ac:dyDescent="0.25">
      <c r="A63" t="str">
        <f t="shared" si="24"/>
        <v>Appui</v>
      </c>
      <c r="B63" t="b">
        <f t="shared" si="25"/>
        <v>1</v>
      </c>
      <c r="C63">
        <f t="shared" si="104"/>
        <v>6</v>
      </c>
      <c r="D63" s="5" t="s">
        <v>93</v>
      </c>
      <c r="E63" t="s">
        <v>49</v>
      </c>
      <c r="F63" s="5">
        <v>25</v>
      </c>
      <c r="G63" t="s">
        <v>46</v>
      </c>
      <c r="H63">
        <v>500</v>
      </c>
      <c r="I63">
        <v>170000</v>
      </c>
      <c r="J63">
        <v>1300</v>
      </c>
      <c r="K63" s="10">
        <v>1445</v>
      </c>
      <c r="L63" s="12">
        <v>1</v>
      </c>
      <c r="M63" s="5">
        <v>0.25</v>
      </c>
      <c r="N63" s="10">
        <v>2.2000000000000002</v>
      </c>
      <c r="O63" s="5">
        <v>1.1286E-3</v>
      </c>
      <c r="P63">
        <v>6.9999999999999993E-2</v>
      </c>
      <c r="Q63" s="10">
        <v>1</v>
      </c>
      <c r="R63" s="8">
        <v>0</v>
      </c>
      <c r="S63">
        <v>0</v>
      </c>
      <c r="T63">
        <v>1</v>
      </c>
      <c r="U63" s="9">
        <v>0</v>
      </c>
      <c r="V63">
        <v>0</v>
      </c>
      <c r="W63" s="10">
        <v>1</v>
      </c>
      <c r="X63" s="1">
        <v>56.256</v>
      </c>
      <c r="Y63" s="2">
        <v>17.088000000000001</v>
      </c>
      <c r="Z63" s="13">
        <v>0</v>
      </c>
      <c r="AA63" s="2">
        <v>56.256</v>
      </c>
      <c r="AB63" s="2">
        <v>17.088000000000001</v>
      </c>
      <c r="AC63" s="2">
        <v>96</v>
      </c>
      <c r="AD63" s="2"/>
      <c r="AE63" s="7">
        <v>73.343999999999994</v>
      </c>
      <c r="AF63" s="2">
        <v>56.256</v>
      </c>
      <c r="AG63" s="2">
        <v>17.088000000000001</v>
      </c>
      <c r="AH63" s="2">
        <v>9.6927225321303574</v>
      </c>
      <c r="AI63" s="2">
        <v>2.9442058203399339</v>
      </c>
      <c r="AJ63" s="2">
        <v>-294.05988411586452</v>
      </c>
      <c r="AK63" s="2">
        <v>-89.321944321883777</v>
      </c>
      <c r="AL63" s="2">
        <v>0</v>
      </c>
      <c r="AM63" s="2">
        <v>0</v>
      </c>
      <c r="AN63" s="2">
        <v>96</v>
      </c>
      <c r="AO63" s="2">
        <v>89.006595086179289</v>
      </c>
      <c r="AP63" s="2">
        <v>89.006595086179289</v>
      </c>
      <c r="AQ63" s="2">
        <v>0</v>
      </c>
      <c r="AR63" s="2">
        <v>0</v>
      </c>
      <c r="AS63" s="2">
        <v>0</v>
      </c>
      <c r="AT63" s="2">
        <v>0</v>
      </c>
      <c r="AU63" s="1">
        <v>73.343999999999994</v>
      </c>
      <c r="AV63" s="2">
        <v>8.7847135429795866</v>
      </c>
      <c r="AW63" s="2">
        <v>-393.67600833248122</v>
      </c>
      <c r="AX63" s="2">
        <v>89.006595086179289</v>
      </c>
      <c r="AZ63" s="1">
        <f t="shared" ref="AZ63" si="181">AF63</f>
        <v>56.256</v>
      </c>
      <c r="BA63" s="2">
        <f t="shared" ref="BA63" si="182">AH63</f>
        <v>9.6927225321303574</v>
      </c>
      <c r="BB63" s="7">
        <f t="shared" ref="BB63" si="183">AJ63</f>
        <v>-294.05988411586452</v>
      </c>
      <c r="BC63" s="1">
        <f t="shared" ref="BC63" si="184">AG63</f>
        <v>17.088000000000001</v>
      </c>
      <c r="BD63" s="2">
        <f t="shared" ref="BD63" si="185">AI63</f>
        <v>2.9442058203399339</v>
      </c>
      <c r="BE63" s="2">
        <f t="shared" ref="BE63" si="186">AK63</f>
        <v>-89.321944321883777</v>
      </c>
      <c r="BF63" s="2">
        <f t="shared" ref="BF63" si="187">AL63</f>
        <v>0</v>
      </c>
      <c r="BG63" s="7">
        <f t="shared" ref="BG63" si="188">AM63</f>
        <v>0</v>
      </c>
      <c r="BH63" s="1">
        <f t="shared" ref="BH63" si="189">AZ63+BC63</f>
        <v>73.343999999999994</v>
      </c>
      <c r="BI63" s="2">
        <f t="shared" ref="BI63" si="190">BA63+BD63</f>
        <v>12.636928352470292</v>
      </c>
      <c r="BJ63" s="2">
        <f t="shared" ref="BJ63" si="191">ABS(BB63+BE63)</f>
        <v>383.38182843774831</v>
      </c>
      <c r="BK63" s="2">
        <f t="shared" ref="BK63" si="192">ABS(BF63)</f>
        <v>0</v>
      </c>
      <c r="BL63" s="7">
        <f t="shared" ref="BL63" si="193">BG63</f>
        <v>0</v>
      </c>
      <c r="BN63" s="1">
        <f t="shared" ref="BN63" si="194">AU63</f>
        <v>73.343999999999994</v>
      </c>
      <c r="BO63" s="4">
        <v>0</v>
      </c>
      <c r="BP63" s="2">
        <f t="shared" si="23"/>
        <v>73.343999999999994</v>
      </c>
      <c r="BQ63" s="2">
        <f t="shared" si="157"/>
        <v>89.006595086179289</v>
      </c>
      <c r="BR63" s="3">
        <f t="shared" si="158"/>
        <v>0.82402882538070099</v>
      </c>
      <c r="BS63" s="1">
        <f t="shared" si="159"/>
        <v>96</v>
      </c>
      <c r="BT63" s="2">
        <f t="shared" si="160"/>
        <v>89.006595086179289</v>
      </c>
      <c r="BU63" s="21">
        <f t="shared" si="161"/>
        <v>1.078571760969504</v>
      </c>
      <c r="BV63" s="2" t="str">
        <f t="shared" si="162"/>
        <v/>
      </c>
      <c r="BW63" s="2" t="str">
        <f t="shared" si="163"/>
        <v/>
      </c>
      <c r="BX63" s="21" t="str">
        <f t="shared" si="164"/>
        <v/>
      </c>
      <c r="BY63" s="15"/>
    </row>
    <row r="64" spans="1:77" x14ac:dyDescent="0.25">
      <c r="A64" t="str">
        <f t="shared" si="24"/>
        <v/>
      </c>
      <c r="B64" t="b">
        <f t="shared" si="25"/>
        <v>1</v>
      </c>
      <c r="C64">
        <f t="shared" si="104"/>
        <v>6</v>
      </c>
      <c r="D64" s="5" t="s">
        <v>93</v>
      </c>
      <c r="F64" s="5"/>
      <c r="K64" s="10"/>
      <c r="L64" s="12"/>
      <c r="M64" s="5"/>
      <c r="N64" s="10"/>
      <c r="O64" s="5"/>
      <c r="Q64" s="10"/>
      <c r="R64" s="8"/>
      <c r="U64" s="9"/>
      <c r="W64" s="10"/>
      <c r="X64" s="1"/>
      <c r="Y64" s="2"/>
      <c r="Z64" s="13"/>
      <c r="AA64" s="2"/>
      <c r="AB64" s="2"/>
      <c r="AC64" s="2"/>
      <c r="AD64" s="2"/>
      <c r="AE64" s="7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"/>
      <c r="AV64" s="2"/>
      <c r="AW64" s="2"/>
      <c r="AX64" s="2"/>
      <c r="AZ64" s="1"/>
      <c r="BA64" s="2"/>
      <c r="BB64" s="7"/>
      <c r="BC64" s="1"/>
      <c r="BD64" s="2"/>
      <c r="BE64" s="2"/>
      <c r="BF64" s="2"/>
      <c r="BG64" s="7"/>
      <c r="BH64" s="1"/>
      <c r="BI64" s="2"/>
      <c r="BJ64" s="2"/>
      <c r="BK64" s="2"/>
      <c r="BL64" s="7"/>
      <c r="BN64" s="1"/>
      <c r="BO64" s="4"/>
      <c r="BP64" s="2">
        <f t="shared" si="23"/>
        <v>0</v>
      </c>
      <c r="BQ64" s="2"/>
      <c r="BR64" s="3"/>
      <c r="BS64" s="1"/>
      <c r="BT64" s="2"/>
      <c r="BU64" s="21"/>
      <c r="BV64" s="2"/>
      <c r="BW64" s="2"/>
      <c r="BX64" s="21"/>
      <c r="BY64" s="10"/>
    </row>
    <row r="65" spans="1:77" x14ac:dyDescent="0.25">
      <c r="A65" t="str">
        <f t="shared" si="24"/>
        <v>Travée</v>
      </c>
      <c r="B65" t="b">
        <f t="shared" si="25"/>
        <v>0</v>
      </c>
      <c r="C65">
        <f t="shared" si="104"/>
        <v>7</v>
      </c>
      <c r="D65" s="5" t="s">
        <v>94</v>
      </c>
      <c r="E65" t="s">
        <v>45</v>
      </c>
      <c r="F65" s="5">
        <v>25</v>
      </c>
      <c r="G65" t="s">
        <v>46</v>
      </c>
      <c r="H65">
        <v>500</v>
      </c>
      <c r="I65">
        <v>170000</v>
      </c>
      <c r="J65">
        <v>1300</v>
      </c>
      <c r="K65" s="10">
        <v>1445</v>
      </c>
      <c r="L65" s="12">
        <v>1</v>
      </c>
      <c r="M65" s="5">
        <v>0.26</v>
      </c>
      <c r="N65" s="10">
        <v>2.2000000000000002</v>
      </c>
      <c r="O65" s="5">
        <v>5.6539999999999997E-4</v>
      </c>
      <c r="P65">
        <v>0.04</v>
      </c>
      <c r="Q65" s="10">
        <v>1</v>
      </c>
      <c r="R65" s="8">
        <v>0</v>
      </c>
      <c r="S65">
        <v>0</v>
      </c>
      <c r="T65">
        <v>1</v>
      </c>
      <c r="U65" s="9">
        <v>1.92E-4</v>
      </c>
      <c r="V65">
        <v>0</v>
      </c>
      <c r="W65" s="10">
        <v>1</v>
      </c>
      <c r="X65" s="1">
        <v>32.253439999999998</v>
      </c>
      <c r="Y65" s="2">
        <v>9.7971199999999996</v>
      </c>
      <c r="Z65" s="13">
        <v>0.5</v>
      </c>
      <c r="AA65" s="2">
        <v>16.126719999999999</v>
      </c>
      <c r="AB65" s="2">
        <v>25.923839999999998</v>
      </c>
      <c r="AC65" s="2">
        <v>55.04</v>
      </c>
      <c r="AD65" s="2"/>
      <c r="AE65" s="7">
        <v>42.050559999999997</v>
      </c>
      <c r="AF65" s="2">
        <v>16.126719999999999</v>
      </c>
      <c r="AG65" s="2">
        <v>25.923839999999998</v>
      </c>
      <c r="AH65" s="2">
        <v>2.7493288795298398</v>
      </c>
      <c r="AI65" s="2">
        <v>3.685749858429376</v>
      </c>
      <c r="AJ65" s="2">
        <v>-134.9036680039826</v>
      </c>
      <c r="AK65" s="2">
        <v>-154.09616585400539</v>
      </c>
      <c r="AL65" s="2">
        <v>0</v>
      </c>
      <c r="AM65" s="2">
        <v>-158.41599167541321</v>
      </c>
      <c r="AN65" s="2">
        <v>55.04</v>
      </c>
      <c r="AO65" s="2">
        <v>56.863742648834233</v>
      </c>
      <c r="AP65" s="2">
        <v>120.87399501071729</v>
      </c>
      <c r="AQ65" s="2">
        <v>5.5802521871438771</v>
      </c>
      <c r="AR65" s="2">
        <v>-331.95402448329207</v>
      </c>
      <c r="AS65" s="2">
        <v>0</v>
      </c>
      <c r="AT65" s="2">
        <v>-344.86287991374547</v>
      </c>
      <c r="AU65" s="1">
        <v>42.050559999999997</v>
      </c>
      <c r="AV65" s="2">
        <v>5.1232651220386636</v>
      </c>
      <c r="AW65" s="2">
        <v>-357.36282811790079</v>
      </c>
      <c r="AX65" s="2">
        <v>56.863742648834233</v>
      </c>
      <c r="AZ65" s="1">
        <f t="shared" ref="AZ65:AZ67" si="195">AF65</f>
        <v>16.126719999999999</v>
      </c>
      <c r="BA65" s="2">
        <f t="shared" ref="BA65:BA67" si="196">AH65</f>
        <v>2.7493288795298398</v>
      </c>
      <c r="BB65" s="7">
        <f t="shared" ref="BB65:BB67" si="197">AJ65</f>
        <v>-134.9036680039826</v>
      </c>
      <c r="BC65" s="1">
        <f t="shared" ref="BC65:BC67" si="198">AG65</f>
        <v>25.923839999999998</v>
      </c>
      <c r="BD65" s="2">
        <f t="shared" ref="BD65:BD67" si="199">AI65</f>
        <v>3.685749858429376</v>
      </c>
      <c r="BE65" s="2">
        <f t="shared" ref="BE65:BE67" si="200">AK65</f>
        <v>-154.09616585400539</v>
      </c>
      <c r="BF65" s="2">
        <f t="shared" ref="BF65:BF67" si="201">AL65</f>
        <v>0</v>
      </c>
      <c r="BG65" s="7">
        <f t="shared" ref="BG65:BG67" si="202">AM65</f>
        <v>-158.41599167541321</v>
      </c>
      <c r="BH65" s="1">
        <f t="shared" ref="BH65:BH67" si="203">AZ65+BC65</f>
        <v>42.050559999999997</v>
      </c>
      <c r="BI65" s="2">
        <f t="shared" ref="BI65:BI67" si="204">BA65+BD65</f>
        <v>6.4350787379592163</v>
      </c>
      <c r="BJ65" s="2">
        <f t="shared" ref="BJ65:BJ67" si="205">ABS(BB65+BE65)</f>
        <v>288.99983385798799</v>
      </c>
      <c r="BK65" s="2">
        <f t="shared" ref="BK65:BK67" si="206">ABS(BF65)</f>
        <v>0</v>
      </c>
      <c r="BL65" s="7">
        <f t="shared" ref="BL65:BL67" si="207">BG65</f>
        <v>-158.41599167541321</v>
      </c>
      <c r="BN65" s="1">
        <f t="shared" ref="BN65:BN66" si="208">AU65</f>
        <v>42.050559999999997</v>
      </c>
      <c r="BO65" s="4">
        <v>0</v>
      </c>
      <c r="BP65" s="2">
        <f t="shared" si="23"/>
        <v>42.050559999999997</v>
      </c>
      <c r="BQ65" s="2">
        <f t="shared" si="157"/>
        <v>56.863742648834233</v>
      </c>
      <c r="BR65" s="3">
        <f t="shared" si="158"/>
        <v>0.73949687518259188</v>
      </c>
      <c r="BS65" s="1">
        <f t="shared" si="159"/>
        <v>55.04</v>
      </c>
      <c r="BT65" s="2">
        <f t="shared" si="160"/>
        <v>120.87399501071729</v>
      </c>
      <c r="BU65" s="21">
        <f t="shared" si="161"/>
        <v>0.45535021817653892</v>
      </c>
      <c r="BV65" s="2">
        <f t="shared" si="162"/>
        <v>137.54</v>
      </c>
      <c r="BW65" s="2">
        <f t="shared" si="163"/>
        <v>183.39063659054585</v>
      </c>
      <c r="BX65" s="21">
        <f t="shared" si="164"/>
        <v>1.3333621971102652</v>
      </c>
      <c r="BY65" s="15"/>
    </row>
    <row r="66" spans="1:77" x14ac:dyDescent="0.25">
      <c r="A66" t="str">
        <f t="shared" si="24"/>
        <v>Appui</v>
      </c>
      <c r="B66" t="b">
        <f t="shared" si="25"/>
        <v>0</v>
      </c>
      <c r="C66">
        <f t="shared" si="104"/>
        <v>7</v>
      </c>
      <c r="D66" s="5" t="s">
        <v>94</v>
      </c>
      <c r="E66" t="s">
        <v>47</v>
      </c>
      <c r="F66" s="5">
        <v>25</v>
      </c>
      <c r="G66" t="s">
        <v>46</v>
      </c>
      <c r="H66">
        <v>500</v>
      </c>
      <c r="I66">
        <v>170000</v>
      </c>
      <c r="J66">
        <v>1300</v>
      </c>
      <c r="K66" s="10">
        <v>1445</v>
      </c>
      <c r="L66" s="12">
        <v>1</v>
      </c>
      <c r="M66" s="5">
        <v>0.25</v>
      </c>
      <c r="N66" s="10">
        <v>2.2000000000000002</v>
      </c>
      <c r="O66" s="5">
        <v>9.0000000000000008E-4</v>
      </c>
      <c r="P66">
        <v>6.9999999999999993E-2</v>
      </c>
      <c r="Q66" s="10">
        <v>1</v>
      </c>
      <c r="R66" s="8">
        <v>6.1578924137931036E-4</v>
      </c>
      <c r="S66">
        <v>0.04</v>
      </c>
      <c r="T66">
        <v>1</v>
      </c>
      <c r="U66" s="9">
        <v>0</v>
      </c>
      <c r="V66">
        <v>0</v>
      </c>
      <c r="W66" s="10">
        <v>1</v>
      </c>
      <c r="X66" s="1">
        <v>96.69</v>
      </c>
      <c r="Y66" s="2">
        <v>29.37</v>
      </c>
      <c r="Z66" s="13">
        <v>0.5</v>
      </c>
      <c r="AA66" s="2">
        <v>48.344999999999999</v>
      </c>
      <c r="AB66" s="2">
        <v>77.715000000000003</v>
      </c>
      <c r="AC66" s="2">
        <v>165</v>
      </c>
      <c r="AD66" s="2"/>
      <c r="AE66" s="7">
        <v>126.06</v>
      </c>
      <c r="AF66" s="2">
        <v>48.344999999999999</v>
      </c>
      <c r="AG66" s="2">
        <v>77.715000000000003</v>
      </c>
      <c r="AH66" s="2">
        <v>9.192009331882824</v>
      </c>
      <c r="AI66" s="2">
        <v>10.58696830729057</v>
      </c>
      <c r="AJ66" s="2">
        <v>-314.97586821176702</v>
      </c>
      <c r="AK66" s="2">
        <v>-260.68907848596888</v>
      </c>
      <c r="AL66" s="2">
        <v>-315.34901056244018</v>
      </c>
      <c r="AM66" s="2">
        <v>0</v>
      </c>
      <c r="AN66" s="2">
        <v>165</v>
      </c>
      <c r="AO66" s="2">
        <v>72.617455274887632</v>
      </c>
      <c r="AP66" s="2">
        <v>125.0332831596571</v>
      </c>
      <c r="AQ66" s="2">
        <v>0</v>
      </c>
      <c r="AR66" s="2">
        <v>0</v>
      </c>
      <c r="AS66" s="2">
        <v>0</v>
      </c>
      <c r="AT66" s="2">
        <v>0</v>
      </c>
      <c r="AU66" s="1">
        <v>126.06</v>
      </c>
      <c r="AV66" s="2">
        <v>0</v>
      </c>
      <c r="AW66" s="2">
        <v>0</v>
      </c>
      <c r="AX66" s="2">
        <v>125.0332831596571</v>
      </c>
      <c r="AZ66" s="1">
        <f t="shared" si="195"/>
        <v>48.344999999999999</v>
      </c>
      <c r="BA66" s="2">
        <f t="shared" si="196"/>
        <v>9.192009331882824</v>
      </c>
      <c r="BB66" s="7">
        <f t="shared" si="197"/>
        <v>-314.97586821176702</v>
      </c>
      <c r="BC66" s="1">
        <f t="shared" si="198"/>
        <v>77.715000000000003</v>
      </c>
      <c r="BD66" s="2">
        <f t="shared" si="199"/>
        <v>10.58696830729057</v>
      </c>
      <c r="BE66" s="2">
        <f t="shared" si="200"/>
        <v>-260.68907848596888</v>
      </c>
      <c r="BF66" s="2">
        <f t="shared" si="201"/>
        <v>-315.34901056244018</v>
      </c>
      <c r="BG66" s="7">
        <f t="shared" si="202"/>
        <v>0</v>
      </c>
      <c r="BH66" s="1">
        <f t="shared" si="203"/>
        <v>126.06</v>
      </c>
      <c r="BI66" s="2">
        <f t="shared" si="204"/>
        <v>19.778977639173394</v>
      </c>
      <c r="BJ66" s="2">
        <f t="shared" si="205"/>
        <v>575.6649466977359</v>
      </c>
      <c r="BK66" s="2">
        <f t="shared" si="206"/>
        <v>315.34901056244018</v>
      </c>
      <c r="BL66" s="7">
        <f t="shared" si="207"/>
        <v>0</v>
      </c>
      <c r="BN66" s="1">
        <f t="shared" si="208"/>
        <v>126.06</v>
      </c>
      <c r="BO66" s="4">
        <f t="shared" ref="BO66" si="209">IF(ISNUMBER(SEARCH("Appui",E66)),0,"0")</f>
        <v>0</v>
      </c>
      <c r="BP66" s="2">
        <f t="shared" si="23"/>
        <v>126.06</v>
      </c>
      <c r="BQ66" s="2">
        <f t="shared" si="157"/>
        <v>125.0332831596571</v>
      </c>
      <c r="BR66" s="3">
        <f t="shared" si="158"/>
        <v>1.0082115482725658</v>
      </c>
      <c r="BS66" s="1">
        <f t="shared" si="159"/>
        <v>165</v>
      </c>
      <c r="BT66" s="2">
        <f t="shared" si="160"/>
        <v>125.0332831596571</v>
      </c>
      <c r="BU66" s="21">
        <f t="shared" si="161"/>
        <v>1.3196486233934106</v>
      </c>
      <c r="BV66" s="2" t="str">
        <f t="shared" si="162"/>
        <v/>
      </c>
      <c r="BW66" s="2" t="str">
        <f t="shared" si="163"/>
        <v/>
      </c>
      <c r="BX66" s="21" t="str">
        <f t="shared" si="164"/>
        <v/>
      </c>
      <c r="BY66" s="10" t="str">
        <f t="shared" ref="BY66" si="210">IF(C64&lt;C66,"Rive",IF(C68&gt;C66,"Rive","Inter"))</f>
        <v>Rive</v>
      </c>
    </row>
    <row r="67" spans="1:77" x14ac:dyDescent="0.25">
      <c r="A67" t="str">
        <f t="shared" ref="A67" si="211">IF(ISNUMBER(SEARCH("Appui",E67)),"Appui",IF(ISNUMBER(SEARCH("Travée",E67)),"Travée",""))</f>
        <v>Travée</v>
      </c>
      <c r="B67" t="b">
        <f t="shared" ref="B67" si="212">MOD(C67,2)=0</f>
        <v>0</v>
      </c>
      <c r="C67">
        <f t="shared" si="104"/>
        <v>7</v>
      </c>
      <c r="D67" s="5" t="s">
        <v>94</v>
      </c>
      <c r="E67" t="s">
        <v>48</v>
      </c>
      <c r="F67" s="5">
        <v>25</v>
      </c>
      <c r="G67" t="s">
        <v>46</v>
      </c>
      <c r="H67">
        <v>500</v>
      </c>
      <c r="I67">
        <v>170000</v>
      </c>
      <c r="J67">
        <v>1300</v>
      </c>
      <c r="K67" s="10">
        <v>1445</v>
      </c>
      <c r="L67" s="12">
        <v>1</v>
      </c>
      <c r="M67" s="5">
        <v>0.23499999999999999</v>
      </c>
      <c r="N67" s="10">
        <v>2.2000000000000002</v>
      </c>
      <c r="O67" s="5">
        <v>8.470000000000001E-4</v>
      </c>
      <c r="P67">
        <v>0.04</v>
      </c>
      <c r="Q67" s="10">
        <v>1</v>
      </c>
      <c r="R67" s="8">
        <v>0</v>
      </c>
      <c r="S67">
        <v>0</v>
      </c>
      <c r="T67">
        <v>1</v>
      </c>
      <c r="U67" s="9">
        <v>9.6000000000000002E-5</v>
      </c>
      <c r="V67">
        <v>0</v>
      </c>
      <c r="W67" s="10">
        <v>1</v>
      </c>
      <c r="X67" s="1">
        <v>45.754879999999993</v>
      </c>
      <c r="Y67" s="2">
        <v>13.898239999999999</v>
      </c>
      <c r="Z67" s="13">
        <v>0.5</v>
      </c>
      <c r="AA67" s="2">
        <v>22.87744</v>
      </c>
      <c r="AB67" s="2">
        <v>36.775679999999987</v>
      </c>
      <c r="AC67" s="2">
        <v>78.08</v>
      </c>
      <c r="AD67" s="2"/>
      <c r="AE67" s="7">
        <v>59.653119999999987</v>
      </c>
      <c r="AF67" s="2">
        <v>22.87744</v>
      </c>
      <c r="AG67" s="2">
        <v>36.775679999999987</v>
      </c>
      <c r="AH67" s="2">
        <v>3.9366443397352571</v>
      </c>
      <c r="AI67" s="2">
        <v>5.8809748274272078</v>
      </c>
      <c r="AJ67" s="2">
        <v>-145.7061397601569</v>
      </c>
      <c r="AK67" s="2">
        <v>-205.04125201045721</v>
      </c>
      <c r="AL67" s="2">
        <v>0</v>
      </c>
      <c r="AM67" s="2">
        <v>-216.5513317569812</v>
      </c>
      <c r="AN67" s="2">
        <v>78.08</v>
      </c>
      <c r="AO67" s="2">
        <v>74.708892277634163</v>
      </c>
      <c r="AP67" s="2">
        <v>99.676828491135922</v>
      </c>
      <c r="AQ67" s="2">
        <v>8.9789344388207706</v>
      </c>
      <c r="AR67" s="2">
        <v>-435.01429108170089</v>
      </c>
      <c r="AS67" s="2">
        <v>0</v>
      </c>
      <c r="AT67" s="2">
        <v>-533.01434259204552</v>
      </c>
      <c r="AU67" s="1">
        <v>59.653119999999987</v>
      </c>
      <c r="AV67" s="2">
        <v>7.2161037733026809</v>
      </c>
      <c r="AW67" s="2">
        <v>-388.21276688728688</v>
      </c>
      <c r="AX67" s="2">
        <v>74.708892277634163</v>
      </c>
      <c r="AZ67" s="1">
        <f t="shared" si="195"/>
        <v>22.87744</v>
      </c>
      <c r="BA67" s="2">
        <f t="shared" si="196"/>
        <v>3.9366443397352571</v>
      </c>
      <c r="BB67" s="7">
        <f t="shared" si="197"/>
        <v>-145.7061397601569</v>
      </c>
      <c r="BC67" s="1">
        <f t="shared" si="198"/>
        <v>36.775679999999987</v>
      </c>
      <c r="BD67" s="2">
        <f t="shared" si="199"/>
        <v>5.8809748274272078</v>
      </c>
      <c r="BE67" s="2">
        <f t="shared" si="200"/>
        <v>-205.04125201045721</v>
      </c>
      <c r="BF67" s="2">
        <f t="shared" si="201"/>
        <v>0</v>
      </c>
      <c r="BG67" s="7">
        <f t="shared" si="202"/>
        <v>-216.5513317569812</v>
      </c>
      <c r="BH67" s="1">
        <f t="shared" si="203"/>
        <v>59.653119999999987</v>
      </c>
      <c r="BI67" s="2">
        <f t="shared" si="204"/>
        <v>9.8176191671624657</v>
      </c>
      <c r="BJ67" s="2">
        <f t="shared" si="205"/>
        <v>350.74739177061412</v>
      </c>
      <c r="BK67" s="2">
        <f t="shared" si="206"/>
        <v>0</v>
      </c>
      <c r="BL67" s="7">
        <f t="shared" si="207"/>
        <v>-216.5513317569812</v>
      </c>
      <c r="BN67" s="1">
        <f t="shared" ref="BN67" si="213">AU67</f>
        <v>59.653119999999987</v>
      </c>
      <c r="BO67" s="4">
        <v>0</v>
      </c>
      <c r="BP67" s="2">
        <f t="shared" si="23"/>
        <v>59.653119999999987</v>
      </c>
      <c r="BQ67" s="2">
        <f t="shared" ref="BQ67" si="214">AX67</f>
        <v>74.708892277634163</v>
      </c>
      <c r="BR67" s="3">
        <f t="shared" ref="BR67" si="215">BP67/BQ67</f>
        <v>0.79847415992083359</v>
      </c>
      <c r="BS67" s="1">
        <f t="shared" ref="BS67" si="216">AN67</f>
        <v>78.08</v>
      </c>
      <c r="BT67" s="2">
        <f t="shared" ref="BT67" si="217">AP67</f>
        <v>99.676828491135922</v>
      </c>
      <c r="BU67" s="21">
        <f t="shared" ref="BU67" si="218">BS67/BT67</f>
        <v>0.78333150424166542</v>
      </c>
      <c r="BV67" s="2">
        <f t="shared" ref="BV67" si="219">IF(ISNUMBER(SEARCH("Travée",E67)),BS67+(IF(C66&lt;C67,0,BS66)+IF(C68&gt;C67,0,BS68))/2,"")</f>
        <v>160.57999999999998</v>
      </c>
      <c r="BW67" s="2">
        <f t="shared" ref="BW67" si="220">IF(ISNUMBER(SEARCH("Travée",E67)),BT67+(IF(C66&lt;C67,0,BT66)+IF(C68&gt;C67,0,BT68))/2,"")</f>
        <v>162.19347007096448</v>
      </c>
      <c r="BX67" s="21">
        <f t="shared" ref="BX67" si="221">IF(ISNUMBER(SEARCH("Travée",E67)),BW67/BV67,"")</f>
        <v>1.0100477647961421</v>
      </c>
      <c r="BY67" s="15"/>
    </row>
    <row r="68" spans="1:77" x14ac:dyDescent="0.25">
      <c r="C68">
        <f t="shared" si="104"/>
        <v>100000</v>
      </c>
    </row>
    <row r="69" spans="1:77" x14ac:dyDescent="0.25">
      <c r="C69">
        <f t="shared" si="104"/>
        <v>100000</v>
      </c>
    </row>
  </sheetData>
  <mergeCells count="19">
    <mergeCell ref="BX5:BY5"/>
    <mergeCell ref="BN2:BY2"/>
    <mergeCell ref="AZ1:BY1"/>
    <mergeCell ref="BH3:BL3"/>
    <mergeCell ref="BC3:BG4"/>
    <mergeCell ref="AZ3:BB4"/>
    <mergeCell ref="BN3:BR4"/>
    <mergeCell ref="BS3:BY4"/>
    <mergeCell ref="AZ2:BL2"/>
    <mergeCell ref="X3:AE4"/>
    <mergeCell ref="AF3:AX4"/>
    <mergeCell ref="G4:H4"/>
    <mergeCell ref="I4:K4"/>
    <mergeCell ref="F3:K3"/>
    <mergeCell ref="M3:N4"/>
    <mergeCell ref="R3:W3"/>
    <mergeCell ref="R4:T4"/>
    <mergeCell ref="O3:Q4"/>
    <mergeCell ref="U4:W4"/>
  </mergeCells>
  <phoneticPr fontId="4" type="noConversion"/>
  <conditionalFormatting sqref="D6:D67">
    <cfRule type="expression" dxfId="149" priority="19">
      <formula>$B6=FALSE</formula>
    </cfRule>
  </conditionalFormatting>
  <conditionalFormatting sqref="BI6:BI67">
    <cfRule type="cellIs" dxfId="148" priority="11" operator="greaterThan">
      <formula>$BI$4</formula>
    </cfRule>
  </conditionalFormatting>
  <conditionalFormatting sqref="BJ6:BK67">
    <cfRule type="cellIs" dxfId="147" priority="15" operator="greaterThan">
      <formula>$BJ$4</formula>
    </cfRule>
  </conditionalFormatting>
  <conditionalFormatting sqref="BL6:BM8 BM9:BM35 BL9:BL67">
    <cfRule type="expression" dxfId="146" priority="16">
      <formula>ABS($BL6)&gt;$BL$4</formula>
    </cfRule>
  </conditionalFormatting>
  <conditionalFormatting sqref="BO6:BO67">
    <cfRule type="expression" dxfId="145" priority="3">
      <formula>$A6="Travée"</formula>
    </cfRule>
  </conditionalFormatting>
  <conditionalFormatting sqref="BR6:BR67">
    <cfRule type="cellIs" dxfId="144" priority="6" operator="greaterThan">
      <formula>1</formula>
    </cfRule>
  </conditionalFormatting>
  <conditionalFormatting sqref="BU6:BU67">
    <cfRule type="cellIs" dxfId="143" priority="5" operator="greaterThan">
      <formula>1</formula>
    </cfRule>
  </conditionalFormatting>
  <conditionalFormatting sqref="BV6:BX67">
    <cfRule type="cellIs" dxfId="142" priority="4" operator="equal">
      <formula>""</formula>
    </cfRule>
  </conditionalFormatting>
  <conditionalFormatting sqref="BX6:BX67">
    <cfRule type="cellIs" dxfId="141" priority="2" operator="lessThan">
      <formula>IF($BY6="Rive",1.15,IF($BY6="Inter",1.1,0))</formula>
    </cfRule>
  </conditionalFormatting>
  <conditionalFormatting sqref="BY6:BY67">
    <cfRule type="cellIs" dxfId="140" priority="1" operator="equal">
      <formula>""</formula>
    </cfRule>
  </conditionalFormatting>
  <pageMargins left="0.7" right="0.7" top="0.75" bottom="0.75" header="0.3" footer="0.3"/>
  <pageSetup paperSize="8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4ED6-B1F8-45F0-B26F-63FDE9AD40DB}">
  <sheetPr>
    <tabColor rgb="FFFF0000"/>
    <pageSetUpPr fitToPage="1"/>
  </sheetPr>
  <dimension ref="A1:BZ67"/>
  <sheetViews>
    <sheetView topLeftCell="A3" zoomScale="85" zoomScaleNormal="85" workbookViewId="0">
      <pane xSplit="5" topLeftCell="F1" activePane="topRight" state="frozen"/>
      <selection activeCell="A5" sqref="A5"/>
      <selection pane="topRight" activeCell="I7" sqref="I7:K67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5.85546875" bestFit="1" customWidth="1"/>
    <col min="7" max="7" width="3.42578125" bestFit="1" customWidth="1"/>
    <col min="8" max="8" width="3.85546875" bestFit="1" customWidth="1"/>
    <col min="9" max="9" width="6.85546875" bestFit="1" customWidth="1"/>
    <col min="10" max="11" width="4.8554687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4" width="4.140625" bestFit="1" customWidth="1"/>
    <col min="25" max="25" width="3.85546875" bestFit="1" customWidth="1"/>
    <col min="26" max="26" width="4.5703125" bestFit="1" customWidth="1"/>
    <col min="27" max="27" width="4.14062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5" width="3.85546875" hidden="1" customWidth="1" outlineLevel="1"/>
    <col min="36" max="36" width="8" hidden="1" customWidth="1" outlineLevel="1"/>
    <col min="37" max="39" width="4.85546875" hidden="1" customWidth="1" outlineLevel="1"/>
    <col min="40" max="42" width="4.140625" hidden="1" customWidth="1" outlineLevel="1"/>
    <col min="43" max="43" width="3.85546875" hidden="1" customWidth="1" outlineLevel="1"/>
    <col min="44" max="44" width="4.85546875" hidden="1" customWidth="1" outlineLevel="1"/>
    <col min="45" max="45" width="5.28515625" hidden="1" customWidth="1" outlineLevel="1"/>
    <col min="46" max="46" width="5.85546875" hidden="1" customWidth="1" outlineLevel="1"/>
    <col min="47" max="48" width="4.140625" hidden="1" customWidth="1" outlineLevel="1"/>
    <col min="49" max="50" width="4.85546875" hidden="1" customWidth="1" outlineLevel="1"/>
    <col min="51" max="51" width="2.85546875" customWidth="1" collapsed="1"/>
    <col min="52" max="52" width="6.42578125" customWidth="1"/>
    <col min="53" max="53" width="3.42578125" bestFit="1" customWidth="1"/>
    <col min="54" max="54" width="5.85546875" customWidth="1"/>
    <col min="55" max="56" width="3.42578125" bestFit="1" customWidth="1"/>
    <col min="57" max="57" width="4.85546875" bestFit="1" customWidth="1"/>
    <col min="58" max="59" width="4.42578125" bestFit="1" customWidth="1"/>
    <col min="60" max="60" width="3.85546875" bestFit="1" customWidth="1"/>
    <col min="61" max="61" width="4.28515625" bestFit="1" customWidth="1"/>
    <col min="62" max="64" width="5.28515625" bestFit="1" customWidth="1"/>
    <col min="66" max="66" width="4.140625" bestFit="1" customWidth="1"/>
    <col min="67" max="67" width="10.28515625" bestFit="1" customWidth="1"/>
    <col min="68" max="69" width="4.140625" bestFit="1" customWidth="1"/>
    <col min="70" max="70" width="5.28515625" bestFit="1" customWidth="1"/>
    <col min="71" max="72" width="4.140625" bestFit="1" customWidth="1"/>
    <col min="73" max="73" width="7.42578125" bestFit="1" customWidth="1"/>
    <col min="74" max="75" width="4.140625" bestFit="1" customWidth="1"/>
    <col min="76" max="76" width="4.7109375" bestFit="1" customWidth="1"/>
    <col min="77" max="77" width="5" bestFit="1" customWidth="1"/>
    <col min="79" max="79" width="9.140625" bestFit="1" customWidth="1"/>
  </cols>
  <sheetData>
    <row r="1" spans="1:78" ht="15.75" thickBot="1" x14ac:dyDescent="0.3">
      <c r="AZ1" s="80" t="s">
        <v>67</v>
      </c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2"/>
    </row>
    <row r="2" spans="1:78" ht="15.75" thickBot="1" x14ac:dyDescent="0.3">
      <c r="AZ2" s="67" t="s">
        <v>78</v>
      </c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79"/>
      <c r="BM2" s="6"/>
      <c r="BN2" s="67" t="s">
        <v>79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9"/>
    </row>
    <row r="3" spans="1:78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61" t="s">
        <v>68</v>
      </c>
      <c r="Y3" s="62"/>
      <c r="Z3" s="62"/>
      <c r="AA3" s="62"/>
      <c r="AB3" s="62"/>
      <c r="AC3" s="62"/>
      <c r="AD3" s="62"/>
      <c r="AE3" s="63"/>
      <c r="AF3" s="67" t="s">
        <v>67</v>
      </c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Z3" s="83" t="s">
        <v>87</v>
      </c>
      <c r="BA3" s="62"/>
      <c r="BB3" s="63"/>
      <c r="BC3" s="83" t="s">
        <v>88</v>
      </c>
      <c r="BD3" s="62"/>
      <c r="BE3" s="62"/>
      <c r="BF3" s="62"/>
      <c r="BG3" s="63"/>
      <c r="BH3" s="71" t="s">
        <v>77</v>
      </c>
      <c r="BI3" s="72"/>
      <c r="BJ3" s="72"/>
      <c r="BK3" s="72"/>
      <c r="BL3" s="73"/>
      <c r="BN3" s="83" t="s">
        <v>89</v>
      </c>
      <c r="BO3" s="62"/>
      <c r="BP3" s="62"/>
      <c r="BQ3" s="62"/>
      <c r="BR3" s="63"/>
      <c r="BS3" s="83" t="s">
        <v>90</v>
      </c>
      <c r="BT3" s="62"/>
      <c r="BU3" s="62"/>
      <c r="BV3" s="62"/>
      <c r="BW3" s="62"/>
      <c r="BX3" s="62"/>
      <c r="BY3" s="63"/>
    </row>
    <row r="4" spans="1:78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64"/>
      <c r="Y4" s="65"/>
      <c r="Z4" s="65"/>
      <c r="AA4" s="65"/>
      <c r="AB4" s="65"/>
      <c r="AC4" s="65"/>
      <c r="AD4" s="65"/>
      <c r="AE4" s="66"/>
      <c r="AF4" s="67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Z4" s="64"/>
      <c r="BA4" s="65"/>
      <c r="BB4" s="66"/>
      <c r="BC4" s="64"/>
      <c r="BD4" s="65"/>
      <c r="BE4" s="65"/>
      <c r="BF4" s="65"/>
      <c r="BG4" s="66"/>
      <c r="BH4" s="23"/>
      <c r="BI4" s="24">
        <f>0.6*F7</f>
        <v>15</v>
      </c>
      <c r="BJ4" s="24">
        <f>0.8*H7</f>
        <v>400</v>
      </c>
      <c r="BK4" s="24">
        <f>0.8*H7</f>
        <v>400</v>
      </c>
      <c r="BL4" s="25">
        <f>MIN(J7,0.9*0.8*H7)</f>
        <v>360.00000000000006</v>
      </c>
      <c r="BM4" s="14"/>
      <c r="BN4" s="64"/>
      <c r="BO4" s="65"/>
      <c r="BP4" s="65"/>
      <c r="BQ4" s="65"/>
      <c r="BR4" s="66"/>
      <c r="BS4" s="64"/>
      <c r="BT4" s="65"/>
      <c r="BU4" s="65"/>
      <c r="BV4" s="65"/>
      <c r="BW4" s="65"/>
      <c r="BX4" s="65"/>
      <c r="BY4" s="66"/>
    </row>
    <row r="5" spans="1:78" ht="81.75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31" t="s">
        <v>69</v>
      </c>
      <c r="Y5" s="32" t="s">
        <v>70</v>
      </c>
      <c r="Z5" s="32" t="s">
        <v>71</v>
      </c>
      <c r="AA5" s="32" t="s">
        <v>20</v>
      </c>
      <c r="AB5" s="32" t="s">
        <v>21</v>
      </c>
      <c r="AC5" s="32" t="s">
        <v>22</v>
      </c>
      <c r="AD5" s="32" t="s">
        <v>23</v>
      </c>
      <c r="AE5" s="33" t="s">
        <v>24</v>
      </c>
      <c r="AF5" s="34" t="s">
        <v>25</v>
      </c>
      <c r="AG5" s="35" t="s">
        <v>26</v>
      </c>
      <c r="AH5" s="35" t="s">
        <v>27</v>
      </c>
      <c r="AI5" s="35" t="s">
        <v>28</v>
      </c>
      <c r="AJ5" s="35" t="s">
        <v>29</v>
      </c>
      <c r="AK5" s="35" t="s">
        <v>30</v>
      </c>
      <c r="AL5" s="35" t="s">
        <v>31</v>
      </c>
      <c r="AM5" s="35" t="s">
        <v>32</v>
      </c>
      <c r="AN5" s="35" t="s">
        <v>33</v>
      </c>
      <c r="AO5" s="35" t="s">
        <v>34</v>
      </c>
      <c r="AP5" s="35" t="s">
        <v>35</v>
      </c>
      <c r="AQ5" s="35" t="s">
        <v>36</v>
      </c>
      <c r="AR5" s="35" t="s">
        <v>37</v>
      </c>
      <c r="AS5" s="35" t="s">
        <v>38</v>
      </c>
      <c r="AT5" s="36" t="s">
        <v>39</v>
      </c>
      <c r="AU5" s="37" t="s">
        <v>40</v>
      </c>
      <c r="AV5" s="35" t="s">
        <v>42</v>
      </c>
      <c r="AW5" s="35" t="s">
        <v>43</v>
      </c>
      <c r="AX5" s="35" t="s">
        <v>41</v>
      </c>
      <c r="AY5" s="20"/>
      <c r="AZ5" s="16" t="s">
        <v>72</v>
      </c>
      <c r="BA5" s="18" t="s">
        <v>73</v>
      </c>
      <c r="BB5" s="17" t="s">
        <v>74</v>
      </c>
      <c r="BC5" s="18" t="s">
        <v>72</v>
      </c>
      <c r="BD5" s="18" t="s">
        <v>73</v>
      </c>
      <c r="BE5" s="18" t="s">
        <v>74</v>
      </c>
      <c r="BF5" s="18" t="s">
        <v>75</v>
      </c>
      <c r="BG5" s="17" t="s">
        <v>76</v>
      </c>
      <c r="BH5" s="16" t="s">
        <v>72</v>
      </c>
      <c r="BI5" s="18" t="s">
        <v>73</v>
      </c>
      <c r="BJ5" s="18" t="s">
        <v>74</v>
      </c>
      <c r="BK5" s="18" t="s">
        <v>75</v>
      </c>
      <c r="BL5" s="17" t="s">
        <v>76</v>
      </c>
      <c r="BM5" s="18"/>
      <c r="BN5" s="16" t="s">
        <v>80</v>
      </c>
      <c r="BO5" s="19" t="s">
        <v>66</v>
      </c>
      <c r="BP5" s="18" t="s">
        <v>82</v>
      </c>
      <c r="BQ5" s="18" t="s">
        <v>81</v>
      </c>
      <c r="BR5" s="17" t="s">
        <v>83</v>
      </c>
      <c r="BS5" s="16" t="s">
        <v>80</v>
      </c>
      <c r="BT5" s="18" t="s">
        <v>81</v>
      </c>
      <c r="BU5" s="20"/>
      <c r="BV5" s="18" t="s">
        <v>84</v>
      </c>
      <c r="BW5" s="18" t="s">
        <v>85</v>
      </c>
      <c r="BX5" s="77" t="s">
        <v>86</v>
      </c>
      <c r="BY5" s="78"/>
    </row>
    <row r="6" spans="1:78" x14ac:dyDescent="0.25">
      <c r="A6" t="str">
        <f>IF(ISNUMBER(SEARCH("Appui",E6)),"Appui",IF(ISNUMBER(SEARCH("Travée",E6)),"Travée",""))</f>
        <v>Travée</v>
      </c>
      <c r="B6" t="b">
        <f>MOD(C6,2)=0</f>
        <v>0</v>
      </c>
      <c r="C6">
        <v>1</v>
      </c>
      <c r="D6" s="5" t="s">
        <v>44</v>
      </c>
      <c r="E6" t="s">
        <v>45</v>
      </c>
      <c r="F6" s="5"/>
      <c r="K6" s="10"/>
      <c r="L6" s="12"/>
      <c r="M6" s="5"/>
      <c r="N6" s="10"/>
      <c r="O6" s="5"/>
      <c r="Q6" s="10"/>
      <c r="R6" s="8"/>
      <c r="U6" s="9"/>
      <c r="W6" s="10"/>
      <c r="X6" s="1"/>
      <c r="Y6" s="2"/>
      <c r="Z6" s="13"/>
      <c r="AA6" s="2"/>
      <c r="AB6" s="2"/>
      <c r="AC6" s="2"/>
      <c r="AD6" s="2"/>
      <c r="AE6" s="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1"/>
      <c r="AV6" s="2"/>
      <c r="AW6" s="2"/>
      <c r="AX6" s="2"/>
      <c r="AZ6" s="1"/>
      <c r="BA6" s="2"/>
      <c r="BB6" s="7"/>
      <c r="BC6" s="1"/>
      <c r="BD6" s="2"/>
      <c r="BE6" s="2"/>
      <c r="BF6" s="2"/>
      <c r="BG6" s="7"/>
      <c r="BH6" s="1"/>
      <c r="BI6" s="2"/>
      <c r="BJ6" s="2"/>
      <c r="BK6" s="2"/>
      <c r="BL6" s="7"/>
      <c r="BM6" s="2"/>
      <c r="BN6" s="1"/>
      <c r="BO6" s="4"/>
      <c r="BP6" s="2"/>
      <c r="BQ6" s="2"/>
      <c r="BR6" s="3"/>
      <c r="BS6" s="1"/>
      <c r="BT6" s="2"/>
      <c r="BU6" s="21"/>
      <c r="BV6" s="2"/>
      <c r="BW6" s="2"/>
      <c r="BX6" s="21"/>
      <c r="BY6" s="10"/>
    </row>
    <row r="7" spans="1:78" x14ac:dyDescent="0.25">
      <c r="A7" t="str">
        <f>IF(ISNUMBER(SEARCH("Appui",E7)),"Appui",IF(ISNUMBER(SEARCH("Travée",E7)),"Travée",""))</f>
        <v>Appui</v>
      </c>
      <c r="B7" t="b">
        <f>MOD(C7,2)=0</f>
        <v>0</v>
      </c>
      <c r="C7">
        <v>1</v>
      </c>
      <c r="D7" s="5" t="s">
        <v>44</v>
      </c>
      <c r="E7" t="s">
        <v>47</v>
      </c>
      <c r="F7" s="5">
        <v>25</v>
      </c>
      <c r="G7" t="s">
        <v>46</v>
      </c>
      <c r="H7">
        <v>500</v>
      </c>
      <c r="I7">
        <v>220000</v>
      </c>
      <c r="J7">
        <v>1576</v>
      </c>
      <c r="K7" s="10">
        <v>1870</v>
      </c>
      <c r="L7" s="12">
        <v>1</v>
      </c>
      <c r="M7" s="5">
        <v>0.23</v>
      </c>
      <c r="N7" s="10">
        <v>2.2000000000000002</v>
      </c>
      <c r="O7" s="5">
        <v>9.3499999999999996E-4</v>
      </c>
      <c r="P7">
        <v>0.06</v>
      </c>
      <c r="Q7" s="10">
        <v>1</v>
      </c>
      <c r="R7" s="8">
        <v>0</v>
      </c>
      <c r="S7">
        <v>0</v>
      </c>
      <c r="T7">
        <v>1</v>
      </c>
      <c r="U7" s="9">
        <v>0</v>
      </c>
      <c r="V7">
        <v>0</v>
      </c>
      <c r="W7" s="10">
        <v>0</v>
      </c>
      <c r="X7" s="1">
        <v>48.344999999999999</v>
      </c>
      <c r="Y7" s="2">
        <v>14.685</v>
      </c>
      <c r="Z7" s="13">
        <v>0</v>
      </c>
      <c r="AA7" s="2">
        <v>48.344999999999999</v>
      </c>
      <c r="AB7" s="2">
        <v>14.685</v>
      </c>
      <c r="AC7" s="2">
        <v>82.5</v>
      </c>
      <c r="AD7" s="2"/>
      <c r="AE7" s="7">
        <v>63.03</v>
      </c>
      <c r="AF7" s="2">
        <v>48.344999999999999</v>
      </c>
      <c r="AG7" s="2">
        <v>14.685</v>
      </c>
      <c r="AH7" s="2">
        <v>9.8999021426492888</v>
      </c>
      <c r="AI7" s="2">
        <v>3.0071375109071221</v>
      </c>
      <c r="AJ7" s="2">
        <v>-321.76112042274201</v>
      </c>
      <c r="AK7" s="2">
        <v>-97.736313029433546</v>
      </c>
      <c r="AL7" s="2">
        <v>0</v>
      </c>
      <c r="AM7" s="2">
        <v>0</v>
      </c>
      <c r="AN7" s="2">
        <v>82.5</v>
      </c>
      <c r="AO7" s="2">
        <v>70.619156267381925</v>
      </c>
      <c r="AP7" s="2">
        <v>70.619156267381925</v>
      </c>
      <c r="AQ7" s="2">
        <v>0</v>
      </c>
      <c r="AR7" s="2">
        <v>0</v>
      </c>
      <c r="AS7" s="2">
        <v>0</v>
      </c>
      <c r="AT7" s="2">
        <v>0</v>
      </c>
      <c r="AU7" s="1">
        <v>63.03</v>
      </c>
      <c r="AV7" s="2">
        <v>8.89740690180275</v>
      </c>
      <c r="AW7" s="2">
        <v>-430.36521101686373</v>
      </c>
      <c r="AX7" s="2">
        <v>70.619156267381925</v>
      </c>
      <c r="AZ7" s="1">
        <f>AF7</f>
        <v>48.344999999999999</v>
      </c>
      <c r="BA7" s="2">
        <f>AH7</f>
        <v>9.8999021426492888</v>
      </c>
      <c r="BB7" s="7">
        <f>AJ7</f>
        <v>-321.76112042274201</v>
      </c>
      <c r="BC7" s="1">
        <f>AG7</f>
        <v>14.685</v>
      </c>
      <c r="BD7" s="2">
        <f>AI7</f>
        <v>3.0071375109071221</v>
      </c>
      <c r="BE7" s="2">
        <f t="shared" ref="BE7:BG9" si="0">AK7</f>
        <v>-97.736313029433546</v>
      </c>
      <c r="BF7" s="2">
        <f t="shared" si="0"/>
        <v>0</v>
      </c>
      <c r="BG7" s="7">
        <f t="shared" si="0"/>
        <v>0</v>
      </c>
      <c r="BH7" s="1">
        <f t="shared" ref="BH7:BI9" si="1">AZ7+BC7</f>
        <v>63.03</v>
      </c>
      <c r="BI7" s="2">
        <f t="shared" si="1"/>
        <v>12.90703965355641</v>
      </c>
      <c r="BJ7" s="2">
        <f t="shared" ref="BJ7:BJ9" si="2">ABS(BB7+BE7)</f>
        <v>419.49743345217553</v>
      </c>
      <c r="BK7" s="2">
        <f>ABS(BF7)</f>
        <v>0</v>
      </c>
      <c r="BL7" s="7">
        <f>BG7</f>
        <v>0</v>
      </c>
      <c r="BM7" s="2"/>
      <c r="BN7" s="1"/>
      <c r="BO7" s="4"/>
      <c r="BP7" s="2"/>
      <c r="BQ7" s="2"/>
      <c r="BR7" s="3"/>
      <c r="BS7" s="1"/>
      <c r="BT7" s="2"/>
      <c r="BU7" s="21"/>
      <c r="BV7" s="2"/>
      <c r="BW7" s="2"/>
      <c r="BX7" s="21"/>
      <c r="BY7" s="15"/>
    </row>
    <row r="8" spans="1:78" x14ac:dyDescent="0.25">
      <c r="A8" t="str">
        <f t="shared" ref="A8:A66" si="3">IF(ISNUMBER(SEARCH("Appui",E8)),"Appui",IF(ISNUMBER(SEARCH("Travée",E8)),"Travée",""))</f>
        <v>Travée</v>
      </c>
      <c r="B8" t="b">
        <f t="shared" ref="B8:B66" si="4">MOD(C8,2)=0</f>
        <v>0</v>
      </c>
      <c r="C8">
        <f>IF(D8=D7,C7,C7+1)</f>
        <v>1</v>
      </c>
      <c r="D8" s="5" t="s">
        <v>44</v>
      </c>
      <c r="E8" t="s">
        <v>48</v>
      </c>
      <c r="F8" s="5">
        <v>25</v>
      </c>
      <c r="G8" t="s">
        <v>46</v>
      </c>
      <c r="H8">
        <v>500</v>
      </c>
      <c r="I8">
        <v>220000</v>
      </c>
      <c r="J8">
        <v>1576</v>
      </c>
      <c r="K8" s="10">
        <v>1870</v>
      </c>
      <c r="L8" s="12">
        <v>1</v>
      </c>
      <c r="M8" s="5">
        <v>0.215</v>
      </c>
      <c r="N8" s="10">
        <v>2.2000000000000002</v>
      </c>
      <c r="O8" s="5">
        <v>2.8200000000000002E-4</v>
      </c>
      <c r="P8">
        <v>0.03</v>
      </c>
      <c r="Q8" s="10">
        <v>1</v>
      </c>
      <c r="R8" s="8">
        <v>0</v>
      </c>
      <c r="S8">
        <v>0</v>
      </c>
      <c r="T8">
        <v>1</v>
      </c>
      <c r="U8" s="9">
        <v>2.9099999999999999E-5</v>
      </c>
      <c r="V8">
        <v>0</v>
      </c>
      <c r="W8" s="10">
        <v>2</v>
      </c>
      <c r="X8" s="1">
        <v>30.75328</v>
      </c>
      <c r="Y8" s="2">
        <v>9.3414400000000004</v>
      </c>
      <c r="Z8" s="13">
        <v>0</v>
      </c>
      <c r="AA8" s="2">
        <v>30.75328</v>
      </c>
      <c r="AB8" s="2">
        <v>9.3414400000000004</v>
      </c>
      <c r="AC8" s="2">
        <v>52.48</v>
      </c>
      <c r="AD8" s="2"/>
      <c r="AE8" s="7">
        <v>40.094720000000002</v>
      </c>
      <c r="AF8" s="2">
        <v>30.75328</v>
      </c>
      <c r="AG8" s="2">
        <v>9.3414400000000004</v>
      </c>
      <c r="AH8" s="2">
        <v>9.4604893191345809</v>
      </c>
      <c r="AI8" s="2">
        <v>2.4834776565686529</v>
      </c>
      <c r="AJ8" s="2">
        <v>-608.14332096834062</v>
      </c>
      <c r="AK8" s="2">
        <v>-141.2362686903069</v>
      </c>
      <c r="AL8" s="2">
        <v>0</v>
      </c>
      <c r="AM8" s="2">
        <v>-183.36824437041011</v>
      </c>
      <c r="AN8" s="2">
        <v>52.48</v>
      </c>
      <c r="AO8" s="2">
        <v>23.979028458497989</v>
      </c>
      <c r="AP8" s="2">
        <v>44.75816356516205</v>
      </c>
      <c r="AQ8" s="2">
        <v>0</v>
      </c>
      <c r="AR8" s="2">
        <v>0</v>
      </c>
      <c r="AS8" s="2">
        <v>0</v>
      </c>
      <c r="AT8" s="2">
        <v>0</v>
      </c>
      <c r="AU8" s="1">
        <v>40.094720000000002</v>
      </c>
      <c r="AV8" s="2">
        <v>0</v>
      </c>
      <c r="AW8" s="2">
        <v>0</v>
      </c>
      <c r="AX8" s="2">
        <v>23.979028458497989</v>
      </c>
      <c r="AZ8" s="1">
        <f>AF8</f>
        <v>30.75328</v>
      </c>
      <c r="BA8" s="2">
        <f>AH8</f>
        <v>9.4604893191345809</v>
      </c>
      <c r="BB8" s="7">
        <f>AJ8</f>
        <v>-608.14332096834062</v>
      </c>
      <c r="BC8" s="1">
        <f>AG8</f>
        <v>9.3414400000000004</v>
      </c>
      <c r="BD8" s="2">
        <f>AI8</f>
        <v>2.4834776565686529</v>
      </c>
      <c r="BE8" s="2">
        <f t="shared" si="0"/>
        <v>-141.2362686903069</v>
      </c>
      <c r="BF8" s="2">
        <f t="shared" si="0"/>
        <v>0</v>
      </c>
      <c r="BG8" s="7">
        <f t="shared" si="0"/>
        <v>-183.36824437041011</v>
      </c>
      <c r="BH8" s="1">
        <f t="shared" si="1"/>
        <v>40.094720000000002</v>
      </c>
      <c r="BI8" s="2">
        <f t="shared" si="1"/>
        <v>11.943966975703233</v>
      </c>
      <c r="BJ8" s="2">
        <f t="shared" si="2"/>
        <v>749.37958965864755</v>
      </c>
      <c r="BK8" s="2">
        <f t="shared" ref="BK8:BK9" si="5">ABS(BF8)</f>
        <v>0</v>
      </c>
      <c r="BL8" s="7">
        <f t="shared" ref="BL8:BL9" si="6">BG8</f>
        <v>-183.36824437041011</v>
      </c>
      <c r="BM8" s="2"/>
      <c r="BN8" s="1"/>
      <c r="BO8" s="4"/>
      <c r="BP8" s="2"/>
      <c r="BQ8" s="2"/>
      <c r="BR8" s="3"/>
      <c r="BS8" s="1"/>
      <c r="BT8" s="2"/>
      <c r="BU8" s="21"/>
      <c r="BV8" s="2"/>
      <c r="BW8" s="2"/>
      <c r="BX8" s="21"/>
      <c r="BY8" s="10"/>
    </row>
    <row r="9" spans="1:78" x14ac:dyDescent="0.25">
      <c r="A9" t="str">
        <f t="shared" si="3"/>
        <v>Appui</v>
      </c>
      <c r="B9" t="b">
        <f t="shared" si="4"/>
        <v>0</v>
      </c>
      <c r="C9">
        <f t="shared" ref="C9:C32" si="7">IF(D9=D8,C8,C8+1)</f>
        <v>1</v>
      </c>
      <c r="D9" s="5" t="s">
        <v>44</v>
      </c>
      <c r="E9" t="s">
        <v>49</v>
      </c>
      <c r="F9" s="5">
        <v>25</v>
      </c>
      <c r="G9" t="s">
        <v>46</v>
      </c>
      <c r="H9">
        <v>500</v>
      </c>
      <c r="I9">
        <v>220000</v>
      </c>
      <c r="J9">
        <v>1576</v>
      </c>
      <c r="K9" s="10">
        <v>1870</v>
      </c>
      <c r="L9" s="12">
        <v>1</v>
      </c>
      <c r="M9" s="5">
        <v>0.2</v>
      </c>
      <c r="N9" s="10">
        <v>2.2000000000000002</v>
      </c>
      <c r="O9" s="5">
        <v>1.1100000000000001E-3</v>
      </c>
      <c r="P9">
        <v>0.06</v>
      </c>
      <c r="Q9" s="10">
        <v>1</v>
      </c>
      <c r="R9" s="8">
        <v>0</v>
      </c>
      <c r="S9">
        <v>0</v>
      </c>
      <c r="T9">
        <v>1</v>
      </c>
      <c r="U9" s="9">
        <v>0</v>
      </c>
      <c r="V9">
        <v>0</v>
      </c>
      <c r="W9" s="10">
        <v>0</v>
      </c>
      <c r="X9" s="1">
        <v>0.64460000000000006</v>
      </c>
      <c r="Y9" s="2">
        <v>0.1958</v>
      </c>
      <c r="Z9" s="13">
        <v>0</v>
      </c>
      <c r="AA9" s="2">
        <v>0.64460000000000006</v>
      </c>
      <c r="AB9" s="2">
        <v>0.1958</v>
      </c>
      <c r="AC9" s="2">
        <v>1.1000000000000001</v>
      </c>
      <c r="AD9" s="2"/>
      <c r="AE9" s="7">
        <v>0.84040000000000004</v>
      </c>
      <c r="AF9" s="2">
        <v>0.64460000000000006</v>
      </c>
      <c r="AG9" s="2">
        <v>0.1958</v>
      </c>
      <c r="AH9" s="2">
        <v>0.16669883332825869</v>
      </c>
      <c r="AI9" s="2">
        <v>5.0417151698838737E-2</v>
      </c>
      <c r="AJ9" s="2">
        <v>-4.4346621074659573</v>
      </c>
      <c r="AK9" s="2">
        <v>-1.341871713384406</v>
      </c>
      <c r="AL9" s="2">
        <v>0</v>
      </c>
      <c r="AM9" s="2">
        <v>0</v>
      </c>
      <c r="AN9" s="2">
        <v>1.1000000000000001</v>
      </c>
      <c r="AO9" s="2">
        <v>66.620093067549348</v>
      </c>
      <c r="AP9" s="2">
        <v>66.620093067549348</v>
      </c>
      <c r="AQ9" s="2">
        <v>0.21924279503818259</v>
      </c>
      <c r="AR9" s="2">
        <v>-7.7409754412744576</v>
      </c>
      <c r="AS9" s="2">
        <v>0</v>
      </c>
      <c r="AT9" s="2">
        <v>0</v>
      </c>
      <c r="AU9" s="1">
        <v>0.84040000000000004</v>
      </c>
      <c r="AV9" s="2">
        <v>0.16757648393510571</v>
      </c>
      <c r="AW9" s="2">
        <v>-5.9139252931186466</v>
      </c>
      <c r="AX9" s="2">
        <v>66.620093067549348</v>
      </c>
      <c r="AZ9" s="1">
        <f>AF9</f>
        <v>0.64460000000000006</v>
      </c>
      <c r="BA9" s="2">
        <f>AH9</f>
        <v>0.16669883332825869</v>
      </c>
      <c r="BB9" s="7">
        <f>AJ9</f>
        <v>-4.4346621074659573</v>
      </c>
      <c r="BC9" s="1">
        <f>AG9</f>
        <v>0.1958</v>
      </c>
      <c r="BD9" s="2">
        <f>AI9</f>
        <v>5.0417151698838737E-2</v>
      </c>
      <c r="BE9" s="2">
        <f t="shared" si="0"/>
        <v>-1.341871713384406</v>
      </c>
      <c r="BF9" s="2">
        <f t="shared" si="0"/>
        <v>0</v>
      </c>
      <c r="BG9" s="7">
        <f t="shared" si="0"/>
        <v>0</v>
      </c>
      <c r="BH9" s="1">
        <f t="shared" si="1"/>
        <v>0.84040000000000004</v>
      </c>
      <c r="BI9" s="2">
        <f t="shared" si="1"/>
        <v>0.21711598502709742</v>
      </c>
      <c r="BJ9" s="2">
        <f t="shared" si="2"/>
        <v>5.7765338208503634</v>
      </c>
      <c r="BK9" s="2">
        <f t="shared" si="5"/>
        <v>0</v>
      </c>
      <c r="BL9" s="7">
        <f t="shared" si="6"/>
        <v>0</v>
      </c>
      <c r="BM9" s="2"/>
      <c r="BN9" s="1"/>
      <c r="BO9" s="4"/>
      <c r="BP9" s="2"/>
      <c r="BQ9" s="2"/>
      <c r="BR9" s="3"/>
      <c r="BS9" s="1"/>
      <c r="BT9" s="2"/>
      <c r="BU9" s="21"/>
      <c r="BV9" s="2"/>
      <c r="BW9" s="2"/>
      <c r="BX9" s="21"/>
      <c r="BY9" s="15"/>
    </row>
    <row r="10" spans="1:78" x14ac:dyDescent="0.25">
      <c r="A10" t="str">
        <f t="shared" si="3"/>
        <v/>
      </c>
      <c r="B10" t="b">
        <f t="shared" si="4"/>
        <v>0</v>
      </c>
      <c r="C10">
        <f t="shared" si="7"/>
        <v>1</v>
      </c>
      <c r="D10" s="5" t="s">
        <v>44</v>
      </c>
      <c r="F10" s="5"/>
      <c r="K10" s="10"/>
      <c r="L10" s="12"/>
      <c r="M10" s="5"/>
      <c r="N10" s="10"/>
      <c r="O10" s="5"/>
      <c r="Q10" s="10"/>
      <c r="R10" s="8"/>
      <c r="U10" s="9"/>
      <c r="W10" s="10"/>
      <c r="X10" s="1"/>
      <c r="Y10" s="2"/>
      <c r="Z10" s="13"/>
      <c r="AA10" s="2"/>
      <c r="AB10" s="2"/>
      <c r="AC10" s="2"/>
      <c r="AD10" s="2"/>
      <c r="AE10" s="7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"/>
      <c r="AV10" s="2"/>
      <c r="AW10" s="2"/>
      <c r="AX10" s="2"/>
      <c r="AZ10" s="1"/>
      <c r="BA10" s="2"/>
      <c r="BB10" s="7"/>
      <c r="BC10" s="1"/>
      <c r="BD10" s="2"/>
      <c r="BE10" s="2"/>
      <c r="BF10" s="2"/>
      <c r="BG10" s="7"/>
      <c r="BH10" s="1"/>
      <c r="BI10" s="2"/>
      <c r="BJ10" s="2"/>
      <c r="BK10" s="2"/>
      <c r="BL10" s="7"/>
      <c r="BM10" s="2"/>
      <c r="BN10" s="1"/>
      <c r="BO10" s="4"/>
      <c r="BP10" s="2"/>
      <c r="BQ10" s="2"/>
      <c r="BR10" s="3"/>
      <c r="BS10" s="1"/>
      <c r="BT10" s="2"/>
      <c r="BU10" s="21"/>
      <c r="BV10" s="2"/>
      <c r="BW10" s="2"/>
      <c r="BX10" s="21"/>
      <c r="BY10" s="15"/>
      <c r="BZ10" t="b">
        <f>SUM(BN7:BN10)&lt;=SUM(BP7:BP10)</f>
        <v>1</v>
      </c>
    </row>
    <row r="11" spans="1:78" x14ac:dyDescent="0.25">
      <c r="A11" t="str">
        <f t="shared" si="3"/>
        <v>Travée</v>
      </c>
      <c r="B11" t="b">
        <f t="shared" si="4"/>
        <v>1</v>
      </c>
      <c r="C11">
        <f t="shared" si="7"/>
        <v>2</v>
      </c>
      <c r="D11" s="5" t="s">
        <v>50</v>
      </c>
      <c r="E11" t="s">
        <v>45</v>
      </c>
      <c r="F11" s="5">
        <v>25</v>
      </c>
      <c r="G11" t="s">
        <v>46</v>
      </c>
      <c r="H11">
        <v>500</v>
      </c>
      <c r="I11">
        <v>220000</v>
      </c>
      <c r="J11">
        <v>1576</v>
      </c>
      <c r="K11" s="10">
        <v>1870</v>
      </c>
      <c r="L11" s="12">
        <v>1</v>
      </c>
      <c r="M11" s="5">
        <v>0.24</v>
      </c>
      <c r="N11" s="10">
        <v>2.2000000000000002</v>
      </c>
      <c r="O11" s="5">
        <v>5.6539999999999997E-4</v>
      </c>
      <c r="P11">
        <v>0.03</v>
      </c>
      <c r="Q11" s="10">
        <v>1</v>
      </c>
      <c r="R11" s="8">
        <v>0</v>
      </c>
      <c r="S11">
        <v>0</v>
      </c>
      <c r="T11">
        <v>1</v>
      </c>
      <c r="U11" s="9">
        <v>2.9099999999999999E-5</v>
      </c>
      <c r="V11">
        <v>0</v>
      </c>
      <c r="W11" s="10">
        <v>2</v>
      </c>
      <c r="X11" s="1">
        <v>25.50272</v>
      </c>
      <c r="Y11" s="2">
        <v>7.7465600000000006</v>
      </c>
      <c r="Z11" s="13">
        <v>0</v>
      </c>
      <c r="AA11" s="2">
        <v>25.50272</v>
      </c>
      <c r="AB11" s="2">
        <v>7.7465600000000006</v>
      </c>
      <c r="AC11" s="2">
        <v>43.52</v>
      </c>
      <c r="AD11" s="2"/>
      <c r="AE11" s="7">
        <v>33.249279999999999</v>
      </c>
      <c r="AF11" s="2">
        <v>25.50272</v>
      </c>
      <c r="AG11" s="2">
        <v>7.7465600000000006</v>
      </c>
      <c r="AH11" s="2">
        <v>4.6735186569645126</v>
      </c>
      <c r="AI11" s="2">
        <v>1.3209170519478819</v>
      </c>
      <c r="AJ11" s="2">
        <v>-223.70612189643981</v>
      </c>
      <c r="AK11" s="2">
        <v>-59.151984244292251</v>
      </c>
      <c r="AL11" s="2">
        <v>0</v>
      </c>
      <c r="AM11" s="2">
        <v>-75.681429270593398</v>
      </c>
      <c r="AN11" s="2">
        <v>43.52</v>
      </c>
      <c r="AO11" s="2">
        <v>54.236333511620103</v>
      </c>
      <c r="AP11" s="2">
        <v>75.116649464325647</v>
      </c>
      <c r="AQ11" s="2">
        <v>5.3033557961741034</v>
      </c>
      <c r="AR11" s="2">
        <v>-337.63692358329592</v>
      </c>
      <c r="AS11" s="2">
        <v>0</v>
      </c>
      <c r="AT11" s="2">
        <v>-435.41315548713811</v>
      </c>
      <c r="AU11" s="1">
        <v>33.249279999999999</v>
      </c>
      <c r="AV11" s="2">
        <v>4.398608075638526</v>
      </c>
      <c r="AW11" s="2">
        <v>-296.25577566720818</v>
      </c>
      <c r="AX11" s="2">
        <v>54.236333511620103</v>
      </c>
      <c r="AZ11" s="1">
        <f t="shared" ref="AZ11:AZ16" si="8">AF11</f>
        <v>25.50272</v>
      </c>
      <c r="BA11" s="2">
        <f t="shared" ref="BA11:BA16" si="9">AH11</f>
        <v>4.6735186569645126</v>
      </c>
      <c r="BB11" s="7">
        <f t="shared" ref="BB11:BB16" si="10">AJ11</f>
        <v>-223.70612189643981</v>
      </c>
      <c r="BC11" s="1">
        <f t="shared" ref="BC11:BC16" si="11">AG11</f>
        <v>7.7465600000000006</v>
      </c>
      <c r="BD11" s="2">
        <f t="shared" ref="BD11:BD16" si="12">AI11</f>
        <v>1.3209170519478819</v>
      </c>
      <c r="BE11" s="2">
        <f t="shared" ref="BE11:BE16" si="13">AK11</f>
        <v>-59.151984244292251</v>
      </c>
      <c r="BF11" s="2">
        <f t="shared" ref="BF11:BF16" si="14">AL11</f>
        <v>0</v>
      </c>
      <c r="BG11" s="7">
        <f t="shared" ref="BG11:BG16" si="15">AM11</f>
        <v>-75.681429270593398</v>
      </c>
      <c r="BH11" s="1">
        <f t="shared" ref="BH11:BH16" si="16">AZ11+BC11</f>
        <v>33.249279999999999</v>
      </c>
      <c r="BI11" s="2">
        <f t="shared" ref="BI11:BI16" si="17">BA11+BD11</f>
        <v>5.9944357089123947</v>
      </c>
      <c r="BJ11" s="2">
        <f t="shared" ref="BJ11:BJ16" si="18">ABS(BB11+BE11)</f>
        <v>282.85810614073205</v>
      </c>
      <c r="BK11" s="2">
        <f t="shared" ref="BK11:BK16" si="19">ABS(BF11)</f>
        <v>0</v>
      </c>
      <c r="BL11" s="7">
        <f t="shared" ref="BL11:BL16" si="20">BG11</f>
        <v>-75.681429270593398</v>
      </c>
      <c r="BM11" s="2"/>
      <c r="BN11" s="1"/>
      <c r="BO11" s="4"/>
      <c r="BP11" s="2"/>
      <c r="BQ11" s="2"/>
      <c r="BR11" s="3"/>
      <c r="BS11" s="1"/>
      <c r="BT11" s="2"/>
      <c r="BU11" s="21"/>
      <c r="BV11" s="2"/>
      <c r="BW11" s="2"/>
      <c r="BX11" s="21"/>
      <c r="BY11" s="10"/>
    </row>
    <row r="12" spans="1:78" x14ac:dyDescent="0.25">
      <c r="A12" t="str">
        <f t="shared" si="3"/>
        <v>Appui</v>
      </c>
      <c r="B12" t="b">
        <f t="shared" si="4"/>
        <v>1</v>
      </c>
      <c r="C12">
        <f t="shared" si="7"/>
        <v>2</v>
      </c>
      <c r="D12" s="5" t="s">
        <v>50</v>
      </c>
      <c r="E12" t="s">
        <v>47</v>
      </c>
      <c r="F12" s="5">
        <v>25</v>
      </c>
      <c r="G12" t="s">
        <v>46</v>
      </c>
      <c r="H12">
        <v>500</v>
      </c>
      <c r="I12">
        <v>220000</v>
      </c>
      <c r="J12">
        <v>1576</v>
      </c>
      <c r="K12" s="10">
        <v>1870</v>
      </c>
      <c r="L12" s="12">
        <v>1</v>
      </c>
      <c r="M12" s="5">
        <v>0.23</v>
      </c>
      <c r="N12" s="10">
        <v>2.2000000000000002</v>
      </c>
      <c r="O12" s="5">
        <v>8.470000000000001E-4</v>
      </c>
      <c r="P12">
        <v>7.0000000000000007E-2</v>
      </c>
      <c r="Q12" s="10">
        <v>1</v>
      </c>
      <c r="R12" s="8">
        <v>0</v>
      </c>
      <c r="S12">
        <v>0</v>
      </c>
      <c r="T12">
        <v>1</v>
      </c>
      <c r="U12" s="9">
        <v>2.9099999999999999E-5</v>
      </c>
      <c r="V12">
        <v>0</v>
      </c>
      <c r="W12" s="10">
        <v>5</v>
      </c>
      <c r="X12" s="1">
        <v>58.014000000000003</v>
      </c>
      <c r="Y12" s="2">
        <v>17.622</v>
      </c>
      <c r="Z12" s="13">
        <v>0</v>
      </c>
      <c r="AA12" s="2">
        <v>58.014000000000003</v>
      </c>
      <c r="AB12" s="2">
        <v>17.622</v>
      </c>
      <c r="AC12" s="2">
        <v>99.000000000000014</v>
      </c>
      <c r="AD12" s="2"/>
      <c r="AE12" s="7">
        <v>75.63600000000001</v>
      </c>
      <c r="AF12" s="2">
        <v>58.014000000000003</v>
      </c>
      <c r="AG12" s="2">
        <v>17.622</v>
      </c>
      <c r="AH12" s="2">
        <v>13.599857379025</v>
      </c>
      <c r="AI12" s="2">
        <v>3.3566398513700859</v>
      </c>
      <c r="AJ12" s="2">
        <v>-452.69042512507349</v>
      </c>
      <c r="AK12" s="2">
        <v>-97.16708587771474</v>
      </c>
      <c r="AL12" s="2">
        <v>0</v>
      </c>
      <c r="AM12" s="2">
        <v>-163.9097376426748</v>
      </c>
      <c r="AN12" s="2">
        <v>99.000000000000014</v>
      </c>
      <c r="AO12" s="2">
        <v>60.338871581326991</v>
      </c>
      <c r="AP12" s="2">
        <v>114.306818268204</v>
      </c>
      <c r="AQ12" s="2">
        <v>13.42595729934653</v>
      </c>
      <c r="AR12" s="2">
        <v>-436.17634791482573</v>
      </c>
      <c r="AS12" s="2">
        <v>0</v>
      </c>
      <c r="AT12" s="2">
        <v>-1401.1746782394989</v>
      </c>
      <c r="AU12" s="1">
        <v>75.63600000000001</v>
      </c>
      <c r="AV12" s="2">
        <v>0</v>
      </c>
      <c r="AW12" s="2">
        <v>0</v>
      </c>
      <c r="AX12" s="2">
        <v>60.338871581326991</v>
      </c>
      <c r="AZ12" s="1">
        <f t="shared" si="8"/>
        <v>58.014000000000003</v>
      </c>
      <c r="BA12" s="2">
        <f t="shared" si="9"/>
        <v>13.599857379025</v>
      </c>
      <c r="BB12" s="7">
        <f t="shared" si="10"/>
        <v>-452.69042512507349</v>
      </c>
      <c r="BC12" s="1">
        <f t="shared" si="11"/>
        <v>17.622</v>
      </c>
      <c r="BD12" s="2">
        <f t="shared" si="12"/>
        <v>3.3566398513700859</v>
      </c>
      <c r="BE12" s="2">
        <f t="shared" si="13"/>
        <v>-97.16708587771474</v>
      </c>
      <c r="BF12" s="2">
        <f t="shared" si="14"/>
        <v>0</v>
      </c>
      <c r="BG12" s="7">
        <f t="shared" si="15"/>
        <v>-163.9097376426748</v>
      </c>
      <c r="BH12" s="1">
        <f t="shared" si="16"/>
        <v>75.635999999999996</v>
      </c>
      <c r="BI12" s="2">
        <f t="shared" si="17"/>
        <v>16.956497230395087</v>
      </c>
      <c r="BJ12" s="2">
        <f t="shared" si="18"/>
        <v>549.85751100278821</v>
      </c>
      <c r="BK12" s="2">
        <f t="shared" si="19"/>
        <v>0</v>
      </c>
      <c r="BL12" s="7">
        <f t="shared" si="20"/>
        <v>-163.9097376426748</v>
      </c>
      <c r="BM12" s="2"/>
      <c r="BN12" s="1"/>
      <c r="BO12" s="4"/>
      <c r="BP12" s="2"/>
      <c r="BQ12" s="2"/>
      <c r="BR12" s="3"/>
      <c r="BS12" s="1"/>
      <c r="BT12" s="2"/>
      <c r="BU12" s="21"/>
      <c r="BV12" s="2"/>
      <c r="BW12" s="2"/>
      <c r="BX12" s="21"/>
      <c r="BY12" s="15"/>
    </row>
    <row r="13" spans="1:78" x14ac:dyDescent="0.25">
      <c r="A13" t="str">
        <f t="shared" si="3"/>
        <v>Travée</v>
      </c>
      <c r="B13" t="b">
        <f t="shared" si="4"/>
        <v>1</v>
      </c>
      <c r="C13">
        <f t="shared" si="7"/>
        <v>2</v>
      </c>
      <c r="D13" s="5" t="s">
        <v>50</v>
      </c>
      <c r="E13" t="s">
        <v>48</v>
      </c>
      <c r="F13" s="5">
        <v>25</v>
      </c>
      <c r="G13" t="s">
        <v>46</v>
      </c>
      <c r="H13">
        <v>500</v>
      </c>
      <c r="I13">
        <v>220000</v>
      </c>
      <c r="J13">
        <v>1576</v>
      </c>
      <c r="K13" s="10">
        <v>1870</v>
      </c>
      <c r="L13" s="12">
        <v>1</v>
      </c>
      <c r="M13" s="5">
        <v>0.215</v>
      </c>
      <c r="N13" s="10">
        <v>2.2000000000000002</v>
      </c>
      <c r="O13" s="5">
        <v>8.470000000000001E-4</v>
      </c>
      <c r="P13">
        <v>0.03</v>
      </c>
      <c r="Q13" s="10">
        <v>1</v>
      </c>
      <c r="R13" s="8">
        <v>0</v>
      </c>
      <c r="S13">
        <v>0</v>
      </c>
      <c r="T13">
        <v>1</v>
      </c>
      <c r="U13" s="9">
        <v>2.9099999999999999E-5</v>
      </c>
      <c r="V13">
        <v>0</v>
      </c>
      <c r="W13" s="10">
        <v>2</v>
      </c>
      <c r="X13" s="1">
        <v>37.503999999999998</v>
      </c>
      <c r="Y13" s="2">
        <v>11.391999999999999</v>
      </c>
      <c r="Z13" s="13">
        <v>0</v>
      </c>
      <c r="AA13" s="2">
        <v>37.503999999999998</v>
      </c>
      <c r="AB13" s="2">
        <v>11.391999999999999</v>
      </c>
      <c r="AC13" s="2">
        <v>64</v>
      </c>
      <c r="AD13" s="2"/>
      <c r="AE13" s="7">
        <v>48.896000000000001</v>
      </c>
      <c r="AF13" s="2">
        <v>37.503999999999998</v>
      </c>
      <c r="AG13" s="2">
        <v>11.391999999999999</v>
      </c>
      <c r="AH13" s="2">
        <v>7.0195183865380564</v>
      </c>
      <c r="AI13" s="2">
        <v>2.020813049429294</v>
      </c>
      <c r="AJ13" s="2">
        <v>-252.02859399582471</v>
      </c>
      <c r="AK13" s="2">
        <v>-69.418702535878552</v>
      </c>
      <c r="AL13" s="2">
        <v>0</v>
      </c>
      <c r="AM13" s="2">
        <v>-91.033821891356979</v>
      </c>
      <c r="AN13" s="2">
        <v>64</v>
      </c>
      <c r="AO13" s="2">
        <v>70.77518339887844</v>
      </c>
      <c r="AP13" s="2">
        <v>87.483298186390584</v>
      </c>
      <c r="AQ13" s="2">
        <v>7.9262989250773934</v>
      </c>
      <c r="AR13" s="2">
        <v>-398.63515133702612</v>
      </c>
      <c r="AS13" s="2">
        <v>0</v>
      </c>
      <c r="AT13" s="2">
        <v>-529.28740770278921</v>
      </c>
      <c r="AU13" s="1">
        <v>48.896000000000001</v>
      </c>
      <c r="AV13" s="2">
        <v>6.5002261981761054</v>
      </c>
      <c r="AW13" s="2">
        <v>-335.75716825359979</v>
      </c>
      <c r="AX13" s="2">
        <v>70.77518339887844</v>
      </c>
      <c r="AZ13" s="1">
        <f t="shared" si="8"/>
        <v>37.503999999999998</v>
      </c>
      <c r="BA13" s="2">
        <f t="shared" si="9"/>
        <v>7.0195183865380564</v>
      </c>
      <c r="BB13" s="7">
        <f t="shared" si="10"/>
        <v>-252.02859399582471</v>
      </c>
      <c r="BC13" s="1">
        <f t="shared" si="11"/>
        <v>11.391999999999999</v>
      </c>
      <c r="BD13" s="2">
        <f t="shared" si="12"/>
        <v>2.020813049429294</v>
      </c>
      <c r="BE13" s="2">
        <f t="shared" si="13"/>
        <v>-69.418702535878552</v>
      </c>
      <c r="BF13" s="2">
        <f t="shared" si="14"/>
        <v>0</v>
      </c>
      <c r="BG13" s="7">
        <f t="shared" si="15"/>
        <v>-91.033821891356979</v>
      </c>
      <c r="BH13" s="1">
        <f t="shared" si="16"/>
        <v>48.896000000000001</v>
      </c>
      <c r="BI13" s="2">
        <f t="shared" si="17"/>
        <v>9.0403314359673494</v>
      </c>
      <c r="BJ13" s="2">
        <f t="shared" si="18"/>
        <v>321.44729653170327</v>
      </c>
      <c r="BK13" s="2">
        <f t="shared" si="19"/>
        <v>0</v>
      </c>
      <c r="BL13" s="7">
        <f t="shared" si="20"/>
        <v>-91.033821891356979</v>
      </c>
      <c r="BM13" s="2"/>
      <c r="BN13" s="1"/>
      <c r="BO13" s="4"/>
      <c r="BP13" s="2"/>
      <c r="BQ13" s="2"/>
      <c r="BR13" s="3"/>
      <c r="BS13" s="1"/>
      <c r="BT13" s="2"/>
      <c r="BU13" s="21"/>
      <c r="BV13" s="2"/>
      <c r="BW13" s="2"/>
      <c r="BX13" s="21"/>
      <c r="BY13" s="10"/>
    </row>
    <row r="14" spans="1:78" x14ac:dyDescent="0.25">
      <c r="A14" t="str">
        <f t="shared" si="3"/>
        <v>Appui</v>
      </c>
      <c r="B14" t="b">
        <f t="shared" si="4"/>
        <v>1</v>
      </c>
      <c r="C14">
        <f t="shared" si="7"/>
        <v>2</v>
      </c>
      <c r="D14" s="5" t="s">
        <v>50</v>
      </c>
      <c r="E14" t="s">
        <v>49</v>
      </c>
      <c r="F14" s="5">
        <v>25</v>
      </c>
      <c r="G14" t="s">
        <v>46</v>
      </c>
      <c r="H14">
        <v>500</v>
      </c>
      <c r="I14">
        <v>220000</v>
      </c>
      <c r="J14">
        <v>1576</v>
      </c>
      <c r="K14" s="10">
        <v>1870</v>
      </c>
      <c r="L14" s="12">
        <v>1</v>
      </c>
      <c r="M14" s="5">
        <v>0.2</v>
      </c>
      <c r="N14" s="10">
        <v>2.2000000000000002</v>
      </c>
      <c r="O14" s="5">
        <v>1.694E-3</v>
      </c>
      <c r="P14">
        <v>0.03</v>
      </c>
      <c r="Q14" s="10">
        <v>1</v>
      </c>
      <c r="R14" s="8">
        <v>0</v>
      </c>
      <c r="S14">
        <v>0</v>
      </c>
      <c r="T14">
        <v>1</v>
      </c>
      <c r="U14" s="9">
        <v>0</v>
      </c>
      <c r="V14">
        <v>0</v>
      </c>
      <c r="W14" s="10">
        <v>0</v>
      </c>
      <c r="X14" s="1">
        <v>45.122</v>
      </c>
      <c r="Y14" s="2">
        <v>13.706</v>
      </c>
      <c r="Z14" s="13">
        <v>0</v>
      </c>
      <c r="AA14" s="2">
        <v>45.122</v>
      </c>
      <c r="AB14" s="2">
        <v>13.706</v>
      </c>
      <c r="AC14" s="2">
        <v>77</v>
      </c>
      <c r="AD14" s="2"/>
      <c r="AE14" s="7">
        <v>58.828000000000003</v>
      </c>
      <c r="AF14" s="2">
        <v>45.122</v>
      </c>
      <c r="AG14" s="2">
        <v>13.706</v>
      </c>
      <c r="AH14" s="2">
        <v>7.1860625344492091</v>
      </c>
      <c r="AI14" s="2">
        <v>2.1827971521023191</v>
      </c>
      <c r="AJ14" s="2">
        <v>-168.7483963115254</v>
      </c>
      <c r="AK14" s="2">
        <v>-51.258045295992353</v>
      </c>
      <c r="AL14" s="2">
        <v>0</v>
      </c>
      <c r="AM14" s="2">
        <v>0</v>
      </c>
      <c r="AN14" s="2">
        <v>77</v>
      </c>
      <c r="AO14" s="2">
        <v>120.8185272336619</v>
      </c>
      <c r="AP14" s="2">
        <v>120.8185272336619</v>
      </c>
      <c r="AQ14" s="2">
        <v>8.6760560771683259</v>
      </c>
      <c r="AR14" s="2">
        <v>-297.3583844588785</v>
      </c>
      <c r="AS14" s="2">
        <v>0</v>
      </c>
      <c r="AT14" s="2">
        <v>0</v>
      </c>
      <c r="AU14" s="1">
        <v>58.828000000000003</v>
      </c>
      <c r="AV14" s="2">
        <v>6.803134862389749</v>
      </c>
      <c r="AW14" s="2">
        <v>-226.69445560987981</v>
      </c>
      <c r="AX14" s="2">
        <v>120.8185272336619</v>
      </c>
      <c r="AZ14" s="1">
        <f t="shared" si="8"/>
        <v>45.122</v>
      </c>
      <c r="BA14" s="2">
        <f t="shared" si="9"/>
        <v>7.1860625344492091</v>
      </c>
      <c r="BB14" s="7">
        <f t="shared" si="10"/>
        <v>-168.7483963115254</v>
      </c>
      <c r="BC14" s="1">
        <f t="shared" si="11"/>
        <v>13.706</v>
      </c>
      <c r="BD14" s="2">
        <f t="shared" si="12"/>
        <v>2.1827971521023191</v>
      </c>
      <c r="BE14" s="2">
        <f t="shared" si="13"/>
        <v>-51.258045295992353</v>
      </c>
      <c r="BF14" s="2">
        <f t="shared" si="14"/>
        <v>0</v>
      </c>
      <c r="BG14" s="7">
        <f t="shared" si="15"/>
        <v>0</v>
      </c>
      <c r="BH14" s="1">
        <f t="shared" si="16"/>
        <v>58.828000000000003</v>
      </c>
      <c r="BI14" s="2">
        <f t="shared" si="17"/>
        <v>9.3688596865515272</v>
      </c>
      <c r="BJ14" s="2">
        <f t="shared" si="18"/>
        <v>220.00644160751776</v>
      </c>
      <c r="BK14" s="2">
        <f t="shared" si="19"/>
        <v>0</v>
      </c>
      <c r="BL14" s="7">
        <f t="shared" si="20"/>
        <v>0</v>
      </c>
      <c r="BM14" s="2"/>
      <c r="BN14" s="1"/>
      <c r="BO14" s="4"/>
      <c r="BP14" s="2"/>
      <c r="BQ14" s="2"/>
      <c r="BR14" s="3"/>
      <c r="BS14" s="1"/>
      <c r="BT14" s="2"/>
      <c r="BU14" s="21"/>
      <c r="BV14" s="2"/>
      <c r="BW14" s="2"/>
      <c r="BX14" s="21"/>
      <c r="BY14" s="15"/>
    </row>
    <row r="15" spans="1:78" x14ac:dyDescent="0.25">
      <c r="A15" t="str">
        <f t="shared" si="3"/>
        <v>Travée</v>
      </c>
      <c r="B15" t="b">
        <f t="shared" si="4"/>
        <v>1</v>
      </c>
      <c r="C15">
        <f t="shared" si="7"/>
        <v>2</v>
      </c>
      <c r="D15" s="5" t="s">
        <v>50</v>
      </c>
      <c r="E15" t="s">
        <v>51</v>
      </c>
      <c r="F15" s="5">
        <v>25</v>
      </c>
      <c r="G15" t="s">
        <v>46</v>
      </c>
      <c r="H15">
        <v>500</v>
      </c>
      <c r="I15">
        <v>220000</v>
      </c>
      <c r="J15">
        <v>1576</v>
      </c>
      <c r="K15" s="10">
        <v>1870</v>
      </c>
      <c r="L15" s="12">
        <v>1</v>
      </c>
      <c r="M15" s="5">
        <v>0.215</v>
      </c>
      <c r="N15" s="10">
        <v>2.2000000000000002</v>
      </c>
      <c r="O15" s="5">
        <v>1.1286E-3</v>
      </c>
      <c r="P15">
        <v>0.03</v>
      </c>
      <c r="Q15" s="10">
        <v>1</v>
      </c>
      <c r="R15" s="8">
        <v>0</v>
      </c>
      <c r="S15">
        <v>0</v>
      </c>
      <c r="T15">
        <v>1</v>
      </c>
      <c r="U15" s="9">
        <v>0</v>
      </c>
      <c r="V15">
        <v>0</v>
      </c>
      <c r="W15" s="10">
        <v>0</v>
      </c>
      <c r="X15" s="1">
        <v>7.5007999999999999</v>
      </c>
      <c r="Y15" s="2">
        <v>2.2784</v>
      </c>
      <c r="Z15" s="13">
        <v>0</v>
      </c>
      <c r="AA15" s="2">
        <v>7.5007999999999999</v>
      </c>
      <c r="AB15" s="2">
        <v>2.2784</v>
      </c>
      <c r="AC15" s="2">
        <v>12.8</v>
      </c>
      <c r="AD15" s="2"/>
      <c r="AE15" s="7">
        <v>9.7791999999999994</v>
      </c>
      <c r="AF15" s="2">
        <v>7.5007999999999999</v>
      </c>
      <c r="AG15" s="2">
        <v>2.2784</v>
      </c>
      <c r="AH15" s="2">
        <v>1.238508412612648</v>
      </c>
      <c r="AI15" s="2">
        <v>0.37620272192353432</v>
      </c>
      <c r="AJ15" s="2">
        <v>-38.113570127122813</v>
      </c>
      <c r="AK15" s="2">
        <v>-11.577156106641549</v>
      </c>
      <c r="AL15" s="2">
        <v>0</v>
      </c>
      <c r="AM15" s="2">
        <v>0</v>
      </c>
      <c r="AN15" s="2">
        <v>12.8</v>
      </c>
      <c r="AO15" s="2">
        <v>91.714683963356237</v>
      </c>
      <c r="AP15" s="2">
        <v>91.714683963356237</v>
      </c>
      <c r="AQ15" s="2">
        <v>1.6008681789105379</v>
      </c>
      <c r="AR15" s="2">
        <v>-66.393526394426445</v>
      </c>
      <c r="AS15" s="2">
        <v>0</v>
      </c>
      <c r="AT15" s="2">
        <v>0</v>
      </c>
      <c r="AU15" s="1">
        <v>9.7791999999999994</v>
      </c>
      <c r="AV15" s="2">
        <v>1.227286499089691</v>
      </c>
      <c r="AW15" s="2">
        <v>-50.714560257274449</v>
      </c>
      <c r="AX15" s="2">
        <v>91.714683963356237</v>
      </c>
      <c r="AZ15" s="1">
        <f t="shared" si="8"/>
        <v>7.5007999999999999</v>
      </c>
      <c r="BA15" s="2">
        <f t="shared" si="9"/>
        <v>1.238508412612648</v>
      </c>
      <c r="BB15" s="7">
        <f t="shared" si="10"/>
        <v>-38.113570127122813</v>
      </c>
      <c r="BC15" s="1">
        <f t="shared" si="11"/>
        <v>2.2784</v>
      </c>
      <c r="BD15" s="2">
        <f t="shared" si="12"/>
        <v>0.37620272192353432</v>
      </c>
      <c r="BE15" s="2">
        <f t="shared" si="13"/>
        <v>-11.577156106641549</v>
      </c>
      <c r="BF15" s="2">
        <f t="shared" si="14"/>
        <v>0</v>
      </c>
      <c r="BG15" s="7">
        <f t="shared" si="15"/>
        <v>0</v>
      </c>
      <c r="BH15" s="1">
        <f t="shared" si="16"/>
        <v>9.7791999999999994</v>
      </c>
      <c r="BI15" s="2">
        <f t="shared" si="17"/>
        <v>1.6147111345361824</v>
      </c>
      <c r="BJ15" s="2">
        <f t="shared" si="18"/>
        <v>49.690726233764366</v>
      </c>
      <c r="BK15" s="2">
        <f t="shared" si="19"/>
        <v>0</v>
      </c>
      <c r="BL15" s="7">
        <f t="shared" si="20"/>
        <v>0</v>
      </c>
      <c r="BM15" s="2"/>
      <c r="BN15" s="1"/>
      <c r="BO15" s="4"/>
      <c r="BP15" s="2"/>
      <c r="BQ15" s="2"/>
      <c r="BR15" s="3"/>
      <c r="BS15" s="1"/>
      <c r="BT15" s="2"/>
      <c r="BU15" s="21"/>
      <c r="BV15" s="2"/>
      <c r="BW15" s="2"/>
      <c r="BX15" s="21"/>
      <c r="BY15" s="10"/>
    </row>
    <row r="16" spans="1:78" x14ac:dyDescent="0.25">
      <c r="A16" t="str">
        <f t="shared" si="3"/>
        <v>Appui</v>
      </c>
      <c r="B16" t="b">
        <f t="shared" si="4"/>
        <v>1</v>
      </c>
      <c r="C16">
        <f t="shared" si="7"/>
        <v>2</v>
      </c>
      <c r="D16" s="5" t="s">
        <v>50</v>
      </c>
      <c r="E16" t="s">
        <v>52</v>
      </c>
      <c r="F16" s="5">
        <v>25</v>
      </c>
      <c r="G16" t="s">
        <v>46</v>
      </c>
      <c r="H16">
        <v>500</v>
      </c>
      <c r="I16">
        <v>220000</v>
      </c>
      <c r="J16">
        <v>1576</v>
      </c>
      <c r="K16" s="10">
        <v>1870</v>
      </c>
      <c r="L16" s="12">
        <v>1</v>
      </c>
      <c r="M16" s="5">
        <v>0.23</v>
      </c>
      <c r="N16" s="10">
        <v>2.2000000000000002</v>
      </c>
      <c r="O16" s="5">
        <v>8.470000000000001E-4</v>
      </c>
      <c r="P16">
        <v>0.06</v>
      </c>
      <c r="Q16" s="10">
        <v>1</v>
      </c>
      <c r="R16" s="8">
        <v>0</v>
      </c>
      <c r="S16">
        <v>0</v>
      </c>
      <c r="T16">
        <v>1</v>
      </c>
      <c r="U16" s="9">
        <v>0</v>
      </c>
      <c r="V16">
        <v>0</v>
      </c>
      <c r="W16" s="10">
        <v>0</v>
      </c>
      <c r="X16" s="1">
        <v>12.891999999999999</v>
      </c>
      <c r="Y16" s="2">
        <v>3.9159999999999999</v>
      </c>
      <c r="Z16" s="13">
        <v>0</v>
      </c>
      <c r="AA16" s="2">
        <v>12.891999999999999</v>
      </c>
      <c r="AB16" s="2">
        <v>3.9159999999999999</v>
      </c>
      <c r="AC16" s="2">
        <v>22</v>
      </c>
      <c r="AD16" s="2"/>
      <c r="AE16" s="7">
        <v>16.808</v>
      </c>
      <c r="AF16" s="2">
        <v>12.891999999999999</v>
      </c>
      <c r="AG16" s="2">
        <v>3.9159999999999999</v>
      </c>
      <c r="AH16" s="2">
        <v>2.7512234745768009</v>
      </c>
      <c r="AI16" s="2">
        <v>0.83569598108478915</v>
      </c>
      <c r="AJ16" s="2">
        <v>-94.502773425987897</v>
      </c>
      <c r="AK16" s="2">
        <v>-28.705619818626172</v>
      </c>
      <c r="AL16" s="2">
        <v>0</v>
      </c>
      <c r="AM16" s="2">
        <v>0</v>
      </c>
      <c r="AN16" s="2">
        <v>22</v>
      </c>
      <c r="AO16" s="2">
        <v>64.493288363193514</v>
      </c>
      <c r="AP16" s="2">
        <v>64.493288363193514</v>
      </c>
      <c r="AQ16" s="2">
        <v>3.4664263378260598</v>
      </c>
      <c r="AR16" s="2">
        <v>-164.5697098543402</v>
      </c>
      <c r="AS16" s="2">
        <v>0</v>
      </c>
      <c r="AT16" s="2">
        <v>0</v>
      </c>
      <c r="AU16" s="1">
        <v>16.808</v>
      </c>
      <c r="AV16" s="2">
        <v>2.6703398467342709</v>
      </c>
      <c r="AW16" s="2">
        <v>-125.67427966827989</v>
      </c>
      <c r="AX16" s="2">
        <v>64.493288363193514</v>
      </c>
      <c r="AZ16" s="1">
        <f t="shared" si="8"/>
        <v>12.891999999999999</v>
      </c>
      <c r="BA16" s="2">
        <f t="shared" si="9"/>
        <v>2.7512234745768009</v>
      </c>
      <c r="BB16" s="7">
        <f t="shared" si="10"/>
        <v>-94.502773425987897</v>
      </c>
      <c r="BC16" s="1">
        <f t="shared" si="11"/>
        <v>3.9159999999999999</v>
      </c>
      <c r="BD16" s="2">
        <f t="shared" si="12"/>
        <v>0.83569598108478915</v>
      </c>
      <c r="BE16" s="2">
        <f t="shared" si="13"/>
        <v>-28.705619818626172</v>
      </c>
      <c r="BF16" s="2">
        <f t="shared" si="14"/>
        <v>0</v>
      </c>
      <c r="BG16" s="7">
        <f t="shared" si="15"/>
        <v>0</v>
      </c>
      <c r="BH16" s="1">
        <f t="shared" si="16"/>
        <v>16.808</v>
      </c>
      <c r="BI16" s="2">
        <f t="shared" si="17"/>
        <v>3.5869194556615902</v>
      </c>
      <c r="BJ16" s="2">
        <f t="shared" si="18"/>
        <v>123.20839324461407</v>
      </c>
      <c r="BK16" s="2">
        <f t="shared" si="19"/>
        <v>0</v>
      </c>
      <c r="BL16" s="7">
        <f t="shared" si="20"/>
        <v>0</v>
      </c>
      <c r="BM16" s="2"/>
      <c r="BN16" s="1"/>
      <c r="BO16" s="4"/>
      <c r="BP16" s="2"/>
      <c r="BQ16" s="2"/>
      <c r="BR16" s="3"/>
      <c r="BS16" s="1"/>
      <c r="BT16" s="2"/>
      <c r="BU16" s="21"/>
      <c r="BV16" s="2"/>
      <c r="BW16" s="2"/>
      <c r="BX16" s="21"/>
      <c r="BY16" s="15"/>
    </row>
    <row r="17" spans="1:77" x14ac:dyDescent="0.25">
      <c r="A17" t="str">
        <f t="shared" si="3"/>
        <v/>
      </c>
      <c r="B17" t="b">
        <f t="shared" si="4"/>
        <v>1</v>
      </c>
      <c r="C17">
        <f>IF(D17=D15,C15,C15+1)</f>
        <v>2</v>
      </c>
      <c r="D17" s="5" t="s">
        <v>50</v>
      </c>
      <c r="F17" s="5"/>
      <c r="K17" s="10"/>
      <c r="L17" s="12"/>
      <c r="M17" s="5"/>
      <c r="N17" s="10"/>
      <c r="O17" s="5"/>
      <c r="Q17" s="10"/>
      <c r="R17" s="8"/>
      <c r="U17" s="9"/>
      <c r="W17" s="10"/>
      <c r="X17" s="1"/>
      <c r="Y17" s="2"/>
      <c r="Z17" s="13"/>
      <c r="AA17" s="2"/>
      <c r="AB17" s="2"/>
      <c r="AC17" s="2"/>
      <c r="AD17" s="2"/>
      <c r="AE17" s="7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"/>
      <c r="AV17" s="2"/>
      <c r="AW17" s="2"/>
      <c r="AX17" s="2"/>
      <c r="AZ17" s="1"/>
      <c r="BA17" s="2"/>
      <c r="BB17" s="7"/>
      <c r="BC17" s="1"/>
      <c r="BD17" s="2"/>
      <c r="BE17" s="2"/>
      <c r="BF17" s="2"/>
      <c r="BG17" s="7"/>
      <c r="BH17" s="1"/>
      <c r="BI17" s="2"/>
      <c r="BJ17" s="2"/>
      <c r="BK17" s="2"/>
      <c r="BL17" s="7"/>
      <c r="BM17" s="2"/>
      <c r="BN17" s="1"/>
      <c r="BO17" s="4"/>
      <c r="BP17" s="2"/>
      <c r="BQ17" s="2"/>
      <c r="BR17" s="3"/>
      <c r="BS17" s="1"/>
      <c r="BT17" s="2"/>
      <c r="BU17" s="21"/>
      <c r="BV17" s="2"/>
      <c r="BW17" s="2"/>
      <c r="BX17" s="21"/>
      <c r="BY17" s="10"/>
    </row>
    <row r="18" spans="1:77" x14ac:dyDescent="0.25">
      <c r="A18" t="str">
        <f t="shared" si="3"/>
        <v>Appui</v>
      </c>
      <c r="B18" t="b">
        <f t="shared" si="4"/>
        <v>1</v>
      </c>
      <c r="C18">
        <f t="shared" si="7"/>
        <v>2</v>
      </c>
      <c r="D18" s="5" t="s">
        <v>50</v>
      </c>
      <c r="E18" t="s">
        <v>54</v>
      </c>
      <c r="F18" s="5">
        <v>25</v>
      </c>
      <c r="G18" t="s">
        <v>46</v>
      </c>
      <c r="H18">
        <v>500</v>
      </c>
      <c r="I18">
        <v>220000</v>
      </c>
      <c r="J18">
        <v>1576</v>
      </c>
      <c r="K18" s="10">
        <v>1870</v>
      </c>
      <c r="L18" s="12">
        <v>1</v>
      </c>
      <c r="M18" s="5">
        <v>0.2</v>
      </c>
      <c r="N18" s="10">
        <v>2.2000000000000002</v>
      </c>
      <c r="O18" s="5">
        <v>5.53E-4</v>
      </c>
      <c r="P18">
        <v>0.03</v>
      </c>
      <c r="Q18" s="10">
        <v>1</v>
      </c>
      <c r="R18" s="8">
        <v>0</v>
      </c>
      <c r="S18">
        <v>0</v>
      </c>
      <c r="T18">
        <v>1</v>
      </c>
      <c r="U18" s="9">
        <v>2.9099999999999999E-5</v>
      </c>
      <c r="V18">
        <v>0</v>
      </c>
      <c r="W18" s="10">
        <v>5</v>
      </c>
      <c r="X18" s="1">
        <v>33.519199999999998</v>
      </c>
      <c r="Y18" s="2">
        <v>10.1816</v>
      </c>
      <c r="Z18" s="13">
        <v>0</v>
      </c>
      <c r="AA18" s="2">
        <v>33.519199999999998</v>
      </c>
      <c r="AB18" s="2">
        <v>10.1816</v>
      </c>
      <c r="AC18" s="2">
        <v>57.2</v>
      </c>
      <c r="AD18" s="2"/>
      <c r="AE18" s="7">
        <v>43.700800000000001</v>
      </c>
      <c r="AF18" s="2">
        <v>33.519199999999998</v>
      </c>
      <c r="AG18" s="2">
        <v>10.1816</v>
      </c>
      <c r="AH18" s="2">
        <v>8.6424519886202926</v>
      </c>
      <c r="AI18" s="2">
        <v>2.1873614944111721</v>
      </c>
      <c r="AJ18" s="2">
        <v>-372.68200660290859</v>
      </c>
      <c r="AK18" s="2">
        <v>-80.614118695477714</v>
      </c>
      <c r="AL18" s="2">
        <v>0</v>
      </c>
      <c r="AM18" s="2">
        <v>-107.02213353201191</v>
      </c>
      <c r="AN18" s="2">
        <v>57.2</v>
      </c>
      <c r="AO18" s="2">
        <v>42.78188523161122</v>
      </c>
      <c r="AP18" s="2">
        <v>90.632454919712302</v>
      </c>
      <c r="AQ18" s="2">
        <v>8.8286333799633354</v>
      </c>
      <c r="AR18" s="2">
        <v>-435.08439243210091</v>
      </c>
      <c r="AS18" s="2">
        <v>0</v>
      </c>
      <c r="AT18" s="2">
        <v>-694.45830288511308</v>
      </c>
      <c r="AU18" s="1">
        <v>43.700800000000001</v>
      </c>
      <c r="AV18" s="2">
        <v>0</v>
      </c>
      <c r="AW18" s="2">
        <v>0</v>
      </c>
      <c r="AX18" s="2">
        <v>42.78188523161122</v>
      </c>
      <c r="AZ18" s="1">
        <f t="shared" ref="AZ18:AZ21" si="21">AF18</f>
        <v>33.519199999999998</v>
      </c>
      <c r="BA18" s="2">
        <f t="shared" ref="BA18:BA21" si="22">AH18</f>
        <v>8.6424519886202926</v>
      </c>
      <c r="BB18" s="7">
        <f t="shared" ref="BB18:BB21" si="23">AJ18</f>
        <v>-372.68200660290859</v>
      </c>
      <c r="BC18" s="1">
        <f t="shared" ref="BC18:BC21" si="24">AG18</f>
        <v>10.1816</v>
      </c>
      <c r="BD18" s="2">
        <f t="shared" ref="BD18:BD21" si="25">AI18</f>
        <v>2.1873614944111721</v>
      </c>
      <c r="BE18" s="2">
        <f t="shared" ref="BE18:BE21" si="26">AK18</f>
        <v>-80.614118695477714</v>
      </c>
      <c r="BF18" s="2">
        <f t="shared" ref="BF18:BF21" si="27">AL18</f>
        <v>0</v>
      </c>
      <c r="BG18" s="7">
        <f t="shared" ref="BG18:BG21" si="28">AM18</f>
        <v>-107.02213353201191</v>
      </c>
      <c r="BH18" s="1">
        <f t="shared" ref="BH18:BH21" si="29">AZ18+BC18</f>
        <v>43.700800000000001</v>
      </c>
      <c r="BI18" s="2">
        <f t="shared" ref="BI18:BI21" si="30">BA18+BD18</f>
        <v>10.829813483031465</v>
      </c>
      <c r="BJ18" s="2">
        <f t="shared" ref="BJ18:BJ19" si="31">ABS(BB18+BE18)</f>
        <v>453.2961252983863</v>
      </c>
      <c r="BK18" s="2">
        <f t="shared" ref="BK18:BK21" si="32">ABS(BF18)</f>
        <v>0</v>
      </c>
      <c r="BL18" s="7">
        <f t="shared" ref="BL18:BL21" si="33">BG18</f>
        <v>-107.02213353201191</v>
      </c>
      <c r="BM18" s="2"/>
      <c r="BN18" s="1"/>
      <c r="BO18" s="4"/>
      <c r="BP18" s="2"/>
      <c r="BQ18" s="2"/>
      <c r="BR18" s="3"/>
      <c r="BS18" s="1"/>
      <c r="BT18" s="2"/>
      <c r="BU18" s="21"/>
      <c r="BV18" s="2"/>
      <c r="BW18" s="2"/>
      <c r="BX18" s="21"/>
      <c r="BY18" s="15"/>
    </row>
    <row r="19" spans="1:77" x14ac:dyDescent="0.25">
      <c r="A19" t="str">
        <f t="shared" si="3"/>
        <v>Travée</v>
      </c>
      <c r="B19" t="b">
        <f t="shared" si="4"/>
        <v>1</v>
      </c>
      <c r="C19">
        <f t="shared" si="7"/>
        <v>2</v>
      </c>
      <c r="D19" s="5" t="s">
        <v>50</v>
      </c>
      <c r="E19" t="s">
        <v>55</v>
      </c>
      <c r="F19" s="5">
        <v>25</v>
      </c>
      <c r="G19" t="s">
        <v>46</v>
      </c>
      <c r="H19">
        <v>500</v>
      </c>
      <c r="I19">
        <v>220000</v>
      </c>
      <c r="J19">
        <v>1576</v>
      </c>
      <c r="K19" s="10">
        <v>1870</v>
      </c>
      <c r="L19" s="12">
        <v>1</v>
      </c>
      <c r="M19" s="5">
        <v>0.215</v>
      </c>
      <c r="N19" s="10">
        <v>2.2000000000000002</v>
      </c>
      <c r="O19" s="5">
        <v>5.6539999999999997E-4</v>
      </c>
      <c r="P19">
        <v>0.03</v>
      </c>
      <c r="Q19" s="10">
        <v>1</v>
      </c>
      <c r="R19" s="8">
        <v>0</v>
      </c>
      <c r="S19">
        <v>0</v>
      </c>
      <c r="T19">
        <v>1</v>
      </c>
      <c r="U19" s="9">
        <v>2.9099999999999999E-5</v>
      </c>
      <c r="V19">
        <v>0</v>
      </c>
      <c r="W19" s="10">
        <v>2</v>
      </c>
      <c r="X19" s="1">
        <v>26.252800000000001</v>
      </c>
      <c r="Y19" s="2">
        <v>7.9744000000000002</v>
      </c>
      <c r="Z19" s="13">
        <v>0</v>
      </c>
      <c r="AA19" s="2">
        <v>26.252800000000001</v>
      </c>
      <c r="AB19" s="2">
        <v>7.9744000000000002</v>
      </c>
      <c r="AC19" s="2">
        <v>44.8</v>
      </c>
      <c r="AD19" s="2"/>
      <c r="AE19" s="7">
        <v>34.227200000000003</v>
      </c>
      <c r="AF19" s="2">
        <v>26.252800000000001</v>
      </c>
      <c r="AG19" s="2">
        <v>7.9744000000000002</v>
      </c>
      <c r="AH19" s="2">
        <v>5.8762876367299937</v>
      </c>
      <c r="AI19" s="2">
        <v>1.649255337095074</v>
      </c>
      <c r="AJ19" s="2">
        <v>-261.99268310263159</v>
      </c>
      <c r="AK19" s="2">
        <v>-68.975492627682655</v>
      </c>
      <c r="AL19" s="2">
        <v>0</v>
      </c>
      <c r="AM19" s="2">
        <v>-90.046096648317771</v>
      </c>
      <c r="AN19" s="2">
        <v>44.8</v>
      </c>
      <c r="AO19" s="2">
        <v>47.666986812221232</v>
      </c>
      <c r="AP19" s="2">
        <v>66.352723772248609</v>
      </c>
      <c r="AQ19" s="2">
        <v>6.5391658484020123</v>
      </c>
      <c r="AR19" s="2">
        <v>-394.19134235168252</v>
      </c>
      <c r="AS19" s="2">
        <v>0</v>
      </c>
      <c r="AT19" s="2">
        <v>-519.65729816937574</v>
      </c>
      <c r="AU19" s="1">
        <v>34.227200000000003</v>
      </c>
      <c r="AV19" s="2">
        <v>5.4612064570146126</v>
      </c>
      <c r="AW19" s="2">
        <v>-347.53225397279459</v>
      </c>
      <c r="AX19" s="2">
        <v>47.666986812221232</v>
      </c>
      <c r="AZ19" s="1">
        <f t="shared" si="21"/>
        <v>26.252800000000001</v>
      </c>
      <c r="BA19" s="2">
        <f t="shared" si="22"/>
        <v>5.8762876367299937</v>
      </c>
      <c r="BB19" s="7">
        <f t="shared" si="23"/>
        <v>-261.99268310263159</v>
      </c>
      <c r="BC19" s="1">
        <f t="shared" si="24"/>
        <v>7.9744000000000002</v>
      </c>
      <c r="BD19" s="2">
        <f t="shared" si="25"/>
        <v>1.649255337095074</v>
      </c>
      <c r="BE19" s="2">
        <f t="shared" si="26"/>
        <v>-68.975492627682655</v>
      </c>
      <c r="BF19" s="2">
        <f t="shared" si="27"/>
        <v>0</v>
      </c>
      <c r="BG19" s="7">
        <f t="shared" si="28"/>
        <v>-90.046096648317771</v>
      </c>
      <c r="BH19" s="1">
        <f t="shared" si="29"/>
        <v>34.227200000000003</v>
      </c>
      <c r="BI19" s="2">
        <f t="shared" si="30"/>
        <v>7.5255429738250674</v>
      </c>
      <c r="BJ19" s="2">
        <f t="shared" si="31"/>
        <v>330.96817573031421</v>
      </c>
      <c r="BK19" s="2">
        <f t="shared" si="32"/>
        <v>0</v>
      </c>
      <c r="BL19" s="7">
        <f t="shared" si="33"/>
        <v>-90.046096648317771</v>
      </c>
      <c r="BM19" s="2"/>
      <c r="BN19" s="1"/>
      <c r="BO19" s="4"/>
      <c r="BP19" s="2"/>
      <c r="BQ19" s="2"/>
      <c r="BR19" s="3"/>
      <c r="BS19" s="1"/>
      <c r="BT19" s="2"/>
      <c r="BU19" s="21"/>
      <c r="BV19" s="2"/>
      <c r="BW19" s="2"/>
      <c r="BX19" s="21"/>
      <c r="BY19" s="10"/>
    </row>
    <row r="20" spans="1:77" x14ac:dyDescent="0.25">
      <c r="A20" t="str">
        <f t="shared" si="3"/>
        <v>Appui</v>
      </c>
      <c r="B20" t="b">
        <f t="shared" si="4"/>
        <v>1</v>
      </c>
      <c r="C20">
        <f t="shared" si="7"/>
        <v>2</v>
      </c>
      <c r="D20" s="5" t="s">
        <v>50</v>
      </c>
      <c r="E20" t="s">
        <v>56</v>
      </c>
      <c r="F20" s="5">
        <v>25</v>
      </c>
      <c r="G20" t="s">
        <v>46</v>
      </c>
      <c r="H20">
        <v>500</v>
      </c>
      <c r="I20">
        <v>220000</v>
      </c>
      <c r="J20">
        <v>1576</v>
      </c>
      <c r="K20" s="10">
        <v>1870</v>
      </c>
      <c r="L20" s="12">
        <v>1</v>
      </c>
      <c r="M20" s="5">
        <v>0.23</v>
      </c>
      <c r="N20" s="10">
        <v>2.2000000000000002</v>
      </c>
      <c r="O20" s="5">
        <v>2.8200000000000002E-4</v>
      </c>
      <c r="P20">
        <v>0.06</v>
      </c>
      <c r="Q20" s="10">
        <v>1</v>
      </c>
      <c r="R20" s="8">
        <v>0</v>
      </c>
      <c r="S20">
        <v>0</v>
      </c>
      <c r="T20">
        <v>1</v>
      </c>
      <c r="U20" s="9">
        <v>2.9099999999999999E-5</v>
      </c>
      <c r="V20">
        <v>0</v>
      </c>
      <c r="W20" s="10">
        <v>5</v>
      </c>
      <c r="X20" s="1">
        <v>49.6342</v>
      </c>
      <c r="Y20" s="2">
        <v>15.076599999999999</v>
      </c>
      <c r="Z20" s="13">
        <v>0</v>
      </c>
      <c r="AA20" s="2">
        <v>49.6342</v>
      </c>
      <c r="AB20" s="2">
        <v>15.076599999999999</v>
      </c>
      <c r="AC20" s="2">
        <v>84.7</v>
      </c>
      <c r="AD20" s="2"/>
      <c r="AE20" s="7">
        <v>64.710800000000006</v>
      </c>
      <c r="AF20" s="2">
        <v>49.6342</v>
      </c>
      <c r="AG20" s="2">
        <v>15.076599999999999</v>
      </c>
      <c r="AH20" s="2">
        <v>17.337944724729891</v>
      </c>
      <c r="AI20" s="2">
        <v>3.467145493448303</v>
      </c>
      <c r="AJ20" s="2">
        <v>-1070.011815779043</v>
      </c>
      <c r="AK20" s="2">
        <v>-157.12607937158199</v>
      </c>
      <c r="AL20" s="2">
        <v>0</v>
      </c>
      <c r="AM20" s="2">
        <v>-242.39361124537379</v>
      </c>
      <c r="AN20" s="2">
        <v>84.7</v>
      </c>
      <c r="AO20" s="2">
        <v>22.008149407118331</v>
      </c>
      <c r="AP20" s="2">
        <v>80.019311039996595</v>
      </c>
      <c r="AQ20" s="2">
        <v>0</v>
      </c>
      <c r="AR20" s="2">
        <v>0</v>
      </c>
      <c r="AS20" s="2">
        <v>0</v>
      </c>
      <c r="AT20" s="2">
        <v>0</v>
      </c>
      <c r="AU20" s="1">
        <v>64.710800000000006</v>
      </c>
      <c r="AV20" s="2">
        <v>0</v>
      </c>
      <c r="AW20" s="2">
        <v>0</v>
      </c>
      <c r="AX20" s="2">
        <v>22.008149407118331</v>
      </c>
      <c r="AZ20" s="1">
        <f t="shared" si="21"/>
        <v>49.6342</v>
      </c>
      <c r="BA20" s="2">
        <f t="shared" si="22"/>
        <v>17.337944724729891</v>
      </c>
      <c r="BB20" s="7">
        <f t="shared" si="23"/>
        <v>-1070.011815779043</v>
      </c>
      <c r="BC20" s="1">
        <f t="shared" si="24"/>
        <v>15.076599999999999</v>
      </c>
      <c r="BD20" s="2">
        <f t="shared" si="25"/>
        <v>3.467145493448303</v>
      </c>
      <c r="BE20" s="2">
        <f t="shared" si="26"/>
        <v>-157.12607937158199</v>
      </c>
      <c r="BF20" s="2">
        <f t="shared" si="27"/>
        <v>0</v>
      </c>
      <c r="BG20" s="7">
        <f t="shared" si="28"/>
        <v>-242.39361124537379</v>
      </c>
      <c r="BH20" s="1">
        <f t="shared" si="29"/>
        <v>64.710800000000006</v>
      </c>
      <c r="BI20" s="2">
        <f t="shared" si="30"/>
        <v>20.805090218178194</v>
      </c>
      <c r="BJ20" s="2">
        <f>ABS(BB20+BE20)</f>
        <v>1227.1378951506249</v>
      </c>
      <c r="BK20" s="2">
        <f t="shared" si="32"/>
        <v>0</v>
      </c>
      <c r="BL20" s="7">
        <f t="shared" si="33"/>
        <v>-242.39361124537379</v>
      </c>
      <c r="BM20" s="2"/>
      <c r="BN20" s="1"/>
      <c r="BO20" s="4"/>
      <c r="BP20" s="2"/>
      <c r="BQ20" s="2"/>
      <c r="BR20" s="3"/>
      <c r="BS20" s="1"/>
      <c r="BT20" s="2"/>
      <c r="BU20" s="21"/>
      <c r="BV20" s="2"/>
      <c r="BW20" s="2"/>
      <c r="BX20" s="21"/>
      <c r="BY20" s="15"/>
    </row>
    <row r="21" spans="1:77" x14ac:dyDescent="0.25">
      <c r="A21" t="str">
        <f t="shared" si="3"/>
        <v>Travée</v>
      </c>
      <c r="B21" t="b">
        <f t="shared" si="4"/>
        <v>1</v>
      </c>
      <c r="C21">
        <f t="shared" si="7"/>
        <v>2</v>
      </c>
      <c r="D21" s="5" t="s">
        <v>50</v>
      </c>
      <c r="E21" t="s">
        <v>57</v>
      </c>
      <c r="F21" s="5">
        <v>25</v>
      </c>
      <c r="G21" t="s">
        <v>46</v>
      </c>
      <c r="H21">
        <v>500</v>
      </c>
      <c r="I21">
        <v>220000</v>
      </c>
      <c r="J21">
        <v>1576</v>
      </c>
      <c r="K21" s="10">
        <v>1870</v>
      </c>
      <c r="L21" s="12">
        <v>1</v>
      </c>
      <c r="M21" s="5">
        <v>0.24</v>
      </c>
      <c r="N21" s="10">
        <v>2.2000000000000002</v>
      </c>
      <c r="O21" s="5">
        <v>5.6539999999999997E-4</v>
      </c>
      <c r="P21">
        <v>0.03</v>
      </c>
      <c r="Q21" s="10">
        <v>1</v>
      </c>
      <c r="R21" s="8">
        <v>0</v>
      </c>
      <c r="S21">
        <v>0</v>
      </c>
      <c r="T21">
        <v>1</v>
      </c>
      <c r="U21" s="9">
        <v>0</v>
      </c>
      <c r="V21">
        <v>0</v>
      </c>
      <c r="W21" s="10">
        <v>1</v>
      </c>
      <c r="X21" s="1">
        <v>7.5007999999999999</v>
      </c>
      <c r="Y21" s="2">
        <v>2.2784</v>
      </c>
      <c r="Z21" s="13">
        <v>0</v>
      </c>
      <c r="AA21" s="2">
        <v>7.5007999999999999</v>
      </c>
      <c r="AB21" s="2">
        <v>2.2784</v>
      </c>
      <c r="AC21" s="2">
        <v>12.8</v>
      </c>
      <c r="AD21" s="2"/>
      <c r="AE21" s="7">
        <v>9.7791999999999994</v>
      </c>
      <c r="AF21" s="2">
        <v>7.5007999999999999</v>
      </c>
      <c r="AG21" s="2">
        <v>2.2784</v>
      </c>
      <c r="AH21" s="2">
        <v>1.374564310871913</v>
      </c>
      <c r="AI21" s="2">
        <v>0.41752977360955779</v>
      </c>
      <c r="AJ21" s="2">
        <v>-65.795918204835232</v>
      </c>
      <c r="AK21" s="2">
        <v>-19.985790854028451</v>
      </c>
      <c r="AL21" s="2">
        <v>0</v>
      </c>
      <c r="AM21" s="2">
        <v>0</v>
      </c>
      <c r="AN21" s="2">
        <v>12.8</v>
      </c>
      <c r="AO21" s="2">
        <v>54.236333511620103</v>
      </c>
      <c r="AP21" s="2">
        <v>54.236333511620103</v>
      </c>
      <c r="AQ21" s="2">
        <v>1.7436943560696101</v>
      </c>
      <c r="AR21" s="2">
        <v>-113.9001901916577</v>
      </c>
      <c r="AS21" s="2">
        <v>0</v>
      </c>
      <c r="AT21" s="2">
        <v>0</v>
      </c>
      <c r="AU21" s="1">
        <v>9.7791999999999994</v>
      </c>
      <c r="AV21" s="2">
        <v>1.337692665047667</v>
      </c>
      <c r="AW21" s="2">
        <v>-87.003521184570445</v>
      </c>
      <c r="AX21" s="2">
        <v>54.236333511620103</v>
      </c>
      <c r="AZ21" s="1">
        <f t="shared" si="21"/>
        <v>7.5007999999999999</v>
      </c>
      <c r="BA21" s="2">
        <f t="shared" si="22"/>
        <v>1.374564310871913</v>
      </c>
      <c r="BB21" s="7">
        <f t="shared" si="23"/>
        <v>-65.795918204835232</v>
      </c>
      <c r="BC21" s="1">
        <f t="shared" si="24"/>
        <v>2.2784</v>
      </c>
      <c r="BD21" s="2">
        <f t="shared" si="25"/>
        <v>0.41752977360955779</v>
      </c>
      <c r="BE21" s="2">
        <f t="shared" si="26"/>
        <v>-19.985790854028451</v>
      </c>
      <c r="BF21" s="2">
        <f t="shared" si="27"/>
        <v>0</v>
      </c>
      <c r="BG21" s="7">
        <f t="shared" si="28"/>
        <v>0</v>
      </c>
      <c r="BH21" s="1">
        <f t="shared" si="29"/>
        <v>9.7791999999999994</v>
      </c>
      <c r="BI21" s="2">
        <f t="shared" si="30"/>
        <v>1.7920940844814708</v>
      </c>
      <c r="BJ21" s="2">
        <f t="shared" ref="BJ21" si="34">ABS(BB21+BE21)</f>
        <v>85.781709058863683</v>
      </c>
      <c r="BK21" s="2">
        <f t="shared" si="32"/>
        <v>0</v>
      </c>
      <c r="BL21" s="7">
        <f t="shared" si="33"/>
        <v>0</v>
      </c>
      <c r="BM21" s="2"/>
      <c r="BN21" s="1"/>
      <c r="BO21" s="4"/>
      <c r="BP21" s="2"/>
      <c r="BQ21" s="2"/>
      <c r="BR21" s="3"/>
      <c r="BS21" s="1"/>
      <c r="BT21" s="2"/>
      <c r="BU21" s="21"/>
      <c r="BV21" s="2"/>
      <c r="BW21" s="2"/>
      <c r="BX21" s="21"/>
      <c r="BY21" s="10"/>
    </row>
    <row r="22" spans="1:77" x14ac:dyDescent="0.25">
      <c r="A22" t="str">
        <f t="shared" si="3"/>
        <v/>
      </c>
      <c r="B22" t="b">
        <f t="shared" si="4"/>
        <v>1</v>
      </c>
      <c r="C22">
        <f>IF(D22=D20,C20,C20+1)</f>
        <v>2</v>
      </c>
      <c r="D22" s="5" t="s">
        <v>50</v>
      </c>
      <c r="F22" s="5"/>
      <c r="K22" s="10"/>
      <c r="L22" s="12"/>
      <c r="M22" s="5"/>
      <c r="N22" s="10"/>
      <c r="O22" s="5"/>
      <c r="Q22" s="10"/>
      <c r="R22" s="8"/>
      <c r="U22" s="9"/>
      <c r="W22" s="10"/>
      <c r="X22" s="1"/>
      <c r="Y22" s="2"/>
      <c r="Z22" s="13"/>
      <c r="AA22" s="2"/>
      <c r="AB22" s="2"/>
      <c r="AC22" s="2"/>
      <c r="AD22" s="2"/>
      <c r="AE22" s="7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"/>
      <c r="AV22" s="2"/>
      <c r="AW22" s="2"/>
      <c r="AX22" s="2"/>
      <c r="AZ22" s="1"/>
      <c r="BA22" s="2"/>
      <c r="BB22" s="7"/>
      <c r="BC22" s="1"/>
      <c r="BD22" s="2"/>
      <c r="BE22" s="2"/>
      <c r="BF22" s="2"/>
      <c r="BG22" s="7"/>
      <c r="BH22" s="1"/>
      <c r="BI22" s="2"/>
      <c r="BJ22" s="2"/>
      <c r="BK22" s="2"/>
      <c r="BL22" s="7"/>
      <c r="BM22" s="2"/>
      <c r="BN22" s="1"/>
      <c r="BO22" s="4"/>
      <c r="BP22" s="2"/>
      <c r="BQ22" s="2"/>
      <c r="BR22" s="3"/>
      <c r="BS22" s="1"/>
      <c r="BT22" s="2"/>
      <c r="BU22" s="21"/>
      <c r="BV22" s="2"/>
      <c r="BW22" s="2"/>
      <c r="BX22" s="21"/>
      <c r="BY22" s="15"/>
    </row>
    <row r="23" spans="1:77" x14ac:dyDescent="0.25">
      <c r="A23" t="str">
        <f t="shared" si="3"/>
        <v>Travée</v>
      </c>
      <c r="B23" t="b">
        <f t="shared" si="4"/>
        <v>0</v>
      </c>
      <c r="C23">
        <f t="shared" si="7"/>
        <v>3</v>
      </c>
      <c r="D23" s="5" t="s">
        <v>58</v>
      </c>
      <c r="E23" t="s">
        <v>45</v>
      </c>
      <c r="F23" s="5">
        <v>25</v>
      </c>
      <c r="G23" t="s">
        <v>46</v>
      </c>
      <c r="H23">
        <v>500</v>
      </c>
      <c r="I23">
        <v>220000</v>
      </c>
      <c r="J23">
        <v>1576</v>
      </c>
      <c r="K23" s="10">
        <v>1870</v>
      </c>
      <c r="L23" s="12">
        <v>1</v>
      </c>
      <c r="M23" s="5">
        <v>0.24</v>
      </c>
      <c r="N23" s="10">
        <v>2.2000000000000002</v>
      </c>
      <c r="O23" s="5">
        <v>5.6539999999999997E-4</v>
      </c>
      <c r="P23">
        <v>0.03</v>
      </c>
      <c r="Q23" s="10">
        <v>1</v>
      </c>
      <c r="R23" s="8">
        <v>0</v>
      </c>
      <c r="S23">
        <v>0</v>
      </c>
      <c r="T23">
        <v>1</v>
      </c>
      <c r="U23" s="9">
        <v>2.9099999999999999E-5</v>
      </c>
      <c r="V23">
        <v>0</v>
      </c>
      <c r="W23" s="10">
        <v>2</v>
      </c>
      <c r="X23" s="1">
        <v>27.002880000000001</v>
      </c>
      <c r="Y23" s="2">
        <v>8.2022399999999998</v>
      </c>
      <c r="Z23" s="13">
        <v>0</v>
      </c>
      <c r="AA23" s="2">
        <v>27.002880000000001</v>
      </c>
      <c r="AB23" s="2">
        <v>8.2022399999999998</v>
      </c>
      <c r="AC23" s="2">
        <v>46.08</v>
      </c>
      <c r="AD23" s="2"/>
      <c r="AE23" s="7">
        <v>35.205119999999987</v>
      </c>
      <c r="AF23" s="2">
        <v>27.002880000000001</v>
      </c>
      <c r="AG23" s="2">
        <v>8.2022399999999998</v>
      </c>
      <c r="AH23" s="2">
        <v>4.9484315191388957</v>
      </c>
      <c r="AI23" s="2">
        <v>1.39861805500364</v>
      </c>
      <c r="AJ23" s="2">
        <v>-236.86530553740681</v>
      </c>
      <c r="AK23" s="2">
        <v>-62.631512729250609</v>
      </c>
      <c r="AL23" s="2">
        <v>0</v>
      </c>
      <c r="AM23" s="2">
        <v>-80.133278051216536</v>
      </c>
      <c r="AN23" s="2">
        <v>46.08</v>
      </c>
      <c r="AO23" s="2">
        <v>54.236333511620103</v>
      </c>
      <c r="AP23" s="2">
        <v>75.116649464325647</v>
      </c>
      <c r="AQ23" s="2">
        <v>5.5951451106056256</v>
      </c>
      <c r="AR23" s="2">
        <v>-357.54968990253428</v>
      </c>
      <c r="AS23" s="2">
        <v>0</v>
      </c>
      <c r="AT23" s="2">
        <v>-461.11705377823961</v>
      </c>
      <c r="AU23" s="1">
        <v>35.205119999999987</v>
      </c>
      <c r="AV23" s="2">
        <v>4.6436919569927628</v>
      </c>
      <c r="AW23" s="2">
        <v>-313.72351075047533</v>
      </c>
      <c r="AX23" s="2">
        <v>54.236333511620103</v>
      </c>
      <c r="AZ23" s="1">
        <f t="shared" ref="AZ23:AZ33" si="35">AF23</f>
        <v>27.002880000000001</v>
      </c>
      <c r="BA23" s="2">
        <f t="shared" ref="BA23:BA33" si="36">AH23</f>
        <v>4.9484315191388957</v>
      </c>
      <c r="BB23" s="7">
        <f t="shared" ref="BB23:BB33" si="37">AJ23</f>
        <v>-236.86530553740681</v>
      </c>
      <c r="BC23" s="1">
        <f t="shared" ref="BC23:BC33" si="38">AG23</f>
        <v>8.2022399999999998</v>
      </c>
      <c r="BD23" s="2">
        <f t="shared" ref="BD23:BD33" si="39">AI23</f>
        <v>1.39861805500364</v>
      </c>
      <c r="BE23" s="2">
        <f t="shared" ref="BE23:BE33" si="40">AK23</f>
        <v>-62.631512729250609</v>
      </c>
      <c r="BF23" s="2">
        <f t="shared" ref="BF23:BF33" si="41">AL23</f>
        <v>0</v>
      </c>
      <c r="BG23" s="7">
        <f t="shared" ref="BG23:BG33" si="42">AM23</f>
        <v>-80.133278051216536</v>
      </c>
      <c r="BH23" s="1">
        <f t="shared" ref="BH23:BH33" si="43">AZ23+BC23</f>
        <v>35.205120000000001</v>
      </c>
      <c r="BI23" s="2">
        <f t="shared" ref="BI23:BI33" si="44">BA23+BD23</f>
        <v>6.3470495741425355</v>
      </c>
      <c r="BJ23" s="2">
        <f t="shared" ref="BJ23:BJ33" si="45">ABS(BB23+BE23)</f>
        <v>299.49681826665744</v>
      </c>
      <c r="BK23" s="2">
        <f t="shared" ref="BK23:BK33" si="46">ABS(BF23)</f>
        <v>0</v>
      </c>
      <c r="BL23" s="7">
        <f t="shared" ref="BL23:BL33" si="47">BG23</f>
        <v>-80.133278051216536</v>
      </c>
      <c r="BM23" s="2"/>
      <c r="BN23" s="1"/>
      <c r="BO23" s="4"/>
      <c r="BP23" s="2"/>
      <c r="BQ23" s="2"/>
      <c r="BR23" s="3"/>
      <c r="BS23" s="1"/>
      <c r="BT23" s="2"/>
      <c r="BU23" s="21"/>
      <c r="BV23" s="2"/>
      <c r="BW23" s="2"/>
      <c r="BX23" s="21"/>
      <c r="BY23" s="10"/>
    </row>
    <row r="24" spans="1:77" x14ac:dyDescent="0.25">
      <c r="A24" t="str">
        <f t="shared" si="3"/>
        <v>Appui</v>
      </c>
      <c r="B24" t="b">
        <f t="shared" si="4"/>
        <v>0</v>
      </c>
      <c r="C24">
        <f t="shared" si="7"/>
        <v>3</v>
      </c>
      <c r="D24" s="5" t="s">
        <v>58</v>
      </c>
      <c r="E24" t="s">
        <v>47</v>
      </c>
      <c r="F24" s="5">
        <v>25</v>
      </c>
      <c r="G24" t="s">
        <v>46</v>
      </c>
      <c r="H24">
        <v>500</v>
      </c>
      <c r="I24">
        <v>220000</v>
      </c>
      <c r="J24">
        <v>1576</v>
      </c>
      <c r="K24" s="10">
        <v>1870</v>
      </c>
      <c r="L24" s="12">
        <v>1</v>
      </c>
      <c r="M24" s="5">
        <v>0.23</v>
      </c>
      <c r="N24" s="10">
        <v>2.2000000000000002</v>
      </c>
      <c r="O24" s="5">
        <v>1.9E-3</v>
      </c>
      <c r="P24">
        <v>0.06</v>
      </c>
      <c r="Q24" s="10">
        <v>1</v>
      </c>
      <c r="R24" s="8">
        <v>0</v>
      </c>
      <c r="S24">
        <v>0</v>
      </c>
      <c r="T24">
        <v>1</v>
      </c>
      <c r="U24" s="9">
        <v>0</v>
      </c>
      <c r="V24">
        <v>0</v>
      </c>
      <c r="W24" s="10">
        <v>0</v>
      </c>
      <c r="X24" s="1">
        <v>90.244</v>
      </c>
      <c r="Y24" s="2">
        <v>27.411999999999999</v>
      </c>
      <c r="Z24" s="13">
        <v>0</v>
      </c>
      <c r="AA24" s="2">
        <v>90.244</v>
      </c>
      <c r="AB24" s="2">
        <v>27.411999999999999</v>
      </c>
      <c r="AC24" s="2">
        <v>154</v>
      </c>
      <c r="AD24" s="2"/>
      <c r="AE24" s="7">
        <v>117.65600000000001</v>
      </c>
      <c r="AF24" s="2">
        <v>90.244</v>
      </c>
      <c r="AG24" s="2">
        <v>27.411999999999999</v>
      </c>
      <c r="AH24" s="2">
        <v>13.72883847911824</v>
      </c>
      <c r="AI24" s="2">
        <v>4.1701932581621941</v>
      </c>
      <c r="AJ24" s="2">
        <v>-302.04094311499779</v>
      </c>
      <c r="AK24" s="2">
        <v>-91.746225041756972</v>
      </c>
      <c r="AL24" s="2">
        <v>0</v>
      </c>
      <c r="AM24" s="2">
        <v>0</v>
      </c>
      <c r="AN24" s="2">
        <v>154</v>
      </c>
      <c r="AO24" s="2">
        <v>133.900223728827</v>
      </c>
      <c r="AP24" s="2">
        <v>133.900223728827</v>
      </c>
      <c r="AQ24" s="2">
        <v>0</v>
      </c>
      <c r="AR24" s="2">
        <v>0</v>
      </c>
      <c r="AS24" s="2">
        <v>0</v>
      </c>
      <c r="AT24" s="2">
        <v>0</v>
      </c>
      <c r="AU24" s="1">
        <v>117.65600000000001</v>
      </c>
      <c r="AV24" s="2">
        <v>11.988282233504879</v>
      </c>
      <c r="AW24" s="2">
        <v>-409.31705353578099</v>
      </c>
      <c r="AX24" s="2">
        <v>133.900223728827</v>
      </c>
      <c r="AZ24" s="1">
        <f t="shared" si="35"/>
        <v>90.244</v>
      </c>
      <c r="BA24" s="2">
        <f t="shared" si="36"/>
        <v>13.72883847911824</v>
      </c>
      <c r="BB24" s="7">
        <f t="shared" si="37"/>
        <v>-302.04094311499779</v>
      </c>
      <c r="BC24" s="1">
        <f t="shared" si="38"/>
        <v>27.411999999999999</v>
      </c>
      <c r="BD24" s="2">
        <f t="shared" si="39"/>
        <v>4.1701932581621941</v>
      </c>
      <c r="BE24" s="2">
        <f t="shared" si="40"/>
        <v>-91.746225041756972</v>
      </c>
      <c r="BF24" s="2">
        <f t="shared" si="41"/>
        <v>0</v>
      </c>
      <c r="BG24" s="7">
        <f t="shared" si="42"/>
        <v>0</v>
      </c>
      <c r="BH24" s="1">
        <f t="shared" si="43"/>
        <v>117.65600000000001</v>
      </c>
      <c r="BI24" s="2">
        <f t="shared" si="44"/>
        <v>17.899031737280435</v>
      </c>
      <c r="BJ24" s="2">
        <f t="shared" si="45"/>
        <v>393.78716815675477</v>
      </c>
      <c r="BK24" s="2">
        <f t="shared" si="46"/>
        <v>0</v>
      </c>
      <c r="BL24" s="7">
        <f t="shared" si="47"/>
        <v>0</v>
      </c>
      <c r="BM24" s="2"/>
      <c r="BN24" s="1"/>
      <c r="BO24" s="4"/>
      <c r="BP24" s="2"/>
      <c r="BQ24" s="2"/>
      <c r="BR24" s="3"/>
      <c r="BS24" s="1"/>
      <c r="BT24" s="2"/>
      <c r="BU24" s="21"/>
      <c r="BV24" s="2"/>
      <c r="BW24" s="2"/>
      <c r="BX24" s="21"/>
      <c r="BY24" s="15"/>
    </row>
    <row r="25" spans="1:77" x14ac:dyDescent="0.25">
      <c r="A25" t="str">
        <f t="shared" si="3"/>
        <v>Travée</v>
      </c>
      <c r="B25" t="b">
        <f t="shared" si="4"/>
        <v>0</v>
      </c>
      <c r="C25">
        <f t="shared" si="7"/>
        <v>3</v>
      </c>
      <c r="D25" s="5" t="s">
        <v>58</v>
      </c>
      <c r="E25" t="s">
        <v>48</v>
      </c>
      <c r="F25" s="5">
        <v>25</v>
      </c>
      <c r="G25" t="s">
        <v>46</v>
      </c>
      <c r="H25">
        <v>500</v>
      </c>
      <c r="I25">
        <v>220000</v>
      </c>
      <c r="J25">
        <v>1576</v>
      </c>
      <c r="K25" s="10">
        <v>1870</v>
      </c>
      <c r="L25" s="12">
        <v>1</v>
      </c>
      <c r="M25" s="5">
        <v>0.215</v>
      </c>
      <c r="N25" s="10">
        <v>2.2000000000000002</v>
      </c>
      <c r="O25" s="5">
        <v>1.1286E-3</v>
      </c>
      <c r="P25">
        <v>0.03</v>
      </c>
      <c r="Q25" s="10">
        <v>1</v>
      </c>
      <c r="R25" s="8">
        <v>0</v>
      </c>
      <c r="S25">
        <v>0</v>
      </c>
      <c r="T25">
        <v>1</v>
      </c>
      <c r="U25" s="9">
        <v>2.9099999999999999E-5</v>
      </c>
      <c r="V25">
        <v>0</v>
      </c>
      <c r="W25" s="10">
        <v>5</v>
      </c>
      <c r="X25" s="1">
        <v>53.255679999999991</v>
      </c>
      <c r="Y25" s="2">
        <v>16.176639999999999</v>
      </c>
      <c r="Z25" s="13">
        <v>0</v>
      </c>
      <c r="AA25" s="2">
        <v>53.255679999999991</v>
      </c>
      <c r="AB25" s="2">
        <v>16.176639999999999</v>
      </c>
      <c r="AC25" s="2">
        <v>90.88</v>
      </c>
      <c r="AD25" s="2"/>
      <c r="AE25" s="7">
        <v>69.43231999999999</v>
      </c>
      <c r="AF25" s="2">
        <v>53.255679999999991</v>
      </c>
      <c r="AG25" s="2">
        <v>16.176639999999999</v>
      </c>
      <c r="AH25" s="2">
        <v>8.7934097295498148</v>
      </c>
      <c r="AI25" s="2">
        <v>2.4361363043484592</v>
      </c>
      <c r="AJ25" s="2">
        <v>-270.60634790257188</v>
      </c>
      <c r="AK25" s="2">
        <v>-68.850888339448062</v>
      </c>
      <c r="AL25" s="2">
        <v>0</v>
      </c>
      <c r="AM25" s="2">
        <v>-90.778681031152061</v>
      </c>
      <c r="AN25" s="2">
        <v>90.88</v>
      </c>
      <c r="AO25" s="2">
        <v>91.714683963356237</v>
      </c>
      <c r="AP25" s="2">
        <v>140.1705271929219</v>
      </c>
      <c r="AQ25" s="2">
        <v>9.4436202110243581</v>
      </c>
      <c r="AR25" s="2">
        <v>-396.640744446827</v>
      </c>
      <c r="AS25" s="2">
        <v>0</v>
      </c>
      <c r="AT25" s="2">
        <v>-531.43641337548672</v>
      </c>
      <c r="AU25" s="1">
        <v>69.43231999999999</v>
      </c>
      <c r="AV25" s="2">
        <v>8.0448726026831388</v>
      </c>
      <c r="AW25" s="2">
        <v>-361.9923945810886</v>
      </c>
      <c r="AX25" s="2">
        <v>91.714683963356237</v>
      </c>
      <c r="AZ25" s="1">
        <f t="shared" si="35"/>
        <v>53.255679999999991</v>
      </c>
      <c r="BA25" s="2">
        <f t="shared" si="36"/>
        <v>8.7934097295498148</v>
      </c>
      <c r="BB25" s="7">
        <f t="shared" si="37"/>
        <v>-270.60634790257188</v>
      </c>
      <c r="BC25" s="1">
        <f t="shared" si="38"/>
        <v>16.176639999999999</v>
      </c>
      <c r="BD25" s="2">
        <f t="shared" si="39"/>
        <v>2.4361363043484592</v>
      </c>
      <c r="BE25" s="2">
        <f t="shared" si="40"/>
        <v>-68.850888339448062</v>
      </c>
      <c r="BF25" s="2">
        <f t="shared" si="41"/>
        <v>0</v>
      </c>
      <c r="BG25" s="7">
        <f t="shared" si="42"/>
        <v>-90.778681031152061</v>
      </c>
      <c r="BH25" s="1">
        <f t="shared" si="43"/>
        <v>69.43231999999999</v>
      </c>
      <c r="BI25" s="2">
        <f t="shared" si="44"/>
        <v>11.229546033898274</v>
      </c>
      <c r="BJ25" s="2">
        <f t="shared" si="45"/>
        <v>339.45723624201992</v>
      </c>
      <c r="BK25" s="2">
        <f t="shared" si="46"/>
        <v>0</v>
      </c>
      <c r="BL25" s="7">
        <f t="shared" si="47"/>
        <v>-90.778681031152061</v>
      </c>
      <c r="BM25" s="2"/>
      <c r="BN25" s="1"/>
      <c r="BO25" s="4"/>
      <c r="BP25" s="2"/>
      <c r="BQ25" s="2"/>
      <c r="BR25" s="3"/>
      <c r="BS25" s="1"/>
      <c r="BT25" s="2"/>
      <c r="BU25" s="21"/>
      <c r="BV25" s="2"/>
      <c r="BW25" s="2"/>
      <c r="BX25" s="21"/>
      <c r="BY25" s="10"/>
    </row>
    <row r="26" spans="1:77" x14ac:dyDescent="0.25">
      <c r="A26" t="str">
        <f t="shared" si="3"/>
        <v>Appui</v>
      </c>
      <c r="B26" t="b">
        <f t="shared" si="4"/>
        <v>0</v>
      </c>
      <c r="C26">
        <f t="shared" si="7"/>
        <v>3</v>
      </c>
      <c r="D26" s="5" t="s">
        <v>58</v>
      </c>
      <c r="E26" t="s">
        <v>49</v>
      </c>
      <c r="F26" s="5">
        <v>25</v>
      </c>
      <c r="G26" t="s">
        <v>46</v>
      </c>
      <c r="H26">
        <v>500</v>
      </c>
      <c r="I26">
        <v>220000</v>
      </c>
      <c r="J26">
        <v>1576</v>
      </c>
      <c r="K26" s="10">
        <v>1870</v>
      </c>
      <c r="L26" s="12">
        <v>1</v>
      </c>
      <c r="M26" s="5">
        <v>0.2</v>
      </c>
      <c r="N26" s="10">
        <v>2.2000000000000002</v>
      </c>
      <c r="O26" s="5">
        <v>2.0300000000000001E-3</v>
      </c>
      <c r="P26">
        <v>0.03</v>
      </c>
      <c r="Q26" s="10">
        <v>1</v>
      </c>
      <c r="R26" s="8">
        <v>0</v>
      </c>
      <c r="S26">
        <v>0</v>
      </c>
      <c r="T26">
        <v>1</v>
      </c>
      <c r="U26" s="9">
        <v>0</v>
      </c>
      <c r="V26">
        <v>0</v>
      </c>
      <c r="W26" s="10">
        <v>0</v>
      </c>
      <c r="X26" s="1">
        <v>77.35199999999999</v>
      </c>
      <c r="Y26" s="2">
        <v>23.495999999999999</v>
      </c>
      <c r="Z26" s="13">
        <v>0</v>
      </c>
      <c r="AA26" s="2">
        <v>77.35199999999999</v>
      </c>
      <c r="AB26" s="2">
        <v>23.495999999999999</v>
      </c>
      <c r="AC26" s="2">
        <v>132</v>
      </c>
      <c r="AD26" s="2"/>
      <c r="AE26" s="7">
        <v>100.848</v>
      </c>
      <c r="AF26" s="2">
        <v>77.35199999999999</v>
      </c>
      <c r="AG26" s="2">
        <v>23.495999999999999</v>
      </c>
      <c r="AH26" s="2">
        <v>11.449416099760629</v>
      </c>
      <c r="AI26" s="2">
        <v>3.4778089859341179</v>
      </c>
      <c r="AJ26" s="2">
        <v>-242.94394437215439</v>
      </c>
      <c r="AK26" s="2">
        <v>-73.795259553316541</v>
      </c>
      <c r="AL26" s="2">
        <v>0</v>
      </c>
      <c r="AM26" s="2">
        <v>0</v>
      </c>
      <c r="AN26" s="2">
        <v>132</v>
      </c>
      <c r="AO26" s="2">
        <v>142.0581537887314</v>
      </c>
      <c r="AP26" s="2">
        <v>142.0581537887314</v>
      </c>
      <c r="AQ26" s="2">
        <v>12.866656429044379</v>
      </c>
      <c r="AR26" s="2">
        <v>-432.1006567875844</v>
      </c>
      <c r="AS26" s="2">
        <v>0</v>
      </c>
      <c r="AT26" s="2">
        <v>0</v>
      </c>
      <c r="AU26" s="1">
        <v>100.848</v>
      </c>
      <c r="AV26" s="2">
        <v>10.35841220852568</v>
      </c>
      <c r="AW26" s="2">
        <v>-328.5810643946599</v>
      </c>
      <c r="AX26" s="2">
        <v>142.0581537887314</v>
      </c>
      <c r="AZ26" s="1">
        <f t="shared" si="35"/>
        <v>77.35199999999999</v>
      </c>
      <c r="BA26" s="2">
        <f t="shared" si="36"/>
        <v>11.449416099760629</v>
      </c>
      <c r="BB26" s="7">
        <f t="shared" si="37"/>
        <v>-242.94394437215439</v>
      </c>
      <c r="BC26" s="1">
        <f t="shared" si="38"/>
        <v>23.495999999999999</v>
      </c>
      <c r="BD26" s="2">
        <f t="shared" si="39"/>
        <v>3.4778089859341179</v>
      </c>
      <c r="BE26" s="2">
        <f t="shared" si="40"/>
        <v>-73.795259553316541</v>
      </c>
      <c r="BF26" s="2">
        <f t="shared" si="41"/>
        <v>0</v>
      </c>
      <c r="BG26" s="7">
        <f t="shared" si="42"/>
        <v>0</v>
      </c>
      <c r="BH26" s="1">
        <f t="shared" si="43"/>
        <v>100.84799999999998</v>
      </c>
      <c r="BI26" s="2">
        <f t="shared" si="44"/>
        <v>14.927225085694747</v>
      </c>
      <c r="BJ26" s="2">
        <f t="shared" si="45"/>
        <v>316.73920392547092</v>
      </c>
      <c r="BK26" s="2">
        <f t="shared" si="46"/>
        <v>0</v>
      </c>
      <c r="BL26" s="7">
        <f t="shared" si="47"/>
        <v>0</v>
      </c>
      <c r="BM26" s="2"/>
      <c r="BN26" s="1"/>
      <c r="BO26" s="4"/>
      <c r="BP26" s="2"/>
      <c r="BQ26" s="2"/>
      <c r="BR26" s="3"/>
      <c r="BS26" s="1"/>
      <c r="BT26" s="2"/>
      <c r="BU26" s="21"/>
      <c r="BV26" s="2"/>
      <c r="BW26" s="2"/>
      <c r="BX26" s="21"/>
      <c r="BY26" s="15"/>
    </row>
    <row r="27" spans="1:77" x14ac:dyDescent="0.25">
      <c r="A27" t="str">
        <f t="shared" si="3"/>
        <v>Travée</v>
      </c>
      <c r="B27" t="b">
        <f t="shared" si="4"/>
        <v>0</v>
      </c>
      <c r="C27">
        <f t="shared" si="7"/>
        <v>3</v>
      </c>
      <c r="D27" s="5" t="s">
        <v>58</v>
      </c>
      <c r="E27" t="s">
        <v>51</v>
      </c>
      <c r="F27" s="5">
        <v>25</v>
      </c>
      <c r="G27" t="s">
        <v>46</v>
      </c>
      <c r="H27">
        <v>500</v>
      </c>
      <c r="I27">
        <v>220000</v>
      </c>
      <c r="J27">
        <v>1576</v>
      </c>
      <c r="K27" s="10">
        <v>1870</v>
      </c>
      <c r="L27" s="12">
        <v>1</v>
      </c>
      <c r="M27" s="5">
        <v>0.215</v>
      </c>
      <c r="N27" s="10">
        <v>2.2000000000000002</v>
      </c>
      <c r="O27" s="5">
        <v>2.8160000000000001E-4</v>
      </c>
      <c r="P27">
        <v>0.03</v>
      </c>
      <c r="Q27" s="10">
        <v>1</v>
      </c>
      <c r="R27" s="8">
        <v>0</v>
      </c>
      <c r="S27">
        <v>0</v>
      </c>
      <c r="T27">
        <v>1</v>
      </c>
      <c r="U27" s="9">
        <v>2.9099999999999999E-5</v>
      </c>
      <c r="V27">
        <v>0</v>
      </c>
      <c r="W27" s="10">
        <v>7</v>
      </c>
      <c r="X27" s="1">
        <v>7.5007999999999999</v>
      </c>
      <c r="Y27" s="2">
        <v>2.2784</v>
      </c>
      <c r="Z27" s="13">
        <v>0</v>
      </c>
      <c r="AA27" s="2">
        <v>7.5007999999999999</v>
      </c>
      <c r="AB27" s="2">
        <v>2.2784</v>
      </c>
      <c r="AC27" s="2">
        <v>12.8</v>
      </c>
      <c r="AD27" s="2"/>
      <c r="AE27" s="7">
        <v>9.7791999999999994</v>
      </c>
      <c r="AF27" s="2">
        <v>7.5007999999999999</v>
      </c>
      <c r="AG27" s="2">
        <v>2.2784</v>
      </c>
      <c r="AH27" s="2">
        <v>2.308805861529081</v>
      </c>
      <c r="AI27" s="2">
        <v>0.4789100369418573</v>
      </c>
      <c r="AJ27" s="2">
        <v>-148.53629729908971</v>
      </c>
      <c r="AK27" s="2">
        <v>-21.697504357407681</v>
      </c>
      <c r="AL27" s="2">
        <v>0</v>
      </c>
      <c r="AM27" s="2">
        <v>-28.280432239425139</v>
      </c>
      <c r="AN27" s="2">
        <v>12.8</v>
      </c>
      <c r="AO27" s="2">
        <v>23.94501565219981</v>
      </c>
      <c r="AP27" s="2">
        <v>99.755556818286308</v>
      </c>
      <c r="AQ27" s="2">
        <v>1.981615397812061</v>
      </c>
      <c r="AR27" s="2">
        <v>-123.1735410580026</v>
      </c>
      <c r="AS27" s="2">
        <v>0</v>
      </c>
      <c r="AT27" s="2">
        <v>-161.83830516916831</v>
      </c>
      <c r="AU27" s="1">
        <v>9.7791999999999994</v>
      </c>
      <c r="AV27" s="2">
        <v>2.2044275153820498</v>
      </c>
      <c r="AW27" s="2">
        <v>-195.80105927464629</v>
      </c>
      <c r="AX27" s="2">
        <v>23.94501565219981</v>
      </c>
      <c r="AZ27" s="1">
        <f t="shared" si="35"/>
        <v>7.5007999999999999</v>
      </c>
      <c r="BA27" s="2">
        <f t="shared" si="36"/>
        <v>2.308805861529081</v>
      </c>
      <c r="BB27" s="7">
        <f t="shared" si="37"/>
        <v>-148.53629729908971</v>
      </c>
      <c r="BC27" s="1">
        <f t="shared" si="38"/>
        <v>2.2784</v>
      </c>
      <c r="BD27" s="2">
        <f t="shared" si="39"/>
        <v>0.4789100369418573</v>
      </c>
      <c r="BE27" s="2">
        <f t="shared" si="40"/>
        <v>-21.697504357407681</v>
      </c>
      <c r="BF27" s="2">
        <f t="shared" si="41"/>
        <v>0</v>
      </c>
      <c r="BG27" s="7">
        <f t="shared" si="42"/>
        <v>-28.280432239425139</v>
      </c>
      <c r="BH27" s="1">
        <f t="shared" si="43"/>
        <v>9.7791999999999994</v>
      </c>
      <c r="BI27" s="2">
        <f t="shared" si="44"/>
        <v>2.787715898470938</v>
      </c>
      <c r="BJ27" s="2">
        <f t="shared" si="45"/>
        <v>170.23380165649741</v>
      </c>
      <c r="BK27" s="2">
        <f t="shared" si="46"/>
        <v>0</v>
      </c>
      <c r="BL27" s="7">
        <f t="shared" si="47"/>
        <v>-28.280432239425139</v>
      </c>
      <c r="BM27" s="2"/>
      <c r="BN27" s="1"/>
      <c r="BO27" s="4"/>
      <c r="BP27" s="2"/>
      <c r="BQ27" s="2"/>
      <c r="BR27" s="3"/>
      <c r="BS27" s="1"/>
      <c r="BT27" s="2"/>
      <c r="BU27" s="21"/>
      <c r="BV27" s="2"/>
      <c r="BW27" s="2"/>
      <c r="BX27" s="21"/>
      <c r="BY27" s="10"/>
    </row>
    <row r="28" spans="1:77" x14ac:dyDescent="0.25">
      <c r="A28" t="str">
        <f t="shared" si="3"/>
        <v>Appui</v>
      </c>
      <c r="B28" t="b">
        <f t="shared" si="4"/>
        <v>0</v>
      </c>
      <c r="C28">
        <f t="shared" si="7"/>
        <v>3</v>
      </c>
      <c r="D28" s="5" t="s">
        <v>58</v>
      </c>
      <c r="E28" t="s">
        <v>52</v>
      </c>
      <c r="F28" s="5">
        <v>25</v>
      </c>
      <c r="G28" t="s">
        <v>46</v>
      </c>
      <c r="H28">
        <v>500</v>
      </c>
      <c r="I28">
        <v>220000</v>
      </c>
      <c r="J28">
        <v>1576</v>
      </c>
      <c r="K28" s="10">
        <v>1870</v>
      </c>
      <c r="L28" s="12">
        <v>1</v>
      </c>
      <c r="M28" s="5">
        <v>0.23</v>
      </c>
      <c r="N28" s="10">
        <v>2.2000000000000002</v>
      </c>
      <c r="O28" s="5">
        <v>1.106E-3</v>
      </c>
      <c r="P28">
        <v>0.06</v>
      </c>
      <c r="Q28" s="10">
        <v>1</v>
      </c>
      <c r="R28" s="8">
        <v>0</v>
      </c>
      <c r="S28">
        <v>0</v>
      </c>
      <c r="T28">
        <v>1</v>
      </c>
      <c r="U28" s="9">
        <v>0</v>
      </c>
      <c r="V28">
        <v>0</v>
      </c>
      <c r="W28" s="10">
        <v>0</v>
      </c>
      <c r="X28" s="1">
        <v>22.561</v>
      </c>
      <c r="Y28" s="2">
        <v>6.8529999999999998</v>
      </c>
      <c r="Z28" s="13">
        <v>0</v>
      </c>
      <c r="AA28" s="2">
        <v>22.561</v>
      </c>
      <c r="AB28" s="2">
        <v>6.8529999999999998</v>
      </c>
      <c r="AC28" s="2">
        <v>38.5</v>
      </c>
      <c r="AD28" s="2"/>
      <c r="AE28" s="7">
        <v>29.414000000000001</v>
      </c>
      <c r="AF28" s="2">
        <v>22.561</v>
      </c>
      <c r="AG28" s="2">
        <v>6.8529999999999998</v>
      </c>
      <c r="AH28" s="2">
        <v>4.2879346912560399</v>
      </c>
      <c r="AI28" s="2">
        <v>1.30247845570576</v>
      </c>
      <c r="AJ28" s="2">
        <v>-127.5810112055499</v>
      </c>
      <c r="AK28" s="2">
        <v>-38.753276441276228</v>
      </c>
      <c r="AL28" s="2">
        <v>0</v>
      </c>
      <c r="AM28" s="2">
        <v>0</v>
      </c>
      <c r="AN28" s="2">
        <v>38.5</v>
      </c>
      <c r="AO28" s="2">
        <v>82.084091178365441</v>
      </c>
      <c r="AP28" s="2">
        <v>82.084091178365441</v>
      </c>
      <c r="AQ28" s="2">
        <v>5.3363830370344054</v>
      </c>
      <c r="AR28" s="2">
        <v>-222.95603885955151</v>
      </c>
      <c r="AS28" s="2">
        <v>0</v>
      </c>
      <c r="AT28" s="2">
        <v>0</v>
      </c>
      <c r="AU28" s="1">
        <v>29.414000000000001</v>
      </c>
      <c r="AV28" s="2">
        <v>4.1330566116790948</v>
      </c>
      <c r="AW28" s="2">
        <v>-170.19001019470039</v>
      </c>
      <c r="AX28" s="2">
        <v>82.084091178365441</v>
      </c>
      <c r="AZ28" s="1">
        <f t="shared" si="35"/>
        <v>22.561</v>
      </c>
      <c r="BA28" s="2">
        <f t="shared" si="36"/>
        <v>4.2879346912560399</v>
      </c>
      <c r="BB28" s="7">
        <f t="shared" si="37"/>
        <v>-127.5810112055499</v>
      </c>
      <c r="BC28" s="1">
        <f t="shared" si="38"/>
        <v>6.8529999999999998</v>
      </c>
      <c r="BD28" s="2">
        <f t="shared" si="39"/>
        <v>1.30247845570576</v>
      </c>
      <c r="BE28" s="2">
        <f t="shared" si="40"/>
        <v>-38.753276441276228</v>
      </c>
      <c r="BF28" s="2">
        <f t="shared" si="41"/>
        <v>0</v>
      </c>
      <c r="BG28" s="7">
        <f t="shared" si="42"/>
        <v>0</v>
      </c>
      <c r="BH28" s="1">
        <f t="shared" si="43"/>
        <v>29.414000000000001</v>
      </c>
      <c r="BI28" s="2">
        <f t="shared" si="44"/>
        <v>5.5904131469617999</v>
      </c>
      <c r="BJ28" s="2">
        <f t="shared" si="45"/>
        <v>166.33428764682611</v>
      </c>
      <c r="BK28" s="2">
        <f t="shared" si="46"/>
        <v>0</v>
      </c>
      <c r="BL28" s="7">
        <f t="shared" si="47"/>
        <v>0</v>
      </c>
      <c r="BM28" s="2"/>
      <c r="BN28" s="1"/>
      <c r="BO28" s="4"/>
      <c r="BP28" s="2"/>
      <c r="BQ28" s="2"/>
      <c r="BR28" s="3"/>
      <c r="BS28" s="1"/>
      <c r="BT28" s="2"/>
      <c r="BU28" s="21"/>
      <c r="BV28" s="2"/>
      <c r="BW28" s="2"/>
      <c r="BX28" s="21"/>
      <c r="BY28" s="15"/>
    </row>
    <row r="29" spans="1:77" x14ac:dyDescent="0.25">
      <c r="A29" t="str">
        <f t="shared" si="3"/>
        <v>Travée</v>
      </c>
      <c r="B29" t="b">
        <f t="shared" si="4"/>
        <v>0</v>
      </c>
      <c r="C29">
        <f t="shared" si="7"/>
        <v>3</v>
      </c>
      <c r="D29" s="5" t="s">
        <v>58</v>
      </c>
      <c r="E29" t="s">
        <v>53</v>
      </c>
      <c r="F29" s="5">
        <v>25</v>
      </c>
      <c r="G29" t="s">
        <v>46</v>
      </c>
      <c r="H29">
        <v>500</v>
      </c>
      <c r="I29">
        <v>220000</v>
      </c>
      <c r="J29">
        <v>1576</v>
      </c>
      <c r="K29" s="10">
        <v>1870</v>
      </c>
      <c r="L29" s="12">
        <v>1</v>
      </c>
      <c r="M29" s="5">
        <v>0.215</v>
      </c>
      <c r="N29" s="10">
        <v>2.2000000000000002</v>
      </c>
      <c r="O29" s="5">
        <v>2.7999999999999998E-4</v>
      </c>
      <c r="P29">
        <v>0.03</v>
      </c>
      <c r="Q29" s="10">
        <v>1</v>
      </c>
      <c r="R29" s="8">
        <v>0</v>
      </c>
      <c r="S29">
        <v>0</v>
      </c>
      <c r="T29">
        <v>1</v>
      </c>
      <c r="U29" s="9">
        <v>2.9099999999999999E-5</v>
      </c>
      <c r="V29">
        <v>0</v>
      </c>
      <c r="W29" s="10">
        <v>7</v>
      </c>
      <c r="X29" s="1">
        <v>7.5007999999999999</v>
      </c>
      <c r="Y29" s="2">
        <v>2.2784</v>
      </c>
      <c r="Z29" s="13">
        <v>0</v>
      </c>
      <c r="AA29" s="2">
        <v>7.5007999999999999</v>
      </c>
      <c r="AB29" s="2">
        <v>2.2784</v>
      </c>
      <c r="AC29" s="2">
        <v>12.8</v>
      </c>
      <c r="AD29" s="2"/>
      <c r="AE29" s="7">
        <v>9.7791999999999994</v>
      </c>
      <c r="AF29" s="2">
        <v>7.5007999999999999</v>
      </c>
      <c r="AG29" s="2">
        <v>2.2784</v>
      </c>
      <c r="AH29" s="2">
        <v>2.31432237738017</v>
      </c>
      <c r="AI29" s="2">
        <v>0.47949844743064429</v>
      </c>
      <c r="AJ29" s="2">
        <v>-149.3768332146912</v>
      </c>
      <c r="AK29" s="2">
        <v>-21.755089608640269</v>
      </c>
      <c r="AL29" s="2">
        <v>0</v>
      </c>
      <c r="AM29" s="2">
        <v>-28.354714902598779</v>
      </c>
      <c r="AN29" s="2">
        <v>12.8</v>
      </c>
      <c r="AO29" s="2">
        <v>23.808964426877491</v>
      </c>
      <c r="AP29" s="2">
        <v>99.637714152933214</v>
      </c>
      <c r="AQ29" s="2">
        <v>1.9835831764882239</v>
      </c>
      <c r="AR29" s="2">
        <v>-123.5003690977651</v>
      </c>
      <c r="AS29" s="2">
        <v>0</v>
      </c>
      <c r="AT29" s="2">
        <v>-162.26060253182959</v>
      </c>
      <c r="AU29" s="1">
        <v>9.7791999999999994</v>
      </c>
      <c r="AV29" s="2">
        <v>2.21048677260328</v>
      </c>
      <c r="AW29" s="2">
        <v>-196.8908806686043</v>
      </c>
      <c r="AX29" s="2">
        <v>23.808964426877491</v>
      </c>
      <c r="AZ29" s="1">
        <f t="shared" si="35"/>
        <v>7.5007999999999999</v>
      </c>
      <c r="BA29" s="2">
        <f t="shared" si="36"/>
        <v>2.31432237738017</v>
      </c>
      <c r="BB29" s="7">
        <f t="shared" si="37"/>
        <v>-149.3768332146912</v>
      </c>
      <c r="BC29" s="1">
        <f t="shared" si="38"/>
        <v>2.2784</v>
      </c>
      <c r="BD29" s="2">
        <f t="shared" si="39"/>
        <v>0.47949844743064429</v>
      </c>
      <c r="BE29" s="2">
        <f t="shared" si="40"/>
        <v>-21.755089608640269</v>
      </c>
      <c r="BF29" s="2">
        <f t="shared" si="41"/>
        <v>0</v>
      </c>
      <c r="BG29" s="7">
        <f t="shared" si="42"/>
        <v>-28.354714902598779</v>
      </c>
      <c r="BH29" s="1">
        <f t="shared" si="43"/>
        <v>9.7791999999999994</v>
      </c>
      <c r="BI29" s="2">
        <f t="shared" si="44"/>
        <v>2.7938208248108145</v>
      </c>
      <c r="BJ29" s="2">
        <f t="shared" si="45"/>
        <v>171.13192282333148</v>
      </c>
      <c r="BK29" s="2">
        <f t="shared" si="46"/>
        <v>0</v>
      </c>
      <c r="BL29" s="7">
        <f t="shared" si="47"/>
        <v>-28.354714902598779</v>
      </c>
      <c r="BM29" s="2"/>
      <c r="BN29" s="1"/>
      <c r="BO29" s="4"/>
      <c r="BP29" s="2"/>
      <c r="BQ29" s="2"/>
      <c r="BR29" s="3"/>
      <c r="BS29" s="1"/>
      <c r="BT29" s="2"/>
      <c r="BU29" s="21"/>
      <c r="BV29" s="2"/>
      <c r="BW29" s="2"/>
      <c r="BX29" s="21"/>
      <c r="BY29" s="10"/>
    </row>
    <row r="30" spans="1:77" x14ac:dyDescent="0.25">
      <c r="A30" t="str">
        <f t="shared" si="3"/>
        <v>Appui</v>
      </c>
      <c r="B30" t="b">
        <f t="shared" si="4"/>
        <v>0</v>
      </c>
      <c r="C30">
        <f t="shared" si="7"/>
        <v>3</v>
      </c>
      <c r="D30" s="5" t="s">
        <v>58</v>
      </c>
      <c r="E30" t="s">
        <v>54</v>
      </c>
      <c r="F30" s="5">
        <v>25</v>
      </c>
      <c r="G30" t="s">
        <v>46</v>
      </c>
      <c r="H30">
        <v>500</v>
      </c>
      <c r="I30">
        <v>220000</v>
      </c>
      <c r="J30">
        <v>1576</v>
      </c>
      <c r="K30" s="10">
        <v>1870</v>
      </c>
      <c r="L30" s="12">
        <v>1</v>
      </c>
      <c r="M30" s="5">
        <v>0.2</v>
      </c>
      <c r="N30" s="10">
        <v>2.2000000000000002</v>
      </c>
      <c r="O30" s="5">
        <v>1.7852E-3</v>
      </c>
      <c r="P30">
        <v>0.03</v>
      </c>
      <c r="Q30" s="10">
        <v>1</v>
      </c>
      <c r="R30" s="8">
        <v>0</v>
      </c>
      <c r="S30">
        <v>0</v>
      </c>
      <c r="T30">
        <v>1</v>
      </c>
      <c r="U30" s="9">
        <v>0</v>
      </c>
      <c r="V30">
        <v>0</v>
      </c>
      <c r="W30" s="10">
        <v>0</v>
      </c>
      <c r="X30" s="1">
        <v>64.460000000000008</v>
      </c>
      <c r="Y30" s="2">
        <v>19.579999999999998</v>
      </c>
      <c r="Z30" s="13">
        <v>0</v>
      </c>
      <c r="AA30" s="2">
        <v>64.460000000000008</v>
      </c>
      <c r="AB30" s="2">
        <v>19.579999999999998</v>
      </c>
      <c r="AC30" s="2">
        <v>110</v>
      </c>
      <c r="AD30" s="2"/>
      <c r="AE30" s="7">
        <v>84.04</v>
      </c>
      <c r="AF30" s="2">
        <v>64.460000000000008</v>
      </c>
      <c r="AG30" s="2">
        <v>19.579999999999998</v>
      </c>
      <c r="AH30" s="2">
        <v>10.058659314586571</v>
      </c>
      <c r="AI30" s="2">
        <v>3.0553606791747558</v>
      </c>
      <c r="AJ30" s="2">
        <v>-229.1015281152321</v>
      </c>
      <c r="AK30" s="2">
        <v>-69.590566560599498</v>
      </c>
      <c r="AL30" s="2">
        <v>0</v>
      </c>
      <c r="AM30" s="2">
        <v>0</v>
      </c>
      <c r="AN30" s="2">
        <v>110</v>
      </c>
      <c r="AO30" s="2">
        <v>126.6413043424206</v>
      </c>
      <c r="AP30" s="2">
        <v>126.6413043424206</v>
      </c>
      <c r="AQ30" s="2">
        <v>11.56827059931193</v>
      </c>
      <c r="AR30" s="2">
        <v>-405.6671929796471</v>
      </c>
      <c r="AS30" s="2">
        <v>0</v>
      </c>
      <c r="AT30" s="2">
        <v>0</v>
      </c>
      <c r="AU30" s="1">
        <v>84.04</v>
      </c>
      <c r="AV30" s="2">
        <v>9.21437855637509</v>
      </c>
      <c r="AW30" s="2">
        <v>-308.9020321340447</v>
      </c>
      <c r="AX30" s="2">
        <v>126.6413043424206</v>
      </c>
      <c r="AZ30" s="1">
        <f t="shared" si="35"/>
        <v>64.460000000000008</v>
      </c>
      <c r="BA30" s="2">
        <f t="shared" si="36"/>
        <v>10.058659314586571</v>
      </c>
      <c r="BB30" s="7">
        <f t="shared" si="37"/>
        <v>-229.1015281152321</v>
      </c>
      <c r="BC30" s="1">
        <f t="shared" si="38"/>
        <v>19.579999999999998</v>
      </c>
      <c r="BD30" s="2">
        <f t="shared" si="39"/>
        <v>3.0553606791747558</v>
      </c>
      <c r="BE30" s="2">
        <f t="shared" si="40"/>
        <v>-69.590566560599498</v>
      </c>
      <c r="BF30" s="2">
        <f t="shared" si="41"/>
        <v>0</v>
      </c>
      <c r="BG30" s="7">
        <f t="shared" si="42"/>
        <v>0</v>
      </c>
      <c r="BH30" s="1">
        <f t="shared" si="43"/>
        <v>84.04</v>
      </c>
      <c r="BI30" s="2">
        <f t="shared" si="44"/>
        <v>13.114019993761326</v>
      </c>
      <c r="BJ30" s="2">
        <f t="shared" si="45"/>
        <v>298.69209467583158</v>
      </c>
      <c r="BK30" s="2">
        <f t="shared" si="46"/>
        <v>0</v>
      </c>
      <c r="BL30" s="7">
        <f t="shared" si="47"/>
        <v>0</v>
      </c>
      <c r="BM30" s="2"/>
      <c r="BN30" s="1"/>
      <c r="BO30" s="4"/>
      <c r="BP30" s="2"/>
      <c r="BQ30" s="2"/>
      <c r="BR30" s="3"/>
      <c r="BS30" s="1"/>
      <c r="BT30" s="2"/>
      <c r="BU30" s="21"/>
      <c r="BV30" s="2"/>
      <c r="BW30" s="2"/>
      <c r="BX30" s="21"/>
      <c r="BY30" s="15"/>
    </row>
    <row r="31" spans="1:77" x14ac:dyDescent="0.25">
      <c r="A31" t="str">
        <f t="shared" si="3"/>
        <v>Travée</v>
      </c>
      <c r="B31" t="b">
        <f t="shared" si="4"/>
        <v>0</v>
      </c>
      <c r="C31">
        <f t="shared" si="7"/>
        <v>3</v>
      </c>
      <c r="D31" s="5" t="s">
        <v>58</v>
      </c>
      <c r="E31" t="s">
        <v>55</v>
      </c>
      <c r="F31" s="5">
        <v>25</v>
      </c>
      <c r="G31" t="s">
        <v>46</v>
      </c>
      <c r="H31">
        <v>500</v>
      </c>
      <c r="I31">
        <v>220000</v>
      </c>
      <c r="J31">
        <v>1576</v>
      </c>
      <c r="K31" s="10">
        <v>1870</v>
      </c>
      <c r="L31" s="12">
        <v>1</v>
      </c>
      <c r="M31" s="5">
        <v>0.215</v>
      </c>
      <c r="N31" s="10">
        <v>2.2000000000000002</v>
      </c>
      <c r="O31" s="5">
        <v>5.6539999999999997E-4</v>
      </c>
      <c r="P31">
        <v>0.03</v>
      </c>
      <c r="Q31" s="10">
        <v>1</v>
      </c>
      <c r="R31" s="8">
        <v>0</v>
      </c>
      <c r="S31">
        <v>0</v>
      </c>
      <c r="T31">
        <v>1</v>
      </c>
      <c r="U31" s="9">
        <v>2.9099999999999999E-5</v>
      </c>
      <c r="V31">
        <v>0</v>
      </c>
      <c r="W31" s="10">
        <v>7</v>
      </c>
      <c r="X31" s="1">
        <v>48.005119999999998</v>
      </c>
      <c r="Y31" s="2">
        <v>14.581759999999999</v>
      </c>
      <c r="Z31" s="13">
        <v>0</v>
      </c>
      <c r="AA31" s="2">
        <v>48.005119999999998</v>
      </c>
      <c r="AB31" s="2">
        <v>14.581759999999999</v>
      </c>
      <c r="AC31" s="2">
        <v>81.92</v>
      </c>
      <c r="AD31" s="2"/>
      <c r="AE31" s="7">
        <v>62.586879999999987</v>
      </c>
      <c r="AF31" s="2">
        <v>48.005119999999998</v>
      </c>
      <c r="AG31" s="2">
        <v>14.581759999999999</v>
      </c>
      <c r="AH31" s="2">
        <v>10.745211678592</v>
      </c>
      <c r="AI31" s="2">
        <v>2.6092368303760232</v>
      </c>
      <c r="AJ31" s="2">
        <v>-479.07233481624058</v>
      </c>
      <c r="AK31" s="2">
        <v>-94.511168720152895</v>
      </c>
      <c r="AL31" s="2">
        <v>0</v>
      </c>
      <c r="AM31" s="2">
        <v>-123.7784262716968</v>
      </c>
      <c r="AN31" s="2">
        <v>81.92</v>
      </c>
      <c r="AO31" s="2">
        <v>47.666986812221232</v>
      </c>
      <c r="AP31" s="2">
        <v>120.6347525526771</v>
      </c>
      <c r="AQ31" s="2">
        <v>10.80181037430396</v>
      </c>
      <c r="AR31" s="2">
        <v>-435.81931388792071</v>
      </c>
      <c r="AS31" s="2">
        <v>0</v>
      </c>
      <c r="AT31" s="2">
        <v>-949.30002020599193</v>
      </c>
      <c r="AU31" s="1">
        <v>62.586879999999987</v>
      </c>
      <c r="AV31" s="2">
        <v>0</v>
      </c>
      <c r="AW31" s="2">
        <v>0</v>
      </c>
      <c r="AX31" s="2">
        <v>47.666986812221232</v>
      </c>
      <c r="AZ31" s="1">
        <f t="shared" si="35"/>
        <v>48.005119999999998</v>
      </c>
      <c r="BA31" s="2">
        <f t="shared" si="36"/>
        <v>10.745211678592</v>
      </c>
      <c r="BB31" s="7">
        <f t="shared" si="37"/>
        <v>-479.07233481624058</v>
      </c>
      <c r="BC31" s="1">
        <f t="shared" si="38"/>
        <v>14.581759999999999</v>
      </c>
      <c r="BD31" s="2">
        <f t="shared" si="39"/>
        <v>2.6092368303760232</v>
      </c>
      <c r="BE31" s="2">
        <f t="shared" si="40"/>
        <v>-94.511168720152895</v>
      </c>
      <c r="BF31" s="2">
        <f t="shared" si="41"/>
        <v>0</v>
      </c>
      <c r="BG31" s="7">
        <f t="shared" si="42"/>
        <v>-123.7784262716968</v>
      </c>
      <c r="BH31" s="1">
        <f t="shared" si="43"/>
        <v>62.586879999999994</v>
      </c>
      <c r="BI31" s="2">
        <f t="shared" si="44"/>
        <v>13.354448508968023</v>
      </c>
      <c r="BJ31" s="2">
        <f t="shared" si="45"/>
        <v>573.58350353639344</v>
      </c>
      <c r="BK31" s="2">
        <f t="shared" si="46"/>
        <v>0</v>
      </c>
      <c r="BL31" s="7">
        <f t="shared" si="47"/>
        <v>-123.7784262716968</v>
      </c>
      <c r="BM31" s="2"/>
      <c r="BN31" s="1"/>
      <c r="BO31" s="4"/>
      <c r="BP31" s="2"/>
      <c r="BQ31" s="2"/>
      <c r="BR31" s="3"/>
      <c r="BS31" s="1"/>
      <c r="BT31" s="2"/>
      <c r="BU31" s="21"/>
      <c r="BV31" s="2"/>
      <c r="BW31" s="2"/>
      <c r="BX31" s="21"/>
      <c r="BY31" s="10"/>
    </row>
    <row r="32" spans="1:77" x14ac:dyDescent="0.25">
      <c r="A32" t="str">
        <f t="shared" si="3"/>
        <v>Appui</v>
      </c>
      <c r="B32" t="b">
        <f t="shared" si="4"/>
        <v>0</v>
      </c>
      <c r="C32">
        <f t="shared" si="7"/>
        <v>3</v>
      </c>
      <c r="D32" s="5" t="s">
        <v>58</v>
      </c>
      <c r="E32" t="s">
        <v>56</v>
      </c>
      <c r="F32" s="5">
        <v>25</v>
      </c>
      <c r="G32" t="s">
        <v>46</v>
      </c>
      <c r="H32">
        <v>500</v>
      </c>
      <c r="I32">
        <v>220000</v>
      </c>
      <c r="J32">
        <v>1576</v>
      </c>
      <c r="K32" s="10">
        <v>1870</v>
      </c>
      <c r="L32" s="12">
        <v>1</v>
      </c>
      <c r="M32" s="5">
        <v>0.23</v>
      </c>
      <c r="N32" s="10">
        <v>2.2000000000000002</v>
      </c>
      <c r="O32" s="5">
        <v>1.8981E-3</v>
      </c>
      <c r="P32">
        <v>0.06</v>
      </c>
      <c r="Q32" s="10">
        <v>1</v>
      </c>
      <c r="R32" s="8">
        <v>0</v>
      </c>
      <c r="S32">
        <v>0</v>
      </c>
      <c r="T32">
        <v>1</v>
      </c>
      <c r="U32" s="9">
        <v>0</v>
      </c>
      <c r="V32">
        <v>0</v>
      </c>
      <c r="W32" s="10">
        <v>0</v>
      </c>
      <c r="X32" s="1">
        <v>83.798000000000002</v>
      </c>
      <c r="Y32" s="2">
        <v>25.454000000000001</v>
      </c>
      <c r="Z32" s="13">
        <v>0</v>
      </c>
      <c r="AA32" s="2">
        <v>83.798000000000002</v>
      </c>
      <c r="AB32" s="2">
        <v>25.454000000000001</v>
      </c>
      <c r="AC32" s="2">
        <v>143</v>
      </c>
      <c r="AD32" s="2"/>
      <c r="AE32" s="7">
        <v>109.252</v>
      </c>
      <c r="AF32" s="2">
        <v>83.798000000000002</v>
      </c>
      <c r="AG32" s="2">
        <v>25.454000000000001</v>
      </c>
      <c r="AH32" s="2">
        <v>12.75358053735668</v>
      </c>
      <c r="AI32" s="2">
        <v>3.8739544976953688</v>
      </c>
      <c r="AJ32" s="2">
        <v>-280.73593966281942</v>
      </c>
      <c r="AK32" s="2">
        <v>-85.274739351504849</v>
      </c>
      <c r="AL32" s="2">
        <v>0</v>
      </c>
      <c r="AM32" s="2">
        <v>0</v>
      </c>
      <c r="AN32" s="2">
        <v>143</v>
      </c>
      <c r="AO32" s="2">
        <v>133.780443893089</v>
      </c>
      <c r="AP32" s="2">
        <v>133.780443893089</v>
      </c>
      <c r="AQ32" s="2">
        <v>0</v>
      </c>
      <c r="AR32" s="2">
        <v>0</v>
      </c>
      <c r="AS32" s="2">
        <v>0</v>
      </c>
      <c r="AT32" s="2">
        <v>0</v>
      </c>
      <c r="AU32" s="1">
        <v>109.252</v>
      </c>
      <c r="AV32" s="2">
        <v>11.298966245194091</v>
      </c>
      <c r="AW32" s="2">
        <v>-379.93846932439732</v>
      </c>
      <c r="AX32" s="2">
        <v>133.780443893089</v>
      </c>
      <c r="AZ32" s="1">
        <f t="shared" si="35"/>
        <v>83.798000000000002</v>
      </c>
      <c r="BA32" s="2">
        <f t="shared" si="36"/>
        <v>12.75358053735668</v>
      </c>
      <c r="BB32" s="7">
        <f t="shared" si="37"/>
        <v>-280.73593966281942</v>
      </c>
      <c r="BC32" s="1">
        <f t="shared" si="38"/>
        <v>25.454000000000001</v>
      </c>
      <c r="BD32" s="2">
        <f t="shared" si="39"/>
        <v>3.8739544976953688</v>
      </c>
      <c r="BE32" s="2">
        <f t="shared" si="40"/>
        <v>-85.274739351504849</v>
      </c>
      <c r="BF32" s="2">
        <f t="shared" si="41"/>
        <v>0</v>
      </c>
      <c r="BG32" s="7">
        <f t="shared" si="42"/>
        <v>0</v>
      </c>
      <c r="BH32" s="1">
        <f t="shared" si="43"/>
        <v>109.25200000000001</v>
      </c>
      <c r="BI32" s="2">
        <f t="shared" si="44"/>
        <v>16.627535035052048</v>
      </c>
      <c r="BJ32" s="2">
        <f t="shared" si="45"/>
        <v>366.0106790143243</v>
      </c>
      <c r="BK32" s="2">
        <f t="shared" si="46"/>
        <v>0</v>
      </c>
      <c r="BL32" s="7">
        <f t="shared" si="47"/>
        <v>0</v>
      </c>
      <c r="BM32" s="2"/>
      <c r="BN32" s="1"/>
      <c r="BO32" s="4"/>
      <c r="BP32" s="2"/>
      <c r="BQ32" s="2"/>
      <c r="BR32" s="3"/>
      <c r="BS32" s="1"/>
      <c r="BT32" s="2"/>
      <c r="BU32" s="21"/>
      <c r="BV32" s="2"/>
      <c r="BW32" s="2"/>
      <c r="BX32" s="21"/>
      <c r="BY32" s="15"/>
    </row>
    <row r="33" spans="1:77" x14ac:dyDescent="0.25">
      <c r="A33" t="str">
        <f t="shared" si="3"/>
        <v>Travée</v>
      </c>
      <c r="B33" t="b">
        <f t="shared" si="4"/>
        <v>0</v>
      </c>
      <c r="C33">
        <f>IF(D33=D31,C31,C31+1)</f>
        <v>3</v>
      </c>
      <c r="D33" s="5" t="s">
        <v>58</v>
      </c>
      <c r="E33" t="s">
        <v>57</v>
      </c>
      <c r="F33" s="5">
        <v>25</v>
      </c>
      <c r="G33" t="s">
        <v>46</v>
      </c>
      <c r="H33">
        <v>500</v>
      </c>
      <c r="I33">
        <v>220000</v>
      </c>
      <c r="J33">
        <v>1576</v>
      </c>
      <c r="K33" s="10">
        <v>1870</v>
      </c>
      <c r="L33" s="12">
        <v>1</v>
      </c>
      <c r="M33" s="5">
        <v>0.24</v>
      </c>
      <c r="N33" s="10">
        <v>2.2000000000000002</v>
      </c>
      <c r="O33" s="5">
        <v>5.6570000000000004E-4</v>
      </c>
      <c r="P33">
        <v>0.03</v>
      </c>
      <c r="Q33" s="10">
        <v>1</v>
      </c>
      <c r="R33" s="8">
        <v>0</v>
      </c>
      <c r="S33">
        <v>0</v>
      </c>
      <c r="T33">
        <v>1</v>
      </c>
      <c r="U33" s="9">
        <v>2.9099999999999999E-5</v>
      </c>
      <c r="V33">
        <v>0</v>
      </c>
      <c r="W33" s="10">
        <v>2</v>
      </c>
      <c r="X33" s="1">
        <v>27.752960000000002</v>
      </c>
      <c r="Y33" s="2">
        <v>8.4300800000000002</v>
      </c>
      <c r="Z33" s="13">
        <v>0</v>
      </c>
      <c r="AA33" s="2">
        <v>27.752960000000002</v>
      </c>
      <c r="AB33" s="2">
        <v>8.4300800000000002</v>
      </c>
      <c r="AC33" s="2">
        <v>47.36</v>
      </c>
      <c r="AD33" s="2"/>
      <c r="AE33" s="7">
        <v>36.183039999999998</v>
      </c>
      <c r="AF33" s="2">
        <v>27.752960000000002</v>
      </c>
      <c r="AG33" s="2">
        <v>8.4300800000000002</v>
      </c>
      <c r="AH33" s="2">
        <v>5.0846538282119491</v>
      </c>
      <c r="AI33" s="2">
        <v>1.437190414039915</v>
      </c>
      <c r="AJ33" s="2">
        <v>-243.31827488472919</v>
      </c>
      <c r="AK33" s="2">
        <v>-64.342091783174965</v>
      </c>
      <c r="AL33" s="2">
        <v>0</v>
      </c>
      <c r="AM33" s="2">
        <v>-82.322234765110366</v>
      </c>
      <c r="AN33" s="2">
        <v>47.36</v>
      </c>
      <c r="AO33" s="2">
        <v>54.264772374124668</v>
      </c>
      <c r="AP33" s="2">
        <v>75.142489641345577</v>
      </c>
      <c r="AQ33" s="2">
        <v>5.7391484928919638</v>
      </c>
      <c r="AR33" s="2">
        <v>-367.34306888122887</v>
      </c>
      <c r="AS33" s="2">
        <v>0</v>
      </c>
      <c r="AT33" s="2">
        <v>-473.76299329638368</v>
      </c>
      <c r="AU33" s="1">
        <v>36.183039999999998</v>
      </c>
      <c r="AV33" s="2">
        <v>4.7645725871266293</v>
      </c>
      <c r="AW33" s="2">
        <v>-322.29289906499753</v>
      </c>
      <c r="AX33" s="2">
        <v>54.264772374124668</v>
      </c>
      <c r="AZ33" s="1">
        <f t="shared" si="35"/>
        <v>27.752960000000002</v>
      </c>
      <c r="BA33" s="2">
        <f t="shared" si="36"/>
        <v>5.0846538282119491</v>
      </c>
      <c r="BB33" s="7">
        <f t="shared" si="37"/>
        <v>-243.31827488472919</v>
      </c>
      <c r="BC33" s="1">
        <f t="shared" si="38"/>
        <v>8.4300800000000002</v>
      </c>
      <c r="BD33" s="2">
        <f t="shared" si="39"/>
        <v>1.437190414039915</v>
      </c>
      <c r="BE33" s="2">
        <f t="shared" si="40"/>
        <v>-64.342091783174965</v>
      </c>
      <c r="BF33" s="2">
        <f t="shared" si="41"/>
        <v>0</v>
      </c>
      <c r="BG33" s="7">
        <f t="shared" si="42"/>
        <v>-82.322234765110366</v>
      </c>
      <c r="BH33" s="1">
        <f t="shared" si="43"/>
        <v>36.183040000000005</v>
      </c>
      <c r="BI33" s="2">
        <f t="shared" si="44"/>
        <v>6.5218442422518645</v>
      </c>
      <c r="BJ33" s="2">
        <f t="shared" si="45"/>
        <v>307.66036666790416</v>
      </c>
      <c r="BK33" s="2">
        <f t="shared" si="46"/>
        <v>0</v>
      </c>
      <c r="BL33" s="7">
        <f t="shared" si="47"/>
        <v>-82.322234765110366</v>
      </c>
      <c r="BM33" s="2"/>
      <c r="BN33" s="1"/>
      <c r="BO33" s="4"/>
      <c r="BP33" s="2"/>
      <c r="BQ33" s="2"/>
      <c r="BR33" s="3"/>
      <c r="BS33" s="1"/>
      <c r="BT33" s="2"/>
      <c r="BU33" s="21"/>
      <c r="BV33" s="2"/>
      <c r="BW33" s="2"/>
      <c r="BX33" s="21"/>
      <c r="BY33" s="10"/>
    </row>
    <row r="34" spans="1:77" x14ac:dyDescent="0.25">
      <c r="A34" t="str">
        <f t="shared" si="3"/>
        <v/>
      </c>
      <c r="B34" t="b">
        <f t="shared" si="4"/>
        <v>0</v>
      </c>
      <c r="C34">
        <f>IF(D34=D32,C32,C32+1)</f>
        <v>3</v>
      </c>
      <c r="D34" s="5" t="s">
        <v>58</v>
      </c>
      <c r="F34" s="5"/>
      <c r="K34" s="10"/>
      <c r="L34" s="12"/>
      <c r="M34" s="5"/>
      <c r="N34" s="10"/>
      <c r="O34" s="5"/>
      <c r="Q34" s="10"/>
      <c r="R34" s="8"/>
      <c r="U34" s="9"/>
      <c r="W34" s="10"/>
      <c r="X34" s="1"/>
      <c r="Y34" s="2"/>
      <c r="Z34" s="13"/>
      <c r="AA34" s="2"/>
      <c r="AB34" s="2"/>
      <c r="AC34" s="2"/>
      <c r="AD34" s="2"/>
      <c r="AE34" s="7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1"/>
      <c r="AV34" s="2"/>
      <c r="AW34" s="2"/>
      <c r="AX34" s="2"/>
      <c r="AZ34" s="1"/>
      <c r="BA34" s="2"/>
      <c r="BB34" s="7"/>
      <c r="BC34" s="1"/>
      <c r="BD34" s="2"/>
      <c r="BE34" s="2"/>
      <c r="BF34" s="2"/>
      <c r="BG34" s="7"/>
      <c r="BH34" s="1"/>
      <c r="BI34" s="2"/>
      <c r="BJ34" s="2"/>
      <c r="BK34" s="2"/>
      <c r="BL34" s="7"/>
      <c r="BM34" s="2"/>
      <c r="BN34" s="1"/>
      <c r="BO34" s="4"/>
      <c r="BP34" s="2"/>
      <c r="BQ34" s="2"/>
      <c r="BR34" s="3"/>
      <c r="BS34" s="1"/>
      <c r="BT34" s="2"/>
      <c r="BU34" s="21"/>
      <c r="BV34" s="2"/>
      <c r="BW34" s="2"/>
      <c r="BX34" s="21"/>
      <c r="BY34" s="15"/>
    </row>
    <row r="35" spans="1:77" x14ac:dyDescent="0.25">
      <c r="A35" t="str">
        <f t="shared" si="3"/>
        <v>Travée</v>
      </c>
      <c r="B35" t="b">
        <f t="shared" si="4"/>
        <v>1</v>
      </c>
      <c r="C35">
        <f>IF(D35="",100000,IF(D35=D34,C34,C34+1))</f>
        <v>4</v>
      </c>
      <c r="D35" s="5" t="s">
        <v>91</v>
      </c>
      <c r="E35" t="s">
        <v>45</v>
      </c>
      <c r="F35" s="5">
        <v>25</v>
      </c>
      <c r="G35" t="s">
        <v>46</v>
      </c>
      <c r="H35">
        <v>500</v>
      </c>
      <c r="I35">
        <v>220000</v>
      </c>
      <c r="J35">
        <v>1576</v>
      </c>
      <c r="K35" s="10">
        <v>1870</v>
      </c>
      <c r="L35" s="12">
        <v>1</v>
      </c>
      <c r="M35" s="5">
        <v>0.24</v>
      </c>
      <c r="N35" s="10">
        <v>2.2000000000000002</v>
      </c>
      <c r="O35" s="5">
        <v>5.6570000000000004E-4</v>
      </c>
      <c r="P35">
        <v>0.03</v>
      </c>
      <c r="Q35" s="10">
        <v>1</v>
      </c>
      <c r="R35" s="8">
        <v>0</v>
      </c>
      <c r="S35">
        <v>0</v>
      </c>
      <c r="T35">
        <v>1</v>
      </c>
      <c r="U35" s="9">
        <v>2.9099999999999999E-5</v>
      </c>
      <c r="V35">
        <v>0</v>
      </c>
      <c r="W35" s="10">
        <v>2</v>
      </c>
      <c r="X35" s="1">
        <v>24.75264</v>
      </c>
      <c r="Y35" s="2">
        <v>7.5187200000000001</v>
      </c>
      <c r="Z35" s="13">
        <v>0</v>
      </c>
      <c r="AA35" s="2">
        <v>24.75264</v>
      </c>
      <c r="AB35" s="2">
        <v>7.5187200000000001</v>
      </c>
      <c r="AC35" s="2">
        <v>42.24</v>
      </c>
      <c r="AD35" s="2"/>
      <c r="AE35" s="7">
        <v>32.271360000000001</v>
      </c>
      <c r="AF35" s="2">
        <v>24.75264</v>
      </c>
      <c r="AG35" s="2">
        <v>7.5187200000000001</v>
      </c>
      <c r="AH35" s="2">
        <v>4.5349615224593034</v>
      </c>
      <c r="AI35" s="2">
        <v>1.2818184773869521</v>
      </c>
      <c r="AJ35" s="2">
        <v>-217.01359651881251</v>
      </c>
      <c r="AK35" s="2">
        <v>-57.386189968777678</v>
      </c>
      <c r="AL35" s="2">
        <v>0</v>
      </c>
      <c r="AM35" s="2">
        <v>-73.42253370942278</v>
      </c>
      <c r="AN35" s="2">
        <v>42.24</v>
      </c>
      <c r="AO35" s="2">
        <v>54.264772374124668</v>
      </c>
      <c r="AP35" s="2">
        <v>75.142489641345577</v>
      </c>
      <c r="AQ35" s="2">
        <v>5.1556650829854727</v>
      </c>
      <c r="AR35" s="2">
        <v>-327.53547357777592</v>
      </c>
      <c r="AS35" s="2">
        <v>0</v>
      </c>
      <c r="AT35" s="2">
        <v>-422.37799055475602</v>
      </c>
      <c r="AU35" s="1">
        <v>32.271360000000001</v>
      </c>
      <c r="AV35" s="2">
        <v>4.2745078382919814</v>
      </c>
      <c r="AW35" s="2">
        <v>-287.375469761506</v>
      </c>
      <c r="AX35" s="2">
        <v>54.264772374124668</v>
      </c>
      <c r="AZ35" s="1">
        <f t="shared" ref="AZ35:AZ45" si="48">AF35</f>
        <v>24.75264</v>
      </c>
      <c r="BA35" s="2">
        <f t="shared" ref="BA35:BA45" si="49">AH35</f>
        <v>4.5349615224593034</v>
      </c>
      <c r="BB35" s="7">
        <f t="shared" ref="BB35:BB45" si="50">AJ35</f>
        <v>-217.01359651881251</v>
      </c>
      <c r="BC35" s="1">
        <f t="shared" ref="BC35:BC45" si="51">AG35</f>
        <v>7.5187200000000001</v>
      </c>
      <c r="BD35" s="2">
        <f t="shared" ref="BD35:BD45" si="52">AI35</f>
        <v>1.2818184773869521</v>
      </c>
      <c r="BE35" s="2">
        <f t="shared" ref="BE35:BE45" si="53">AK35</f>
        <v>-57.386189968777678</v>
      </c>
      <c r="BF35" s="2">
        <f t="shared" ref="BF35:BF45" si="54">AL35</f>
        <v>0</v>
      </c>
      <c r="BG35" s="7">
        <f t="shared" ref="BG35:BG45" si="55">AM35</f>
        <v>-73.42253370942278</v>
      </c>
      <c r="BH35" s="1">
        <f t="shared" ref="BH35:BH45" si="56">AZ35+BC35</f>
        <v>32.271360000000001</v>
      </c>
      <c r="BI35" s="2">
        <f t="shared" ref="BI35:BI45" si="57">BA35+BD35</f>
        <v>5.8167799998462559</v>
      </c>
      <c r="BJ35" s="2">
        <f t="shared" ref="BJ35:BJ45" si="58">ABS(BB35+BE35)</f>
        <v>274.39978648759018</v>
      </c>
      <c r="BK35" s="2">
        <f t="shared" ref="BK35:BK45" si="59">ABS(BF35)</f>
        <v>0</v>
      </c>
      <c r="BL35" s="7">
        <f t="shared" ref="BL35:BL45" si="60">BG35</f>
        <v>-73.42253370942278</v>
      </c>
      <c r="BM35" s="2"/>
      <c r="BN35" s="1"/>
      <c r="BO35" s="4"/>
      <c r="BP35" s="2"/>
      <c r="BQ35" s="2"/>
      <c r="BR35" s="3"/>
      <c r="BS35" s="1"/>
      <c r="BT35" s="2"/>
      <c r="BU35" s="21"/>
      <c r="BV35" s="2"/>
      <c r="BW35" s="2"/>
      <c r="BX35" s="21"/>
      <c r="BY35" s="10"/>
    </row>
    <row r="36" spans="1:77" x14ac:dyDescent="0.25">
      <c r="A36" t="str">
        <f t="shared" si="3"/>
        <v>Appui</v>
      </c>
      <c r="B36" t="b">
        <f t="shared" si="4"/>
        <v>1</v>
      </c>
      <c r="C36">
        <f>IF(D36="",100000,IF(D36=D35,C35,C35+1))</f>
        <v>4</v>
      </c>
      <c r="D36" s="5" t="s">
        <v>91</v>
      </c>
      <c r="E36" t="s">
        <v>47</v>
      </c>
      <c r="F36" s="5">
        <v>25</v>
      </c>
      <c r="G36" t="s">
        <v>46</v>
      </c>
      <c r="H36">
        <v>500</v>
      </c>
      <c r="I36">
        <v>220000</v>
      </c>
      <c r="J36">
        <v>1576</v>
      </c>
      <c r="K36" s="10">
        <v>1870</v>
      </c>
      <c r="L36" s="12">
        <v>1</v>
      </c>
      <c r="M36" s="5">
        <v>0.23</v>
      </c>
      <c r="N36" s="10">
        <v>2.2000000000000002</v>
      </c>
      <c r="O36" s="5">
        <v>1.9E-3</v>
      </c>
      <c r="P36">
        <v>0.06</v>
      </c>
      <c r="Q36" s="10">
        <v>1</v>
      </c>
      <c r="R36" s="8">
        <v>0</v>
      </c>
      <c r="S36">
        <v>0</v>
      </c>
      <c r="T36">
        <v>1</v>
      </c>
      <c r="U36" s="9">
        <v>2.9099999999999999E-5</v>
      </c>
      <c r="V36">
        <v>0</v>
      </c>
      <c r="W36" s="10">
        <v>5</v>
      </c>
      <c r="X36" s="1">
        <v>93.466999999999999</v>
      </c>
      <c r="Y36" s="2">
        <v>28.390999999999998</v>
      </c>
      <c r="Z36" s="13">
        <v>0</v>
      </c>
      <c r="AA36" s="2">
        <v>93.466999999999999</v>
      </c>
      <c r="AB36" s="2">
        <v>28.390999999999998</v>
      </c>
      <c r="AC36" s="2">
        <v>159.5</v>
      </c>
      <c r="AD36" s="2"/>
      <c r="AE36" s="7">
        <v>121.858</v>
      </c>
      <c r="AF36" s="2">
        <v>93.466999999999999</v>
      </c>
      <c r="AG36" s="2">
        <v>28.390999999999998</v>
      </c>
      <c r="AH36" s="2">
        <v>14.219154139086751</v>
      </c>
      <c r="AI36" s="2">
        <v>3.9527796141437141</v>
      </c>
      <c r="AJ36" s="2">
        <v>-312.82811965481909</v>
      </c>
      <c r="AK36" s="2">
        <v>-81.557182246025292</v>
      </c>
      <c r="AL36" s="2">
        <v>0</v>
      </c>
      <c r="AM36" s="2">
        <v>-131.12731284467199</v>
      </c>
      <c r="AN36" s="2">
        <v>159.5</v>
      </c>
      <c r="AO36" s="2">
        <v>133.900223728827</v>
      </c>
      <c r="AP36" s="2">
        <v>185.2599694946378</v>
      </c>
      <c r="AQ36" s="2">
        <v>15.13451634134446</v>
      </c>
      <c r="AR36" s="2">
        <v>-435.61434937309639</v>
      </c>
      <c r="AS36" s="2">
        <v>0</v>
      </c>
      <c r="AT36" s="2">
        <v>-1095.6701809867241</v>
      </c>
      <c r="AU36" s="1">
        <v>121.858</v>
      </c>
      <c r="AV36" s="2">
        <v>12.322654798405191</v>
      </c>
      <c r="AW36" s="2">
        <v>-424.22534010815912</v>
      </c>
      <c r="AX36" s="2">
        <v>133.900223728827</v>
      </c>
      <c r="AZ36" s="1">
        <f t="shared" si="48"/>
        <v>93.466999999999999</v>
      </c>
      <c r="BA36" s="2">
        <f t="shared" si="49"/>
        <v>14.219154139086751</v>
      </c>
      <c r="BB36" s="7">
        <f t="shared" si="50"/>
        <v>-312.82811965481909</v>
      </c>
      <c r="BC36" s="1">
        <f t="shared" si="51"/>
        <v>28.390999999999998</v>
      </c>
      <c r="BD36" s="2">
        <f t="shared" si="52"/>
        <v>3.9527796141437141</v>
      </c>
      <c r="BE36" s="2">
        <f t="shared" si="53"/>
        <v>-81.557182246025292</v>
      </c>
      <c r="BF36" s="2">
        <f t="shared" si="54"/>
        <v>0</v>
      </c>
      <c r="BG36" s="7">
        <f t="shared" si="55"/>
        <v>-131.12731284467199</v>
      </c>
      <c r="BH36" s="1">
        <f t="shared" si="56"/>
        <v>121.858</v>
      </c>
      <c r="BI36" s="2">
        <f t="shared" si="57"/>
        <v>18.171933753230466</v>
      </c>
      <c r="BJ36" s="2">
        <f t="shared" si="58"/>
        <v>394.38530190084441</v>
      </c>
      <c r="BK36" s="2">
        <f t="shared" si="59"/>
        <v>0</v>
      </c>
      <c r="BL36" s="7">
        <f t="shared" si="60"/>
        <v>-131.12731284467199</v>
      </c>
      <c r="BM36" s="2"/>
      <c r="BN36" s="1"/>
      <c r="BO36" s="4"/>
      <c r="BP36" s="2"/>
      <c r="BQ36" s="2"/>
      <c r="BR36" s="3"/>
      <c r="BS36" s="1"/>
      <c r="BT36" s="2"/>
      <c r="BU36" s="21"/>
      <c r="BV36" s="2"/>
      <c r="BW36" s="2"/>
      <c r="BX36" s="21"/>
      <c r="BY36" s="15"/>
    </row>
    <row r="37" spans="1:77" x14ac:dyDescent="0.25">
      <c r="A37" t="str">
        <f t="shared" si="3"/>
        <v>Travée</v>
      </c>
      <c r="B37" t="b">
        <f t="shared" si="4"/>
        <v>1</v>
      </c>
      <c r="C37">
        <f t="shared" ref="C37:C67" si="61">IF(D37="",100000,IF(D37=D36,C36,C36+1))</f>
        <v>4</v>
      </c>
      <c r="D37" s="5" t="s">
        <v>91</v>
      </c>
      <c r="E37" t="s">
        <v>48</v>
      </c>
      <c r="F37" s="5">
        <v>25</v>
      </c>
      <c r="G37" t="s">
        <v>46</v>
      </c>
      <c r="H37">
        <v>500</v>
      </c>
      <c r="I37">
        <v>220000</v>
      </c>
      <c r="J37">
        <v>1576</v>
      </c>
      <c r="K37" s="10">
        <v>1870</v>
      </c>
      <c r="L37" s="12">
        <v>1</v>
      </c>
      <c r="M37" s="5">
        <v>0.215</v>
      </c>
      <c r="N37" s="10">
        <v>2.2000000000000002</v>
      </c>
      <c r="O37" s="5">
        <v>8.470000000000001E-4</v>
      </c>
      <c r="P37">
        <v>0.03</v>
      </c>
      <c r="Q37" s="10">
        <v>1</v>
      </c>
      <c r="R37" s="8">
        <v>0</v>
      </c>
      <c r="S37">
        <v>0</v>
      </c>
      <c r="T37">
        <v>1</v>
      </c>
      <c r="U37" s="9">
        <v>2.9099999999999999E-5</v>
      </c>
      <c r="V37">
        <v>0</v>
      </c>
      <c r="W37" s="10">
        <v>7</v>
      </c>
      <c r="X37" s="1">
        <v>57.006079999999997</v>
      </c>
      <c r="Y37" s="2">
        <v>17.315840000000001</v>
      </c>
      <c r="Z37" s="13">
        <v>0</v>
      </c>
      <c r="AA37" s="2">
        <v>57.006079999999997</v>
      </c>
      <c r="AB37" s="2">
        <v>17.315840000000001</v>
      </c>
      <c r="AC37" s="2">
        <v>97.28</v>
      </c>
      <c r="AD37" s="2"/>
      <c r="AE37" s="7">
        <v>74.321919999999992</v>
      </c>
      <c r="AF37" s="2">
        <v>57.006079999999997</v>
      </c>
      <c r="AG37" s="2">
        <v>17.315840000000001</v>
      </c>
      <c r="AH37" s="2">
        <v>10.66966794753786</v>
      </c>
      <c r="AI37" s="2">
        <v>2.7593714179119799</v>
      </c>
      <c r="AJ37" s="2">
        <v>-383.08346287365339</v>
      </c>
      <c r="AK37" s="2">
        <v>-85.512613714272234</v>
      </c>
      <c r="AL37" s="2">
        <v>0</v>
      </c>
      <c r="AM37" s="2">
        <v>-112.4450354121803</v>
      </c>
      <c r="AN37" s="2">
        <v>97.28</v>
      </c>
      <c r="AO37" s="2">
        <v>70.77518339887844</v>
      </c>
      <c r="AP37" s="2">
        <v>141.04091869921101</v>
      </c>
      <c r="AQ37" s="2">
        <v>11.26767037512219</v>
      </c>
      <c r="AR37" s="2">
        <v>-435.48764948038001</v>
      </c>
      <c r="AS37" s="2">
        <v>0</v>
      </c>
      <c r="AT37" s="2">
        <v>-834.41785722275381</v>
      </c>
      <c r="AU37" s="1">
        <v>74.321919999999992</v>
      </c>
      <c r="AV37" s="2">
        <v>0</v>
      </c>
      <c r="AW37" s="2">
        <v>0</v>
      </c>
      <c r="AX37" s="2">
        <v>70.77518339887844</v>
      </c>
      <c r="AZ37" s="1">
        <f t="shared" si="48"/>
        <v>57.006079999999997</v>
      </c>
      <c r="BA37" s="2">
        <f t="shared" si="49"/>
        <v>10.66966794753786</v>
      </c>
      <c r="BB37" s="7">
        <f t="shared" si="50"/>
        <v>-383.08346287365339</v>
      </c>
      <c r="BC37" s="1">
        <f t="shared" si="51"/>
        <v>17.315840000000001</v>
      </c>
      <c r="BD37" s="2">
        <f t="shared" si="52"/>
        <v>2.7593714179119799</v>
      </c>
      <c r="BE37" s="2">
        <f t="shared" si="53"/>
        <v>-85.512613714272234</v>
      </c>
      <c r="BF37" s="2">
        <f t="shared" si="54"/>
        <v>0</v>
      </c>
      <c r="BG37" s="7">
        <f t="shared" si="55"/>
        <v>-112.4450354121803</v>
      </c>
      <c r="BH37" s="1">
        <f t="shared" si="56"/>
        <v>74.321920000000006</v>
      </c>
      <c r="BI37" s="2">
        <f t="shared" si="57"/>
        <v>13.429039365449841</v>
      </c>
      <c r="BJ37" s="2">
        <f t="shared" si="58"/>
        <v>468.59607658792561</v>
      </c>
      <c r="BK37" s="2">
        <f t="shared" si="59"/>
        <v>0</v>
      </c>
      <c r="BL37" s="7">
        <f t="shared" si="60"/>
        <v>-112.4450354121803</v>
      </c>
      <c r="BN37" s="1"/>
      <c r="BO37" s="4"/>
      <c r="BP37" s="2"/>
      <c r="BQ37" s="2"/>
      <c r="BR37" s="3"/>
      <c r="BS37" s="1"/>
      <c r="BT37" s="2"/>
      <c r="BU37" s="21"/>
      <c r="BV37" s="2"/>
      <c r="BW37" s="2"/>
      <c r="BX37" s="21"/>
      <c r="BY37" s="10"/>
    </row>
    <row r="38" spans="1:77" x14ac:dyDescent="0.25">
      <c r="A38" t="str">
        <f t="shared" si="3"/>
        <v>Appui</v>
      </c>
      <c r="B38" t="b">
        <f t="shared" si="4"/>
        <v>1</v>
      </c>
      <c r="C38">
        <f t="shared" si="61"/>
        <v>4</v>
      </c>
      <c r="D38" s="5" t="s">
        <v>91</v>
      </c>
      <c r="E38" t="s">
        <v>49</v>
      </c>
      <c r="F38" s="5">
        <v>25</v>
      </c>
      <c r="G38" t="s">
        <v>46</v>
      </c>
      <c r="H38">
        <v>500</v>
      </c>
      <c r="I38">
        <v>220000</v>
      </c>
      <c r="J38">
        <v>1576</v>
      </c>
      <c r="K38" s="10">
        <v>1870</v>
      </c>
      <c r="L38" s="12">
        <v>1</v>
      </c>
      <c r="M38" s="5">
        <v>0.2</v>
      </c>
      <c r="N38" s="10">
        <v>2.2000000000000002</v>
      </c>
      <c r="O38" s="5">
        <v>1.56E-3</v>
      </c>
      <c r="P38">
        <v>5.2999999999999999E-2</v>
      </c>
      <c r="Q38" s="10">
        <v>1</v>
      </c>
      <c r="R38" s="8">
        <v>0</v>
      </c>
      <c r="S38">
        <v>0</v>
      </c>
      <c r="T38">
        <v>1</v>
      </c>
      <c r="U38" s="9">
        <v>2.9099999999999999E-5</v>
      </c>
      <c r="V38">
        <v>0</v>
      </c>
      <c r="W38" s="10">
        <v>5</v>
      </c>
      <c r="X38" s="1">
        <v>83.798000000000002</v>
      </c>
      <c r="Y38" s="2">
        <v>25.454000000000001</v>
      </c>
      <c r="Z38" s="13">
        <v>0</v>
      </c>
      <c r="AA38" s="2">
        <v>83.798000000000002</v>
      </c>
      <c r="AB38" s="2">
        <v>25.454000000000001</v>
      </c>
      <c r="AC38" s="2">
        <v>143</v>
      </c>
      <c r="AD38" s="2"/>
      <c r="AE38" s="7">
        <v>109.252</v>
      </c>
      <c r="AF38" s="2">
        <v>83.798000000000002</v>
      </c>
      <c r="AG38" s="2">
        <v>25.454000000000001</v>
      </c>
      <c r="AH38" s="2">
        <v>17.430865187866068</v>
      </c>
      <c r="AI38" s="2">
        <v>4.751689774463717</v>
      </c>
      <c r="AJ38" s="2">
        <v>-394.30730955224101</v>
      </c>
      <c r="AK38" s="2">
        <v>-99.546970186799228</v>
      </c>
      <c r="AL38" s="2">
        <v>0</v>
      </c>
      <c r="AM38" s="2">
        <v>-160.9562234820938</v>
      </c>
      <c r="AN38" s="2">
        <v>143</v>
      </c>
      <c r="AO38" s="2">
        <v>95.561784115177275</v>
      </c>
      <c r="AP38" s="2">
        <v>140.77740400965251</v>
      </c>
      <c r="AQ38" s="2">
        <v>0</v>
      </c>
      <c r="AR38" s="2">
        <v>0</v>
      </c>
      <c r="AS38" s="2">
        <v>0</v>
      </c>
      <c r="AT38" s="2">
        <v>0</v>
      </c>
      <c r="AU38" s="1">
        <v>109.252</v>
      </c>
      <c r="AV38" s="2">
        <v>0</v>
      </c>
      <c r="AW38" s="2">
        <v>0</v>
      </c>
      <c r="AX38" s="2">
        <v>95.561784115177275</v>
      </c>
      <c r="AZ38" s="1">
        <f t="shared" si="48"/>
        <v>83.798000000000002</v>
      </c>
      <c r="BA38" s="2">
        <f t="shared" si="49"/>
        <v>17.430865187866068</v>
      </c>
      <c r="BB38" s="7">
        <f t="shared" si="50"/>
        <v>-394.30730955224101</v>
      </c>
      <c r="BC38" s="1">
        <f t="shared" si="51"/>
        <v>25.454000000000001</v>
      </c>
      <c r="BD38" s="2">
        <f t="shared" si="52"/>
        <v>4.751689774463717</v>
      </c>
      <c r="BE38" s="2">
        <f t="shared" si="53"/>
        <v>-99.546970186799228</v>
      </c>
      <c r="BF38" s="2">
        <f t="shared" si="54"/>
        <v>0</v>
      </c>
      <c r="BG38" s="7">
        <f t="shared" si="55"/>
        <v>-160.9562234820938</v>
      </c>
      <c r="BH38" s="1">
        <f t="shared" si="56"/>
        <v>109.25200000000001</v>
      </c>
      <c r="BI38" s="2">
        <f t="shared" si="57"/>
        <v>22.182554962329785</v>
      </c>
      <c r="BJ38" s="2">
        <f t="shared" si="58"/>
        <v>493.85427973904024</v>
      </c>
      <c r="BK38" s="2">
        <f t="shared" si="59"/>
        <v>0</v>
      </c>
      <c r="BL38" s="7">
        <f t="shared" si="60"/>
        <v>-160.9562234820938</v>
      </c>
      <c r="BN38" s="1"/>
      <c r="BO38" s="4"/>
      <c r="BP38" s="2"/>
      <c r="BQ38" s="2"/>
      <c r="BR38" s="3"/>
      <c r="BS38" s="1"/>
      <c r="BT38" s="2"/>
      <c r="BU38" s="21"/>
      <c r="BV38" s="2"/>
      <c r="BW38" s="2"/>
      <c r="BX38" s="21"/>
      <c r="BY38" s="15"/>
    </row>
    <row r="39" spans="1:77" x14ac:dyDescent="0.25">
      <c r="A39" t="str">
        <f t="shared" si="3"/>
        <v>Travée</v>
      </c>
      <c r="B39" t="b">
        <f t="shared" si="4"/>
        <v>1</v>
      </c>
      <c r="C39">
        <f t="shared" si="61"/>
        <v>4</v>
      </c>
      <c r="D39" s="5" t="s">
        <v>91</v>
      </c>
      <c r="E39" t="s">
        <v>51</v>
      </c>
      <c r="F39" s="5">
        <v>25</v>
      </c>
      <c r="G39" t="s">
        <v>46</v>
      </c>
      <c r="H39">
        <v>500</v>
      </c>
      <c r="I39">
        <v>220000</v>
      </c>
      <c r="J39">
        <v>1576</v>
      </c>
      <c r="K39" s="10">
        <v>1870</v>
      </c>
      <c r="L39" s="12">
        <v>1</v>
      </c>
      <c r="M39" s="5">
        <v>0.215</v>
      </c>
      <c r="N39" s="10">
        <v>2.2000000000000002</v>
      </c>
      <c r="O39" s="5">
        <v>2.7999999999999998E-4</v>
      </c>
      <c r="P39">
        <v>0.03</v>
      </c>
      <c r="Q39" s="10">
        <v>1</v>
      </c>
      <c r="R39" s="8">
        <v>0</v>
      </c>
      <c r="S39">
        <v>0</v>
      </c>
      <c r="T39">
        <v>1</v>
      </c>
      <c r="U39" s="9">
        <v>2.9099999999999999E-5</v>
      </c>
      <c r="V39">
        <v>0</v>
      </c>
      <c r="W39" s="10">
        <v>7</v>
      </c>
      <c r="X39" s="1">
        <v>7.5007999999999999</v>
      </c>
      <c r="Y39" s="2">
        <v>2.2784</v>
      </c>
      <c r="Z39" s="13">
        <v>0</v>
      </c>
      <c r="AA39" s="2">
        <v>7.5007999999999999</v>
      </c>
      <c r="AB39" s="2">
        <v>2.2784</v>
      </c>
      <c r="AC39" s="2">
        <v>12.8</v>
      </c>
      <c r="AD39" s="2"/>
      <c r="AE39" s="7">
        <v>9.7791999999999994</v>
      </c>
      <c r="AF39" s="2">
        <v>7.5007999999999999</v>
      </c>
      <c r="AG39" s="2">
        <v>2.2784</v>
      </c>
      <c r="AH39" s="2">
        <v>2.31432237738017</v>
      </c>
      <c r="AI39" s="2">
        <v>0.47949844743064429</v>
      </c>
      <c r="AJ39" s="2">
        <v>-149.3768332146912</v>
      </c>
      <c r="AK39" s="2">
        <v>-21.755089608640269</v>
      </c>
      <c r="AL39" s="2">
        <v>0</v>
      </c>
      <c r="AM39" s="2">
        <v>-28.354714902598779</v>
      </c>
      <c r="AN39" s="2">
        <v>12.8</v>
      </c>
      <c r="AO39" s="2">
        <v>23.808964426877491</v>
      </c>
      <c r="AP39" s="2">
        <v>99.637714152933214</v>
      </c>
      <c r="AQ39" s="2">
        <v>1.9835831764882239</v>
      </c>
      <c r="AR39" s="2">
        <v>-123.5003690977651</v>
      </c>
      <c r="AS39" s="2">
        <v>0</v>
      </c>
      <c r="AT39" s="2">
        <v>-162.26060253182959</v>
      </c>
      <c r="AU39" s="1">
        <v>9.7791999999999994</v>
      </c>
      <c r="AV39" s="2">
        <v>2.21048677260328</v>
      </c>
      <c r="AW39" s="2">
        <v>-196.8908806686043</v>
      </c>
      <c r="AX39" s="2">
        <v>23.808964426877491</v>
      </c>
      <c r="AZ39" s="1">
        <f t="shared" si="48"/>
        <v>7.5007999999999999</v>
      </c>
      <c r="BA39" s="2">
        <f t="shared" si="49"/>
        <v>2.31432237738017</v>
      </c>
      <c r="BB39" s="7">
        <f t="shared" si="50"/>
        <v>-149.3768332146912</v>
      </c>
      <c r="BC39" s="1">
        <f t="shared" si="51"/>
        <v>2.2784</v>
      </c>
      <c r="BD39" s="2">
        <f t="shared" si="52"/>
        <v>0.47949844743064429</v>
      </c>
      <c r="BE39" s="2">
        <f t="shared" si="53"/>
        <v>-21.755089608640269</v>
      </c>
      <c r="BF39" s="2">
        <f t="shared" si="54"/>
        <v>0</v>
      </c>
      <c r="BG39" s="7">
        <f t="shared" si="55"/>
        <v>-28.354714902598779</v>
      </c>
      <c r="BH39" s="1">
        <f t="shared" si="56"/>
        <v>9.7791999999999994</v>
      </c>
      <c r="BI39" s="2">
        <f t="shared" si="57"/>
        <v>2.7938208248108145</v>
      </c>
      <c r="BJ39" s="2">
        <f t="shared" si="58"/>
        <v>171.13192282333148</v>
      </c>
      <c r="BK39" s="2">
        <f t="shared" si="59"/>
        <v>0</v>
      </c>
      <c r="BL39" s="7">
        <f t="shared" si="60"/>
        <v>-28.354714902598779</v>
      </c>
      <c r="BN39" s="1"/>
      <c r="BO39" s="4"/>
      <c r="BP39" s="2"/>
      <c r="BQ39" s="2"/>
      <c r="BR39" s="3"/>
      <c r="BS39" s="1"/>
      <c r="BT39" s="2"/>
      <c r="BU39" s="21"/>
      <c r="BV39" s="2"/>
      <c r="BW39" s="2"/>
      <c r="BX39" s="21"/>
      <c r="BY39" s="10"/>
    </row>
    <row r="40" spans="1:77" x14ac:dyDescent="0.25">
      <c r="A40" t="str">
        <f t="shared" si="3"/>
        <v>Appui</v>
      </c>
      <c r="B40" t="b">
        <f t="shared" si="4"/>
        <v>1</v>
      </c>
      <c r="C40">
        <f t="shared" si="61"/>
        <v>4</v>
      </c>
      <c r="D40" s="5" t="s">
        <v>91</v>
      </c>
      <c r="E40" t="s">
        <v>52</v>
      </c>
      <c r="F40" s="5">
        <v>25</v>
      </c>
      <c r="G40" t="s">
        <v>46</v>
      </c>
      <c r="H40">
        <v>500</v>
      </c>
      <c r="I40">
        <v>220000</v>
      </c>
      <c r="J40">
        <v>1576</v>
      </c>
      <c r="K40" s="10">
        <v>1870</v>
      </c>
      <c r="L40" s="12">
        <v>1</v>
      </c>
      <c r="M40" s="5">
        <v>0.23</v>
      </c>
      <c r="N40" s="10">
        <v>2.2000000000000002</v>
      </c>
      <c r="O40" s="5">
        <v>1.9530000000000001E-3</v>
      </c>
      <c r="P40">
        <v>0.06</v>
      </c>
      <c r="Q40" s="10">
        <v>1</v>
      </c>
      <c r="R40" s="8">
        <v>0</v>
      </c>
      <c r="S40">
        <v>0</v>
      </c>
      <c r="T40">
        <v>1</v>
      </c>
      <c r="U40" s="9">
        <v>0</v>
      </c>
      <c r="V40">
        <v>0</v>
      </c>
      <c r="W40" s="10">
        <v>0</v>
      </c>
      <c r="X40" s="1">
        <v>25.783999999999999</v>
      </c>
      <c r="Y40" s="2">
        <v>7.8319999999999999</v>
      </c>
      <c r="Z40" s="13">
        <v>0</v>
      </c>
      <c r="AA40" s="2">
        <v>25.783999999999999</v>
      </c>
      <c r="AB40" s="2">
        <v>7.8319999999999999</v>
      </c>
      <c r="AC40" s="2">
        <v>44</v>
      </c>
      <c r="AD40" s="2"/>
      <c r="AE40" s="7">
        <v>33.616</v>
      </c>
      <c r="AF40" s="2">
        <v>25.783999999999999</v>
      </c>
      <c r="AG40" s="2">
        <v>7.8319999999999999</v>
      </c>
      <c r="AH40" s="2">
        <v>3.8776508366167191</v>
      </c>
      <c r="AI40" s="2">
        <v>1.1778529845013239</v>
      </c>
      <c r="AJ40" s="2">
        <v>-84.048005307662862</v>
      </c>
      <c r="AK40" s="2">
        <v>-25.529940178778141</v>
      </c>
      <c r="AL40" s="2">
        <v>0</v>
      </c>
      <c r="AM40" s="2">
        <v>0</v>
      </c>
      <c r="AN40" s="2">
        <v>44</v>
      </c>
      <c r="AO40" s="2">
        <v>137.23508689061339</v>
      </c>
      <c r="AP40" s="2">
        <v>137.23508689061339</v>
      </c>
      <c r="AQ40" s="2">
        <v>4.9392685118861834</v>
      </c>
      <c r="AR40" s="2">
        <v>-147.73478890871289</v>
      </c>
      <c r="AS40" s="2">
        <v>0</v>
      </c>
      <c r="AT40" s="2">
        <v>0</v>
      </c>
      <c r="AU40" s="1">
        <v>33.616</v>
      </c>
      <c r="AV40" s="2">
        <v>3.8185331617938321</v>
      </c>
      <c r="AW40" s="2">
        <v>-112.7592759016415</v>
      </c>
      <c r="AX40" s="2">
        <v>137.23508689061339</v>
      </c>
      <c r="AZ40" s="1">
        <f t="shared" si="48"/>
        <v>25.783999999999999</v>
      </c>
      <c r="BA40" s="2">
        <f t="shared" si="49"/>
        <v>3.8776508366167191</v>
      </c>
      <c r="BB40" s="7">
        <f t="shared" si="50"/>
        <v>-84.048005307662862</v>
      </c>
      <c r="BC40" s="1">
        <f t="shared" si="51"/>
        <v>7.8319999999999999</v>
      </c>
      <c r="BD40" s="2">
        <f t="shared" si="52"/>
        <v>1.1778529845013239</v>
      </c>
      <c r="BE40" s="2">
        <f t="shared" si="53"/>
        <v>-25.529940178778141</v>
      </c>
      <c r="BF40" s="2">
        <f t="shared" si="54"/>
        <v>0</v>
      </c>
      <c r="BG40" s="7">
        <f t="shared" si="55"/>
        <v>0</v>
      </c>
      <c r="BH40" s="1">
        <f t="shared" si="56"/>
        <v>33.616</v>
      </c>
      <c r="BI40" s="2">
        <f t="shared" si="57"/>
        <v>5.0555038211180428</v>
      </c>
      <c r="BJ40" s="2">
        <f t="shared" si="58"/>
        <v>109.577945486441</v>
      </c>
      <c r="BK40" s="2">
        <f t="shared" si="59"/>
        <v>0</v>
      </c>
      <c r="BL40" s="7">
        <f t="shared" si="60"/>
        <v>0</v>
      </c>
      <c r="BN40" s="1"/>
      <c r="BO40" s="4"/>
      <c r="BP40" s="2"/>
      <c r="BQ40" s="2"/>
      <c r="BR40" s="3"/>
      <c r="BS40" s="1"/>
      <c r="BT40" s="2"/>
      <c r="BU40" s="21"/>
      <c r="BV40" s="2"/>
      <c r="BW40" s="2"/>
      <c r="BX40" s="21"/>
      <c r="BY40" s="15"/>
    </row>
    <row r="41" spans="1:77" x14ac:dyDescent="0.25">
      <c r="A41" t="str">
        <f t="shared" si="3"/>
        <v>Travée</v>
      </c>
      <c r="B41" t="b">
        <f t="shared" si="4"/>
        <v>1</v>
      </c>
      <c r="C41">
        <f t="shared" si="61"/>
        <v>4</v>
      </c>
      <c r="D41" s="5" t="s">
        <v>91</v>
      </c>
      <c r="E41" t="s">
        <v>53</v>
      </c>
      <c r="F41" s="5">
        <v>25</v>
      </c>
      <c r="G41" t="s">
        <v>46</v>
      </c>
      <c r="H41">
        <v>500</v>
      </c>
      <c r="I41">
        <v>220000</v>
      </c>
      <c r="J41">
        <v>1576</v>
      </c>
      <c r="K41" s="10">
        <v>1870</v>
      </c>
      <c r="L41" s="12">
        <v>1</v>
      </c>
      <c r="M41" s="5">
        <v>0.215</v>
      </c>
      <c r="N41" s="10">
        <v>2.2000000000000002</v>
      </c>
      <c r="O41" s="5">
        <v>2.7999999999999998E-4</v>
      </c>
      <c r="P41">
        <v>0.03</v>
      </c>
      <c r="Q41" s="10">
        <v>1</v>
      </c>
      <c r="R41" s="8">
        <v>0</v>
      </c>
      <c r="S41">
        <v>0</v>
      </c>
      <c r="T41">
        <v>1</v>
      </c>
      <c r="U41" s="9">
        <v>2.9099999999999999E-5</v>
      </c>
      <c r="V41">
        <v>0</v>
      </c>
      <c r="W41" s="10">
        <v>7</v>
      </c>
      <c r="X41" s="1">
        <v>7.5007999999999999</v>
      </c>
      <c r="Y41" s="2">
        <v>2.2784</v>
      </c>
      <c r="Z41" s="13">
        <v>0</v>
      </c>
      <c r="AA41" s="2">
        <v>7.5007999999999999</v>
      </c>
      <c r="AB41" s="2">
        <v>2.2784</v>
      </c>
      <c r="AC41" s="2">
        <v>12.8</v>
      </c>
      <c r="AD41" s="2"/>
      <c r="AE41" s="7">
        <v>9.7791999999999994</v>
      </c>
      <c r="AF41" s="2">
        <v>7.5007999999999999</v>
      </c>
      <c r="AG41" s="2">
        <v>2.2784</v>
      </c>
      <c r="AH41" s="2">
        <v>2.31432237738017</v>
      </c>
      <c r="AI41" s="2">
        <v>0.47949844743064429</v>
      </c>
      <c r="AJ41" s="2">
        <v>-149.3768332146912</v>
      </c>
      <c r="AK41" s="2">
        <v>-21.755089608640269</v>
      </c>
      <c r="AL41" s="2">
        <v>0</v>
      </c>
      <c r="AM41" s="2">
        <v>-28.354714902598779</v>
      </c>
      <c r="AN41" s="2">
        <v>12.8</v>
      </c>
      <c r="AO41" s="2">
        <v>23.808964426877491</v>
      </c>
      <c r="AP41" s="2">
        <v>99.637714152933214</v>
      </c>
      <c r="AQ41" s="2">
        <v>1.9835831764882239</v>
      </c>
      <c r="AR41" s="2">
        <v>-123.5003690977651</v>
      </c>
      <c r="AS41" s="2">
        <v>0</v>
      </c>
      <c r="AT41" s="2">
        <v>-162.26060253182959</v>
      </c>
      <c r="AU41" s="1">
        <v>9.7791999999999994</v>
      </c>
      <c r="AV41" s="2">
        <v>2.21048677260328</v>
      </c>
      <c r="AW41" s="2">
        <v>-196.8908806686043</v>
      </c>
      <c r="AX41" s="2">
        <v>23.808964426877491</v>
      </c>
      <c r="AZ41" s="1">
        <f t="shared" si="48"/>
        <v>7.5007999999999999</v>
      </c>
      <c r="BA41" s="2">
        <f t="shared" si="49"/>
        <v>2.31432237738017</v>
      </c>
      <c r="BB41" s="7">
        <f t="shared" si="50"/>
        <v>-149.3768332146912</v>
      </c>
      <c r="BC41" s="1">
        <f t="shared" si="51"/>
        <v>2.2784</v>
      </c>
      <c r="BD41" s="2">
        <f t="shared" si="52"/>
        <v>0.47949844743064429</v>
      </c>
      <c r="BE41" s="2">
        <f t="shared" si="53"/>
        <v>-21.755089608640269</v>
      </c>
      <c r="BF41" s="2">
        <f t="shared" si="54"/>
        <v>0</v>
      </c>
      <c r="BG41" s="7">
        <f t="shared" si="55"/>
        <v>-28.354714902598779</v>
      </c>
      <c r="BH41" s="1">
        <f t="shared" si="56"/>
        <v>9.7791999999999994</v>
      </c>
      <c r="BI41" s="2">
        <f t="shared" si="57"/>
        <v>2.7938208248108145</v>
      </c>
      <c r="BJ41" s="2">
        <f t="shared" si="58"/>
        <v>171.13192282333148</v>
      </c>
      <c r="BK41" s="2">
        <f t="shared" si="59"/>
        <v>0</v>
      </c>
      <c r="BL41" s="7">
        <f t="shared" si="60"/>
        <v>-28.354714902598779</v>
      </c>
      <c r="BN41" s="1"/>
      <c r="BO41" s="4"/>
      <c r="BP41" s="2"/>
      <c r="BQ41" s="2"/>
      <c r="BR41" s="3"/>
      <c r="BS41" s="1"/>
      <c r="BT41" s="2"/>
      <c r="BU41" s="21"/>
      <c r="BV41" s="2"/>
      <c r="BW41" s="2"/>
      <c r="BX41" s="21"/>
      <c r="BY41" s="10"/>
    </row>
    <row r="42" spans="1:77" x14ac:dyDescent="0.25">
      <c r="A42" t="str">
        <f t="shared" si="3"/>
        <v>Appui</v>
      </c>
      <c r="B42" t="b">
        <f t="shared" si="4"/>
        <v>1</v>
      </c>
      <c r="C42">
        <f t="shared" si="61"/>
        <v>4</v>
      </c>
      <c r="D42" s="5" t="s">
        <v>91</v>
      </c>
      <c r="E42" t="s">
        <v>54</v>
      </c>
      <c r="F42" s="5">
        <v>25</v>
      </c>
      <c r="G42" t="s">
        <v>46</v>
      </c>
      <c r="H42">
        <v>500</v>
      </c>
      <c r="I42">
        <v>220000</v>
      </c>
      <c r="J42">
        <v>1576</v>
      </c>
      <c r="K42" s="10">
        <v>1870</v>
      </c>
      <c r="L42" s="12">
        <v>1</v>
      </c>
      <c r="M42" s="5">
        <v>0.2</v>
      </c>
      <c r="N42" s="10">
        <v>2.2000000000000002</v>
      </c>
      <c r="O42" s="5">
        <v>2.63E-3</v>
      </c>
      <c r="P42">
        <v>0.03</v>
      </c>
      <c r="Q42" s="10">
        <v>1</v>
      </c>
      <c r="R42" s="8">
        <v>0</v>
      </c>
      <c r="S42">
        <v>0</v>
      </c>
      <c r="T42">
        <v>1</v>
      </c>
      <c r="U42" s="9">
        <v>0</v>
      </c>
      <c r="V42">
        <v>0</v>
      </c>
      <c r="W42" s="10">
        <v>0</v>
      </c>
      <c r="X42" s="1">
        <v>80.574999999999989</v>
      </c>
      <c r="Y42" s="2">
        <v>24.475000000000001</v>
      </c>
      <c r="Z42" s="13">
        <v>0.25</v>
      </c>
      <c r="AA42" s="2">
        <v>60.431249999999991</v>
      </c>
      <c r="AB42" s="2">
        <v>44.618749999999991</v>
      </c>
      <c r="AC42" s="2">
        <v>137.5</v>
      </c>
      <c r="AD42" s="2"/>
      <c r="AE42" s="7">
        <v>105.05</v>
      </c>
      <c r="AF42" s="2">
        <v>60.431249999999991</v>
      </c>
      <c r="AG42" s="2">
        <v>44.618749999999991</v>
      </c>
      <c r="AH42" s="2">
        <v>8.0808884259957772</v>
      </c>
      <c r="AI42" s="2">
        <v>5.9664352542335166</v>
      </c>
      <c r="AJ42" s="2">
        <v>-147.93384172811889</v>
      </c>
      <c r="AK42" s="2">
        <v>-109.22532796535739</v>
      </c>
      <c r="AL42" s="2">
        <v>0</v>
      </c>
      <c r="AM42" s="2">
        <v>0</v>
      </c>
      <c r="AN42" s="2">
        <v>137.5</v>
      </c>
      <c r="AO42" s="2">
        <v>178.52985178273309</v>
      </c>
      <c r="AP42" s="2">
        <v>178.52985178273309</v>
      </c>
      <c r="AQ42" s="2">
        <v>12.403505042652229</v>
      </c>
      <c r="AR42" s="2">
        <v>-351.9084936349937</v>
      </c>
      <c r="AS42" s="2">
        <v>0</v>
      </c>
      <c r="AT42" s="2">
        <v>0</v>
      </c>
      <c r="AU42" s="1">
        <v>105.05</v>
      </c>
      <c r="AV42" s="2">
        <v>9.9333530284513127</v>
      </c>
      <c r="AW42" s="2">
        <v>-267.60482469100458</v>
      </c>
      <c r="AX42" s="2">
        <v>178.52985178273309</v>
      </c>
      <c r="AZ42" s="1">
        <f t="shared" si="48"/>
        <v>60.431249999999991</v>
      </c>
      <c r="BA42" s="2">
        <f t="shared" si="49"/>
        <v>8.0808884259957772</v>
      </c>
      <c r="BB42" s="7">
        <f t="shared" si="50"/>
        <v>-147.93384172811889</v>
      </c>
      <c r="BC42" s="1">
        <f t="shared" si="51"/>
        <v>44.618749999999991</v>
      </c>
      <c r="BD42" s="2">
        <f t="shared" si="52"/>
        <v>5.9664352542335166</v>
      </c>
      <c r="BE42" s="2">
        <f t="shared" si="53"/>
        <v>-109.22532796535739</v>
      </c>
      <c r="BF42" s="2">
        <f t="shared" si="54"/>
        <v>0</v>
      </c>
      <c r="BG42" s="7">
        <f t="shared" si="55"/>
        <v>0</v>
      </c>
      <c r="BH42" s="1">
        <f t="shared" si="56"/>
        <v>105.04999999999998</v>
      </c>
      <c r="BI42" s="2">
        <f t="shared" si="57"/>
        <v>14.047323680229294</v>
      </c>
      <c r="BJ42" s="2">
        <f t="shared" si="58"/>
        <v>257.15916969347631</v>
      </c>
      <c r="BK42" s="2">
        <f t="shared" si="59"/>
        <v>0</v>
      </c>
      <c r="BL42" s="7">
        <f t="shared" si="60"/>
        <v>0</v>
      </c>
      <c r="BN42" s="1"/>
      <c r="BO42" s="4"/>
      <c r="BP42" s="2"/>
      <c r="BQ42" s="2"/>
      <c r="BR42" s="3"/>
      <c r="BS42" s="1"/>
      <c r="BT42" s="2"/>
      <c r="BU42" s="21"/>
      <c r="BV42" s="2"/>
      <c r="BW42" s="2"/>
      <c r="BX42" s="21"/>
      <c r="BY42" s="15"/>
    </row>
    <row r="43" spans="1:77" x14ac:dyDescent="0.25">
      <c r="A43" t="str">
        <f t="shared" si="3"/>
        <v>Travée</v>
      </c>
      <c r="B43" t="b">
        <f t="shared" si="4"/>
        <v>1</v>
      </c>
      <c r="C43">
        <f t="shared" si="61"/>
        <v>4</v>
      </c>
      <c r="D43" s="5" t="s">
        <v>91</v>
      </c>
      <c r="E43" t="s">
        <v>55</v>
      </c>
      <c r="F43" s="5">
        <v>25</v>
      </c>
      <c r="G43" t="s">
        <v>46</v>
      </c>
      <c r="H43">
        <v>500</v>
      </c>
      <c r="I43">
        <v>220000</v>
      </c>
      <c r="J43">
        <v>1576</v>
      </c>
      <c r="K43" s="10">
        <v>1870</v>
      </c>
      <c r="L43" s="12">
        <v>1</v>
      </c>
      <c r="M43" s="5">
        <v>0.215</v>
      </c>
      <c r="N43" s="10">
        <v>2.2000000000000002</v>
      </c>
      <c r="O43" s="5">
        <v>2.7999999999999998E-4</v>
      </c>
      <c r="P43">
        <v>0.03</v>
      </c>
      <c r="Q43" s="10">
        <v>1</v>
      </c>
      <c r="R43" s="8">
        <v>0</v>
      </c>
      <c r="S43">
        <v>0</v>
      </c>
      <c r="T43">
        <v>1</v>
      </c>
      <c r="U43" s="9">
        <v>2.9099999999999999E-5</v>
      </c>
      <c r="V43">
        <v>0</v>
      </c>
      <c r="W43" s="10">
        <v>7</v>
      </c>
      <c r="X43" s="1">
        <v>51.00544</v>
      </c>
      <c r="Y43" s="2">
        <v>15.493119999999999</v>
      </c>
      <c r="Z43" s="13">
        <v>0.5</v>
      </c>
      <c r="AA43" s="2">
        <v>25.50272</v>
      </c>
      <c r="AB43" s="2">
        <v>40.995840000000001</v>
      </c>
      <c r="AC43" s="2">
        <v>87.04</v>
      </c>
      <c r="AD43" s="2"/>
      <c r="AE43" s="7">
        <v>66.498559999999998</v>
      </c>
      <c r="AF43" s="2">
        <v>25.50272</v>
      </c>
      <c r="AG43" s="2">
        <v>40.995840000000001</v>
      </c>
      <c r="AH43" s="2">
        <v>7.8686960830925878</v>
      </c>
      <c r="AI43" s="2">
        <v>8.6278473701216001</v>
      </c>
      <c r="AJ43" s="2">
        <v>-507.88123292994999</v>
      </c>
      <c r="AK43" s="2">
        <v>-391.44427932864352</v>
      </c>
      <c r="AL43" s="2">
        <v>0</v>
      </c>
      <c r="AM43" s="2">
        <v>-510.19297850837228</v>
      </c>
      <c r="AN43" s="2">
        <v>87.04</v>
      </c>
      <c r="AO43" s="2">
        <v>23.808964426877491</v>
      </c>
      <c r="AP43" s="2">
        <v>99.637714152933214</v>
      </c>
      <c r="AQ43" s="2">
        <v>12.977791780134471</v>
      </c>
      <c r="AR43" s="2">
        <v>-437.55584699817427</v>
      </c>
      <c r="AS43" s="2">
        <v>0</v>
      </c>
      <c r="AT43" s="2">
        <v>-1568.543257934753</v>
      </c>
      <c r="AU43" s="1">
        <v>66.498559999999998</v>
      </c>
      <c r="AV43" s="2">
        <v>0</v>
      </c>
      <c r="AW43" s="2">
        <v>0</v>
      </c>
      <c r="AX43" s="2">
        <v>23.808964426877491</v>
      </c>
      <c r="AZ43" s="1">
        <f t="shared" si="48"/>
        <v>25.50272</v>
      </c>
      <c r="BA43" s="2">
        <f t="shared" si="49"/>
        <v>7.8686960830925878</v>
      </c>
      <c r="BB43" s="7">
        <f t="shared" si="50"/>
        <v>-507.88123292994999</v>
      </c>
      <c r="BC43" s="1">
        <f t="shared" si="51"/>
        <v>40.995840000000001</v>
      </c>
      <c r="BD43" s="2">
        <f t="shared" si="52"/>
        <v>8.6278473701216001</v>
      </c>
      <c r="BE43" s="2">
        <f t="shared" si="53"/>
        <v>-391.44427932864352</v>
      </c>
      <c r="BF43" s="2">
        <f t="shared" si="54"/>
        <v>0</v>
      </c>
      <c r="BG43" s="7">
        <f t="shared" si="55"/>
        <v>-510.19297850837228</v>
      </c>
      <c r="BH43" s="1">
        <f t="shared" si="56"/>
        <v>66.498559999999998</v>
      </c>
      <c r="BI43" s="2">
        <f t="shared" si="57"/>
        <v>16.496543453214187</v>
      </c>
      <c r="BJ43" s="2">
        <f t="shared" si="58"/>
        <v>899.32551225859356</v>
      </c>
      <c r="BK43" s="2">
        <f t="shared" si="59"/>
        <v>0</v>
      </c>
      <c r="BL43" s="7">
        <f t="shared" si="60"/>
        <v>-510.19297850837228</v>
      </c>
      <c r="BN43" s="1"/>
      <c r="BO43" s="4"/>
      <c r="BP43" s="2"/>
      <c r="BQ43" s="2"/>
      <c r="BR43" s="3"/>
      <c r="BS43" s="1"/>
      <c r="BT43" s="2"/>
      <c r="BU43" s="21"/>
      <c r="BV43" s="2"/>
      <c r="BW43" s="2"/>
      <c r="BX43" s="21"/>
      <c r="BY43" s="10"/>
    </row>
    <row r="44" spans="1:77" x14ac:dyDescent="0.25">
      <c r="A44" t="str">
        <f t="shared" si="3"/>
        <v>Appui</v>
      </c>
      <c r="B44" t="b">
        <f t="shared" si="4"/>
        <v>1</v>
      </c>
      <c r="C44">
        <f t="shared" si="61"/>
        <v>4</v>
      </c>
      <c r="D44" s="5" t="s">
        <v>91</v>
      </c>
      <c r="E44" t="s">
        <v>56</v>
      </c>
      <c r="F44" s="5">
        <v>25</v>
      </c>
      <c r="G44" t="s">
        <v>46</v>
      </c>
      <c r="H44">
        <v>500</v>
      </c>
      <c r="I44">
        <v>220000</v>
      </c>
      <c r="J44">
        <v>1576</v>
      </c>
      <c r="K44" s="10">
        <v>1870</v>
      </c>
      <c r="L44" s="12">
        <v>1</v>
      </c>
      <c r="M44" s="5">
        <v>0.23</v>
      </c>
      <c r="N44" s="10">
        <v>2.2000000000000002</v>
      </c>
      <c r="O44" s="5">
        <v>0</v>
      </c>
      <c r="P44">
        <v>0.06</v>
      </c>
      <c r="Q44" s="10">
        <v>1</v>
      </c>
      <c r="R44" s="8">
        <v>6.2800297931034485E-4</v>
      </c>
      <c r="S44">
        <v>0.04</v>
      </c>
      <c r="T44">
        <v>1</v>
      </c>
      <c r="U44" s="9">
        <v>2.9099999999999999E-5</v>
      </c>
      <c r="V44">
        <v>0</v>
      </c>
      <c r="W44" s="10">
        <v>7</v>
      </c>
      <c r="X44" s="1">
        <v>77.35199999999999</v>
      </c>
      <c r="Y44" s="2">
        <v>23.495999999999999</v>
      </c>
      <c r="Z44" s="13">
        <v>0.5</v>
      </c>
      <c r="AA44" s="2">
        <v>38.675999999999988</v>
      </c>
      <c r="AB44" s="2">
        <v>62.171999999999997</v>
      </c>
      <c r="AC44" s="2">
        <v>132</v>
      </c>
      <c r="AD44" s="2"/>
      <c r="AE44" s="7">
        <v>100.848</v>
      </c>
      <c r="AF44" s="2">
        <v>38.675999999999988</v>
      </c>
      <c r="AG44" s="2">
        <v>62.171999999999997</v>
      </c>
      <c r="AH44" s="2">
        <v>0</v>
      </c>
      <c r="AI44" s="2">
        <v>10.111769990393309</v>
      </c>
      <c r="AJ44" s="2">
        <v>0</v>
      </c>
      <c r="AK44" s="2">
        <v>-311.55333256667922</v>
      </c>
      <c r="AL44" s="2">
        <v>-355.76561436180839</v>
      </c>
      <c r="AM44" s="2">
        <v>-488.60919574727359</v>
      </c>
      <c r="AN44" s="2">
        <v>132</v>
      </c>
      <c r="AO44" s="2">
        <v>0</v>
      </c>
      <c r="AP44" s="2">
        <v>132.09067211165839</v>
      </c>
      <c r="AQ44" s="2">
        <v>15.28293419800476</v>
      </c>
      <c r="AR44" s="2">
        <v>-437.49567614080348</v>
      </c>
      <c r="AS44" s="2">
        <v>-438.12267962741612</v>
      </c>
      <c r="AT44" s="2">
        <v>-1867.969435824388</v>
      </c>
      <c r="AU44" s="1">
        <v>100.848</v>
      </c>
      <c r="AV44" s="2">
        <v>0</v>
      </c>
      <c r="AW44" s="2">
        <v>0</v>
      </c>
      <c r="AX44" s="2">
        <v>54.316950013100509</v>
      </c>
      <c r="AZ44" s="1">
        <f t="shared" si="48"/>
        <v>38.675999999999988</v>
      </c>
      <c r="BA44" s="2">
        <f t="shared" si="49"/>
        <v>0</v>
      </c>
      <c r="BB44" s="7">
        <f t="shared" si="50"/>
        <v>0</v>
      </c>
      <c r="BC44" s="1">
        <f t="shared" si="51"/>
        <v>62.171999999999997</v>
      </c>
      <c r="BD44" s="2">
        <f t="shared" si="52"/>
        <v>10.111769990393309</v>
      </c>
      <c r="BE44" s="2">
        <f t="shared" si="53"/>
        <v>-311.55333256667922</v>
      </c>
      <c r="BF44" s="2">
        <f t="shared" si="54"/>
        <v>-355.76561436180839</v>
      </c>
      <c r="BG44" s="7">
        <f t="shared" si="55"/>
        <v>-488.60919574727359</v>
      </c>
      <c r="BH44" s="1">
        <f t="shared" si="56"/>
        <v>100.84799999999998</v>
      </c>
      <c r="BI44" s="2">
        <f t="shared" si="57"/>
        <v>10.111769990393309</v>
      </c>
      <c r="BJ44" s="2">
        <f t="shared" si="58"/>
        <v>311.55333256667922</v>
      </c>
      <c r="BK44" s="2">
        <f t="shared" si="59"/>
        <v>355.76561436180839</v>
      </c>
      <c r="BL44" s="7">
        <f t="shared" si="60"/>
        <v>-488.60919574727359</v>
      </c>
      <c r="BN44" s="1"/>
      <c r="BO44" s="4"/>
      <c r="BP44" s="2"/>
      <c r="BQ44" s="2"/>
      <c r="BR44" s="3"/>
      <c r="BS44" s="1"/>
      <c r="BT44" s="2"/>
      <c r="BU44" s="21"/>
      <c r="BV44" s="2"/>
      <c r="BW44" s="2"/>
      <c r="BX44" s="21"/>
      <c r="BY44" s="15"/>
    </row>
    <row r="45" spans="1:77" x14ac:dyDescent="0.25">
      <c r="A45" t="str">
        <f t="shared" si="3"/>
        <v>Travée</v>
      </c>
      <c r="B45" t="b">
        <f t="shared" si="4"/>
        <v>1</v>
      </c>
      <c r="C45">
        <f>IF(D45="",100000,IF(D45=D43,C43,C43+1))</f>
        <v>4</v>
      </c>
      <c r="D45" s="5" t="s">
        <v>91</v>
      </c>
      <c r="E45" t="s">
        <v>57</v>
      </c>
      <c r="F45" s="5">
        <v>25</v>
      </c>
      <c r="G45" t="s">
        <v>46</v>
      </c>
      <c r="H45">
        <v>500</v>
      </c>
      <c r="I45">
        <v>220000</v>
      </c>
      <c r="J45">
        <v>1576</v>
      </c>
      <c r="K45" s="10">
        <v>1870</v>
      </c>
      <c r="L45" s="12">
        <v>1</v>
      </c>
      <c r="M45" s="5">
        <v>0.24</v>
      </c>
      <c r="N45" s="10">
        <v>2.2000000000000002</v>
      </c>
      <c r="O45" s="5">
        <v>5.6539999999999997E-4</v>
      </c>
      <c r="P45">
        <v>0.03</v>
      </c>
      <c r="Q45" s="10">
        <v>1</v>
      </c>
      <c r="R45" s="8">
        <v>0</v>
      </c>
      <c r="S45">
        <v>0</v>
      </c>
      <c r="T45">
        <v>1</v>
      </c>
      <c r="U45" s="9">
        <v>2.9099999999999999E-5</v>
      </c>
      <c r="V45">
        <v>0</v>
      </c>
      <c r="W45" s="10">
        <v>2</v>
      </c>
      <c r="X45" s="1">
        <v>24.75264</v>
      </c>
      <c r="Y45" s="2">
        <v>7.5187200000000001</v>
      </c>
      <c r="Z45" s="13">
        <v>0.5</v>
      </c>
      <c r="AA45" s="2">
        <v>12.37632</v>
      </c>
      <c r="AB45" s="2">
        <v>19.895040000000002</v>
      </c>
      <c r="AC45" s="2">
        <v>42.24</v>
      </c>
      <c r="AD45" s="2"/>
      <c r="AE45" s="7">
        <v>32.271360000000001</v>
      </c>
      <c r="AF45" s="2">
        <v>12.37632</v>
      </c>
      <c r="AG45" s="2">
        <v>19.895040000000002</v>
      </c>
      <c r="AH45" s="2">
        <v>2.2680311129386599</v>
      </c>
      <c r="AI45" s="2">
        <v>3.39243452386417</v>
      </c>
      <c r="AJ45" s="2">
        <v>-108.5632650379781</v>
      </c>
      <c r="AK45" s="2">
        <v>-151.91660461153899</v>
      </c>
      <c r="AL45" s="2">
        <v>0</v>
      </c>
      <c r="AM45" s="2">
        <v>-194.3682179697345</v>
      </c>
      <c r="AN45" s="2">
        <v>42.24</v>
      </c>
      <c r="AO45" s="2">
        <v>54.236333511620103</v>
      </c>
      <c r="AP45" s="2">
        <v>75.116649464325647</v>
      </c>
      <c r="AQ45" s="2">
        <v>5.1565707317949707</v>
      </c>
      <c r="AR45" s="2">
        <v>-327.68285232949631</v>
      </c>
      <c r="AS45" s="2">
        <v>0</v>
      </c>
      <c r="AT45" s="2">
        <v>-422.56532170093982</v>
      </c>
      <c r="AU45" s="1">
        <v>32.271360000000001</v>
      </c>
      <c r="AV45" s="2">
        <v>4.2754712015682834</v>
      </c>
      <c r="AW45" s="2">
        <v>-287.52371209064501</v>
      </c>
      <c r="AX45" s="2">
        <v>54.236333511620103</v>
      </c>
      <c r="AZ45" s="1">
        <f t="shared" si="48"/>
        <v>12.37632</v>
      </c>
      <c r="BA45" s="2">
        <f t="shared" si="49"/>
        <v>2.2680311129386599</v>
      </c>
      <c r="BB45" s="7">
        <f t="shared" si="50"/>
        <v>-108.5632650379781</v>
      </c>
      <c r="BC45" s="1">
        <f t="shared" si="51"/>
        <v>19.895040000000002</v>
      </c>
      <c r="BD45" s="2">
        <f t="shared" si="52"/>
        <v>3.39243452386417</v>
      </c>
      <c r="BE45" s="2">
        <f t="shared" si="53"/>
        <v>-151.91660461153899</v>
      </c>
      <c r="BF45" s="2">
        <f t="shared" si="54"/>
        <v>0</v>
      </c>
      <c r="BG45" s="7">
        <f t="shared" si="55"/>
        <v>-194.3682179697345</v>
      </c>
      <c r="BH45" s="1">
        <f t="shared" si="56"/>
        <v>32.271360000000001</v>
      </c>
      <c r="BI45" s="2">
        <f t="shared" si="57"/>
        <v>5.6604656368028294</v>
      </c>
      <c r="BJ45" s="2">
        <f t="shared" si="58"/>
        <v>260.47986964951707</v>
      </c>
      <c r="BK45" s="2">
        <f t="shared" si="59"/>
        <v>0</v>
      </c>
      <c r="BL45" s="7">
        <f t="shared" si="60"/>
        <v>-194.3682179697345</v>
      </c>
      <c r="BN45" s="1"/>
      <c r="BO45" s="4"/>
      <c r="BP45" s="2"/>
      <c r="BQ45" s="2"/>
      <c r="BR45" s="3"/>
      <c r="BS45" s="1"/>
      <c r="BT45" s="2"/>
      <c r="BU45" s="21"/>
      <c r="BV45" s="2"/>
      <c r="BW45" s="2"/>
      <c r="BX45" s="21"/>
      <c r="BY45" s="10"/>
    </row>
    <row r="46" spans="1:77" x14ac:dyDescent="0.25">
      <c r="A46" t="str">
        <f t="shared" si="3"/>
        <v/>
      </c>
      <c r="B46" t="b">
        <f t="shared" si="4"/>
        <v>1</v>
      </c>
      <c r="C46">
        <f>IF(D46="",100000,IF(D46=D44,C44,C44+1))</f>
        <v>4</v>
      </c>
      <c r="D46" s="5" t="s">
        <v>91</v>
      </c>
      <c r="F46" s="5"/>
      <c r="K46" s="10"/>
      <c r="L46" s="12"/>
      <c r="M46" s="5"/>
      <c r="N46" s="10"/>
      <c r="O46" s="5"/>
      <c r="Q46" s="10"/>
      <c r="R46" s="8"/>
      <c r="U46" s="9"/>
      <c r="W46" s="10"/>
      <c r="X46" s="1"/>
      <c r="Y46" s="2"/>
      <c r="Z46" s="13"/>
      <c r="AA46" s="2"/>
      <c r="AB46" s="2"/>
      <c r="AC46" s="2"/>
      <c r="AD46" s="2"/>
      <c r="AE46" s="7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1"/>
      <c r="AV46" s="2"/>
      <c r="AW46" s="2"/>
      <c r="AX46" s="2"/>
      <c r="AZ46" s="1"/>
      <c r="BA46" s="2"/>
      <c r="BB46" s="7"/>
      <c r="BC46" s="1"/>
      <c r="BD46" s="2"/>
      <c r="BE46" s="2"/>
      <c r="BF46" s="2"/>
      <c r="BG46" s="7"/>
      <c r="BH46" s="1"/>
      <c r="BI46" s="2"/>
      <c r="BJ46" s="2"/>
      <c r="BK46" s="2"/>
      <c r="BL46" s="7"/>
      <c r="BN46" s="1"/>
      <c r="BO46" s="4"/>
      <c r="BP46" s="2"/>
      <c r="BQ46" s="2"/>
      <c r="BR46" s="3"/>
      <c r="BS46" s="1"/>
      <c r="BT46" s="2"/>
      <c r="BU46" s="21"/>
      <c r="BV46" s="2"/>
      <c r="BW46" s="2"/>
      <c r="BX46" s="21"/>
      <c r="BY46" s="15"/>
    </row>
    <row r="47" spans="1:77" x14ac:dyDescent="0.25">
      <c r="A47" t="str">
        <f t="shared" si="3"/>
        <v>Travée</v>
      </c>
      <c r="B47" t="b">
        <f t="shared" si="4"/>
        <v>0</v>
      </c>
      <c r="C47">
        <f t="shared" si="61"/>
        <v>5</v>
      </c>
      <c r="D47" s="5" t="s">
        <v>92</v>
      </c>
      <c r="E47" t="s">
        <v>45</v>
      </c>
      <c r="F47" s="5">
        <v>25</v>
      </c>
      <c r="G47" t="s">
        <v>46</v>
      </c>
      <c r="H47">
        <v>500</v>
      </c>
      <c r="I47">
        <v>220000</v>
      </c>
      <c r="J47">
        <v>1576</v>
      </c>
      <c r="K47" s="10">
        <v>1870</v>
      </c>
      <c r="L47" s="12">
        <v>1</v>
      </c>
      <c r="M47" s="5">
        <v>0.24</v>
      </c>
      <c r="N47" s="10">
        <v>2.2000000000000002</v>
      </c>
      <c r="O47" s="5">
        <v>5.7000000000000009E-4</v>
      </c>
      <c r="P47">
        <v>0.03</v>
      </c>
      <c r="Q47" s="10">
        <v>1</v>
      </c>
      <c r="R47" s="8">
        <v>0</v>
      </c>
      <c r="S47">
        <v>0</v>
      </c>
      <c r="T47">
        <v>1</v>
      </c>
      <c r="U47" s="9">
        <v>2.9099999999999999E-5</v>
      </c>
      <c r="V47">
        <v>0</v>
      </c>
      <c r="W47" s="10">
        <v>2</v>
      </c>
      <c r="X47" s="1">
        <v>24.002559999999999</v>
      </c>
      <c r="Y47" s="2">
        <v>7.2908799999999996</v>
      </c>
      <c r="Z47" s="13">
        <v>0</v>
      </c>
      <c r="AA47" s="2">
        <v>24.002559999999999</v>
      </c>
      <c r="AB47" s="2">
        <v>7.2908799999999996</v>
      </c>
      <c r="AC47" s="2">
        <v>40.96</v>
      </c>
      <c r="AD47" s="2"/>
      <c r="AE47" s="7">
        <v>31.29344</v>
      </c>
      <c r="AF47" s="2">
        <v>24.002559999999999</v>
      </c>
      <c r="AG47" s="2">
        <v>7.2908799999999996</v>
      </c>
      <c r="AH47" s="2">
        <v>4.3823608888027374</v>
      </c>
      <c r="AI47" s="2">
        <v>1.2395513439724051</v>
      </c>
      <c r="AJ47" s="2">
        <v>-208.88019043894471</v>
      </c>
      <c r="AK47" s="2">
        <v>-55.287922265501187</v>
      </c>
      <c r="AL47" s="2">
        <v>0</v>
      </c>
      <c r="AM47" s="2">
        <v>-70.742507749457374</v>
      </c>
      <c r="AN47" s="2">
        <v>40.96</v>
      </c>
      <c r="AO47" s="2">
        <v>54.672372148208026</v>
      </c>
      <c r="AP47" s="2">
        <v>75.512862572392464</v>
      </c>
      <c r="AQ47" s="2">
        <v>4.9957449091581472</v>
      </c>
      <c r="AR47" s="2">
        <v>-315.55332095707661</v>
      </c>
      <c r="AS47" s="2">
        <v>0</v>
      </c>
      <c r="AT47" s="2">
        <v>-406.95309803200968</v>
      </c>
      <c r="AU47" s="1">
        <v>31.29344</v>
      </c>
      <c r="AV47" s="2">
        <v>4.1376624628867118</v>
      </c>
      <c r="AW47" s="2">
        <v>-276.60511923297321</v>
      </c>
      <c r="AX47" s="2">
        <v>54.672372148208026</v>
      </c>
      <c r="AZ47" s="1">
        <f t="shared" ref="AZ47:AZ57" si="62">AF47</f>
        <v>24.002559999999999</v>
      </c>
      <c r="BA47" s="2">
        <f t="shared" ref="BA47:BA57" si="63">AH47</f>
        <v>4.3823608888027374</v>
      </c>
      <c r="BB47" s="7">
        <f t="shared" ref="BB47:BB57" si="64">AJ47</f>
        <v>-208.88019043894471</v>
      </c>
      <c r="BC47" s="1">
        <f t="shared" ref="BC47:BC57" si="65">AG47</f>
        <v>7.2908799999999996</v>
      </c>
      <c r="BD47" s="2">
        <f t="shared" ref="BD47:BD57" si="66">AI47</f>
        <v>1.2395513439724051</v>
      </c>
      <c r="BE47" s="2">
        <f t="shared" ref="BE47:BE57" si="67">AK47</f>
        <v>-55.287922265501187</v>
      </c>
      <c r="BF47" s="2">
        <f t="shared" ref="BF47:BF57" si="68">AL47</f>
        <v>0</v>
      </c>
      <c r="BG47" s="7">
        <f t="shared" ref="BG47:BG57" si="69">AM47</f>
        <v>-70.742507749457374</v>
      </c>
      <c r="BH47" s="1">
        <f t="shared" ref="BH47:BH57" si="70">AZ47+BC47</f>
        <v>31.293439999999997</v>
      </c>
      <c r="BI47" s="2">
        <f t="shared" ref="BI47:BI57" si="71">BA47+BD47</f>
        <v>5.6219122327751423</v>
      </c>
      <c r="BJ47" s="2">
        <f t="shared" ref="BJ47:BJ57" si="72">ABS(BB47+BE47)</f>
        <v>264.16811270444589</v>
      </c>
      <c r="BK47" s="2">
        <f t="shared" ref="BK47:BK57" si="73">ABS(BF47)</f>
        <v>0</v>
      </c>
      <c r="BL47" s="7">
        <f t="shared" ref="BL47:BL57" si="74">BG47</f>
        <v>-70.742507749457374</v>
      </c>
      <c r="BN47" s="1"/>
      <c r="BO47" s="4"/>
      <c r="BP47" s="2"/>
      <c r="BQ47" s="2"/>
      <c r="BR47" s="3"/>
      <c r="BS47" s="1"/>
      <c r="BT47" s="2"/>
      <c r="BU47" s="21"/>
      <c r="BV47" s="2"/>
      <c r="BW47" s="2"/>
      <c r="BX47" s="21"/>
      <c r="BY47" s="10"/>
    </row>
    <row r="48" spans="1:77" x14ac:dyDescent="0.25">
      <c r="A48" t="str">
        <f t="shared" si="3"/>
        <v>Appui</v>
      </c>
      <c r="B48" t="b">
        <f t="shared" si="4"/>
        <v>0</v>
      </c>
      <c r="C48">
        <f t="shared" si="61"/>
        <v>5</v>
      </c>
      <c r="D48" s="5" t="s">
        <v>92</v>
      </c>
      <c r="E48" t="s">
        <v>47</v>
      </c>
      <c r="F48" s="5">
        <v>25</v>
      </c>
      <c r="G48" t="s">
        <v>46</v>
      </c>
      <c r="H48">
        <v>500</v>
      </c>
      <c r="I48">
        <v>220000</v>
      </c>
      <c r="J48">
        <v>1576</v>
      </c>
      <c r="K48" s="10">
        <v>1870</v>
      </c>
      <c r="L48" s="12">
        <v>1</v>
      </c>
      <c r="M48" s="5">
        <v>0.23</v>
      </c>
      <c r="N48" s="10">
        <v>2.2000000000000002</v>
      </c>
      <c r="O48" s="5">
        <v>1.9E-3</v>
      </c>
      <c r="P48">
        <v>0.06</v>
      </c>
      <c r="Q48" s="10">
        <v>1</v>
      </c>
      <c r="R48" s="8">
        <v>0</v>
      </c>
      <c r="S48">
        <v>0</v>
      </c>
      <c r="T48">
        <v>1</v>
      </c>
      <c r="U48" s="9">
        <v>2.9099999999999999E-5</v>
      </c>
      <c r="V48">
        <v>0</v>
      </c>
      <c r="W48" s="10">
        <v>5</v>
      </c>
      <c r="X48" s="1">
        <v>99.912999999999997</v>
      </c>
      <c r="Y48" s="2">
        <v>30.349</v>
      </c>
      <c r="Z48" s="13">
        <v>0</v>
      </c>
      <c r="AA48" s="2">
        <v>99.912999999999997</v>
      </c>
      <c r="AB48" s="2">
        <v>30.349</v>
      </c>
      <c r="AC48" s="2">
        <v>170.5</v>
      </c>
      <c r="AD48" s="2"/>
      <c r="AE48" s="7">
        <v>130.262</v>
      </c>
      <c r="AF48" s="2">
        <v>99.912999999999997</v>
      </c>
      <c r="AG48" s="2">
        <v>30.349</v>
      </c>
      <c r="AH48" s="2">
        <v>15.19978545902376</v>
      </c>
      <c r="AI48" s="2">
        <v>4.2253851047743138</v>
      </c>
      <c r="AJ48" s="2">
        <v>-334.4024727344617</v>
      </c>
      <c r="AK48" s="2">
        <v>-87.181815504371855</v>
      </c>
      <c r="AL48" s="2">
        <v>0</v>
      </c>
      <c r="AM48" s="2">
        <v>-140.17057579947689</v>
      </c>
      <c r="AN48" s="2">
        <v>170.5</v>
      </c>
      <c r="AO48" s="2">
        <v>133.900223728827</v>
      </c>
      <c r="AP48" s="2">
        <v>185.2599694946378</v>
      </c>
      <c r="AQ48" s="2">
        <v>16.17973007400504</v>
      </c>
      <c r="AR48" s="2">
        <v>-436.34528864372891</v>
      </c>
      <c r="AS48" s="2">
        <v>0</v>
      </c>
      <c r="AT48" s="2">
        <v>-1415.3586618964109</v>
      </c>
      <c r="AU48" s="1">
        <v>130.262</v>
      </c>
      <c r="AV48" s="2">
        <v>16.443563696943329</v>
      </c>
      <c r="AW48" s="2">
        <v>-437.92374950246619</v>
      </c>
      <c r="AX48" s="2">
        <v>133.900223728827</v>
      </c>
      <c r="AZ48" s="1">
        <f t="shared" si="62"/>
        <v>99.912999999999997</v>
      </c>
      <c r="BA48" s="2">
        <f t="shared" si="63"/>
        <v>15.19978545902376</v>
      </c>
      <c r="BB48" s="7">
        <f t="shared" si="64"/>
        <v>-334.4024727344617</v>
      </c>
      <c r="BC48" s="1">
        <f t="shared" si="65"/>
        <v>30.349</v>
      </c>
      <c r="BD48" s="2">
        <f t="shared" si="66"/>
        <v>4.2253851047743138</v>
      </c>
      <c r="BE48" s="2">
        <f t="shared" si="67"/>
        <v>-87.181815504371855</v>
      </c>
      <c r="BF48" s="2">
        <f t="shared" si="68"/>
        <v>0</v>
      </c>
      <c r="BG48" s="7">
        <f t="shared" si="69"/>
        <v>-140.17057579947689</v>
      </c>
      <c r="BH48" s="1">
        <f t="shared" si="70"/>
        <v>130.262</v>
      </c>
      <c r="BI48" s="2">
        <f t="shared" si="71"/>
        <v>19.425170563798073</v>
      </c>
      <c r="BJ48" s="2">
        <f t="shared" si="72"/>
        <v>421.58428823883355</v>
      </c>
      <c r="BK48" s="2">
        <f t="shared" si="73"/>
        <v>0</v>
      </c>
      <c r="BL48" s="7">
        <f t="shared" si="74"/>
        <v>-140.17057579947689</v>
      </c>
      <c r="BN48" s="1"/>
      <c r="BO48" s="4"/>
      <c r="BP48" s="2"/>
      <c r="BQ48" s="2"/>
      <c r="BR48" s="3"/>
      <c r="BS48" s="1"/>
      <c r="BT48" s="2"/>
      <c r="BU48" s="21"/>
      <c r="BV48" s="2"/>
      <c r="BW48" s="2"/>
      <c r="BX48" s="21"/>
      <c r="BY48" s="15"/>
    </row>
    <row r="49" spans="1:77" x14ac:dyDescent="0.25">
      <c r="A49" t="str">
        <f t="shared" si="3"/>
        <v>Travée</v>
      </c>
      <c r="B49" t="b">
        <f t="shared" si="4"/>
        <v>0</v>
      </c>
      <c r="C49">
        <f t="shared" si="61"/>
        <v>5</v>
      </c>
      <c r="D49" s="5" t="s">
        <v>92</v>
      </c>
      <c r="E49" t="s">
        <v>48</v>
      </c>
      <c r="F49" s="5">
        <v>25</v>
      </c>
      <c r="G49" t="s">
        <v>46</v>
      </c>
      <c r="H49">
        <v>500</v>
      </c>
      <c r="I49">
        <v>220000</v>
      </c>
      <c r="J49">
        <v>1576</v>
      </c>
      <c r="K49" s="10">
        <v>1870</v>
      </c>
      <c r="L49" s="12">
        <v>1</v>
      </c>
      <c r="M49" s="5">
        <v>0.215</v>
      </c>
      <c r="N49" s="10">
        <v>2.2000000000000002</v>
      </c>
      <c r="O49" s="5">
        <v>8.5000000000000006E-4</v>
      </c>
      <c r="P49">
        <v>0.03</v>
      </c>
      <c r="Q49" s="10">
        <v>1</v>
      </c>
      <c r="R49" s="8">
        <v>0</v>
      </c>
      <c r="S49">
        <v>0</v>
      </c>
      <c r="T49">
        <v>1</v>
      </c>
      <c r="U49" s="9">
        <v>2.9099999999999999E-5</v>
      </c>
      <c r="V49">
        <v>0</v>
      </c>
      <c r="W49" s="10">
        <v>7</v>
      </c>
      <c r="X49" s="1">
        <v>61.50656</v>
      </c>
      <c r="Y49" s="2">
        <v>18.682880000000001</v>
      </c>
      <c r="Z49" s="13">
        <v>0</v>
      </c>
      <c r="AA49" s="2">
        <v>61.50656</v>
      </c>
      <c r="AB49" s="2">
        <v>18.682880000000001</v>
      </c>
      <c r="AC49" s="2">
        <v>104.96</v>
      </c>
      <c r="AD49" s="2"/>
      <c r="AE49" s="7">
        <v>80.189440000000005</v>
      </c>
      <c r="AF49" s="2">
        <v>61.50656</v>
      </c>
      <c r="AG49" s="2">
        <v>18.682880000000001</v>
      </c>
      <c r="AH49" s="2">
        <v>11.492967122368549</v>
      </c>
      <c r="AI49" s="2">
        <v>2.9742542468465918</v>
      </c>
      <c r="AJ49" s="2">
        <v>-411.9116192028186</v>
      </c>
      <c r="AK49" s="2">
        <v>-92.030194470468331</v>
      </c>
      <c r="AL49" s="2">
        <v>0</v>
      </c>
      <c r="AM49" s="2">
        <v>-121.02052473442571</v>
      </c>
      <c r="AN49" s="2">
        <v>104.96</v>
      </c>
      <c r="AO49" s="2">
        <v>71.011605504923097</v>
      </c>
      <c r="AP49" s="2">
        <v>141.25656197468399</v>
      </c>
      <c r="AQ49" s="2">
        <v>12.3938320575283</v>
      </c>
      <c r="AR49" s="2">
        <v>-435.96607131020659</v>
      </c>
      <c r="AS49" s="2">
        <v>0</v>
      </c>
      <c r="AT49" s="2">
        <v>-1007.091787302229</v>
      </c>
      <c r="AU49" s="1">
        <v>80.189440000000005</v>
      </c>
      <c r="AV49" s="2">
        <v>0</v>
      </c>
      <c r="AW49" s="2">
        <v>0</v>
      </c>
      <c r="AX49" s="2">
        <v>71.011605504923097</v>
      </c>
      <c r="AZ49" s="1">
        <f t="shared" si="62"/>
        <v>61.50656</v>
      </c>
      <c r="BA49" s="2">
        <f t="shared" si="63"/>
        <v>11.492967122368549</v>
      </c>
      <c r="BB49" s="7">
        <f t="shared" si="64"/>
        <v>-411.9116192028186</v>
      </c>
      <c r="BC49" s="1">
        <f t="shared" si="65"/>
        <v>18.682880000000001</v>
      </c>
      <c r="BD49" s="2">
        <f t="shared" si="66"/>
        <v>2.9742542468465918</v>
      </c>
      <c r="BE49" s="2">
        <f t="shared" si="67"/>
        <v>-92.030194470468331</v>
      </c>
      <c r="BF49" s="2">
        <f t="shared" si="68"/>
        <v>0</v>
      </c>
      <c r="BG49" s="7">
        <f t="shared" si="69"/>
        <v>-121.02052473442571</v>
      </c>
      <c r="BH49" s="1">
        <f t="shared" si="70"/>
        <v>80.189440000000005</v>
      </c>
      <c r="BI49" s="2">
        <f t="shared" si="71"/>
        <v>14.467221369215141</v>
      </c>
      <c r="BJ49" s="2">
        <f t="shared" si="72"/>
        <v>503.9418136732869</v>
      </c>
      <c r="BK49" s="2">
        <f t="shared" si="73"/>
        <v>0</v>
      </c>
      <c r="BL49" s="7">
        <f t="shared" si="74"/>
        <v>-121.02052473442571</v>
      </c>
      <c r="BN49" s="1"/>
      <c r="BO49" s="4"/>
      <c r="BP49" s="2"/>
      <c r="BQ49" s="2"/>
      <c r="BR49" s="3"/>
      <c r="BS49" s="1"/>
      <c r="BT49" s="2"/>
      <c r="BU49" s="21"/>
      <c r="BV49" s="2"/>
      <c r="BW49" s="2"/>
      <c r="BX49" s="21"/>
      <c r="BY49" s="10"/>
    </row>
    <row r="50" spans="1:77" x14ac:dyDescent="0.25">
      <c r="A50" t="str">
        <f t="shared" si="3"/>
        <v>Appui</v>
      </c>
      <c r="B50" t="b">
        <f t="shared" si="4"/>
        <v>0</v>
      </c>
      <c r="C50">
        <f t="shared" si="61"/>
        <v>5</v>
      </c>
      <c r="D50" s="5" t="s">
        <v>92</v>
      </c>
      <c r="E50" t="s">
        <v>49</v>
      </c>
      <c r="F50" s="5">
        <v>25</v>
      </c>
      <c r="G50" t="s">
        <v>46</v>
      </c>
      <c r="H50">
        <v>500</v>
      </c>
      <c r="I50">
        <v>220000</v>
      </c>
      <c r="J50">
        <v>1576</v>
      </c>
      <c r="K50" s="10">
        <v>1870</v>
      </c>
      <c r="L50" s="12">
        <v>1</v>
      </c>
      <c r="M50" s="5">
        <v>0.2</v>
      </c>
      <c r="N50" s="10">
        <v>2.2000000000000002</v>
      </c>
      <c r="O50" s="5">
        <v>2.63E-3</v>
      </c>
      <c r="P50">
        <v>0.03</v>
      </c>
      <c r="Q50" s="10">
        <v>1</v>
      </c>
      <c r="R50" s="8">
        <v>0</v>
      </c>
      <c r="S50">
        <v>0</v>
      </c>
      <c r="T50">
        <v>1</v>
      </c>
      <c r="U50" s="9">
        <v>0</v>
      </c>
      <c r="V50">
        <v>0</v>
      </c>
      <c r="W50" s="10">
        <v>0</v>
      </c>
      <c r="X50" s="1">
        <v>87.021000000000001</v>
      </c>
      <c r="Y50" s="2">
        <v>26.433</v>
      </c>
      <c r="Z50" s="13">
        <v>0</v>
      </c>
      <c r="AA50" s="2">
        <v>87.021000000000001</v>
      </c>
      <c r="AB50" s="2">
        <v>26.433</v>
      </c>
      <c r="AC50" s="2">
        <v>148.5</v>
      </c>
      <c r="AD50" s="2"/>
      <c r="AE50" s="7">
        <v>113.45399999999999</v>
      </c>
      <c r="AF50" s="2">
        <v>87.021000000000001</v>
      </c>
      <c r="AG50" s="2">
        <v>26.433</v>
      </c>
      <c r="AH50" s="2">
        <v>11.63647933343392</v>
      </c>
      <c r="AI50" s="2">
        <v>3.5346302412137161</v>
      </c>
      <c r="AJ50" s="2">
        <v>-213.02473208849119</v>
      </c>
      <c r="AK50" s="2">
        <v>-64.707171180463192</v>
      </c>
      <c r="AL50" s="2">
        <v>0</v>
      </c>
      <c r="AM50" s="2">
        <v>0</v>
      </c>
      <c r="AN50" s="2">
        <v>148.5</v>
      </c>
      <c r="AO50" s="2">
        <v>178.52985178273309</v>
      </c>
      <c r="AP50" s="2">
        <v>178.52985178273309</v>
      </c>
      <c r="AQ50" s="2">
        <v>13.15577325809536</v>
      </c>
      <c r="AR50" s="2">
        <v>-380.72853933243829</v>
      </c>
      <c r="AS50" s="2">
        <v>0</v>
      </c>
      <c r="AT50" s="2">
        <v>0</v>
      </c>
      <c r="AU50" s="1">
        <v>113.45399999999999</v>
      </c>
      <c r="AV50" s="2">
        <v>10.60614284373108</v>
      </c>
      <c r="AW50" s="2">
        <v>-289.34477325833478</v>
      </c>
      <c r="AX50" s="2">
        <v>178.52985178273309</v>
      </c>
      <c r="AZ50" s="1">
        <f t="shared" si="62"/>
        <v>87.021000000000001</v>
      </c>
      <c r="BA50" s="2">
        <f t="shared" si="63"/>
        <v>11.63647933343392</v>
      </c>
      <c r="BB50" s="7">
        <f t="shared" si="64"/>
        <v>-213.02473208849119</v>
      </c>
      <c r="BC50" s="1">
        <f t="shared" si="65"/>
        <v>26.433</v>
      </c>
      <c r="BD50" s="2">
        <f t="shared" si="66"/>
        <v>3.5346302412137161</v>
      </c>
      <c r="BE50" s="2">
        <f t="shared" si="67"/>
        <v>-64.707171180463192</v>
      </c>
      <c r="BF50" s="2">
        <f t="shared" si="68"/>
        <v>0</v>
      </c>
      <c r="BG50" s="7">
        <f t="shared" si="69"/>
        <v>0</v>
      </c>
      <c r="BH50" s="1">
        <f t="shared" si="70"/>
        <v>113.45400000000001</v>
      </c>
      <c r="BI50" s="2">
        <f t="shared" si="71"/>
        <v>15.171109574647636</v>
      </c>
      <c r="BJ50" s="2">
        <f t="shared" si="72"/>
        <v>277.7319032689544</v>
      </c>
      <c r="BK50" s="2">
        <f t="shared" si="73"/>
        <v>0</v>
      </c>
      <c r="BL50" s="7">
        <f t="shared" si="74"/>
        <v>0</v>
      </c>
      <c r="BN50" s="1"/>
      <c r="BO50" s="4"/>
      <c r="BP50" s="2"/>
      <c r="BQ50" s="2"/>
      <c r="BR50" s="3"/>
      <c r="BS50" s="1"/>
      <c r="BT50" s="2"/>
      <c r="BU50" s="21"/>
      <c r="BV50" s="2"/>
      <c r="BW50" s="2"/>
      <c r="BX50" s="21"/>
      <c r="BY50" s="15"/>
    </row>
    <row r="51" spans="1:77" x14ac:dyDescent="0.25">
      <c r="A51" t="str">
        <f t="shared" si="3"/>
        <v>Travée</v>
      </c>
      <c r="B51" t="b">
        <f t="shared" si="4"/>
        <v>0</v>
      </c>
      <c r="C51">
        <f t="shared" si="61"/>
        <v>5</v>
      </c>
      <c r="D51" s="5" t="s">
        <v>92</v>
      </c>
      <c r="E51" t="s">
        <v>51</v>
      </c>
      <c r="F51" s="5">
        <v>25</v>
      </c>
      <c r="G51" t="s">
        <v>46</v>
      </c>
      <c r="H51">
        <v>500</v>
      </c>
      <c r="I51">
        <v>220000</v>
      </c>
      <c r="J51">
        <v>1576</v>
      </c>
      <c r="K51" s="10">
        <v>1870</v>
      </c>
      <c r="L51" s="12">
        <v>1</v>
      </c>
      <c r="M51" s="5">
        <v>0.215</v>
      </c>
      <c r="N51" s="10">
        <v>2.2000000000000002</v>
      </c>
      <c r="O51" s="5">
        <v>2.7999999999999998E-4</v>
      </c>
      <c r="P51">
        <v>0.03</v>
      </c>
      <c r="Q51" s="10">
        <v>1</v>
      </c>
      <c r="R51" s="8">
        <v>0</v>
      </c>
      <c r="S51">
        <v>0</v>
      </c>
      <c r="T51">
        <v>1</v>
      </c>
      <c r="U51" s="9">
        <v>2.9099999999999999E-5</v>
      </c>
      <c r="V51">
        <v>0</v>
      </c>
      <c r="W51" s="10">
        <v>2</v>
      </c>
      <c r="X51" s="1">
        <v>3.7504</v>
      </c>
      <c r="Y51" s="2">
        <v>1.1392</v>
      </c>
      <c r="Z51" s="13">
        <v>0</v>
      </c>
      <c r="AA51" s="2">
        <v>3.7504</v>
      </c>
      <c r="AB51" s="2">
        <v>1.1392</v>
      </c>
      <c r="AC51" s="2">
        <v>6.4</v>
      </c>
      <c r="AD51" s="2"/>
      <c r="AE51" s="7">
        <v>4.8895999999999997</v>
      </c>
      <c r="AF51" s="2">
        <v>3.7504</v>
      </c>
      <c r="AG51" s="2">
        <v>1.1392</v>
      </c>
      <c r="AH51" s="2">
        <v>1.157161188690085</v>
      </c>
      <c r="AI51" s="2">
        <v>0.30364804674585938</v>
      </c>
      <c r="AJ51" s="2">
        <v>-74.688416607345602</v>
      </c>
      <c r="AK51" s="2">
        <v>-17.31581708331635</v>
      </c>
      <c r="AL51" s="2">
        <v>0</v>
      </c>
      <c r="AM51" s="2">
        <v>-22.48033047673886</v>
      </c>
      <c r="AN51" s="2">
        <v>6.4</v>
      </c>
      <c r="AO51" s="2">
        <v>23.808964426877491</v>
      </c>
      <c r="AP51" s="2">
        <v>44.605310274388877</v>
      </c>
      <c r="AQ51" s="2">
        <v>1.260167394000776</v>
      </c>
      <c r="AR51" s="2">
        <v>-98.308208418764153</v>
      </c>
      <c r="AS51" s="2">
        <v>0</v>
      </c>
      <c r="AT51" s="2">
        <v>-128.4255396526307</v>
      </c>
      <c r="AU51" s="1">
        <v>4.8895999999999997</v>
      </c>
      <c r="AV51" s="2">
        <v>1.1182583276561211</v>
      </c>
      <c r="AW51" s="2">
        <v>-98.403764514961097</v>
      </c>
      <c r="AX51" s="2">
        <v>23.808964426877491</v>
      </c>
      <c r="AZ51" s="1">
        <f t="shared" si="62"/>
        <v>3.7504</v>
      </c>
      <c r="BA51" s="2">
        <f t="shared" si="63"/>
        <v>1.157161188690085</v>
      </c>
      <c r="BB51" s="7">
        <f t="shared" si="64"/>
        <v>-74.688416607345602</v>
      </c>
      <c r="BC51" s="1">
        <f t="shared" si="65"/>
        <v>1.1392</v>
      </c>
      <c r="BD51" s="2">
        <f t="shared" si="66"/>
        <v>0.30364804674585938</v>
      </c>
      <c r="BE51" s="2">
        <f t="shared" si="67"/>
        <v>-17.31581708331635</v>
      </c>
      <c r="BF51" s="2">
        <f t="shared" si="68"/>
        <v>0</v>
      </c>
      <c r="BG51" s="7">
        <f t="shared" si="69"/>
        <v>-22.48033047673886</v>
      </c>
      <c r="BH51" s="1">
        <f t="shared" si="70"/>
        <v>4.8895999999999997</v>
      </c>
      <c r="BI51" s="2">
        <f t="shared" si="71"/>
        <v>1.4608092354359443</v>
      </c>
      <c r="BJ51" s="2">
        <f t="shared" si="72"/>
        <v>92.004233690661948</v>
      </c>
      <c r="BK51" s="2">
        <f t="shared" si="73"/>
        <v>0</v>
      </c>
      <c r="BL51" s="7">
        <f t="shared" si="74"/>
        <v>-22.48033047673886</v>
      </c>
      <c r="BN51" s="1"/>
      <c r="BO51" s="4"/>
      <c r="BP51" s="2"/>
      <c r="BQ51" s="2"/>
      <c r="BR51" s="3"/>
      <c r="BS51" s="1"/>
      <c r="BT51" s="2"/>
      <c r="BU51" s="21"/>
      <c r="BV51" s="2"/>
      <c r="BW51" s="2"/>
      <c r="BX51" s="21"/>
      <c r="BY51" s="10"/>
    </row>
    <row r="52" spans="1:77" x14ac:dyDescent="0.25">
      <c r="A52" t="str">
        <f t="shared" si="3"/>
        <v>Appui</v>
      </c>
      <c r="B52" t="b">
        <f t="shared" si="4"/>
        <v>0</v>
      </c>
      <c r="C52">
        <f t="shared" si="61"/>
        <v>5</v>
      </c>
      <c r="D52" s="5" t="s">
        <v>92</v>
      </c>
      <c r="E52" t="s">
        <v>52</v>
      </c>
      <c r="F52" s="5">
        <v>25</v>
      </c>
      <c r="G52" t="s">
        <v>46</v>
      </c>
      <c r="H52">
        <v>500</v>
      </c>
      <c r="I52">
        <v>220000</v>
      </c>
      <c r="J52">
        <v>1576</v>
      </c>
      <c r="K52" s="10">
        <v>1870</v>
      </c>
      <c r="L52" s="12">
        <v>1</v>
      </c>
      <c r="M52" s="5">
        <v>0.23</v>
      </c>
      <c r="N52" s="10">
        <v>2.2000000000000002</v>
      </c>
      <c r="O52" s="5">
        <v>1.9499999999999999E-3</v>
      </c>
      <c r="P52">
        <v>0.06</v>
      </c>
      <c r="Q52" s="10">
        <v>1</v>
      </c>
      <c r="R52" s="8">
        <v>0</v>
      </c>
      <c r="S52">
        <v>0</v>
      </c>
      <c r="T52">
        <v>1</v>
      </c>
      <c r="U52" s="9">
        <v>0</v>
      </c>
      <c r="V52">
        <v>0</v>
      </c>
      <c r="W52" s="10">
        <v>0</v>
      </c>
      <c r="X52" s="1">
        <v>19.338000000000001</v>
      </c>
      <c r="Y52" s="2">
        <v>5.8739999999999997</v>
      </c>
      <c r="Z52" s="13">
        <v>0</v>
      </c>
      <c r="AA52" s="2">
        <v>19.338000000000001</v>
      </c>
      <c r="AB52" s="2">
        <v>5.8739999999999997</v>
      </c>
      <c r="AC52" s="2">
        <v>33</v>
      </c>
      <c r="AD52" s="2"/>
      <c r="AE52" s="7">
        <v>25.212</v>
      </c>
      <c r="AF52" s="2">
        <v>19.338000000000001</v>
      </c>
      <c r="AG52" s="2">
        <v>5.8739999999999997</v>
      </c>
      <c r="AH52" s="2">
        <v>2.9100962596148641</v>
      </c>
      <c r="AI52" s="2">
        <v>0.88395428909513096</v>
      </c>
      <c r="AJ52" s="2">
        <v>-63.129145983164882</v>
      </c>
      <c r="AK52" s="2">
        <v>-19.175746613081369</v>
      </c>
      <c r="AL52" s="2">
        <v>0</v>
      </c>
      <c r="AM52" s="2">
        <v>0</v>
      </c>
      <c r="AN52" s="2">
        <v>33</v>
      </c>
      <c r="AO52" s="2">
        <v>137.0466606626849</v>
      </c>
      <c r="AP52" s="2">
        <v>137.0466606626849</v>
      </c>
      <c r="AQ52" s="2">
        <v>3.7531126778398849</v>
      </c>
      <c r="AR52" s="2">
        <v>-110.8499638298381</v>
      </c>
      <c r="AS52" s="2">
        <v>0</v>
      </c>
      <c r="AT52" s="2">
        <v>0</v>
      </c>
      <c r="AU52" s="1">
        <v>25.212</v>
      </c>
      <c r="AV52" s="2">
        <v>2.8920081430917008</v>
      </c>
      <c r="AW52" s="2">
        <v>-84.629272156467749</v>
      </c>
      <c r="AX52" s="2">
        <v>137.0466606626849</v>
      </c>
      <c r="AZ52" s="1">
        <f t="shared" si="62"/>
        <v>19.338000000000001</v>
      </c>
      <c r="BA52" s="2">
        <f t="shared" si="63"/>
        <v>2.9100962596148641</v>
      </c>
      <c r="BB52" s="7">
        <f t="shared" si="64"/>
        <v>-63.129145983164882</v>
      </c>
      <c r="BC52" s="1">
        <f t="shared" si="65"/>
        <v>5.8739999999999997</v>
      </c>
      <c r="BD52" s="2">
        <f t="shared" si="66"/>
        <v>0.88395428909513096</v>
      </c>
      <c r="BE52" s="2">
        <f t="shared" si="67"/>
        <v>-19.175746613081369</v>
      </c>
      <c r="BF52" s="2">
        <f t="shared" si="68"/>
        <v>0</v>
      </c>
      <c r="BG52" s="7">
        <f t="shared" si="69"/>
        <v>0</v>
      </c>
      <c r="BH52" s="1">
        <f t="shared" si="70"/>
        <v>25.212</v>
      </c>
      <c r="BI52" s="2">
        <f t="shared" si="71"/>
        <v>3.7940505487099951</v>
      </c>
      <c r="BJ52" s="2">
        <f t="shared" si="72"/>
        <v>82.304892596246248</v>
      </c>
      <c r="BK52" s="2">
        <f t="shared" si="73"/>
        <v>0</v>
      </c>
      <c r="BL52" s="7">
        <f t="shared" si="74"/>
        <v>0</v>
      </c>
      <c r="BN52" s="1"/>
      <c r="BO52" s="4"/>
      <c r="BP52" s="2"/>
      <c r="BQ52" s="2"/>
      <c r="BR52" s="3"/>
      <c r="BS52" s="1"/>
      <c r="BT52" s="2"/>
      <c r="BU52" s="21"/>
      <c r="BV52" s="2"/>
      <c r="BW52" s="2"/>
      <c r="BX52" s="21"/>
      <c r="BY52" s="15"/>
    </row>
    <row r="53" spans="1:77" x14ac:dyDescent="0.25">
      <c r="A53" t="str">
        <f t="shared" si="3"/>
        <v>Travée</v>
      </c>
      <c r="B53" t="b">
        <f t="shared" si="4"/>
        <v>0</v>
      </c>
      <c r="C53">
        <f t="shared" si="61"/>
        <v>5</v>
      </c>
      <c r="D53" s="5" t="s">
        <v>92</v>
      </c>
      <c r="E53" t="s">
        <v>53</v>
      </c>
      <c r="F53" s="5">
        <v>25</v>
      </c>
      <c r="G53" t="s">
        <v>46</v>
      </c>
      <c r="H53">
        <v>500</v>
      </c>
      <c r="I53">
        <v>220000</v>
      </c>
      <c r="J53">
        <v>1576</v>
      </c>
      <c r="K53" s="10">
        <v>1870</v>
      </c>
      <c r="L53" s="12">
        <v>1</v>
      </c>
      <c r="M53" s="5">
        <v>0.215</v>
      </c>
      <c r="N53" s="10">
        <v>2.2000000000000002</v>
      </c>
      <c r="O53" s="5">
        <v>2.7999999999999998E-4</v>
      </c>
      <c r="P53">
        <v>3.5000000000000003E-2</v>
      </c>
      <c r="Q53" s="10">
        <v>1</v>
      </c>
      <c r="R53" s="8">
        <v>0</v>
      </c>
      <c r="S53">
        <v>0</v>
      </c>
      <c r="T53">
        <v>1</v>
      </c>
      <c r="U53" s="9">
        <v>2.9099999999999999E-5</v>
      </c>
      <c r="V53">
        <v>0</v>
      </c>
      <c r="W53" s="10">
        <v>2</v>
      </c>
      <c r="X53" s="1">
        <v>7.5007999999999999</v>
      </c>
      <c r="Y53" s="2">
        <v>2.2784</v>
      </c>
      <c r="Z53" s="13">
        <v>0</v>
      </c>
      <c r="AA53" s="2">
        <v>7.5007999999999999</v>
      </c>
      <c r="AB53" s="2">
        <v>2.2784</v>
      </c>
      <c r="AC53" s="2">
        <v>12.8</v>
      </c>
      <c r="AD53" s="2"/>
      <c r="AE53" s="7">
        <v>9.7791999999999994</v>
      </c>
      <c r="AF53" s="2">
        <v>7.5007999999999999</v>
      </c>
      <c r="AG53" s="2">
        <v>2.2784</v>
      </c>
      <c r="AH53" s="2">
        <v>2.4111767779199829</v>
      </c>
      <c r="AI53" s="2">
        <v>0.627296787240752</v>
      </c>
      <c r="AJ53" s="2">
        <v>-153.61413033459061</v>
      </c>
      <c r="AK53" s="2">
        <v>-35.103898335011358</v>
      </c>
      <c r="AL53" s="2">
        <v>0</v>
      </c>
      <c r="AM53" s="2">
        <v>-46.975161303585693</v>
      </c>
      <c r="AN53" s="2">
        <v>12.8</v>
      </c>
      <c r="AO53" s="2">
        <v>23.15666403162064</v>
      </c>
      <c r="AP53" s="2">
        <v>43.984040563983577</v>
      </c>
      <c r="AQ53" s="2">
        <v>2.5666822522658341</v>
      </c>
      <c r="AR53" s="2">
        <v>-199.34750559115801</v>
      </c>
      <c r="AS53" s="2">
        <v>0</v>
      </c>
      <c r="AT53" s="2">
        <v>-268.78356179199977</v>
      </c>
      <c r="AU53" s="1">
        <v>9.7791999999999994</v>
      </c>
      <c r="AV53" s="2">
        <v>2.3044748296290551</v>
      </c>
      <c r="AW53" s="2">
        <v>-202.47642029783549</v>
      </c>
      <c r="AX53" s="2">
        <v>23.15666403162064</v>
      </c>
      <c r="AZ53" s="1">
        <f t="shared" si="62"/>
        <v>7.5007999999999999</v>
      </c>
      <c r="BA53" s="2">
        <f t="shared" si="63"/>
        <v>2.4111767779199829</v>
      </c>
      <c r="BB53" s="7">
        <f t="shared" si="64"/>
        <v>-153.61413033459061</v>
      </c>
      <c r="BC53" s="1">
        <f t="shared" si="65"/>
        <v>2.2784</v>
      </c>
      <c r="BD53" s="2">
        <f t="shared" si="66"/>
        <v>0.627296787240752</v>
      </c>
      <c r="BE53" s="2">
        <f t="shared" si="67"/>
        <v>-35.103898335011358</v>
      </c>
      <c r="BF53" s="2">
        <f t="shared" si="68"/>
        <v>0</v>
      </c>
      <c r="BG53" s="7">
        <f t="shared" si="69"/>
        <v>-46.975161303585693</v>
      </c>
      <c r="BH53" s="1">
        <f t="shared" si="70"/>
        <v>9.7791999999999994</v>
      </c>
      <c r="BI53" s="2">
        <f t="shared" si="71"/>
        <v>3.0384735651607349</v>
      </c>
      <c r="BJ53" s="2">
        <f t="shared" si="72"/>
        <v>188.71802866960198</v>
      </c>
      <c r="BK53" s="2">
        <f t="shared" si="73"/>
        <v>0</v>
      </c>
      <c r="BL53" s="7">
        <f t="shared" si="74"/>
        <v>-46.975161303585693</v>
      </c>
      <c r="BN53" s="1"/>
      <c r="BO53" s="4"/>
      <c r="BP53" s="2"/>
      <c r="BQ53" s="2"/>
      <c r="BR53" s="3"/>
      <c r="BS53" s="1"/>
      <c r="BT53" s="2"/>
      <c r="BU53" s="21"/>
      <c r="BV53" s="2"/>
      <c r="BW53" s="2"/>
      <c r="BX53" s="21"/>
      <c r="BY53" s="10"/>
    </row>
    <row r="54" spans="1:77" x14ac:dyDescent="0.25">
      <c r="A54" t="str">
        <f t="shared" si="3"/>
        <v>Appui</v>
      </c>
      <c r="B54" t="b">
        <f t="shared" si="4"/>
        <v>0</v>
      </c>
      <c r="C54">
        <f t="shared" si="61"/>
        <v>5</v>
      </c>
      <c r="D54" s="5" t="s">
        <v>92</v>
      </c>
      <c r="E54" t="s">
        <v>54</v>
      </c>
      <c r="F54" s="5">
        <v>25</v>
      </c>
      <c r="G54" t="s">
        <v>46</v>
      </c>
      <c r="H54">
        <v>500</v>
      </c>
      <c r="I54">
        <v>220000</v>
      </c>
      <c r="J54">
        <v>1576</v>
      </c>
      <c r="K54" s="10">
        <v>1870</v>
      </c>
      <c r="L54" s="12">
        <v>1</v>
      </c>
      <c r="M54" s="5">
        <v>0.2</v>
      </c>
      <c r="N54" s="10">
        <v>2.2000000000000002</v>
      </c>
      <c r="O54" s="5">
        <v>2.63E-3</v>
      </c>
      <c r="P54">
        <v>0.03</v>
      </c>
      <c r="Q54" s="10">
        <v>1</v>
      </c>
      <c r="R54" s="8">
        <v>0</v>
      </c>
      <c r="S54">
        <v>0</v>
      </c>
      <c r="T54">
        <v>1</v>
      </c>
      <c r="U54" s="9">
        <v>0</v>
      </c>
      <c r="V54">
        <v>0</v>
      </c>
      <c r="W54" s="10">
        <v>0</v>
      </c>
      <c r="X54" s="1">
        <v>70.906000000000006</v>
      </c>
      <c r="Y54" s="2">
        <v>21.538</v>
      </c>
      <c r="Z54" s="13">
        <v>0</v>
      </c>
      <c r="AA54" s="2">
        <v>70.906000000000006</v>
      </c>
      <c r="AB54" s="2">
        <v>21.538</v>
      </c>
      <c r="AC54" s="2">
        <v>121</v>
      </c>
      <c r="AD54" s="2"/>
      <c r="AE54" s="7">
        <v>92.444000000000003</v>
      </c>
      <c r="AF54" s="2">
        <v>70.906000000000006</v>
      </c>
      <c r="AG54" s="2">
        <v>21.538</v>
      </c>
      <c r="AH54" s="2">
        <v>9.481575753168384</v>
      </c>
      <c r="AI54" s="2">
        <v>2.8800690854334001</v>
      </c>
      <c r="AJ54" s="2">
        <v>-173.57570762765951</v>
      </c>
      <c r="AK54" s="2">
        <v>-52.72436170259963</v>
      </c>
      <c r="AL54" s="2">
        <v>0</v>
      </c>
      <c r="AM54" s="2">
        <v>0</v>
      </c>
      <c r="AN54" s="2">
        <v>121</v>
      </c>
      <c r="AO54" s="2">
        <v>178.52985178273309</v>
      </c>
      <c r="AP54" s="2">
        <v>178.52985178273309</v>
      </c>
      <c r="AQ54" s="2">
        <v>11.191284348923221</v>
      </c>
      <c r="AR54" s="2">
        <v>-308.91841972726809</v>
      </c>
      <c r="AS54" s="2">
        <v>0</v>
      </c>
      <c r="AT54" s="2">
        <v>0</v>
      </c>
      <c r="AU54" s="1">
        <v>92.444000000000003</v>
      </c>
      <c r="AV54" s="2">
        <v>8.8848218470373546</v>
      </c>
      <c r="AW54" s="2">
        <v>-235.1044499923255</v>
      </c>
      <c r="AX54" s="2">
        <v>178.52985178273309</v>
      </c>
      <c r="AZ54" s="1">
        <f t="shared" si="62"/>
        <v>70.906000000000006</v>
      </c>
      <c r="BA54" s="2">
        <f t="shared" si="63"/>
        <v>9.481575753168384</v>
      </c>
      <c r="BB54" s="7">
        <f t="shared" si="64"/>
        <v>-173.57570762765951</v>
      </c>
      <c r="BC54" s="1">
        <f t="shared" si="65"/>
        <v>21.538</v>
      </c>
      <c r="BD54" s="2">
        <f t="shared" si="66"/>
        <v>2.8800690854334001</v>
      </c>
      <c r="BE54" s="2">
        <f t="shared" si="67"/>
        <v>-52.72436170259963</v>
      </c>
      <c r="BF54" s="2">
        <f t="shared" si="68"/>
        <v>0</v>
      </c>
      <c r="BG54" s="7">
        <f t="shared" si="69"/>
        <v>0</v>
      </c>
      <c r="BH54" s="1">
        <f t="shared" si="70"/>
        <v>92.444000000000003</v>
      </c>
      <c r="BI54" s="2">
        <f t="shared" si="71"/>
        <v>12.361644838601784</v>
      </c>
      <c r="BJ54" s="2">
        <f t="shared" si="72"/>
        <v>226.30006933025913</v>
      </c>
      <c r="BK54" s="2">
        <f t="shared" si="73"/>
        <v>0</v>
      </c>
      <c r="BL54" s="7">
        <f t="shared" si="74"/>
        <v>0</v>
      </c>
      <c r="BN54" s="1"/>
      <c r="BO54" s="4"/>
      <c r="BP54" s="2"/>
      <c r="BQ54" s="2"/>
      <c r="BR54" s="3"/>
      <c r="BS54" s="1"/>
      <c r="BT54" s="2"/>
      <c r="BU54" s="21"/>
      <c r="BV54" s="2"/>
      <c r="BW54" s="2"/>
      <c r="BX54" s="21"/>
      <c r="BY54" s="15"/>
    </row>
    <row r="55" spans="1:77" x14ac:dyDescent="0.25">
      <c r="A55" t="str">
        <f t="shared" si="3"/>
        <v>Travée</v>
      </c>
      <c r="B55" t="b">
        <f t="shared" si="4"/>
        <v>0</v>
      </c>
      <c r="C55">
        <f t="shared" si="61"/>
        <v>5</v>
      </c>
      <c r="D55" s="5" t="s">
        <v>92</v>
      </c>
      <c r="E55" t="s">
        <v>55</v>
      </c>
      <c r="F55" s="5">
        <v>25</v>
      </c>
      <c r="G55" t="s">
        <v>46</v>
      </c>
      <c r="H55">
        <v>500</v>
      </c>
      <c r="I55">
        <v>220000</v>
      </c>
      <c r="J55">
        <v>1576</v>
      </c>
      <c r="K55" s="10">
        <v>1870</v>
      </c>
      <c r="L55" s="12">
        <v>1</v>
      </c>
      <c r="M55" s="5">
        <v>0.215</v>
      </c>
      <c r="N55" s="10">
        <v>2.2000000000000002</v>
      </c>
      <c r="O55" s="5">
        <v>8.470000000000001E-4</v>
      </c>
      <c r="P55">
        <v>0.03</v>
      </c>
      <c r="Q55" s="10">
        <v>1</v>
      </c>
      <c r="R55" s="8">
        <v>0</v>
      </c>
      <c r="S55">
        <v>0</v>
      </c>
      <c r="T55">
        <v>1</v>
      </c>
      <c r="U55" s="9">
        <v>2.9099999999999999E-5</v>
      </c>
      <c r="V55">
        <v>0</v>
      </c>
      <c r="W55" s="10">
        <v>7</v>
      </c>
      <c r="X55" s="1">
        <v>45.004800000000003</v>
      </c>
      <c r="Y55" s="2">
        <v>13.670400000000001</v>
      </c>
      <c r="Z55" s="13">
        <v>0</v>
      </c>
      <c r="AA55" s="2">
        <v>45.004800000000003</v>
      </c>
      <c r="AB55" s="2">
        <v>13.670400000000001</v>
      </c>
      <c r="AC55" s="2">
        <v>76.8</v>
      </c>
      <c r="AD55" s="2"/>
      <c r="AE55" s="7">
        <v>58.675199999999997</v>
      </c>
      <c r="AF55" s="2">
        <v>45.004800000000003</v>
      </c>
      <c r="AG55" s="2">
        <v>13.670400000000001</v>
      </c>
      <c r="AH55" s="2">
        <v>8.4234220638456723</v>
      </c>
      <c r="AI55" s="2">
        <v>2.1784511194041949</v>
      </c>
      <c r="AJ55" s="2">
        <v>-302.43431279498952</v>
      </c>
      <c r="AK55" s="2">
        <v>-67.509958195478049</v>
      </c>
      <c r="AL55" s="2">
        <v>0</v>
      </c>
      <c r="AM55" s="2">
        <v>-88.772396378037058</v>
      </c>
      <c r="AN55" s="2">
        <v>76.8</v>
      </c>
      <c r="AO55" s="2">
        <v>70.77518339887844</v>
      </c>
      <c r="AP55" s="2">
        <v>141.04091869921101</v>
      </c>
      <c r="AQ55" s="2">
        <v>8.5041326343314836</v>
      </c>
      <c r="AR55" s="2">
        <v>-387.39095224738429</v>
      </c>
      <c r="AS55" s="2">
        <v>0</v>
      </c>
      <c r="AT55" s="2">
        <v>-516.65026158175601</v>
      </c>
      <c r="AU55" s="1">
        <v>58.675199999999997</v>
      </c>
      <c r="AV55" s="2">
        <v>7.6730217467795256</v>
      </c>
      <c r="AW55" s="2">
        <v>-403.29962498783692</v>
      </c>
      <c r="AX55" s="2">
        <v>70.77518339887844</v>
      </c>
      <c r="AZ55" s="1">
        <f t="shared" si="62"/>
        <v>45.004800000000003</v>
      </c>
      <c r="BA55" s="2">
        <f t="shared" si="63"/>
        <v>8.4234220638456723</v>
      </c>
      <c r="BB55" s="7">
        <f t="shared" si="64"/>
        <v>-302.43431279498952</v>
      </c>
      <c r="BC55" s="1">
        <f t="shared" si="65"/>
        <v>13.670400000000001</v>
      </c>
      <c r="BD55" s="2">
        <f t="shared" si="66"/>
        <v>2.1784511194041949</v>
      </c>
      <c r="BE55" s="2">
        <f t="shared" si="67"/>
        <v>-67.509958195478049</v>
      </c>
      <c r="BF55" s="2">
        <f t="shared" si="68"/>
        <v>0</v>
      </c>
      <c r="BG55" s="7">
        <f t="shared" si="69"/>
        <v>-88.772396378037058</v>
      </c>
      <c r="BH55" s="1">
        <f t="shared" si="70"/>
        <v>58.675200000000004</v>
      </c>
      <c r="BI55" s="2">
        <f t="shared" si="71"/>
        <v>10.601873183249868</v>
      </c>
      <c r="BJ55" s="2">
        <f t="shared" si="72"/>
        <v>369.94427099046754</v>
      </c>
      <c r="BK55" s="2">
        <f t="shared" si="73"/>
        <v>0</v>
      </c>
      <c r="BL55" s="7">
        <f t="shared" si="74"/>
        <v>-88.772396378037058</v>
      </c>
      <c r="BN55" s="1"/>
      <c r="BO55" s="4"/>
      <c r="BP55" s="2"/>
      <c r="BQ55" s="2"/>
      <c r="BR55" s="3"/>
      <c r="BS55" s="1"/>
      <c r="BT55" s="2"/>
      <c r="BU55" s="21"/>
      <c r="BV55" s="2"/>
      <c r="BW55" s="2"/>
      <c r="BX55" s="21"/>
      <c r="BY55" s="10"/>
    </row>
    <row r="56" spans="1:77" x14ac:dyDescent="0.25">
      <c r="A56" t="str">
        <f t="shared" si="3"/>
        <v>Appui</v>
      </c>
      <c r="B56" t="b">
        <f t="shared" si="4"/>
        <v>0</v>
      </c>
      <c r="C56">
        <f t="shared" si="61"/>
        <v>5</v>
      </c>
      <c r="D56" s="5" t="s">
        <v>92</v>
      </c>
      <c r="E56" t="s">
        <v>56</v>
      </c>
      <c r="F56" s="5">
        <v>25</v>
      </c>
      <c r="G56" t="s">
        <v>46</v>
      </c>
      <c r="H56">
        <v>500</v>
      </c>
      <c r="I56">
        <v>220000</v>
      </c>
      <c r="J56">
        <v>1576</v>
      </c>
      <c r="K56" s="10">
        <v>1870</v>
      </c>
      <c r="L56" s="12">
        <v>1</v>
      </c>
      <c r="M56" s="5">
        <v>0.23</v>
      </c>
      <c r="N56" s="10">
        <v>2.2000000000000002</v>
      </c>
      <c r="O56" s="5">
        <v>1.1065999999999999E-3</v>
      </c>
      <c r="P56">
        <v>0.06</v>
      </c>
      <c r="Q56" s="10">
        <v>1</v>
      </c>
      <c r="R56" s="8">
        <v>0</v>
      </c>
      <c r="S56">
        <v>0</v>
      </c>
      <c r="T56">
        <v>1</v>
      </c>
      <c r="U56" s="9">
        <v>0</v>
      </c>
      <c r="V56">
        <v>0</v>
      </c>
      <c r="W56" s="10">
        <v>0</v>
      </c>
      <c r="X56" s="1">
        <v>56.080199999999998</v>
      </c>
      <c r="Y56" s="2">
        <v>17.034600000000001</v>
      </c>
      <c r="Z56" s="13">
        <v>0</v>
      </c>
      <c r="AA56" s="2">
        <v>56.080199999999998</v>
      </c>
      <c r="AB56" s="2">
        <v>17.034600000000001</v>
      </c>
      <c r="AC56" s="2">
        <v>95.7</v>
      </c>
      <c r="AD56" s="2"/>
      <c r="AE56" s="7">
        <v>73.114800000000002</v>
      </c>
      <c r="AF56" s="2">
        <v>56.080199999999998</v>
      </c>
      <c r="AG56" s="2">
        <v>17.034600000000001</v>
      </c>
      <c r="AH56" s="2">
        <v>10.656121358262521</v>
      </c>
      <c r="AI56" s="2">
        <v>3.2368423238408321</v>
      </c>
      <c r="AJ56" s="2">
        <v>-316.96274264463972</v>
      </c>
      <c r="AK56" s="2">
        <v>-96.27878530844005</v>
      </c>
      <c r="AL56" s="2">
        <v>0</v>
      </c>
      <c r="AM56" s="2">
        <v>0</v>
      </c>
      <c r="AN56" s="2">
        <v>95.7</v>
      </c>
      <c r="AO56" s="2">
        <v>82.122560698273418</v>
      </c>
      <c r="AP56" s="2">
        <v>82.122560698273418</v>
      </c>
      <c r="AQ56" s="2">
        <v>0</v>
      </c>
      <c r="AR56" s="2">
        <v>0</v>
      </c>
      <c r="AS56" s="2">
        <v>0</v>
      </c>
      <c r="AT56" s="2">
        <v>0</v>
      </c>
      <c r="AU56" s="1">
        <v>73.114800000000002</v>
      </c>
      <c r="AV56" s="2">
        <v>9.557200035128405</v>
      </c>
      <c r="AW56" s="2">
        <v>-424.73866399296952</v>
      </c>
      <c r="AX56" s="2">
        <v>82.122560698273418</v>
      </c>
      <c r="AZ56" s="1">
        <f t="shared" si="62"/>
        <v>56.080199999999998</v>
      </c>
      <c r="BA56" s="2">
        <f t="shared" si="63"/>
        <v>10.656121358262521</v>
      </c>
      <c r="BB56" s="7">
        <f t="shared" si="64"/>
        <v>-316.96274264463972</v>
      </c>
      <c r="BC56" s="1">
        <f t="shared" si="65"/>
        <v>17.034600000000001</v>
      </c>
      <c r="BD56" s="2">
        <f t="shared" si="66"/>
        <v>3.2368423238408321</v>
      </c>
      <c r="BE56" s="2">
        <f t="shared" si="67"/>
        <v>-96.27878530844005</v>
      </c>
      <c r="BF56" s="2">
        <f t="shared" si="68"/>
        <v>0</v>
      </c>
      <c r="BG56" s="7">
        <f t="shared" si="69"/>
        <v>0</v>
      </c>
      <c r="BH56" s="1">
        <f t="shared" si="70"/>
        <v>73.114800000000002</v>
      </c>
      <c r="BI56" s="2">
        <f t="shared" si="71"/>
        <v>13.892963682103353</v>
      </c>
      <c r="BJ56" s="2">
        <f t="shared" si="72"/>
        <v>413.24152795307975</v>
      </c>
      <c r="BK56" s="2">
        <f t="shared" si="73"/>
        <v>0</v>
      </c>
      <c r="BL56" s="7">
        <f t="shared" si="74"/>
        <v>0</v>
      </c>
      <c r="BN56" s="1"/>
      <c r="BO56" s="4"/>
      <c r="BP56" s="2"/>
      <c r="BQ56" s="2"/>
      <c r="BR56" s="3"/>
      <c r="BS56" s="1"/>
      <c r="BT56" s="2"/>
      <c r="BU56" s="21"/>
      <c r="BV56" s="2"/>
      <c r="BW56" s="2"/>
      <c r="BX56" s="21"/>
      <c r="BY56" s="15"/>
    </row>
    <row r="57" spans="1:77" x14ac:dyDescent="0.25">
      <c r="A57" t="str">
        <f t="shared" si="3"/>
        <v>Travée</v>
      </c>
      <c r="B57" t="b">
        <f t="shared" si="4"/>
        <v>0</v>
      </c>
      <c r="C57">
        <f>IF(D57="",100000,IF(D57=D55,C55,C55+1))</f>
        <v>5</v>
      </c>
      <c r="D57" s="5" t="s">
        <v>92</v>
      </c>
      <c r="E57" t="s">
        <v>57</v>
      </c>
      <c r="F57" s="5">
        <v>25</v>
      </c>
      <c r="G57" t="s">
        <v>46</v>
      </c>
      <c r="H57">
        <v>500</v>
      </c>
      <c r="I57">
        <v>220000</v>
      </c>
      <c r="J57">
        <v>1576</v>
      </c>
      <c r="K57" s="10">
        <v>1870</v>
      </c>
      <c r="L57" s="12">
        <v>1</v>
      </c>
      <c r="M57" s="5">
        <v>0.24</v>
      </c>
      <c r="N57" s="10">
        <v>2.2000000000000002</v>
      </c>
      <c r="O57" s="5">
        <v>5.7000000000000009E-4</v>
      </c>
      <c r="P57">
        <v>0.03</v>
      </c>
      <c r="Q57" s="10">
        <v>1</v>
      </c>
      <c r="R57" s="8">
        <v>0</v>
      </c>
      <c r="S57">
        <v>0</v>
      </c>
      <c r="T57">
        <v>1</v>
      </c>
      <c r="U57" s="9">
        <v>2.9099999999999999E-5</v>
      </c>
      <c r="V57">
        <v>0</v>
      </c>
      <c r="W57" s="10">
        <v>2</v>
      </c>
      <c r="X57" s="1">
        <v>18.751999999999999</v>
      </c>
      <c r="Y57" s="2">
        <v>5.6959999999999997</v>
      </c>
      <c r="Z57" s="13">
        <v>0</v>
      </c>
      <c r="AA57" s="2">
        <v>18.751999999999999</v>
      </c>
      <c r="AB57" s="2">
        <v>5.6959999999999997</v>
      </c>
      <c r="AC57" s="2">
        <v>32</v>
      </c>
      <c r="AD57" s="2"/>
      <c r="AE57" s="7">
        <v>24.448</v>
      </c>
      <c r="AF57" s="2">
        <v>18.751999999999999</v>
      </c>
      <c r="AG57" s="2">
        <v>5.6959999999999997</v>
      </c>
      <c r="AH57" s="2">
        <v>3.423719444377133</v>
      </c>
      <c r="AI57" s="2">
        <v>0.96839948747844018</v>
      </c>
      <c r="AJ57" s="2">
        <v>-163.18764878042541</v>
      </c>
      <c r="AK57" s="2">
        <v>-43.193689269922807</v>
      </c>
      <c r="AL57" s="2">
        <v>0</v>
      </c>
      <c r="AM57" s="2">
        <v>-55.267584179263579</v>
      </c>
      <c r="AN57" s="2">
        <v>32</v>
      </c>
      <c r="AO57" s="2">
        <v>54.672372148208026</v>
      </c>
      <c r="AP57" s="2">
        <v>75.512862572392464</v>
      </c>
      <c r="AQ57" s="2">
        <v>3.9504686261414088</v>
      </c>
      <c r="AR57" s="2">
        <v>-246.40529619712791</v>
      </c>
      <c r="AS57" s="2">
        <v>0</v>
      </c>
      <c r="AT57" s="2">
        <v>-317.71917928524408</v>
      </c>
      <c r="AU57" s="1">
        <v>24.448</v>
      </c>
      <c r="AV57" s="2">
        <v>3.2648609191524769</v>
      </c>
      <c r="AW57" s="2">
        <v>-216.00198593628011</v>
      </c>
      <c r="AX57" s="2">
        <v>54.672372148208026</v>
      </c>
      <c r="AZ57" s="1">
        <f t="shared" si="62"/>
        <v>18.751999999999999</v>
      </c>
      <c r="BA57" s="2">
        <f t="shared" si="63"/>
        <v>3.423719444377133</v>
      </c>
      <c r="BB57" s="7">
        <f t="shared" si="64"/>
        <v>-163.18764878042541</v>
      </c>
      <c r="BC57" s="1">
        <f t="shared" si="65"/>
        <v>5.6959999999999997</v>
      </c>
      <c r="BD57" s="2">
        <f t="shared" si="66"/>
        <v>0.96839948747844018</v>
      </c>
      <c r="BE57" s="2">
        <f t="shared" si="67"/>
        <v>-43.193689269922807</v>
      </c>
      <c r="BF57" s="2">
        <f t="shared" si="68"/>
        <v>0</v>
      </c>
      <c r="BG57" s="7">
        <f t="shared" si="69"/>
        <v>-55.267584179263579</v>
      </c>
      <c r="BH57" s="1">
        <f t="shared" si="70"/>
        <v>24.448</v>
      </c>
      <c r="BI57" s="2">
        <f t="shared" si="71"/>
        <v>4.3921189318555731</v>
      </c>
      <c r="BJ57" s="2">
        <f t="shared" si="72"/>
        <v>206.38133805034821</v>
      </c>
      <c r="BK57" s="2">
        <f t="shared" si="73"/>
        <v>0</v>
      </c>
      <c r="BL57" s="7">
        <f t="shared" si="74"/>
        <v>-55.267584179263579</v>
      </c>
      <c r="BN57" s="1"/>
      <c r="BO57" s="4"/>
      <c r="BP57" s="2"/>
      <c r="BQ57" s="2"/>
      <c r="BR57" s="3"/>
      <c r="BS57" s="1"/>
      <c r="BT57" s="2"/>
      <c r="BU57" s="21"/>
      <c r="BV57" s="2"/>
      <c r="BW57" s="2"/>
      <c r="BX57" s="21"/>
      <c r="BY57" s="10"/>
    </row>
    <row r="58" spans="1:77" x14ac:dyDescent="0.25">
      <c r="A58" t="str">
        <f t="shared" si="3"/>
        <v/>
      </c>
      <c r="B58" t="b">
        <f t="shared" si="4"/>
        <v>0</v>
      </c>
      <c r="C58">
        <f>IF(D58="",100000,IF(D58=D56,C56,C56+1))</f>
        <v>5</v>
      </c>
      <c r="D58" s="5" t="s">
        <v>92</v>
      </c>
      <c r="F58" s="5"/>
      <c r="K58" s="10"/>
      <c r="L58" s="12"/>
      <c r="M58" s="5"/>
      <c r="N58" s="10"/>
      <c r="O58" s="5"/>
      <c r="Q58" s="10"/>
      <c r="R58" s="8"/>
      <c r="U58" s="9"/>
      <c r="W58" s="10"/>
      <c r="X58" s="1"/>
      <c r="Y58" s="2"/>
      <c r="Z58" s="13"/>
      <c r="AA58" s="2"/>
      <c r="AB58" s="2"/>
      <c r="AC58" s="2"/>
      <c r="AD58" s="2"/>
      <c r="AE58" s="7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"/>
      <c r="AV58" s="2"/>
      <c r="AW58" s="2"/>
      <c r="AX58" s="2"/>
      <c r="AZ58" s="1"/>
      <c r="BA58" s="2"/>
      <c r="BB58" s="7"/>
      <c r="BC58" s="1"/>
      <c r="BD58" s="2"/>
      <c r="BE58" s="2"/>
      <c r="BF58" s="2"/>
      <c r="BG58" s="7"/>
      <c r="BH58" s="1"/>
      <c r="BI58" s="2"/>
      <c r="BJ58" s="2"/>
      <c r="BK58" s="2"/>
      <c r="BL58" s="7"/>
      <c r="BN58" s="1"/>
      <c r="BO58" s="4"/>
      <c r="BP58" s="2"/>
      <c r="BQ58" s="2"/>
      <c r="BR58" s="3"/>
      <c r="BS58" s="1"/>
      <c r="BT58" s="2"/>
      <c r="BU58" s="21"/>
      <c r="BV58" s="2"/>
      <c r="BW58" s="2"/>
      <c r="BX58" s="21"/>
      <c r="BY58" s="15"/>
    </row>
    <row r="59" spans="1:77" x14ac:dyDescent="0.25">
      <c r="A59" t="str">
        <f t="shared" si="3"/>
        <v>Travée</v>
      </c>
      <c r="B59" t="b">
        <f t="shared" si="4"/>
        <v>1</v>
      </c>
      <c r="C59">
        <f t="shared" si="61"/>
        <v>6</v>
      </c>
      <c r="D59" s="5" t="s">
        <v>93</v>
      </c>
      <c r="E59" t="s">
        <v>45</v>
      </c>
      <c r="F59" s="5">
        <v>25</v>
      </c>
      <c r="G59" t="s">
        <v>46</v>
      </c>
      <c r="H59">
        <v>500</v>
      </c>
      <c r="I59">
        <v>220000</v>
      </c>
      <c r="J59">
        <v>1576</v>
      </c>
      <c r="K59" s="10">
        <v>1870</v>
      </c>
      <c r="L59" s="12">
        <v>1</v>
      </c>
      <c r="M59" s="5">
        <v>0.24</v>
      </c>
      <c r="N59" s="10">
        <v>2.2000000000000002</v>
      </c>
      <c r="O59" s="5">
        <v>5.7000000000000009E-4</v>
      </c>
      <c r="P59">
        <v>0.03</v>
      </c>
      <c r="Q59" s="10">
        <v>1</v>
      </c>
      <c r="R59" s="8">
        <v>0</v>
      </c>
      <c r="S59">
        <v>0</v>
      </c>
      <c r="T59">
        <v>1</v>
      </c>
      <c r="U59" s="9">
        <v>2.9099999999999999E-5</v>
      </c>
      <c r="V59">
        <v>0</v>
      </c>
      <c r="W59" s="10">
        <v>2</v>
      </c>
      <c r="X59" s="1">
        <v>27.752960000000002</v>
      </c>
      <c r="Y59" s="2">
        <v>8.4300800000000002</v>
      </c>
      <c r="Z59" s="13">
        <v>0</v>
      </c>
      <c r="AA59" s="2">
        <v>27.752960000000002</v>
      </c>
      <c r="AB59" s="2">
        <v>8.4300800000000002</v>
      </c>
      <c r="AC59" s="2">
        <v>47.36</v>
      </c>
      <c r="AD59" s="2"/>
      <c r="AE59" s="7">
        <v>36.183039999999998</v>
      </c>
      <c r="AF59" s="2">
        <v>27.752960000000002</v>
      </c>
      <c r="AG59" s="2">
        <v>8.4300800000000002</v>
      </c>
      <c r="AH59" s="2">
        <v>5.0671047776781526</v>
      </c>
      <c r="AI59" s="2">
        <v>1.433231241468093</v>
      </c>
      <c r="AJ59" s="2">
        <v>-241.51772019502971</v>
      </c>
      <c r="AK59" s="2">
        <v>-63.926660119485732</v>
      </c>
      <c r="AL59" s="2">
        <v>0</v>
      </c>
      <c r="AM59" s="2">
        <v>-81.796024585310079</v>
      </c>
      <c r="AN59" s="2">
        <v>47.36</v>
      </c>
      <c r="AO59" s="2">
        <v>54.672372148208026</v>
      </c>
      <c r="AP59" s="2">
        <v>75.512862572392464</v>
      </c>
      <c r="AQ59" s="2">
        <v>5.724994774586186</v>
      </c>
      <c r="AR59" s="2">
        <v>-364.98947759051032</v>
      </c>
      <c r="AS59" s="2">
        <v>0</v>
      </c>
      <c r="AT59" s="2">
        <v>-470.7712417494219</v>
      </c>
      <c r="AU59" s="1">
        <v>36.183039999999998</v>
      </c>
      <c r="AV59" s="2">
        <v>4.7494531778258002</v>
      </c>
      <c r="AW59" s="2">
        <v>-319.92802864165202</v>
      </c>
      <c r="AX59" s="2">
        <v>54.672372148208026</v>
      </c>
      <c r="AZ59" s="1">
        <f t="shared" ref="AZ59:AZ61" si="75">AF59</f>
        <v>27.752960000000002</v>
      </c>
      <c r="BA59" s="2">
        <f t="shared" ref="BA59:BA61" si="76">AH59</f>
        <v>5.0671047776781526</v>
      </c>
      <c r="BB59" s="7">
        <f t="shared" ref="BB59:BB61" si="77">AJ59</f>
        <v>-241.51772019502971</v>
      </c>
      <c r="BC59" s="1">
        <f t="shared" ref="BC59:BC61" si="78">AG59</f>
        <v>8.4300800000000002</v>
      </c>
      <c r="BD59" s="2">
        <f t="shared" ref="BD59:BD61" si="79">AI59</f>
        <v>1.433231241468093</v>
      </c>
      <c r="BE59" s="2">
        <f t="shared" ref="BE59:BE61" si="80">AK59</f>
        <v>-63.926660119485732</v>
      </c>
      <c r="BF59" s="2">
        <f t="shared" ref="BF59:BF61" si="81">AL59</f>
        <v>0</v>
      </c>
      <c r="BG59" s="7">
        <f t="shared" ref="BG59:BG61" si="82">AM59</f>
        <v>-81.796024585310079</v>
      </c>
      <c r="BH59" s="1">
        <f t="shared" ref="BH59:BH61" si="83">AZ59+BC59</f>
        <v>36.183040000000005</v>
      </c>
      <c r="BI59" s="2">
        <f t="shared" ref="BI59:BI61" si="84">BA59+BD59</f>
        <v>6.5003360191462454</v>
      </c>
      <c r="BJ59" s="2">
        <f t="shared" ref="BJ59:BJ61" si="85">ABS(BB59+BE59)</f>
        <v>305.44438031451546</v>
      </c>
      <c r="BK59" s="2">
        <f t="shared" ref="BK59:BK61" si="86">ABS(BF59)</f>
        <v>0</v>
      </c>
      <c r="BL59" s="7">
        <f t="shared" ref="BL59:BL61" si="87">BG59</f>
        <v>-81.796024585310079</v>
      </c>
      <c r="BN59" s="1"/>
      <c r="BO59" s="4"/>
      <c r="BP59" s="2"/>
      <c r="BQ59" s="2"/>
      <c r="BR59" s="3"/>
      <c r="BS59" s="1"/>
      <c r="BT59" s="2"/>
      <c r="BU59" s="21"/>
      <c r="BV59" s="2"/>
      <c r="BW59" s="2"/>
      <c r="BX59" s="21"/>
      <c r="BY59" s="10"/>
    </row>
    <row r="60" spans="1:77" x14ac:dyDescent="0.25">
      <c r="A60" t="str">
        <f t="shared" si="3"/>
        <v>Appui</v>
      </c>
      <c r="B60" t="b">
        <f t="shared" si="4"/>
        <v>1</v>
      </c>
      <c r="C60">
        <f t="shared" si="61"/>
        <v>6</v>
      </c>
      <c r="D60" s="5" t="s">
        <v>93</v>
      </c>
      <c r="E60" t="s">
        <v>47</v>
      </c>
      <c r="F60" s="5">
        <v>25</v>
      </c>
      <c r="G60" t="s">
        <v>46</v>
      </c>
      <c r="H60">
        <v>500</v>
      </c>
      <c r="I60">
        <v>220000</v>
      </c>
      <c r="J60">
        <v>1576</v>
      </c>
      <c r="K60" s="10">
        <v>1870</v>
      </c>
      <c r="L60" s="12">
        <v>1</v>
      </c>
      <c r="M60" s="5">
        <v>0.23</v>
      </c>
      <c r="N60" s="10">
        <v>2.2000000000000002</v>
      </c>
      <c r="O60" s="5">
        <v>1.9E-3</v>
      </c>
      <c r="P60">
        <v>0.06</v>
      </c>
      <c r="Q60" s="10">
        <v>1</v>
      </c>
      <c r="R60" s="8">
        <v>0</v>
      </c>
      <c r="S60">
        <v>0</v>
      </c>
      <c r="T60">
        <v>1</v>
      </c>
      <c r="U60" s="9">
        <v>2.9099999999999999E-5</v>
      </c>
      <c r="V60">
        <v>0</v>
      </c>
      <c r="W60" s="10">
        <v>5</v>
      </c>
      <c r="X60" s="1">
        <v>83.798000000000002</v>
      </c>
      <c r="Y60" s="2">
        <v>25.454000000000001</v>
      </c>
      <c r="Z60" s="13">
        <v>0</v>
      </c>
      <c r="AA60" s="2">
        <v>83.798000000000002</v>
      </c>
      <c r="AB60" s="2">
        <v>25.454000000000001</v>
      </c>
      <c r="AC60" s="2">
        <v>143</v>
      </c>
      <c r="AD60" s="2"/>
      <c r="AE60" s="7">
        <v>109.252</v>
      </c>
      <c r="AF60" s="2">
        <v>83.798000000000002</v>
      </c>
      <c r="AG60" s="2">
        <v>25.454000000000001</v>
      </c>
      <c r="AH60" s="2">
        <v>12.748207159181231</v>
      </c>
      <c r="AI60" s="2">
        <v>3.5438713781978128</v>
      </c>
      <c r="AJ60" s="2">
        <v>-280.46659003535501</v>
      </c>
      <c r="AK60" s="2">
        <v>-73.120232358505433</v>
      </c>
      <c r="AL60" s="2">
        <v>0</v>
      </c>
      <c r="AM60" s="2">
        <v>-117.5624184124645</v>
      </c>
      <c r="AN60" s="2">
        <v>143</v>
      </c>
      <c r="AO60" s="2">
        <v>133.900223728827</v>
      </c>
      <c r="AP60" s="2">
        <v>185.2599694946378</v>
      </c>
      <c r="AQ60" s="2">
        <v>13.02890382228429</v>
      </c>
      <c r="AR60" s="2">
        <v>-424.98449067360218</v>
      </c>
      <c r="AS60" s="2">
        <v>0</v>
      </c>
      <c r="AT60" s="2">
        <v>-715.21929786446083</v>
      </c>
      <c r="AU60" s="1">
        <v>109.252</v>
      </c>
      <c r="AV60" s="2">
        <v>11.295548859101251</v>
      </c>
      <c r="AW60" s="2">
        <v>-379.57715629519771</v>
      </c>
      <c r="AX60" s="2">
        <v>133.900223728827</v>
      </c>
      <c r="AZ60" s="1">
        <f t="shared" si="75"/>
        <v>83.798000000000002</v>
      </c>
      <c r="BA60" s="2">
        <f t="shared" si="76"/>
        <v>12.748207159181231</v>
      </c>
      <c r="BB60" s="7">
        <f t="shared" si="77"/>
        <v>-280.46659003535501</v>
      </c>
      <c r="BC60" s="1">
        <f t="shared" si="78"/>
        <v>25.454000000000001</v>
      </c>
      <c r="BD60" s="2">
        <f t="shared" si="79"/>
        <v>3.5438713781978128</v>
      </c>
      <c r="BE60" s="2">
        <f t="shared" si="80"/>
        <v>-73.120232358505433</v>
      </c>
      <c r="BF60" s="2">
        <f t="shared" si="81"/>
        <v>0</v>
      </c>
      <c r="BG60" s="7">
        <f t="shared" si="82"/>
        <v>-117.5624184124645</v>
      </c>
      <c r="BH60" s="1">
        <f t="shared" si="83"/>
        <v>109.25200000000001</v>
      </c>
      <c r="BI60" s="2">
        <f t="shared" si="84"/>
        <v>16.292078537379044</v>
      </c>
      <c r="BJ60" s="2">
        <f t="shared" si="85"/>
        <v>353.58682239386042</v>
      </c>
      <c r="BK60" s="2">
        <f t="shared" si="86"/>
        <v>0</v>
      </c>
      <c r="BL60" s="7">
        <f t="shared" si="87"/>
        <v>-117.5624184124645</v>
      </c>
      <c r="BN60" s="1"/>
      <c r="BO60" s="4"/>
      <c r="BP60" s="2"/>
      <c r="BQ60" s="2"/>
      <c r="BR60" s="3"/>
      <c r="BS60" s="1"/>
      <c r="BT60" s="2"/>
      <c r="BU60" s="21"/>
      <c r="BV60" s="2"/>
      <c r="BW60" s="2"/>
      <c r="BX60" s="21"/>
      <c r="BY60" s="15"/>
    </row>
    <row r="61" spans="1:77" x14ac:dyDescent="0.25">
      <c r="B61" t="b">
        <f t="shared" si="4"/>
        <v>1</v>
      </c>
      <c r="C61">
        <f t="shared" si="61"/>
        <v>6</v>
      </c>
      <c r="D61" s="5" t="s">
        <v>93</v>
      </c>
      <c r="E61" t="s">
        <v>48</v>
      </c>
      <c r="F61" s="5">
        <v>25</v>
      </c>
      <c r="G61" t="s">
        <v>46</v>
      </c>
      <c r="H61">
        <v>500</v>
      </c>
      <c r="I61">
        <v>220000</v>
      </c>
      <c r="J61">
        <v>1576</v>
      </c>
      <c r="K61" s="10">
        <v>1870</v>
      </c>
      <c r="L61" s="12">
        <v>1</v>
      </c>
      <c r="M61" s="5">
        <v>0.215</v>
      </c>
      <c r="N61" s="10">
        <v>2.2000000000000002</v>
      </c>
      <c r="O61" s="5">
        <v>8.470000000000001E-4</v>
      </c>
      <c r="P61">
        <v>4.4999999999999998E-2</v>
      </c>
      <c r="Q61" s="10">
        <v>1</v>
      </c>
      <c r="R61" s="8">
        <v>0</v>
      </c>
      <c r="S61">
        <v>0</v>
      </c>
      <c r="T61">
        <v>1</v>
      </c>
      <c r="U61" s="9">
        <v>2.9099999999999999E-5</v>
      </c>
      <c r="V61">
        <v>0</v>
      </c>
      <c r="W61" s="10">
        <v>7</v>
      </c>
      <c r="X61" s="1">
        <v>48.755200000000002</v>
      </c>
      <c r="Y61" s="2">
        <v>14.8096</v>
      </c>
      <c r="Z61" s="13">
        <v>0</v>
      </c>
      <c r="AA61" s="2">
        <v>48.755200000000002</v>
      </c>
      <c r="AB61" s="2">
        <v>14.8096</v>
      </c>
      <c r="AC61" s="2">
        <v>83.2</v>
      </c>
      <c r="AD61" s="2"/>
      <c r="AE61" s="7">
        <v>63.564800000000012</v>
      </c>
      <c r="AF61" s="2">
        <v>48.755200000000002</v>
      </c>
      <c r="AG61" s="2">
        <v>14.8096</v>
      </c>
      <c r="AH61" s="2">
        <v>10.40462695839954</v>
      </c>
      <c r="AI61" s="2">
        <v>2.58677194694957</v>
      </c>
      <c r="AJ61" s="2">
        <v>-357.39230677464508</v>
      </c>
      <c r="AK61" s="2">
        <v>-75.572384439579366</v>
      </c>
      <c r="AL61" s="2">
        <v>0</v>
      </c>
      <c r="AM61" s="2">
        <v>-109.92046639998649</v>
      </c>
      <c r="AN61" s="2">
        <v>83.2</v>
      </c>
      <c r="AO61" s="2">
        <v>64.493288363196626</v>
      </c>
      <c r="AP61" s="2">
        <v>135.40677140643899</v>
      </c>
      <c r="AQ61" s="2">
        <v>9.8992563006004808</v>
      </c>
      <c r="AR61" s="2">
        <v>-432.74804178406367</v>
      </c>
      <c r="AS61" s="2">
        <v>0</v>
      </c>
      <c r="AT61" s="2">
        <v>-644.28252354377389</v>
      </c>
      <c r="AU61" s="1">
        <v>63.564800000000012</v>
      </c>
      <c r="AV61" s="2">
        <v>16.666666666666671</v>
      </c>
      <c r="AW61" s="2">
        <v>-456.74438734409028</v>
      </c>
      <c r="AX61" s="2">
        <v>64.493288363196626</v>
      </c>
      <c r="AZ61" s="1">
        <f t="shared" si="75"/>
        <v>48.755200000000002</v>
      </c>
      <c r="BA61" s="2">
        <f t="shared" si="76"/>
        <v>10.40462695839954</v>
      </c>
      <c r="BB61" s="7">
        <f t="shared" si="77"/>
        <v>-357.39230677464508</v>
      </c>
      <c r="BC61" s="1">
        <f t="shared" si="78"/>
        <v>14.8096</v>
      </c>
      <c r="BD61" s="2">
        <f t="shared" si="79"/>
        <v>2.58677194694957</v>
      </c>
      <c r="BE61" s="2">
        <f t="shared" si="80"/>
        <v>-75.572384439579366</v>
      </c>
      <c r="BF61" s="2">
        <f t="shared" si="81"/>
        <v>0</v>
      </c>
      <c r="BG61" s="7">
        <f t="shared" si="82"/>
        <v>-109.92046639998649</v>
      </c>
      <c r="BH61" s="1">
        <f t="shared" si="83"/>
        <v>63.564800000000005</v>
      </c>
      <c r="BI61" s="2">
        <f t="shared" si="84"/>
        <v>12.99139890534911</v>
      </c>
      <c r="BJ61" s="2">
        <f t="shared" si="85"/>
        <v>432.96469121422444</v>
      </c>
      <c r="BK61" s="2">
        <f t="shared" si="86"/>
        <v>0</v>
      </c>
      <c r="BL61" s="7">
        <f t="shared" si="87"/>
        <v>-109.92046639998649</v>
      </c>
      <c r="BN61" s="1"/>
      <c r="BO61" s="4"/>
      <c r="BP61" s="2"/>
      <c r="BQ61" s="2"/>
      <c r="BR61" s="3"/>
      <c r="BS61" s="1"/>
      <c r="BT61" s="2"/>
      <c r="BU61" s="21"/>
      <c r="BV61" s="2"/>
      <c r="BW61" s="2"/>
      <c r="BX61" s="21"/>
      <c r="BY61" s="10"/>
    </row>
    <row r="62" spans="1:77" x14ac:dyDescent="0.25">
      <c r="A62" t="str">
        <f t="shared" si="3"/>
        <v>Appui</v>
      </c>
      <c r="B62" t="b">
        <f t="shared" si="4"/>
        <v>1</v>
      </c>
      <c r="C62">
        <f>IF(D62="",100000,IF(D62=D60,C60,C60+1))</f>
        <v>6</v>
      </c>
      <c r="D62" s="5" t="s">
        <v>93</v>
      </c>
      <c r="E62" t="s">
        <v>49</v>
      </c>
      <c r="F62" s="5"/>
      <c r="K62" s="10"/>
      <c r="L62" s="12"/>
      <c r="M62" s="5"/>
      <c r="N62" s="10"/>
      <c r="O62" s="5"/>
      <c r="Q62" s="10"/>
      <c r="R62" s="8"/>
      <c r="U62" s="9"/>
      <c r="W62" s="10"/>
      <c r="X62" s="1"/>
      <c r="Y62" s="2"/>
      <c r="Z62" s="13"/>
      <c r="AA62" s="2"/>
      <c r="AB62" s="2"/>
      <c r="AC62" s="2"/>
      <c r="AD62" s="2"/>
      <c r="AE62" s="7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"/>
      <c r="AV62" s="2"/>
      <c r="AW62" s="2"/>
      <c r="AX62" s="2"/>
      <c r="AZ62" s="1"/>
      <c r="BA62" s="2"/>
      <c r="BB62" s="7"/>
      <c r="BC62" s="1"/>
      <c r="BD62" s="2"/>
      <c r="BE62" s="2"/>
      <c r="BF62" s="2"/>
      <c r="BG62" s="7"/>
      <c r="BH62" s="1"/>
      <c r="BI62" s="2"/>
      <c r="BJ62" s="2"/>
      <c r="BK62" s="2"/>
      <c r="BL62" s="7"/>
      <c r="BN62" s="1"/>
      <c r="BO62" s="4"/>
      <c r="BP62" s="2"/>
      <c r="BQ62" s="2"/>
      <c r="BR62" s="3"/>
      <c r="BS62" s="1"/>
      <c r="BT62" s="2"/>
      <c r="BU62" s="21"/>
      <c r="BV62" s="2"/>
      <c r="BW62" s="2"/>
      <c r="BX62" s="21"/>
      <c r="BY62" s="15"/>
    </row>
    <row r="63" spans="1:77" x14ac:dyDescent="0.25">
      <c r="A63" t="str">
        <f t="shared" si="3"/>
        <v>Travée</v>
      </c>
      <c r="B63" t="b">
        <f t="shared" si="4"/>
        <v>1</v>
      </c>
      <c r="C63">
        <f t="shared" si="61"/>
        <v>6</v>
      </c>
      <c r="D63" s="5" t="s">
        <v>93</v>
      </c>
      <c r="E63" t="s">
        <v>51</v>
      </c>
      <c r="F63" s="5">
        <v>25</v>
      </c>
      <c r="G63" t="s">
        <v>46</v>
      </c>
      <c r="H63">
        <v>500</v>
      </c>
      <c r="I63">
        <v>220000</v>
      </c>
      <c r="J63">
        <v>1576</v>
      </c>
      <c r="K63" s="10">
        <v>1870</v>
      </c>
      <c r="L63" s="12">
        <v>1</v>
      </c>
      <c r="M63" s="5">
        <v>0.215</v>
      </c>
      <c r="N63" s="10">
        <v>2.2000000000000002</v>
      </c>
      <c r="O63" s="5">
        <v>8.5000000000000006E-4</v>
      </c>
      <c r="P63">
        <v>0.03</v>
      </c>
      <c r="Q63" s="10">
        <v>1</v>
      </c>
      <c r="R63" s="8">
        <v>0</v>
      </c>
      <c r="S63">
        <v>0</v>
      </c>
      <c r="T63">
        <v>1</v>
      </c>
      <c r="U63" s="9">
        <v>0</v>
      </c>
      <c r="V63">
        <v>0</v>
      </c>
      <c r="W63" s="10">
        <v>0</v>
      </c>
      <c r="X63" s="1">
        <v>30.0032</v>
      </c>
      <c r="Y63" s="2">
        <v>9.1135999999999999</v>
      </c>
      <c r="Z63" s="13">
        <v>0</v>
      </c>
      <c r="AA63" s="2">
        <v>30.0032</v>
      </c>
      <c r="AB63" s="2">
        <v>9.1135999999999999</v>
      </c>
      <c r="AC63" s="2">
        <v>51.2</v>
      </c>
      <c r="AD63" s="2"/>
      <c r="AE63" s="7">
        <v>39.116799999999998</v>
      </c>
      <c r="AF63" s="2">
        <v>30.0032</v>
      </c>
      <c r="AG63" s="2">
        <v>9.1135999999999999</v>
      </c>
      <c r="AH63" s="2">
        <v>5.6063254255456343</v>
      </c>
      <c r="AI63" s="2">
        <v>1.702945265780073</v>
      </c>
      <c r="AJ63" s="2">
        <v>-200.93249717210659</v>
      </c>
      <c r="AK63" s="2">
        <v>-61.034103236578467</v>
      </c>
      <c r="AL63" s="2">
        <v>0</v>
      </c>
      <c r="AM63" s="2">
        <v>0</v>
      </c>
      <c r="AN63" s="2">
        <v>51.2</v>
      </c>
      <c r="AO63" s="2">
        <v>71.011605504923097</v>
      </c>
      <c r="AP63" s="2">
        <v>71.011605504923097</v>
      </c>
      <c r="AQ63" s="2">
        <v>6.7713323270288619</v>
      </c>
      <c r="AR63" s="2">
        <v>-350.46046072832081</v>
      </c>
      <c r="AS63" s="2">
        <v>0</v>
      </c>
      <c r="AT63" s="2">
        <v>0</v>
      </c>
      <c r="AU63" s="1">
        <v>39.116799999999998</v>
      </c>
      <c r="AV63" s="2">
        <v>5.2747381614065487</v>
      </c>
      <c r="AW63" s="2">
        <v>-267.4431721134311</v>
      </c>
      <c r="AX63" s="2">
        <v>71.011605504923097</v>
      </c>
      <c r="AZ63" s="1">
        <f t="shared" ref="AZ63:AZ67" si="88">AF63</f>
        <v>30.0032</v>
      </c>
      <c r="BA63" s="2">
        <f t="shared" ref="BA63:BA67" si="89">AH63</f>
        <v>5.6063254255456343</v>
      </c>
      <c r="BB63" s="7">
        <f t="shared" ref="BB63:BB67" si="90">AJ63</f>
        <v>-200.93249717210659</v>
      </c>
      <c r="BC63" s="1">
        <f t="shared" ref="BC63:BC67" si="91">AG63</f>
        <v>9.1135999999999999</v>
      </c>
      <c r="BD63" s="2">
        <f t="shared" ref="BD63:BD67" si="92">AI63</f>
        <v>1.702945265780073</v>
      </c>
      <c r="BE63" s="2">
        <f t="shared" ref="BE63:BE67" si="93">AK63</f>
        <v>-61.034103236578467</v>
      </c>
      <c r="BF63" s="2">
        <f t="shared" ref="BF63:BF67" si="94">AL63</f>
        <v>0</v>
      </c>
      <c r="BG63" s="7">
        <f t="shared" ref="BG63:BG67" si="95">AM63</f>
        <v>0</v>
      </c>
      <c r="BH63" s="1">
        <f t="shared" ref="BH63:BH67" si="96">AZ63+BC63</f>
        <v>39.116799999999998</v>
      </c>
      <c r="BI63" s="2">
        <f t="shared" ref="BI63:BI67" si="97">BA63+BD63</f>
        <v>7.3092706913257075</v>
      </c>
      <c r="BJ63" s="2">
        <f t="shared" ref="BJ63:BJ67" si="98">ABS(BB63+BE63)</f>
        <v>261.96660040868505</v>
      </c>
      <c r="BK63" s="2">
        <f t="shared" ref="BK63:BK67" si="99">ABS(BF63)</f>
        <v>0</v>
      </c>
      <c r="BL63" s="7">
        <f t="shared" ref="BL63:BL67" si="100">BG63</f>
        <v>0</v>
      </c>
      <c r="BN63" s="1"/>
      <c r="BO63" s="4"/>
      <c r="BP63" s="2"/>
      <c r="BQ63" s="2"/>
      <c r="BR63" s="3"/>
      <c r="BS63" s="1"/>
      <c r="BT63" s="2"/>
      <c r="BU63" s="21"/>
      <c r="BV63" s="2"/>
      <c r="BW63" s="2"/>
      <c r="BX63" s="21"/>
      <c r="BY63" s="10"/>
    </row>
    <row r="64" spans="1:77" x14ac:dyDescent="0.25">
      <c r="A64" t="str">
        <f t="shared" si="3"/>
        <v>Appui</v>
      </c>
      <c r="B64" t="b">
        <f t="shared" si="4"/>
        <v>1</v>
      </c>
      <c r="C64">
        <f t="shared" si="61"/>
        <v>6</v>
      </c>
      <c r="D64" s="5" t="s">
        <v>93</v>
      </c>
      <c r="E64" t="s">
        <v>49</v>
      </c>
      <c r="F64" s="5">
        <v>25</v>
      </c>
      <c r="G64" t="s">
        <v>46</v>
      </c>
      <c r="H64">
        <v>500</v>
      </c>
      <c r="I64">
        <v>220000</v>
      </c>
      <c r="J64">
        <v>1576</v>
      </c>
      <c r="K64" s="10">
        <v>1870</v>
      </c>
      <c r="L64" s="12">
        <v>1</v>
      </c>
      <c r="M64" s="5">
        <v>0.23</v>
      </c>
      <c r="N64" s="10">
        <v>2.2000000000000002</v>
      </c>
      <c r="O64" s="5">
        <v>1.1100000000000001E-3</v>
      </c>
      <c r="P64">
        <v>0.06</v>
      </c>
      <c r="Q64" s="10">
        <v>1</v>
      </c>
      <c r="R64" s="8">
        <v>0</v>
      </c>
      <c r="S64">
        <v>0</v>
      </c>
      <c r="T64">
        <v>1</v>
      </c>
      <c r="U64" s="9">
        <v>0</v>
      </c>
      <c r="V64">
        <v>0</v>
      </c>
      <c r="W64" s="10">
        <v>0</v>
      </c>
      <c r="X64" s="1">
        <v>32.229999999999997</v>
      </c>
      <c r="Y64" s="2">
        <v>9.7900000000000009</v>
      </c>
      <c r="Z64" s="13">
        <v>0</v>
      </c>
      <c r="AA64" s="2">
        <v>32.229999999999997</v>
      </c>
      <c r="AB64" s="2">
        <v>9.7900000000000009</v>
      </c>
      <c r="AC64" s="2">
        <v>55.000000000000007</v>
      </c>
      <c r="AD64" s="2"/>
      <c r="AE64" s="7">
        <v>42.02</v>
      </c>
      <c r="AF64" s="2">
        <v>32.229999999999997</v>
      </c>
      <c r="AG64" s="2">
        <v>9.7900000000000009</v>
      </c>
      <c r="AH64" s="2">
        <v>6.1162269842469872</v>
      </c>
      <c r="AI64" s="2">
        <v>1.8578300395835541</v>
      </c>
      <c r="AJ64" s="2">
        <v>-181.61988454666559</v>
      </c>
      <c r="AK64" s="2">
        <v>-55.167814759908651</v>
      </c>
      <c r="AL64" s="2">
        <v>0</v>
      </c>
      <c r="AM64" s="2">
        <v>0</v>
      </c>
      <c r="AN64" s="2">
        <v>55.000000000000007</v>
      </c>
      <c r="AO64" s="2">
        <v>82.351419599136946</v>
      </c>
      <c r="AP64" s="2">
        <v>82.351419599136946</v>
      </c>
      <c r="AQ64" s="2">
        <v>7.4150453479708798</v>
      </c>
      <c r="AR64" s="2">
        <v>-317.92843112967012</v>
      </c>
      <c r="AS64" s="2">
        <v>0</v>
      </c>
      <c r="AT64" s="2">
        <v>0</v>
      </c>
      <c r="AU64" s="1">
        <v>42.02</v>
      </c>
      <c r="AV64" s="2">
        <v>5.7850533080745929</v>
      </c>
      <c r="AW64" s="2">
        <v>-242.57715694697231</v>
      </c>
      <c r="AX64" s="2">
        <v>82.351419599136946</v>
      </c>
      <c r="AZ64" s="1">
        <f t="shared" si="88"/>
        <v>32.229999999999997</v>
      </c>
      <c r="BA64" s="2">
        <f t="shared" si="89"/>
        <v>6.1162269842469872</v>
      </c>
      <c r="BB64" s="7">
        <f t="shared" si="90"/>
        <v>-181.61988454666559</v>
      </c>
      <c r="BC64" s="1">
        <f t="shared" si="91"/>
        <v>9.7900000000000009</v>
      </c>
      <c r="BD64" s="2">
        <f t="shared" si="92"/>
        <v>1.8578300395835541</v>
      </c>
      <c r="BE64" s="2">
        <f t="shared" si="93"/>
        <v>-55.167814759908651</v>
      </c>
      <c r="BF64" s="2">
        <f t="shared" si="94"/>
        <v>0</v>
      </c>
      <c r="BG64" s="7">
        <f t="shared" si="95"/>
        <v>0</v>
      </c>
      <c r="BH64" s="1">
        <f t="shared" si="96"/>
        <v>42.019999999999996</v>
      </c>
      <c r="BI64" s="2">
        <f t="shared" si="97"/>
        <v>7.9740570238305413</v>
      </c>
      <c r="BJ64" s="2">
        <f t="shared" si="98"/>
        <v>236.78769930657424</v>
      </c>
      <c r="BK64" s="2">
        <f t="shared" si="99"/>
        <v>0</v>
      </c>
      <c r="BL64" s="7">
        <f t="shared" si="100"/>
        <v>0</v>
      </c>
      <c r="BN64" s="1"/>
      <c r="BO64" s="4"/>
      <c r="BP64" s="2"/>
      <c r="BQ64" s="2"/>
      <c r="BR64" s="3"/>
      <c r="BS64" s="1"/>
      <c r="BT64" s="2"/>
      <c r="BU64" s="21"/>
      <c r="BV64" s="2"/>
      <c r="BW64" s="2"/>
      <c r="BX64" s="21"/>
      <c r="BY64" s="15"/>
    </row>
    <row r="65" spans="1:77" x14ac:dyDescent="0.25">
      <c r="A65" t="str">
        <f t="shared" si="3"/>
        <v>Travée</v>
      </c>
      <c r="B65" t="b">
        <f t="shared" si="4"/>
        <v>0</v>
      </c>
      <c r="C65">
        <f t="shared" si="61"/>
        <v>7</v>
      </c>
      <c r="D65" s="5" t="s">
        <v>94</v>
      </c>
      <c r="E65" t="s">
        <v>45</v>
      </c>
      <c r="F65" s="5">
        <v>25</v>
      </c>
      <c r="G65" t="s">
        <v>46</v>
      </c>
      <c r="H65">
        <v>500</v>
      </c>
      <c r="I65">
        <v>220000</v>
      </c>
      <c r="J65">
        <v>1576</v>
      </c>
      <c r="K65" s="10">
        <v>1870</v>
      </c>
      <c r="L65" s="12">
        <v>1</v>
      </c>
      <c r="M65" s="5">
        <v>0.24</v>
      </c>
      <c r="N65" s="10">
        <v>2.2000000000000002</v>
      </c>
      <c r="O65" s="5">
        <v>5.7000000000000009E-4</v>
      </c>
      <c r="P65">
        <v>0.03</v>
      </c>
      <c r="Q65" s="10">
        <v>1</v>
      </c>
      <c r="R65" s="8">
        <v>0</v>
      </c>
      <c r="S65">
        <v>0</v>
      </c>
      <c r="T65">
        <v>1</v>
      </c>
      <c r="U65" s="9">
        <v>2.9099999999999999E-5</v>
      </c>
      <c r="V65">
        <v>0</v>
      </c>
      <c r="W65" s="10">
        <v>2</v>
      </c>
      <c r="X65" s="1">
        <v>30.0032</v>
      </c>
      <c r="Y65" s="2">
        <v>9.1135999999999999</v>
      </c>
      <c r="Z65" s="13">
        <v>0</v>
      </c>
      <c r="AA65" s="2">
        <v>30.0032</v>
      </c>
      <c r="AB65" s="2">
        <v>9.1135999999999999</v>
      </c>
      <c r="AC65" s="2">
        <v>51.2</v>
      </c>
      <c r="AD65" s="2"/>
      <c r="AE65" s="7">
        <v>39.116799999999998</v>
      </c>
      <c r="AF65" s="2">
        <v>30.0032</v>
      </c>
      <c r="AG65" s="2">
        <v>9.1135999999999999</v>
      </c>
      <c r="AH65" s="2">
        <v>5.4779511110034118</v>
      </c>
      <c r="AI65" s="2">
        <v>1.549439179965503</v>
      </c>
      <c r="AJ65" s="2">
        <v>-261.10023804868081</v>
      </c>
      <c r="AK65" s="2">
        <v>-69.109902831876468</v>
      </c>
      <c r="AL65" s="2">
        <v>0</v>
      </c>
      <c r="AM65" s="2">
        <v>-88.428134686821707</v>
      </c>
      <c r="AN65" s="2">
        <v>51.2</v>
      </c>
      <c r="AO65" s="2">
        <v>54.672372148208026</v>
      </c>
      <c r="AP65" s="2">
        <v>75.512862572392464</v>
      </c>
      <c r="AQ65" s="2">
        <v>6.1553957430637372</v>
      </c>
      <c r="AR65" s="2">
        <v>-394.66966677499431</v>
      </c>
      <c r="AS65" s="2">
        <v>0</v>
      </c>
      <c r="AT65" s="2">
        <v>-509.09521492146757</v>
      </c>
      <c r="AU65" s="1">
        <v>39.116799999999998</v>
      </c>
      <c r="AV65" s="2">
        <v>5.1117717719412967</v>
      </c>
      <c r="AW65" s="2">
        <v>-345.93613720991829</v>
      </c>
      <c r="AX65" s="2">
        <v>54.672372148208026</v>
      </c>
      <c r="AZ65" s="1">
        <f t="shared" si="88"/>
        <v>30.0032</v>
      </c>
      <c r="BA65" s="2">
        <f t="shared" si="89"/>
        <v>5.4779511110034118</v>
      </c>
      <c r="BB65" s="7">
        <f t="shared" si="90"/>
        <v>-261.10023804868081</v>
      </c>
      <c r="BC65" s="1">
        <f t="shared" si="91"/>
        <v>9.1135999999999999</v>
      </c>
      <c r="BD65" s="2">
        <f t="shared" si="92"/>
        <v>1.549439179965503</v>
      </c>
      <c r="BE65" s="2">
        <f t="shared" si="93"/>
        <v>-69.109902831876468</v>
      </c>
      <c r="BF65" s="2">
        <f t="shared" si="94"/>
        <v>0</v>
      </c>
      <c r="BG65" s="7">
        <f t="shared" si="95"/>
        <v>-88.428134686821707</v>
      </c>
      <c r="BH65" s="1">
        <f t="shared" si="96"/>
        <v>39.116799999999998</v>
      </c>
      <c r="BI65" s="2">
        <f t="shared" si="97"/>
        <v>7.0273902909689152</v>
      </c>
      <c r="BJ65" s="2">
        <f t="shared" si="98"/>
        <v>330.21014088055728</v>
      </c>
      <c r="BK65" s="2">
        <f t="shared" si="99"/>
        <v>0</v>
      </c>
      <c r="BL65" s="7">
        <f t="shared" si="100"/>
        <v>-88.428134686821707</v>
      </c>
      <c r="BN65" s="1"/>
      <c r="BO65" s="4"/>
      <c r="BP65" s="2"/>
      <c r="BQ65" s="2"/>
      <c r="BR65" s="3"/>
      <c r="BS65" s="1"/>
      <c r="BT65" s="2"/>
      <c r="BU65" s="21"/>
      <c r="BV65" s="2"/>
      <c r="BW65" s="2"/>
      <c r="BX65" s="21"/>
      <c r="BY65" s="10"/>
    </row>
    <row r="66" spans="1:77" x14ac:dyDescent="0.25">
      <c r="A66" t="str">
        <f t="shared" si="3"/>
        <v>Appui</v>
      </c>
      <c r="B66" t="b">
        <f t="shared" si="4"/>
        <v>0</v>
      </c>
      <c r="C66">
        <f t="shared" si="61"/>
        <v>7</v>
      </c>
      <c r="D66" s="5" t="s">
        <v>94</v>
      </c>
      <c r="E66" t="s">
        <v>47</v>
      </c>
      <c r="F66" s="5">
        <v>25</v>
      </c>
      <c r="G66" t="s">
        <v>46</v>
      </c>
      <c r="H66">
        <v>500</v>
      </c>
      <c r="I66">
        <v>220000</v>
      </c>
      <c r="J66">
        <v>1576</v>
      </c>
      <c r="K66" s="10">
        <v>1870</v>
      </c>
      <c r="L66" s="12">
        <v>1</v>
      </c>
      <c r="M66" s="5">
        <v>0.23</v>
      </c>
      <c r="N66" s="10">
        <v>2.2000000000000002</v>
      </c>
      <c r="O66" s="5">
        <v>1.6941E-3</v>
      </c>
      <c r="P66">
        <v>7.0000000000000007E-2</v>
      </c>
      <c r="Q66" s="10">
        <v>1</v>
      </c>
      <c r="R66" s="8">
        <v>0</v>
      </c>
      <c r="S66">
        <v>0</v>
      </c>
      <c r="T66">
        <v>1</v>
      </c>
      <c r="U66" s="9">
        <v>2.9099999999999999E-5</v>
      </c>
      <c r="V66">
        <v>0</v>
      </c>
      <c r="W66" s="10">
        <v>5</v>
      </c>
      <c r="X66" s="1">
        <v>80.574999999999989</v>
      </c>
      <c r="Y66" s="2">
        <v>24.475000000000001</v>
      </c>
      <c r="Z66" s="13">
        <v>0</v>
      </c>
      <c r="AA66" s="2">
        <v>80.574999999999989</v>
      </c>
      <c r="AB66" s="2">
        <v>24.475000000000001</v>
      </c>
      <c r="AC66" s="2">
        <v>137.5</v>
      </c>
      <c r="AD66" s="2"/>
      <c r="AE66" s="7">
        <v>105.05</v>
      </c>
      <c r="AF66" s="2">
        <v>80.574999999999989</v>
      </c>
      <c r="AG66" s="2">
        <v>24.475000000000001</v>
      </c>
      <c r="AH66" s="2">
        <v>14.128733819316251</v>
      </c>
      <c r="AI66" s="2">
        <v>3.831355063027885</v>
      </c>
      <c r="AJ66" s="2">
        <v>-320.88543195390662</v>
      </c>
      <c r="AK66" s="2">
        <v>-80.33068857301987</v>
      </c>
      <c r="AL66" s="2">
        <v>0</v>
      </c>
      <c r="AM66" s="2">
        <v>-138.7388180440376</v>
      </c>
      <c r="AN66" s="2">
        <v>137.5</v>
      </c>
      <c r="AO66" s="2">
        <v>113.0123605501379</v>
      </c>
      <c r="AP66" s="2">
        <v>165.09435239128121</v>
      </c>
      <c r="AQ66" s="2">
        <v>14.43132866166007</v>
      </c>
      <c r="AR66" s="2">
        <v>-435.3188271402754</v>
      </c>
      <c r="AS66" s="2">
        <v>0</v>
      </c>
      <c r="AT66" s="2">
        <v>-1042.673050388335</v>
      </c>
      <c r="AU66" s="1">
        <v>105.05</v>
      </c>
      <c r="AV66" s="2">
        <v>12.24575132444588</v>
      </c>
      <c r="AW66" s="2">
        <v>-434.62622659639629</v>
      </c>
      <c r="AX66" s="2">
        <v>113.0123605501379</v>
      </c>
      <c r="AZ66" s="1">
        <f t="shared" si="88"/>
        <v>80.574999999999989</v>
      </c>
      <c r="BA66" s="2">
        <f t="shared" si="89"/>
        <v>14.128733819316251</v>
      </c>
      <c r="BB66" s="7">
        <f t="shared" si="90"/>
        <v>-320.88543195390662</v>
      </c>
      <c r="BC66" s="1">
        <f t="shared" si="91"/>
        <v>24.475000000000001</v>
      </c>
      <c r="BD66" s="2">
        <f t="shared" si="92"/>
        <v>3.831355063027885</v>
      </c>
      <c r="BE66" s="2">
        <f t="shared" si="93"/>
        <v>-80.33068857301987</v>
      </c>
      <c r="BF66" s="2">
        <f t="shared" si="94"/>
        <v>0</v>
      </c>
      <c r="BG66" s="7">
        <f t="shared" si="95"/>
        <v>-138.7388180440376</v>
      </c>
      <c r="BH66" s="1">
        <f t="shared" si="96"/>
        <v>105.04999999999998</v>
      </c>
      <c r="BI66" s="2">
        <f t="shared" si="97"/>
        <v>17.960088882344134</v>
      </c>
      <c r="BJ66" s="2">
        <f t="shared" si="98"/>
        <v>401.21612052692649</v>
      </c>
      <c r="BK66" s="2">
        <f t="shared" si="99"/>
        <v>0</v>
      </c>
      <c r="BL66" s="7">
        <f t="shared" si="100"/>
        <v>-138.7388180440376</v>
      </c>
      <c r="BN66" s="1"/>
      <c r="BO66" s="4"/>
      <c r="BP66" s="2"/>
      <c r="BQ66" s="2"/>
      <c r="BR66" s="3"/>
      <c r="BS66" s="1"/>
      <c r="BT66" s="2"/>
      <c r="BU66" s="21"/>
      <c r="BV66" s="2"/>
      <c r="BW66" s="2"/>
      <c r="BX66" s="21"/>
      <c r="BY66" s="15"/>
    </row>
    <row r="67" spans="1:77" x14ac:dyDescent="0.25">
      <c r="C67">
        <f t="shared" si="61"/>
        <v>7</v>
      </c>
      <c r="D67" s="5" t="s">
        <v>94</v>
      </c>
      <c r="E67" t="s">
        <v>48</v>
      </c>
      <c r="F67" s="5">
        <v>25</v>
      </c>
      <c r="G67" t="s">
        <v>46</v>
      </c>
      <c r="H67">
        <v>500</v>
      </c>
      <c r="I67">
        <v>220000</v>
      </c>
      <c r="J67">
        <v>1576</v>
      </c>
      <c r="K67" s="10">
        <v>1870</v>
      </c>
      <c r="L67" s="12">
        <v>1</v>
      </c>
      <c r="M67" s="5">
        <v>0.215</v>
      </c>
      <c r="N67" s="10">
        <v>2.2000000000000002</v>
      </c>
      <c r="O67" s="5">
        <v>8.5000000000000006E-4</v>
      </c>
      <c r="P67">
        <v>0.03</v>
      </c>
      <c r="Q67" s="10">
        <v>1</v>
      </c>
      <c r="R67" s="8">
        <v>0</v>
      </c>
      <c r="S67">
        <v>0</v>
      </c>
      <c r="T67">
        <v>1</v>
      </c>
      <c r="U67" s="9">
        <v>2.9099999999999999E-5</v>
      </c>
      <c r="V67">
        <v>0</v>
      </c>
      <c r="W67" s="10">
        <v>7</v>
      </c>
      <c r="X67" s="1">
        <v>45.004800000000003</v>
      </c>
      <c r="Y67" s="2">
        <v>13.670400000000001</v>
      </c>
      <c r="Z67" s="13">
        <v>0</v>
      </c>
      <c r="AA67" s="2">
        <v>45.004800000000003</v>
      </c>
      <c r="AB67" s="2">
        <v>13.670400000000001</v>
      </c>
      <c r="AC67" s="2">
        <v>76.8</v>
      </c>
      <c r="AD67" s="2"/>
      <c r="AE67" s="7">
        <v>58.675199999999997</v>
      </c>
      <c r="AF67" s="2">
        <v>45.004800000000003</v>
      </c>
      <c r="AG67" s="2">
        <v>13.670400000000001</v>
      </c>
      <c r="AH67" s="2">
        <v>8.4094881383184479</v>
      </c>
      <c r="AI67" s="2">
        <v>2.1762835952536022</v>
      </c>
      <c r="AJ67" s="2">
        <v>-301.39874575815998</v>
      </c>
      <c r="AK67" s="2">
        <v>-67.339166685708562</v>
      </c>
      <c r="AL67" s="2">
        <v>0</v>
      </c>
      <c r="AM67" s="2">
        <v>-88.551603464213969</v>
      </c>
      <c r="AN67" s="2">
        <v>76.8</v>
      </c>
      <c r="AO67" s="2">
        <v>71.011605504923097</v>
      </c>
      <c r="AP67" s="2">
        <v>141.25656197468399</v>
      </c>
      <c r="AQ67" s="2">
        <v>8.4966917912558557</v>
      </c>
      <c r="AR67" s="2">
        <v>-386.42947311104552</v>
      </c>
      <c r="AS67" s="2">
        <v>0</v>
      </c>
      <c r="AT67" s="2">
        <v>-515.39837340166093</v>
      </c>
      <c r="AU67" s="1">
        <v>58.675199999999997</v>
      </c>
      <c r="AV67" s="2">
        <v>7.6626890226222848</v>
      </c>
      <c r="AW67" s="2">
        <v>-401.92602730342969</v>
      </c>
      <c r="AX67" s="2">
        <v>71.011605504923097</v>
      </c>
      <c r="AZ67" s="1">
        <f t="shared" si="88"/>
        <v>45.004800000000003</v>
      </c>
      <c r="BA67" s="2">
        <f t="shared" si="89"/>
        <v>8.4094881383184479</v>
      </c>
      <c r="BB67" s="7">
        <f t="shared" si="90"/>
        <v>-301.39874575815998</v>
      </c>
      <c r="BC67" s="1">
        <f t="shared" si="91"/>
        <v>13.670400000000001</v>
      </c>
      <c r="BD67" s="2">
        <f t="shared" si="92"/>
        <v>2.1762835952536022</v>
      </c>
      <c r="BE67" s="2">
        <f t="shared" si="93"/>
        <v>-67.339166685708562</v>
      </c>
      <c r="BF67" s="2">
        <f t="shared" si="94"/>
        <v>0</v>
      </c>
      <c r="BG67" s="7">
        <f t="shared" si="95"/>
        <v>-88.551603464213969</v>
      </c>
      <c r="BH67" s="1">
        <f t="shared" si="96"/>
        <v>58.675200000000004</v>
      </c>
      <c r="BI67" s="2">
        <f t="shared" si="97"/>
        <v>10.58577173357205</v>
      </c>
      <c r="BJ67" s="2">
        <f t="shared" si="98"/>
        <v>368.73791244386854</v>
      </c>
      <c r="BK67" s="2">
        <f t="shared" si="99"/>
        <v>0</v>
      </c>
      <c r="BL67" s="7">
        <f t="shared" si="100"/>
        <v>-88.551603464213969</v>
      </c>
      <c r="BN67" s="1"/>
      <c r="BO67" s="4"/>
      <c r="BP67" s="2"/>
      <c r="BQ67" s="2"/>
      <c r="BR67" s="3"/>
      <c r="BS67" s="1"/>
      <c r="BT67" s="2"/>
      <c r="BU67" s="21"/>
      <c r="BV67" s="2"/>
      <c r="BW67" s="2"/>
      <c r="BX67" s="21"/>
      <c r="BY67" s="10"/>
    </row>
  </sheetData>
  <mergeCells count="19">
    <mergeCell ref="G4:H4"/>
    <mergeCell ref="I4:K4"/>
    <mergeCell ref="R4:T4"/>
    <mergeCell ref="U4:W4"/>
    <mergeCell ref="AZ1:BY1"/>
    <mergeCell ref="AZ2:BL2"/>
    <mergeCell ref="BN2:BY2"/>
    <mergeCell ref="F3:K3"/>
    <mergeCell ref="M3:N4"/>
    <mergeCell ref="O3:Q4"/>
    <mergeCell ref="R3:W3"/>
    <mergeCell ref="X3:AE4"/>
    <mergeCell ref="AF3:AX4"/>
    <mergeCell ref="AZ3:BB4"/>
    <mergeCell ref="BX5:BY5"/>
    <mergeCell ref="BC3:BG4"/>
    <mergeCell ref="BH3:BL3"/>
    <mergeCell ref="BN3:BR4"/>
    <mergeCell ref="BS3:BY4"/>
  </mergeCells>
  <conditionalFormatting sqref="D6:D67">
    <cfRule type="expression" dxfId="139" priority="14">
      <formula>$B6=FALSE</formula>
    </cfRule>
  </conditionalFormatting>
  <conditionalFormatting sqref="BI6:BI67">
    <cfRule type="cellIs" dxfId="138" priority="8" operator="greaterThan">
      <formula>$BI$4</formula>
    </cfRule>
  </conditionalFormatting>
  <conditionalFormatting sqref="BJ6:BK67">
    <cfRule type="cellIs" dxfId="137" priority="12" operator="greaterThan">
      <formula>$BJ$4</formula>
    </cfRule>
  </conditionalFormatting>
  <conditionalFormatting sqref="BL6:BM9 BM10:BM36 BL10:BL67">
    <cfRule type="expression" dxfId="136" priority="13">
      <formula>ABS($BL6)&gt;$BL$4</formula>
    </cfRule>
  </conditionalFormatting>
  <conditionalFormatting sqref="BO6:BO67">
    <cfRule type="expression" dxfId="135" priority="2">
      <formula>$A6="Travée"</formula>
    </cfRule>
  </conditionalFormatting>
  <conditionalFormatting sqref="BR6:BR67">
    <cfRule type="cellIs" dxfId="134" priority="5" operator="greaterThan">
      <formula>1</formula>
    </cfRule>
  </conditionalFormatting>
  <conditionalFormatting sqref="BU6:BU67">
    <cfRule type="cellIs" dxfId="133" priority="4" operator="greaterThan">
      <formula>1</formula>
    </cfRule>
  </conditionalFormatting>
  <conditionalFormatting sqref="BV7:BY67">
    <cfRule type="cellIs" dxfId="132" priority="3" operator="equal">
      <formula>""</formula>
    </cfRule>
  </conditionalFormatting>
  <conditionalFormatting sqref="BX6:BX67">
    <cfRule type="cellIs" dxfId="131" priority="1" operator="lessThan">
      <formula>IF($BY6="Rive",1.15,IF($BY6="Inter",1.1,0))</formula>
    </cfRule>
  </conditionalFormatting>
  <pageMargins left="0.7" right="0.7" top="0.75" bottom="0.75" header="0.3" footer="0.3"/>
  <pageSetup paperSize="8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667F-C30E-4139-AA76-0027E6336746}">
  <sheetPr>
    <pageSetUpPr fitToPage="1"/>
  </sheetPr>
  <dimension ref="A1:CL73"/>
  <sheetViews>
    <sheetView tabSelected="1" topLeftCell="A8" zoomScale="70" zoomScaleNormal="70" workbookViewId="0">
      <pane xSplit="5" topLeftCell="R1" activePane="topRight" state="frozen"/>
      <selection activeCell="D6" sqref="D6:BA71"/>
      <selection pane="topRight" activeCell="A59" sqref="A59:XFD59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6.140625" bestFit="1" customWidth="1"/>
    <col min="7" max="7" width="3.85546875" bestFit="1" customWidth="1"/>
    <col min="8" max="8" width="4.140625" bestFit="1" customWidth="1"/>
    <col min="9" max="9" width="7.42578125" bestFit="1" customWidth="1"/>
    <col min="10" max="11" width="5.14062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5" width="3.42578125" customWidth="1"/>
    <col min="26" max="26" width="7.85546875" bestFit="1" customWidth="1"/>
    <col min="27" max="34" width="5.140625" customWidth="1"/>
    <col min="35" max="53" width="8.28515625" customWidth="1" outlineLevel="1"/>
    <col min="54" max="54" width="2.85546875" customWidth="1"/>
    <col min="55" max="56" width="3.85546875" bestFit="1" customWidth="1"/>
    <col min="57" max="57" width="4.85546875" bestFit="1" customWidth="1"/>
    <col min="58" max="59" width="3.85546875" bestFit="1" customWidth="1"/>
    <col min="60" max="62" width="4.85546875" bestFit="1" customWidth="1"/>
    <col min="63" max="63" width="4.140625" bestFit="1" customWidth="1"/>
    <col min="64" max="64" width="9.140625" customWidth="1"/>
    <col min="65" max="65" width="11.28515625" customWidth="1"/>
    <col min="66" max="67" width="5.5703125" bestFit="1" customWidth="1"/>
    <col min="69" max="69" width="4.140625" bestFit="1" customWidth="1"/>
    <col min="70" max="70" width="10.28515625" bestFit="1" customWidth="1"/>
    <col min="71" max="71" width="4.85546875" bestFit="1" customWidth="1"/>
    <col min="72" max="72" width="4.5703125" bestFit="1" customWidth="1"/>
    <col min="73" max="73" width="7.140625" customWidth="1"/>
    <col min="74" max="75" width="6.85546875" bestFit="1" customWidth="1"/>
    <col min="76" max="76" width="6.140625" bestFit="1" customWidth="1"/>
    <col min="77" max="77" width="4.140625" bestFit="1" customWidth="1"/>
    <col min="78" max="78" width="6.140625" bestFit="1" customWidth="1"/>
    <col min="79" max="79" width="4.140625" customWidth="1"/>
    <col min="80" max="80" width="4.140625" bestFit="1" customWidth="1"/>
    <col min="81" max="81" width="7.42578125" bestFit="1" customWidth="1"/>
    <col min="82" max="83" width="4.140625" bestFit="1" customWidth="1"/>
    <col min="84" max="84" width="5.7109375" bestFit="1" customWidth="1"/>
    <col min="85" max="85" width="5.5703125" bestFit="1" customWidth="1"/>
    <col min="87" max="87" width="9.140625" bestFit="1" customWidth="1"/>
  </cols>
  <sheetData>
    <row r="1" spans="1:90" ht="15.75" thickBot="1" x14ac:dyDescent="0.3">
      <c r="BC1" s="80" t="s">
        <v>67</v>
      </c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2"/>
    </row>
    <row r="2" spans="1:90" ht="15.75" thickBot="1" x14ac:dyDescent="0.3">
      <c r="BC2" s="67" t="s">
        <v>78</v>
      </c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79"/>
      <c r="BP2" s="6"/>
      <c r="BQ2" s="67" t="s">
        <v>79</v>
      </c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79"/>
    </row>
    <row r="3" spans="1:90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38"/>
      <c r="Y3" s="39"/>
      <c r="Z3" s="39"/>
      <c r="AA3" s="62" t="s">
        <v>68</v>
      </c>
      <c r="AB3" s="62"/>
      <c r="AC3" s="62"/>
      <c r="AD3" s="62"/>
      <c r="AE3" s="62"/>
      <c r="AF3" s="62"/>
      <c r="AG3" s="62"/>
      <c r="AH3" s="63"/>
      <c r="AI3" s="67" t="s">
        <v>67</v>
      </c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C3" s="83" t="s">
        <v>87</v>
      </c>
      <c r="BD3" s="62"/>
      <c r="BE3" s="63"/>
      <c r="BF3" s="83" t="s">
        <v>88</v>
      </c>
      <c r="BG3" s="62"/>
      <c r="BH3" s="62"/>
      <c r="BI3" s="62"/>
      <c r="BJ3" s="63"/>
      <c r="BK3" s="71" t="s">
        <v>77</v>
      </c>
      <c r="BL3" s="72"/>
      <c r="BM3" s="72"/>
      <c r="BN3" s="72"/>
      <c r="BO3" s="73"/>
      <c r="BQ3" s="83" t="s">
        <v>89</v>
      </c>
      <c r="BR3" s="62"/>
      <c r="BS3" s="62"/>
      <c r="BT3" s="62"/>
      <c r="BU3" s="63"/>
      <c r="BV3" s="40"/>
      <c r="BW3" s="40"/>
      <c r="BX3" s="40"/>
      <c r="BY3" s="83" t="s">
        <v>90</v>
      </c>
      <c r="BZ3" s="84"/>
      <c r="CA3" s="84"/>
      <c r="CB3" s="62"/>
      <c r="CC3" s="62"/>
      <c r="CD3" s="62"/>
      <c r="CE3" s="62"/>
      <c r="CF3" s="62"/>
      <c r="CG3" s="63"/>
    </row>
    <row r="4" spans="1:90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44"/>
      <c r="Y4" s="45"/>
      <c r="Z4" s="45"/>
      <c r="AA4" s="65"/>
      <c r="AB4" s="65"/>
      <c r="AC4" s="65"/>
      <c r="AD4" s="65"/>
      <c r="AE4" s="65"/>
      <c r="AF4" s="65"/>
      <c r="AG4" s="65"/>
      <c r="AH4" s="66"/>
      <c r="AI4" s="67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C4" s="64"/>
      <c r="BD4" s="65"/>
      <c r="BE4" s="66"/>
      <c r="BF4" s="64"/>
      <c r="BG4" s="65"/>
      <c r="BH4" s="65"/>
      <c r="BI4" s="65"/>
      <c r="BJ4" s="66"/>
      <c r="BK4" s="23"/>
      <c r="BL4" s="24">
        <f>0.6*F7</f>
        <v>15</v>
      </c>
      <c r="BM4" s="24">
        <f>0.8*H7/0.8</f>
        <v>500</v>
      </c>
      <c r="BN4" s="24">
        <f>0.8*H7</f>
        <v>400</v>
      </c>
      <c r="BO4" s="25">
        <f>MIN(J7,0.9*0.8*H7)</f>
        <v>360.00000000000006</v>
      </c>
      <c r="BP4" s="14"/>
      <c r="BQ4" s="64"/>
      <c r="BR4" s="65"/>
      <c r="BS4" s="65"/>
      <c r="BT4" s="65"/>
      <c r="BU4" s="66"/>
      <c r="BV4" s="42"/>
      <c r="BW4" s="42"/>
      <c r="BX4" s="42"/>
      <c r="BY4" s="64"/>
      <c r="BZ4" s="65"/>
      <c r="CA4" s="65"/>
      <c r="CB4" s="65"/>
      <c r="CC4" s="65"/>
      <c r="CD4" s="65"/>
      <c r="CE4" s="65"/>
      <c r="CF4" s="65"/>
      <c r="CG4" s="66"/>
      <c r="CH4" t="s">
        <v>113</v>
      </c>
    </row>
    <row r="5" spans="1:90" ht="81.95" customHeight="1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46" t="s">
        <v>114</v>
      </c>
      <c r="Y5" s="47" t="s">
        <v>115</v>
      </c>
      <c r="Z5" s="47" t="s">
        <v>116</v>
      </c>
      <c r="AA5" s="48" t="s">
        <v>69</v>
      </c>
      <c r="AB5" s="32" t="s">
        <v>70</v>
      </c>
      <c r="AC5" s="32" t="s">
        <v>71</v>
      </c>
      <c r="AD5" s="32" t="s">
        <v>20</v>
      </c>
      <c r="AE5" s="32" t="s">
        <v>21</v>
      </c>
      <c r="AF5" s="32" t="s">
        <v>22</v>
      </c>
      <c r="AG5" s="32" t="s">
        <v>23</v>
      </c>
      <c r="AH5" s="33" t="s">
        <v>24</v>
      </c>
      <c r="AI5" s="34" t="s">
        <v>25</v>
      </c>
      <c r="AJ5" s="35" t="s">
        <v>26</v>
      </c>
      <c r="AK5" s="35" t="s">
        <v>27</v>
      </c>
      <c r="AL5" s="35" t="s">
        <v>28</v>
      </c>
      <c r="AM5" s="35" t="s">
        <v>29</v>
      </c>
      <c r="AN5" s="35" t="s">
        <v>30</v>
      </c>
      <c r="AO5" s="35" t="s">
        <v>31</v>
      </c>
      <c r="AP5" s="35" t="s">
        <v>32</v>
      </c>
      <c r="AQ5" s="35" t="s">
        <v>33</v>
      </c>
      <c r="AR5" s="35" t="s">
        <v>34</v>
      </c>
      <c r="AS5" s="35" t="s">
        <v>35</v>
      </c>
      <c r="AT5" s="35" t="s">
        <v>36</v>
      </c>
      <c r="AU5" s="35" t="s">
        <v>37</v>
      </c>
      <c r="AV5" s="35" t="s">
        <v>38</v>
      </c>
      <c r="AW5" s="36" t="s">
        <v>39</v>
      </c>
      <c r="AX5" s="37" t="s">
        <v>40</v>
      </c>
      <c r="AY5" s="35" t="s">
        <v>42</v>
      </c>
      <c r="AZ5" s="35" t="s">
        <v>43</v>
      </c>
      <c r="BA5" s="35" t="s">
        <v>41</v>
      </c>
      <c r="BB5" s="20"/>
      <c r="BC5" s="16" t="s">
        <v>72</v>
      </c>
      <c r="BD5" s="18" t="s">
        <v>73</v>
      </c>
      <c r="BE5" s="17" t="s">
        <v>74</v>
      </c>
      <c r="BF5" s="18" t="s">
        <v>72</v>
      </c>
      <c r="BG5" s="18" t="s">
        <v>73</v>
      </c>
      <c r="BH5" s="18" t="s">
        <v>74</v>
      </c>
      <c r="BI5" s="18" t="s">
        <v>75</v>
      </c>
      <c r="BJ5" s="17" t="s">
        <v>76</v>
      </c>
      <c r="BK5" s="16" t="s">
        <v>72</v>
      </c>
      <c r="BL5" s="18" t="s">
        <v>73</v>
      </c>
      <c r="BM5" s="18" t="s">
        <v>74</v>
      </c>
      <c r="BN5" s="18" t="s">
        <v>75</v>
      </c>
      <c r="BO5" s="17" t="s">
        <v>76</v>
      </c>
      <c r="BP5" s="18"/>
      <c r="BQ5" s="16" t="s">
        <v>80</v>
      </c>
      <c r="BR5" s="19" t="s">
        <v>66</v>
      </c>
      <c r="BS5" s="18" t="s">
        <v>82</v>
      </c>
      <c r="BT5" s="18" t="s">
        <v>81</v>
      </c>
      <c r="BU5" s="18" t="s">
        <v>117</v>
      </c>
      <c r="BV5" s="18" t="s">
        <v>118</v>
      </c>
      <c r="BW5" s="18" t="s">
        <v>119</v>
      </c>
      <c r="BX5" s="49" t="s">
        <v>120</v>
      </c>
      <c r="BY5" s="16" t="s">
        <v>80</v>
      </c>
      <c r="BZ5" s="19" t="s">
        <v>66</v>
      </c>
      <c r="CA5" s="18" t="s">
        <v>82</v>
      </c>
      <c r="CB5" s="18" t="s">
        <v>81</v>
      </c>
      <c r="CC5" s="20"/>
      <c r="CD5" s="18" t="s">
        <v>121</v>
      </c>
      <c r="CE5" s="18" t="s">
        <v>122</v>
      </c>
      <c r="CF5" s="77" t="s">
        <v>86</v>
      </c>
      <c r="CG5" s="78"/>
      <c r="CH5" s="50" t="s">
        <v>123</v>
      </c>
    </row>
    <row r="6" spans="1:90" x14ac:dyDescent="0.25">
      <c r="A6" t="str">
        <f>IF(ISNUMBER(SEARCH("Appui",E6)),"Appui",IF(ISNUMBER(SEARCH("Travée",E6)),"Travée",""))</f>
        <v/>
      </c>
      <c r="B6" t="b">
        <f>MOD(C6,2)=0</f>
        <v>0</v>
      </c>
      <c r="C6">
        <v>1</v>
      </c>
      <c r="D6" t="s">
        <v>124</v>
      </c>
      <c r="F6">
        <v>25</v>
      </c>
      <c r="G6" t="s">
        <v>46</v>
      </c>
      <c r="H6">
        <v>500</v>
      </c>
      <c r="I6">
        <v>220000</v>
      </c>
      <c r="J6">
        <v>1576</v>
      </c>
      <c r="K6">
        <v>1870</v>
      </c>
      <c r="L6">
        <v>1</v>
      </c>
      <c r="M6">
        <v>0.2</v>
      </c>
      <c r="N6">
        <v>2.2000000000000002</v>
      </c>
      <c r="O6">
        <v>1.0000000000000001E-5</v>
      </c>
      <c r="P6">
        <v>0.03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0.78043082983844214</v>
      </c>
      <c r="AS6">
        <v>0.78043082983844214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0.78043082983844214</v>
      </c>
      <c r="BC6" s="1">
        <f>AI6</f>
        <v>0</v>
      </c>
      <c r="BD6" s="2">
        <f t="shared" ref="BD6:BD69" si="0">AK6</f>
        <v>0</v>
      </c>
      <c r="BE6" s="7">
        <f t="shared" ref="BE6:BE69" si="1">AM6</f>
        <v>0</v>
      </c>
      <c r="BF6" s="1">
        <f t="shared" ref="BF6:BF69" si="2">AJ6</f>
        <v>0</v>
      </c>
      <c r="BG6" s="2">
        <f t="shared" ref="BG6:BG69" si="3">AL6</f>
        <v>0</v>
      </c>
      <c r="BH6" s="2">
        <f t="shared" ref="BH6:BJ21" si="4">AN6</f>
        <v>0</v>
      </c>
      <c r="BI6" s="2">
        <f t="shared" si="4"/>
        <v>0</v>
      </c>
      <c r="BJ6" s="7">
        <f t="shared" si="4"/>
        <v>0</v>
      </c>
      <c r="BK6" s="1">
        <f t="shared" ref="BK6:BL21" si="5">BC6+BF6</f>
        <v>0</v>
      </c>
      <c r="BL6" s="2">
        <f t="shared" si="5"/>
        <v>0</v>
      </c>
      <c r="BM6" s="2">
        <f t="shared" ref="BM6:BM69" si="6">ABS(BE6+BH6)</f>
        <v>0</v>
      </c>
      <c r="BN6" s="2">
        <f t="shared" ref="BN6:BN69" si="7">ABS(BI6)</f>
        <v>0</v>
      </c>
      <c r="BO6" s="7">
        <f t="shared" ref="BO6:BO69" si="8">BJ6</f>
        <v>0</v>
      </c>
      <c r="BP6" s="2"/>
      <c r="BQ6" s="1">
        <f t="shared" ref="BQ6:BQ8" si="9">AX6</f>
        <v>0</v>
      </c>
      <c r="BR6" s="4">
        <v>0</v>
      </c>
      <c r="BS6" s="2">
        <f t="shared" ref="BS6:BS8" si="10">IF(ISNUMBER(SEARCH("Appui",E6)),BQ6+BR6*BQ6,IF(C5&lt;C6,BQ6-BR7*BQ7/2,IF(C6&lt;C7,BQ6-(BR5*BQ5)/2,BQ6-(BR7*BQ7+BR5*BQ5)/2)))</f>
        <v>0</v>
      </c>
      <c r="BT6" s="2">
        <f t="shared" ref="BT6:BT8" si="11">BA6</f>
        <v>0.78043082983844214</v>
      </c>
      <c r="BU6" s="21">
        <f t="shared" ref="BU6:BU8" si="12">IFERROR(IF(BT6=0,"",BT6/BS6),1)</f>
        <v>1</v>
      </c>
      <c r="BV6" s="21" t="str">
        <f t="shared" ref="BV6:BV8" si="13">IF(ISNUMBER(SEARCH("Travée",E6)),BS6+(IF(C5&lt;C6,0,BS5)+IF(C7&gt;C6,0,BS7))/2,"")</f>
        <v/>
      </c>
      <c r="BW6" s="21" t="str">
        <f t="shared" ref="BW6:BW8" si="14">IF(ISNUMBER(SEARCH("Travée",E6)),BT6+(IF(C5&lt;C6,0,BT5)+IF(C7&gt;C6,0,BT7))/2,"")</f>
        <v/>
      </c>
      <c r="BX6" s="21" t="str">
        <f t="shared" ref="BX6:BX8" si="15">IF(ISNUMBER(SEARCH("Travée",E6)),IF(BV6=0,"",BW6/BV6),"")</f>
        <v/>
      </c>
      <c r="BY6" s="1">
        <f t="shared" ref="BY6:BY8" si="16">AQ6</f>
        <v>0</v>
      </c>
      <c r="BZ6" s="4">
        <v>0</v>
      </c>
      <c r="CA6" s="2">
        <f t="shared" ref="CA6:CA8" si="17">IF(ISNUMBER(SEARCH("Appui",$E6)),BY6+BZ6*BY6,IF($C5&lt;$C6,BY6-BZ7*BY7/2,IF($C6&lt;$C7,BY6-(BZ5*BY5)/2,BY6-(BZ7*BY7+BZ5*BY5)/2)))</f>
        <v>0</v>
      </c>
      <c r="CB6" s="2">
        <f t="shared" ref="CB6:CB8" si="18">AS6</f>
        <v>0.78043082983844214</v>
      </c>
      <c r="CC6" s="21">
        <f t="shared" ref="CC6:CC8" si="19">IFERROR(IF(CB6=0,"",CB6/CA6),1)</f>
        <v>1</v>
      </c>
      <c r="CD6" s="2" t="str">
        <f t="shared" ref="CD6:CD8" si="20">IF(ISNUMBER(SEARCH("Travée",E6)),CA6+(IF(C5&lt;C6,0,CA5)+IF(C7&gt;C6,0,CA7))/2,"")</f>
        <v/>
      </c>
      <c r="CE6" s="2" t="str">
        <f t="shared" ref="CE6:CE8" si="21">IF(ISNUMBER(SEARCH("Travée",E6)),CB6+(IF(C5&lt;C6,0,CB5)+IF(C7&gt;C6,0,CB7))/2,"")</f>
        <v/>
      </c>
      <c r="CF6" s="21" t="str">
        <f t="shared" ref="CF6:CF8" si="22">IF(ISNUMBER(SEARCH("Travée",E6)),CE6/CD6,"")</f>
        <v/>
      </c>
      <c r="CG6" s="15"/>
      <c r="CH6" s="21" t="str">
        <f t="shared" ref="CH6:CH8" si="23">IF(ISNUMBER(SEARCH("Travée",E6)),BW6/CD6,"")</f>
        <v/>
      </c>
    </row>
    <row r="7" spans="1:90" x14ac:dyDescent="0.25">
      <c r="A7" t="str">
        <f>IF(ISNUMBER(SEARCH("Appui",E7)),"Appui",IF(ISNUMBER(SEARCH("Travée",E7)),"Travée",""))</f>
        <v>Travée</v>
      </c>
      <c r="B7" t="b">
        <f>MOD(C7,2)=0</f>
        <v>0</v>
      </c>
      <c r="C7">
        <v>1</v>
      </c>
      <c r="D7" t="s">
        <v>44</v>
      </c>
      <c r="E7" t="s">
        <v>45</v>
      </c>
      <c r="F7">
        <v>25</v>
      </c>
      <c r="G7" t="s">
        <v>46</v>
      </c>
      <c r="H7">
        <v>500</v>
      </c>
      <c r="I7">
        <v>220000</v>
      </c>
      <c r="J7">
        <v>1576</v>
      </c>
      <c r="K7">
        <v>1870</v>
      </c>
      <c r="L7">
        <v>1</v>
      </c>
      <c r="M7">
        <v>0.26</v>
      </c>
      <c r="N7">
        <v>2.2000000000000002</v>
      </c>
      <c r="O7">
        <v>5.6539999999999997E-4</v>
      </c>
      <c r="P7">
        <v>0.04</v>
      </c>
      <c r="Q7">
        <v>1</v>
      </c>
      <c r="R7">
        <v>0</v>
      </c>
      <c r="S7">
        <v>0</v>
      </c>
      <c r="T7">
        <v>1</v>
      </c>
      <c r="U7">
        <v>2.9099999999999999E-5</v>
      </c>
      <c r="V7">
        <v>0</v>
      </c>
      <c r="W7">
        <v>2</v>
      </c>
      <c r="X7">
        <v>22</v>
      </c>
      <c r="Y7">
        <v>9</v>
      </c>
      <c r="Z7">
        <v>0</v>
      </c>
      <c r="AA7">
        <v>25.75</v>
      </c>
      <c r="AB7">
        <v>10.199999999999999</v>
      </c>
      <c r="AC7">
        <v>0.5</v>
      </c>
      <c r="AD7">
        <v>12.875</v>
      </c>
      <c r="AE7">
        <v>23.074999999999999</v>
      </c>
      <c r="AF7">
        <v>50.0625</v>
      </c>
      <c r="AH7">
        <v>35.950000000000003</v>
      </c>
      <c r="AI7">
        <v>12.875</v>
      </c>
      <c r="AJ7">
        <v>23.074999999999999</v>
      </c>
      <c r="AK7">
        <v>2.194966448474748</v>
      </c>
      <c r="AL7">
        <v>3.6387016512989598</v>
      </c>
      <c r="AM7">
        <v>-107.7022931849301</v>
      </c>
      <c r="AN7">
        <v>-166.38150178179961</v>
      </c>
      <c r="AO7">
        <v>0</v>
      </c>
      <c r="AP7">
        <v>-220.9200774326527</v>
      </c>
      <c r="AQ7">
        <v>50.0625</v>
      </c>
      <c r="AR7">
        <v>56.863742648834233</v>
      </c>
      <c r="AS7">
        <v>79.640655510273348</v>
      </c>
      <c r="AT7">
        <v>5.6124335604172018</v>
      </c>
      <c r="AU7">
        <v>-366.55251604629962</v>
      </c>
      <c r="AV7">
        <v>0</v>
      </c>
      <c r="AW7">
        <v>-491.36594540054227</v>
      </c>
      <c r="AX7">
        <v>35.950000000000003</v>
      </c>
      <c r="AY7">
        <v>4.4174414080080426</v>
      </c>
      <c r="AZ7">
        <v>-305.40944199057208</v>
      </c>
      <c r="BA7">
        <v>56.863742648834233</v>
      </c>
      <c r="BC7" s="1">
        <f>AI7</f>
        <v>12.875</v>
      </c>
      <c r="BD7" s="2">
        <f t="shared" si="0"/>
        <v>2.194966448474748</v>
      </c>
      <c r="BE7" s="7">
        <f t="shared" si="1"/>
        <v>-107.7022931849301</v>
      </c>
      <c r="BF7" s="1">
        <f t="shared" si="2"/>
        <v>23.074999999999999</v>
      </c>
      <c r="BG7" s="2">
        <f t="shared" si="3"/>
        <v>3.6387016512989598</v>
      </c>
      <c r="BH7" s="2">
        <f t="shared" si="4"/>
        <v>-166.38150178179961</v>
      </c>
      <c r="BI7" s="2">
        <f t="shared" si="4"/>
        <v>0</v>
      </c>
      <c r="BJ7" s="7">
        <f t="shared" si="4"/>
        <v>-220.9200774326527</v>
      </c>
      <c r="BK7" s="1">
        <f t="shared" si="5"/>
        <v>35.950000000000003</v>
      </c>
      <c r="BL7" s="2">
        <f t="shared" si="5"/>
        <v>5.8336680997737078</v>
      </c>
      <c r="BM7" s="2">
        <f t="shared" si="6"/>
        <v>274.08379496672973</v>
      </c>
      <c r="BN7" s="2">
        <f t="shared" si="7"/>
        <v>0</v>
      </c>
      <c r="BO7" s="7">
        <f t="shared" si="8"/>
        <v>-220.9200774326527</v>
      </c>
      <c r="BP7" s="2"/>
      <c r="BQ7" s="1">
        <f t="shared" si="9"/>
        <v>35.950000000000003</v>
      </c>
      <c r="BR7" s="4" t="str">
        <f t="shared" ref="BR7" si="24">IF(ISNUMBER(SEARCH("Appui",E7)),0,"0")</f>
        <v>0</v>
      </c>
      <c r="BS7" s="2">
        <f t="shared" si="10"/>
        <v>35.950000000000003</v>
      </c>
      <c r="BT7" s="2">
        <f t="shared" si="11"/>
        <v>56.863742648834233</v>
      </c>
      <c r="BU7" s="21">
        <f t="shared" si="12"/>
        <v>1.5817452753500481</v>
      </c>
      <c r="BV7" s="21">
        <f t="shared" si="13"/>
        <v>80.5</v>
      </c>
      <c r="BW7" s="21">
        <f t="shared" si="14"/>
        <v>119.81942724093389</v>
      </c>
      <c r="BX7" s="21">
        <f t="shared" si="15"/>
        <v>1.4884400899494894</v>
      </c>
      <c r="BY7" s="1">
        <f t="shared" si="16"/>
        <v>50.0625</v>
      </c>
      <c r="BZ7" s="4" t="str">
        <f t="shared" ref="BZ7" si="25">IF(ISNUMBER(SEARCH("Appui",M7)),0,"0")</f>
        <v>0</v>
      </c>
      <c r="CA7" s="2">
        <f t="shared" si="17"/>
        <v>50.0625</v>
      </c>
      <c r="CB7" s="2">
        <f t="shared" si="18"/>
        <v>79.640655510273348</v>
      </c>
      <c r="CC7" s="21">
        <f t="shared" si="19"/>
        <v>1.5908245794811156</v>
      </c>
      <c r="CD7" s="2">
        <f t="shared" si="20"/>
        <v>111.825</v>
      </c>
      <c r="CE7" s="2">
        <f t="shared" si="21"/>
        <v>142.59634010237301</v>
      </c>
      <c r="CF7" s="21">
        <f t="shared" si="22"/>
        <v>1.275174067537429</v>
      </c>
      <c r="CG7" s="10" t="str">
        <f t="shared" ref="CG7" si="26">IF(C5&lt;C7,"Rive",IF(C9&gt;C7,"Rive","Inter"))</f>
        <v>Rive</v>
      </c>
      <c r="CH7" s="21">
        <f t="shared" si="23"/>
        <v>1.0714905185864869</v>
      </c>
      <c r="CI7" s="51" t="s">
        <v>126</v>
      </c>
    </row>
    <row r="8" spans="1:90" x14ac:dyDescent="0.25">
      <c r="A8" t="str">
        <f t="shared" ref="A8:A71" si="27">IF(ISNUMBER(SEARCH("Appui",E8)),"Appui",IF(ISNUMBER(SEARCH("Travée",E8)),"Travée",""))</f>
        <v>Appui</v>
      </c>
      <c r="B8" t="b">
        <f t="shared" ref="B8:B71" si="28">MOD(C8,2)=0</f>
        <v>0</v>
      </c>
      <c r="C8">
        <f>IF(D8=D7,C7,C7+1)</f>
        <v>1</v>
      </c>
      <c r="D8" t="s">
        <v>44</v>
      </c>
      <c r="E8" t="s">
        <v>47</v>
      </c>
      <c r="F8">
        <v>25</v>
      </c>
      <c r="G8" t="s">
        <v>46</v>
      </c>
      <c r="H8">
        <v>500</v>
      </c>
      <c r="I8">
        <v>220000</v>
      </c>
      <c r="J8">
        <v>1576</v>
      </c>
      <c r="K8">
        <v>1870</v>
      </c>
      <c r="L8">
        <v>1</v>
      </c>
      <c r="M8">
        <v>0.25</v>
      </c>
      <c r="N8">
        <v>2.2000000000000002</v>
      </c>
      <c r="O8">
        <v>1.1286E-3</v>
      </c>
      <c r="P8">
        <v>9.9999999999999992E-2</v>
      </c>
      <c r="Q8">
        <v>1</v>
      </c>
      <c r="R8">
        <v>1.5393804002589981E-4</v>
      </c>
      <c r="S8">
        <v>0.04</v>
      </c>
      <c r="T8">
        <v>4</v>
      </c>
      <c r="U8">
        <v>0</v>
      </c>
      <c r="V8">
        <v>0</v>
      </c>
      <c r="W8">
        <v>0</v>
      </c>
      <c r="X8">
        <v>75</v>
      </c>
      <c r="Y8">
        <v>24</v>
      </c>
      <c r="Z8">
        <v>-0.1</v>
      </c>
      <c r="AA8">
        <v>67.5</v>
      </c>
      <c r="AB8">
        <v>21.6</v>
      </c>
      <c r="AC8">
        <v>0.5</v>
      </c>
      <c r="AD8">
        <v>33.75</v>
      </c>
      <c r="AE8">
        <v>55.35</v>
      </c>
      <c r="AF8">
        <v>123.52500000000001</v>
      </c>
      <c r="AH8">
        <v>89.1</v>
      </c>
      <c r="AI8">
        <v>33.75</v>
      </c>
      <c r="AJ8">
        <v>55.35</v>
      </c>
      <c r="AK8">
        <v>7.765258747682811</v>
      </c>
      <c r="AL8">
        <v>8.3005047412002124</v>
      </c>
      <c r="AM8">
        <v>-212.82518711885541</v>
      </c>
      <c r="AN8">
        <v>-162.01842859083141</v>
      </c>
      <c r="AO8">
        <v>-247.92265056898239</v>
      </c>
      <c r="AP8">
        <v>0</v>
      </c>
      <c r="AQ8">
        <v>123.52500000000001</v>
      </c>
      <c r="AR8">
        <v>72.918075721685838</v>
      </c>
      <c r="AS8">
        <v>125.13093835436089</v>
      </c>
      <c r="AT8">
        <v>16.666666666666671</v>
      </c>
      <c r="AU8">
        <v>-441.06732232916642</v>
      </c>
      <c r="AV8">
        <v>-444.95264124184138</v>
      </c>
      <c r="AW8">
        <v>0</v>
      </c>
      <c r="AX8">
        <v>89.1</v>
      </c>
      <c r="AY8">
        <v>9.3116743205234691</v>
      </c>
      <c r="AZ8">
        <v>-262.29831323648648</v>
      </c>
      <c r="BA8">
        <v>125.13093835436089</v>
      </c>
      <c r="BC8" s="1">
        <f>AI8</f>
        <v>33.75</v>
      </c>
      <c r="BD8" s="2">
        <f t="shared" si="0"/>
        <v>7.765258747682811</v>
      </c>
      <c r="BE8" s="7">
        <f t="shared" si="1"/>
        <v>-212.82518711885541</v>
      </c>
      <c r="BF8" s="1">
        <f t="shared" si="2"/>
        <v>55.35</v>
      </c>
      <c r="BG8" s="2">
        <f t="shared" si="3"/>
        <v>8.3005047412002124</v>
      </c>
      <c r="BH8" s="2">
        <f t="shared" si="4"/>
        <v>-162.01842859083141</v>
      </c>
      <c r="BI8" s="2">
        <f t="shared" si="4"/>
        <v>-247.92265056898239</v>
      </c>
      <c r="BJ8" s="7">
        <f t="shared" si="4"/>
        <v>0</v>
      </c>
      <c r="BK8" s="1">
        <f t="shared" si="5"/>
        <v>89.1</v>
      </c>
      <c r="BL8" s="2">
        <f t="shared" si="5"/>
        <v>16.065763488883022</v>
      </c>
      <c r="BM8" s="2">
        <f t="shared" si="6"/>
        <v>374.84361570968679</v>
      </c>
      <c r="BN8" s="2">
        <f t="shared" si="7"/>
        <v>247.92265056898239</v>
      </c>
      <c r="BO8" s="7">
        <f t="shared" si="8"/>
        <v>0</v>
      </c>
      <c r="BP8" s="2"/>
      <c r="BQ8" s="1">
        <f t="shared" si="9"/>
        <v>89.1</v>
      </c>
      <c r="BR8" s="4">
        <v>0</v>
      </c>
      <c r="BS8" s="2">
        <f t="shared" si="10"/>
        <v>89.1</v>
      </c>
      <c r="BT8" s="2">
        <f t="shared" si="11"/>
        <v>125.13093835436089</v>
      </c>
      <c r="BU8" s="21">
        <f t="shared" si="12"/>
        <v>1.4043876358514131</v>
      </c>
      <c r="BV8" s="21" t="str">
        <f t="shared" si="13"/>
        <v/>
      </c>
      <c r="BW8" s="21" t="str">
        <f t="shared" si="14"/>
        <v/>
      </c>
      <c r="BX8" s="21" t="str">
        <f t="shared" si="15"/>
        <v/>
      </c>
      <c r="BY8" s="1">
        <f t="shared" si="16"/>
        <v>123.52500000000001</v>
      </c>
      <c r="BZ8" s="4">
        <v>0</v>
      </c>
      <c r="CA8" s="2">
        <f t="shared" si="17"/>
        <v>123.52500000000001</v>
      </c>
      <c r="CB8" s="2">
        <f t="shared" si="18"/>
        <v>125.13093835436089</v>
      </c>
      <c r="CC8" s="21">
        <f t="shared" si="19"/>
        <v>1.0130009176633141</v>
      </c>
      <c r="CD8" s="2" t="str">
        <f t="shared" si="20"/>
        <v/>
      </c>
      <c r="CE8" s="2" t="str">
        <f t="shared" si="21"/>
        <v/>
      </c>
      <c r="CF8" s="21" t="str">
        <f t="shared" si="22"/>
        <v/>
      </c>
      <c r="CG8" s="15"/>
      <c r="CH8" s="21" t="str">
        <f t="shared" si="23"/>
        <v/>
      </c>
      <c r="CI8" s="51" t="s">
        <v>126</v>
      </c>
    </row>
    <row r="9" spans="1:90" x14ac:dyDescent="0.25">
      <c r="A9" t="str">
        <f t="shared" si="27"/>
        <v>Travée</v>
      </c>
      <c r="B9" t="b">
        <f t="shared" si="28"/>
        <v>0</v>
      </c>
      <c r="C9">
        <f t="shared" ref="C9:C32" si="29">IF(D9=D8,C8,C8+1)</f>
        <v>1</v>
      </c>
      <c r="D9" t="s">
        <v>44</v>
      </c>
      <c r="E9" t="s">
        <v>48</v>
      </c>
      <c r="F9">
        <v>25</v>
      </c>
      <c r="G9" t="s">
        <v>46</v>
      </c>
      <c r="H9">
        <v>500</v>
      </c>
      <c r="I9">
        <v>220000</v>
      </c>
      <c r="J9">
        <v>1576</v>
      </c>
      <c r="K9">
        <v>1870</v>
      </c>
      <c r="L9">
        <v>1</v>
      </c>
      <c r="M9">
        <v>0.23499999999999999</v>
      </c>
      <c r="N9">
        <v>2.2000000000000002</v>
      </c>
      <c r="O9">
        <v>8.470000000000001E-4</v>
      </c>
      <c r="P9">
        <v>0.04</v>
      </c>
      <c r="Q9">
        <v>1</v>
      </c>
      <c r="R9">
        <v>0</v>
      </c>
      <c r="S9">
        <v>0</v>
      </c>
      <c r="T9">
        <v>1</v>
      </c>
      <c r="U9">
        <v>2.9099999999999999E-5</v>
      </c>
      <c r="V9">
        <v>0</v>
      </c>
      <c r="W9">
        <v>2</v>
      </c>
      <c r="X9">
        <v>23.6</v>
      </c>
      <c r="Y9">
        <v>9.8000000000000007</v>
      </c>
      <c r="Z9">
        <v>0</v>
      </c>
      <c r="AA9">
        <v>33.35</v>
      </c>
      <c r="AB9">
        <v>12.9</v>
      </c>
      <c r="AC9">
        <v>0.5</v>
      </c>
      <c r="AD9">
        <v>16.675000000000001</v>
      </c>
      <c r="AE9">
        <v>29.574999999999999</v>
      </c>
      <c r="AF9">
        <v>64.372500000000002</v>
      </c>
      <c r="AH9">
        <v>46.25</v>
      </c>
      <c r="AI9">
        <v>16.675000000000001</v>
      </c>
      <c r="AJ9">
        <v>29.574999999999999</v>
      </c>
      <c r="AK9">
        <v>2.8693570768882011</v>
      </c>
      <c r="AL9">
        <v>4.7992783502355314</v>
      </c>
      <c r="AM9">
        <v>-106.2028741196837</v>
      </c>
      <c r="AN9">
        <v>-169.44881975009091</v>
      </c>
      <c r="AO9">
        <v>0</v>
      </c>
      <c r="AP9">
        <v>-231.50923716371221</v>
      </c>
      <c r="AQ9">
        <v>64.372500000000002</v>
      </c>
      <c r="AR9">
        <v>74.708892277634021</v>
      </c>
      <c r="AS9">
        <v>93.155538358901808</v>
      </c>
      <c r="AT9">
        <v>7.3500332323685136</v>
      </c>
      <c r="AU9">
        <v>-376.41224680518081</v>
      </c>
      <c r="AV9">
        <v>0</v>
      </c>
      <c r="AW9">
        <v>-521.76266674636986</v>
      </c>
      <c r="AX9">
        <v>46.25</v>
      </c>
      <c r="AY9">
        <v>5.7078968502552252</v>
      </c>
      <c r="AZ9">
        <v>-300.65548128202857</v>
      </c>
      <c r="BA9">
        <v>74.708892277634021</v>
      </c>
      <c r="BC9" s="1">
        <f>AI9</f>
        <v>16.675000000000001</v>
      </c>
      <c r="BD9" s="2">
        <f t="shared" si="0"/>
        <v>2.8693570768882011</v>
      </c>
      <c r="BE9" s="7">
        <f t="shared" si="1"/>
        <v>-106.2028741196837</v>
      </c>
      <c r="BF9" s="1">
        <f t="shared" si="2"/>
        <v>29.574999999999999</v>
      </c>
      <c r="BG9" s="2">
        <f t="shared" si="3"/>
        <v>4.7992783502355314</v>
      </c>
      <c r="BH9" s="2">
        <f t="shared" si="4"/>
        <v>-169.44881975009091</v>
      </c>
      <c r="BI9" s="2">
        <f t="shared" si="4"/>
        <v>0</v>
      </c>
      <c r="BJ9" s="7">
        <f t="shared" si="4"/>
        <v>-231.50923716371221</v>
      </c>
      <c r="BK9" s="1">
        <f t="shared" si="5"/>
        <v>46.25</v>
      </c>
      <c r="BL9" s="2">
        <f t="shared" si="5"/>
        <v>7.668635427123732</v>
      </c>
      <c r="BM9" s="2">
        <f t="shared" si="6"/>
        <v>275.65169386977459</v>
      </c>
      <c r="BN9" s="2">
        <f t="shared" si="7"/>
        <v>0</v>
      </c>
      <c r="BO9" s="7">
        <f t="shared" si="8"/>
        <v>-231.50923716371221</v>
      </c>
      <c r="BP9" s="2"/>
      <c r="BQ9" s="1">
        <f t="shared" ref="BQ9:BQ71" si="30">AX9</f>
        <v>46.25</v>
      </c>
      <c r="BR9" s="4" t="str">
        <f t="shared" ref="BR9" si="31">IF(ISNUMBER(SEARCH("Appui",E9)),0,"0")</f>
        <v>0</v>
      </c>
      <c r="BS9" s="2">
        <f t="shared" ref="BS9:BS71" si="32">IF(ISNUMBER(SEARCH("Appui",E9)),BQ9+BR9*BQ9,IF(C8&lt;C9,BQ9-BR10*BQ10/2,IF(C9&lt;C10,BQ9-(BR8*BQ8)/2,BQ9-(BR10*BQ10+BR8*BQ8)/2)))</f>
        <v>46.25</v>
      </c>
      <c r="BT9" s="2">
        <f t="shared" ref="BT9:BT71" si="33">BA9</f>
        <v>74.708892277634021</v>
      </c>
      <c r="BU9" s="21">
        <f t="shared" ref="BU9:BU71" si="34">IFERROR(IF(BT9=0,"",BT9/BS9),1)</f>
        <v>1.6153274005974922</v>
      </c>
      <c r="BV9" s="21">
        <f t="shared" ref="BV9:BV71" si="35">IF(ISNUMBER(SEARCH("Travée",E9)),BS9+(IF(C8&lt;C9,0,BS8)+IF(C10&gt;C9,0,BS10))/2,"")</f>
        <v>122.4</v>
      </c>
      <c r="BW9" s="21">
        <f t="shared" ref="BW9:BW71" si="36">IF(ISNUMBER(SEARCH("Travée",E9)),BT9+(IF(C8&lt;C9,0,BT8)+IF(C10&gt;C9,0,BT10))/2,"")</f>
        <v>181.7776589979041</v>
      </c>
      <c r="BX9" s="21">
        <f t="shared" ref="BX9:BX71" si="37">IF(ISNUMBER(SEARCH("Travée",E9)),IF(BV9=0,"",BW9/BV9),"")</f>
        <v>1.4851115931201315</v>
      </c>
      <c r="BY9" s="1">
        <f t="shared" ref="BY9:BY71" si="38">AQ9</f>
        <v>64.372500000000002</v>
      </c>
      <c r="BZ9" s="4" t="str">
        <f t="shared" ref="BZ9" si="39">IF(ISNUMBER(SEARCH("Appui",M9)),0,"0")</f>
        <v>0</v>
      </c>
      <c r="CA9" s="2">
        <f t="shared" ref="CA9:CA71" si="40">IF(ISNUMBER(SEARCH("Appui",$E9)),BY9+BZ9*BY9,IF($C8&lt;$C9,BY9-BZ10*BY10/2,IF($C9&lt;$C10,BY9-(BZ8*BY8)/2,BY9-(BZ10*BY10+BZ8*BY8)/2)))</f>
        <v>64.372500000000002</v>
      </c>
      <c r="CB9" s="2">
        <f t="shared" ref="CB9:CB71" si="41">AS9</f>
        <v>93.155538358901808</v>
      </c>
      <c r="CC9" s="21">
        <f t="shared" ref="CC9:CC71" si="42">IFERROR(IF(CB9=0,"",CB9/CA9),1)</f>
        <v>1.4471325233430705</v>
      </c>
      <c r="CD9" s="2">
        <f t="shared" ref="CD9:CD71" si="43">IF(ISNUMBER(SEARCH("Travée",E9)),CA9+(IF(C8&lt;C9,0,CA8)+IF(C10&gt;C9,0,CA10))/2,"")</f>
        <v>169.935</v>
      </c>
      <c r="CE9" s="2">
        <f t="shared" ref="CE9:CE71" si="44">IF(ISNUMBER(SEARCH("Travée",E9)),CB9+(IF(C8&lt;C9,0,CB8)+IF(C10&gt;C9,0,CB10))/2,"")</f>
        <v>200.22430507917187</v>
      </c>
      <c r="CF9" s="21">
        <f t="shared" ref="CF9:CF71" si="45">IF(ISNUMBER(SEARCH("Travée",E9)),CE9/CD9,"")</f>
        <v>1.178240533610921</v>
      </c>
      <c r="CG9" s="10" t="str">
        <f t="shared" ref="CG9" si="46">IF(C7&lt;C9,"Rive",IF(C11&gt;C9,"Rive","Inter"))</f>
        <v>Inter</v>
      </c>
      <c r="CH9" s="21">
        <f t="shared" ref="CH9:CH71" si="47">IF(ISNUMBER(SEARCH("Travée",E9)),BW9/CD9,"")</f>
        <v>1.06968934591405</v>
      </c>
      <c r="CI9" s="51" t="s">
        <v>126</v>
      </c>
    </row>
    <row r="10" spans="1:90" x14ac:dyDescent="0.25">
      <c r="A10" t="str">
        <f t="shared" si="27"/>
        <v>Appui</v>
      </c>
      <c r="B10" t="b">
        <f t="shared" si="28"/>
        <v>0</v>
      </c>
      <c r="C10">
        <f t="shared" si="29"/>
        <v>1</v>
      </c>
      <c r="D10" t="s">
        <v>44</v>
      </c>
      <c r="E10" t="s">
        <v>49</v>
      </c>
      <c r="F10">
        <v>25</v>
      </c>
      <c r="G10" t="s">
        <v>46</v>
      </c>
      <c r="H10">
        <v>500</v>
      </c>
      <c r="I10">
        <v>220000</v>
      </c>
      <c r="J10">
        <v>1576</v>
      </c>
      <c r="K10">
        <v>1870</v>
      </c>
      <c r="L10">
        <v>1</v>
      </c>
      <c r="M10">
        <v>0.22</v>
      </c>
      <c r="N10">
        <v>2.2000000000000002</v>
      </c>
      <c r="O10">
        <v>1.1286E-3</v>
      </c>
      <c r="P10">
        <v>0.04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60</v>
      </c>
      <c r="Y10">
        <v>19</v>
      </c>
      <c r="Z10">
        <v>-0.2</v>
      </c>
      <c r="AA10">
        <v>48</v>
      </c>
      <c r="AB10">
        <v>15.2</v>
      </c>
      <c r="AC10">
        <v>0.25</v>
      </c>
      <c r="AD10">
        <v>36</v>
      </c>
      <c r="AE10">
        <v>27.2</v>
      </c>
      <c r="AF10">
        <v>87.600000000000009</v>
      </c>
      <c r="AH10">
        <v>63.2</v>
      </c>
      <c r="AI10">
        <v>36</v>
      </c>
      <c r="AJ10">
        <v>27.2</v>
      </c>
      <c r="AK10">
        <v>6.2026808012779568</v>
      </c>
      <c r="AL10">
        <v>4.6864699387433486</v>
      </c>
      <c r="AM10">
        <v>-188.17825348711469</v>
      </c>
      <c r="AN10">
        <v>-142.17912485693111</v>
      </c>
      <c r="AO10">
        <v>0</v>
      </c>
      <c r="AP10">
        <v>0</v>
      </c>
      <c r="AQ10">
        <v>87.600000000000009</v>
      </c>
      <c r="AR10">
        <v>89.006595086179274</v>
      </c>
      <c r="AS10">
        <v>89.006595086179274</v>
      </c>
      <c r="AT10">
        <v>16.666666666666671</v>
      </c>
      <c r="AU10">
        <v>-449.77783234184687</v>
      </c>
      <c r="AV10">
        <v>0</v>
      </c>
      <c r="AW10">
        <v>0</v>
      </c>
      <c r="AX10">
        <v>63.2</v>
      </c>
      <c r="AY10">
        <v>7.6956241542151744</v>
      </c>
      <c r="AZ10">
        <v>-338.84057791799</v>
      </c>
      <c r="BA10">
        <v>89.006595086179274</v>
      </c>
      <c r="BC10" s="1">
        <f t="shared" ref="BC10:BC71" si="48">AI10</f>
        <v>36</v>
      </c>
      <c r="BD10" s="2">
        <f t="shared" si="0"/>
        <v>6.2026808012779568</v>
      </c>
      <c r="BE10" s="7">
        <f t="shared" si="1"/>
        <v>-188.17825348711469</v>
      </c>
      <c r="BF10" s="1">
        <f t="shared" si="2"/>
        <v>27.2</v>
      </c>
      <c r="BG10" s="2">
        <f t="shared" si="3"/>
        <v>4.6864699387433486</v>
      </c>
      <c r="BH10" s="2">
        <f t="shared" si="4"/>
        <v>-142.17912485693111</v>
      </c>
      <c r="BI10" s="2">
        <f t="shared" si="4"/>
        <v>0</v>
      </c>
      <c r="BJ10" s="7">
        <f t="shared" si="4"/>
        <v>0</v>
      </c>
      <c r="BK10" s="1">
        <f t="shared" si="5"/>
        <v>63.2</v>
      </c>
      <c r="BL10" s="2">
        <f t="shared" si="5"/>
        <v>10.889150740021305</v>
      </c>
      <c r="BM10" s="2">
        <f t="shared" si="6"/>
        <v>330.3573783440458</v>
      </c>
      <c r="BN10" s="2">
        <f t="shared" si="7"/>
        <v>0</v>
      </c>
      <c r="BO10" s="7">
        <f t="shared" si="8"/>
        <v>0</v>
      </c>
      <c r="BP10" s="2"/>
      <c r="BQ10" s="1">
        <f t="shared" si="30"/>
        <v>63.2</v>
      </c>
      <c r="BR10" s="4">
        <v>0</v>
      </c>
      <c r="BS10" s="2">
        <f t="shared" si="32"/>
        <v>63.2</v>
      </c>
      <c r="BT10" s="2">
        <f t="shared" si="33"/>
        <v>89.006595086179274</v>
      </c>
      <c r="BU10" s="21">
        <f t="shared" si="34"/>
        <v>1.4083322007306847</v>
      </c>
      <c r="BV10" s="21" t="str">
        <f t="shared" si="35"/>
        <v/>
      </c>
      <c r="BW10" s="21" t="str">
        <f t="shared" si="36"/>
        <v/>
      </c>
      <c r="BX10" s="21" t="str">
        <f t="shared" si="37"/>
        <v/>
      </c>
      <c r="BY10" s="1">
        <f t="shared" si="38"/>
        <v>87.600000000000009</v>
      </c>
      <c r="BZ10" s="4">
        <v>0</v>
      </c>
      <c r="CA10" s="2">
        <f t="shared" si="40"/>
        <v>87.600000000000009</v>
      </c>
      <c r="CB10" s="2">
        <f t="shared" si="41"/>
        <v>89.006595086179274</v>
      </c>
      <c r="CC10" s="21">
        <f t="shared" si="42"/>
        <v>1.0160570215317268</v>
      </c>
      <c r="CD10" s="2" t="str">
        <f t="shared" si="43"/>
        <v/>
      </c>
      <c r="CE10" s="2" t="str">
        <f t="shared" si="44"/>
        <v/>
      </c>
      <c r="CF10" s="21" t="str">
        <f t="shared" si="45"/>
        <v/>
      </c>
      <c r="CG10" s="15"/>
      <c r="CH10" s="21" t="str">
        <f t="shared" si="47"/>
        <v/>
      </c>
      <c r="CI10" s="51" t="s">
        <v>126</v>
      </c>
    </row>
    <row r="11" spans="1:90" x14ac:dyDescent="0.25">
      <c r="A11" t="str">
        <f t="shared" si="27"/>
        <v/>
      </c>
      <c r="B11" t="b">
        <f t="shared" si="28"/>
        <v>0</v>
      </c>
      <c r="C11">
        <f>IF(D11=D10,C10,C10+1)</f>
        <v>1</v>
      </c>
      <c r="D11" t="s">
        <v>44</v>
      </c>
      <c r="F11">
        <v>25</v>
      </c>
      <c r="G11" t="s">
        <v>46</v>
      </c>
      <c r="H11">
        <v>500</v>
      </c>
      <c r="I11">
        <v>220000</v>
      </c>
      <c r="J11">
        <v>1576</v>
      </c>
      <c r="K11">
        <v>1870</v>
      </c>
      <c r="L11">
        <v>1</v>
      </c>
      <c r="M11">
        <v>0.2</v>
      </c>
      <c r="N11">
        <v>2.2000000000000002</v>
      </c>
      <c r="O11">
        <v>1.0000000000000001E-5</v>
      </c>
      <c r="P11">
        <v>0.03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0.78043082983844214</v>
      </c>
      <c r="AS11">
        <v>0.78043082983844214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0.78043082983844214</v>
      </c>
      <c r="BC11" s="1">
        <f t="shared" si="48"/>
        <v>0</v>
      </c>
      <c r="BD11" s="2">
        <f t="shared" si="0"/>
        <v>0</v>
      </c>
      <c r="BE11" s="7">
        <f t="shared" si="1"/>
        <v>0</v>
      </c>
      <c r="BF11" s="1">
        <f t="shared" si="2"/>
        <v>0</v>
      </c>
      <c r="BG11" s="2">
        <f t="shared" si="3"/>
        <v>0</v>
      </c>
      <c r="BH11" s="2">
        <f t="shared" si="4"/>
        <v>0</v>
      </c>
      <c r="BI11" s="2">
        <f t="shared" si="4"/>
        <v>0</v>
      </c>
      <c r="BJ11" s="7">
        <f t="shared" si="4"/>
        <v>0</v>
      </c>
      <c r="BK11" s="1">
        <f t="shared" si="5"/>
        <v>0</v>
      </c>
      <c r="BL11" s="2">
        <f t="shared" si="5"/>
        <v>0</v>
      </c>
      <c r="BM11" s="2">
        <f t="shared" si="6"/>
        <v>0</v>
      </c>
      <c r="BN11" s="2">
        <f t="shared" si="7"/>
        <v>0</v>
      </c>
      <c r="BO11" s="7">
        <f t="shared" si="8"/>
        <v>0</v>
      </c>
      <c r="BP11" s="2"/>
      <c r="BQ11" s="1">
        <f t="shared" si="30"/>
        <v>0</v>
      </c>
      <c r="BR11" s="4" t="str">
        <f t="shared" ref="BR11" si="49">IF(ISNUMBER(SEARCH("Appui",E11)),0,"0")</f>
        <v>0</v>
      </c>
      <c r="BS11" s="2">
        <f t="shared" si="32"/>
        <v>0</v>
      </c>
      <c r="BT11" s="2">
        <f t="shared" si="33"/>
        <v>0.78043082983844214</v>
      </c>
      <c r="BU11" s="21">
        <f t="shared" si="34"/>
        <v>1</v>
      </c>
      <c r="BV11" s="21" t="str">
        <f t="shared" si="35"/>
        <v/>
      </c>
      <c r="BW11" s="21" t="str">
        <f t="shared" si="36"/>
        <v/>
      </c>
      <c r="BX11" s="21" t="str">
        <f t="shared" si="37"/>
        <v/>
      </c>
      <c r="BY11" s="1">
        <f t="shared" si="38"/>
        <v>0</v>
      </c>
      <c r="BZ11" s="4" t="str">
        <f t="shared" ref="BZ11" si="50">IF(ISNUMBER(SEARCH("Appui",M11)),0,"0")</f>
        <v>0</v>
      </c>
      <c r="CA11" s="2">
        <f t="shared" si="40"/>
        <v>0</v>
      </c>
      <c r="CB11" s="2">
        <f t="shared" si="41"/>
        <v>0.78043082983844214</v>
      </c>
      <c r="CC11" s="21">
        <f t="shared" si="42"/>
        <v>1</v>
      </c>
      <c r="CD11" s="2" t="str">
        <f t="shared" si="43"/>
        <v/>
      </c>
      <c r="CE11" s="2" t="str">
        <f t="shared" si="44"/>
        <v/>
      </c>
      <c r="CF11" s="21" t="str">
        <f t="shared" si="45"/>
        <v/>
      </c>
      <c r="CG11" s="10" t="str">
        <f t="shared" ref="CG11" si="51">IF(C9&lt;C11,"Rive",IF(C13&gt;C11,"Rive","Inter"))</f>
        <v>Rive</v>
      </c>
      <c r="CH11" s="21" t="str">
        <f t="shared" si="47"/>
        <v/>
      </c>
    </row>
    <row r="12" spans="1:90" x14ac:dyDescent="0.25">
      <c r="A12" t="str">
        <f t="shared" si="27"/>
        <v/>
      </c>
      <c r="B12" t="b">
        <f t="shared" si="28"/>
        <v>0</v>
      </c>
      <c r="C12">
        <f t="shared" si="29"/>
        <v>1</v>
      </c>
      <c r="D12" t="s">
        <v>44</v>
      </c>
      <c r="F12">
        <v>25</v>
      </c>
      <c r="G12" t="s">
        <v>46</v>
      </c>
      <c r="H12">
        <v>500</v>
      </c>
      <c r="I12">
        <v>220000</v>
      </c>
      <c r="J12">
        <v>1576</v>
      </c>
      <c r="K12">
        <v>1870</v>
      </c>
      <c r="L12">
        <v>1</v>
      </c>
      <c r="M12">
        <v>0.2</v>
      </c>
      <c r="N12">
        <v>2.2000000000000002</v>
      </c>
      <c r="O12">
        <v>1.0000000000000001E-5</v>
      </c>
      <c r="P12">
        <v>0.03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0.78043082983844214</v>
      </c>
      <c r="AS12">
        <v>0.78043082983844214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0.78043082983844214</v>
      </c>
      <c r="BC12" s="1">
        <f t="shared" si="48"/>
        <v>0</v>
      </c>
      <c r="BD12" s="2">
        <f t="shared" si="0"/>
        <v>0</v>
      </c>
      <c r="BE12" s="7">
        <f t="shared" si="1"/>
        <v>0</v>
      </c>
      <c r="BF12" s="1">
        <f t="shared" si="2"/>
        <v>0</v>
      </c>
      <c r="BG12" s="2">
        <f t="shared" si="3"/>
        <v>0</v>
      </c>
      <c r="BH12" s="2">
        <f t="shared" si="4"/>
        <v>0</v>
      </c>
      <c r="BI12" s="2">
        <f t="shared" si="4"/>
        <v>0</v>
      </c>
      <c r="BJ12" s="7">
        <f t="shared" si="4"/>
        <v>0</v>
      </c>
      <c r="BK12" s="1">
        <f t="shared" si="5"/>
        <v>0</v>
      </c>
      <c r="BL12" s="2">
        <f t="shared" si="5"/>
        <v>0</v>
      </c>
      <c r="BM12" s="2">
        <f t="shared" si="6"/>
        <v>0</v>
      </c>
      <c r="BN12" s="2">
        <f t="shared" si="7"/>
        <v>0</v>
      </c>
      <c r="BO12" s="7">
        <f t="shared" si="8"/>
        <v>0</v>
      </c>
      <c r="BP12" s="2"/>
      <c r="BQ12" s="1">
        <f t="shared" si="30"/>
        <v>0</v>
      </c>
      <c r="BR12" s="4">
        <v>0</v>
      </c>
      <c r="BS12" s="2">
        <f t="shared" si="32"/>
        <v>0</v>
      </c>
      <c r="BT12" s="2">
        <f t="shared" si="33"/>
        <v>0.78043082983844214</v>
      </c>
      <c r="BU12" s="21">
        <f t="shared" si="34"/>
        <v>1</v>
      </c>
      <c r="BV12" s="21" t="str">
        <f t="shared" si="35"/>
        <v/>
      </c>
      <c r="BW12" s="21" t="str">
        <f t="shared" si="36"/>
        <v/>
      </c>
      <c r="BX12" s="21" t="str">
        <f t="shared" si="37"/>
        <v/>
      </c>
      <c r="BY12" s="1">
        <f t="shared" si="38"/>
        <v>0</v>
      </c>
      <c r="BZ12" s="4">
        <v>0</v>
      </c>
      <c r="CA12" s="2">
        <f t="shared" si="40"/>
        <v>0</v>
      </c>
      <c r="CB12" s="2">
        <f t="shared" si="41"/>
        <v>0.78043082983844214</v>
      </c>
      <c r="CC12" s="21">
        <f t="shared" si="42"/>
        <v>1</v>
      </c>
      <c r="CD12" s="2" t="str">
        <f t="shared" si="43"/>
        <v/>
      </c>
      <c r="CE12" s="2" t="str">
        <f t="shared" si="44"/>
        <v/>
      </c>
      <c r="CF12" s="21" t="str">
        <f t="shared" si="45"/>
        <v/>
      </c>
      <c r="CG12" s="15"/>
      <c r="CH12" s="21" t="str">
        <f t="shared" si="47"/>
        <v/>
      </c>
      <c r="CJ12">
        <f>1.539</f>
        <v>1.5389999999999999</v>
      </c>
      <c r="CK12">
        <v>4</v>
      </c>
      <c r="CL12">
        <f>CK12*CJ12</f>
        <v>6.1559999999999997</v>
      </c>
    </row>
    <row r="13" spans="1:90" x14ac:dyDescent="0.25">
      <c r="A13" t="str">
        <f t="shared" si="27"/>
        <v>Travée</v>
      </c>
      <c r="B13" t="b">
        <f t="shared" si="28"/>
        <v>1</v>
      </c>
      <c r="C13">
        <f t="shared" si="29"/>
        <v>2</v>
      </c>
      <c r="D13" t="s">
        <v>50</v>
      </c>
      <c r="E13" t="s">
        <v>45</v>
      </c>
      <c r="F13">
        <v>25</v>
      </c>
      <c r="G13" t="s">
        <v>46</v>
      </c>
      <c r="H13">
        <v>500</v>
      </c>
      <c r="I13">
        <v>220000</v>
      </c>
      <c r="J13">
        <v>1576</v>
      </c>
      <c r="K13">
        <v>1870</v>
      </c>
      <c r="L13">
        <v>1</v>
      </c>
      <c r="M13">
        <v>0.26</v>
      </c>
      <c r="N13">
        <v>2.2000000000000002</v>
      </c>
      <c r="O13">
        <v>5.6539999999999997E-4</v>
      </c>
      <c r="P13">
        <v>0.04</v>
      </c>
      <c r="Q13">
        <v>1</v>
      </c>
      <c r="R13">
        <v>0</v>
      </c>
      <c r="S13">
        <v>0</v>
      </c>
      <c r="T13">
        <v>1</v>
      </c>
      <c r="U13">
        <v>2.9099999999999999E-5</v>
      </c>
      <c r="V13">
        <v>0</v>
      </c>
      <c r="W13">
        <v>4</v>
      </c>
      <c r="X13">
        <v>22.3</v>
      </c>
      <c r="Y13">
        <v>10.3</v>
      </c>
      <c r="Z13">
        <v>0</v>
      </c>
      <c r="AA13">
        <v>31.55</v>
      </c>
      <c r="AB13">
        <v>13.4</v>
      </c>
      <c r="AC13">
        <v>0.5</v>
      </c>
      <c r="AD13">
        <v>15.775</v>
      </c>
      <c r="AE13">
        <v>29.175000000000001</v>
      </c>
      <c r="AF13">
        <v>62.692500000000003</v>
      </c>
      <c r="AH13">
        <v>44.95</v>
      </c>
      <c r="AI13">
        <v>15.775</v>
      </c>
      <c r="AJ13">
        <v>29.175000000000001</v>
      </c>
      <c r="AK13">
        <v>2.68936665822828</v>
      </c>
      <c r="AL13">
        <v>4.2947863372230586</v>
      </c>
      <c r="AM13">
        <v>-131.96145048483669</v>
      </c>
      <c r="AN13">
        <v>-184.91776281143359</v>
      </c>
      <c r="AO13">
        <v>0</v>
      </c>
      <c r="AP13">
        <v>-245.8509805598423</v>
      </c>
      <c r="AQ13">
        <v>62.692500000000003</v>
      </c>
      <c r="AR13">
        <v>56.863742648834233</v>
      </c>
      <c r="AS13">
        <v>106.3249902119987</v>
      </c>
      <c r="AT13">
        <v>6.4916242782490698</v>
      </c>
      <c r="AU13">
        <v>-403.52767093830607</v>
      </c>
      <c r="AV13">
        <v>0</v>
      </c>
      <c r="AW13">
        <v>-542.07824248057</v>
      </c>
      <c r="AX13">
        <v>44.95</v>
      </c>
      <c r="AY13">
        <v>5.4539982889148027</v>
      </c>
      <c r="AZ13">
        <v>-382.0688238070029</v>
      </c>
      <c r="BA13">
        <v>56.863742648834233</v>
      </c>
      <c r="BC13" s="1">
        <f t="shared" si="48"/>
        <v>15.775</v>
      </c>
      <c r="BD13" s="2">
        <f t="shared" si="0"/>
        <v>2.68936665822828</v>
      </c>
      <c r="BE13" s="7">
        <f t="shared" si="1"/>
        <v>-131.96145048483669</v>
      </c>
      <c r="BF13" s="1">
        <f t="shared" si="2"/>
        <v>29.175000000000001</v>
      </c>
      <c r="BG13" s="2">
        <f t="shared" si="3"/>
        <v>4.2947863372230586</v>
      </c>
      <c r="BH13" s="2">
        <f t="shared" si="4"/>
        <v>-184.91776281143359</v>
      </c>
      <c r="BI13" s="2">
        <f t="shared" si="4"/>
        <v>0</v>
      </c>
      <c r="BJ13" s="7">
        <f t="shared" si="4"/>
        <v>-245.8509805598423</v>
      </c>
      <c r="BK13" s="1">
        <f t="shared" si="5"/>
        <v>44.95</v>
      </c>
      <c r="BL13" s="2">
        <f t="shared" si="5"/>
        <v>6.9841529954513391</v>
      </c>
      <c r="BM13" s="2">
        <f t="shared" si="6"/>
        <v>316.87921329627028</v>
      </c>
      <c r="BN13" s="2">
        <f t="shared" si="7"/>
        <v>0</v>
      </c>
      <c r="BO13" s="7">
        <f t="shared" si="8"/>
        <v>-245.8509805598423</v>
      </c>
      <c r="BP13" s="2"/>
      <c r="BQ13" s="1">
        <f t="shared" si="30"/>
        <v>44.95</v>
      </c>
      <c r="BR13" s="4" t="str">
        <f t="shared" ref="BR13" si="52">IF(ISNUMBER(SEARCH("Appui",E13)),0,"0")</f>
        <v>0</v>
      </c>
      <c r="BS13" s="2">
        <f t="shared" si="32"/>
        <v>44.95</v>
      </c>
      <c r="BT13" s="2">
        <f t="shared" si="33"/>
        <v>56.863742648834233</v>
      </c>
      <c r="BU13" s="21">
        <f t="shared" si="34"/>
        <v>1.2650443303411396</v>
      </c>
      <c r="BV13" s="21">
        <f t="shared" si="35"/>
        <v>94.35</v>
      </c>
      <c r="BW13" s="21">
        <f t="shared" si="36"/>
        <v>127.21379719808623</v>
      </c>
      <c r="BX13" s="21">
        <f t="shared" si="37"/>
        <v>1.3483179353268282</v>
      </c>
      <c r="BY13" s="1">
        <f t="shared" si="38"/>
        <v>62.692500000000003</v>
      </c>
      <c r="BZ13" s="4" t="str">
        <f t="shared" ref="BZ13" si="53">IF(ISNUMBER(SEARCH("Appui",M13)),0,"0")</f>
        <v>0</v>
      </c>
      <c r="CA13" s="2">
        <f t="shared" si="40"/>
        <v>62.692500000000003</v>
      </c>
      <c r="CB13" s="2">
        <f t="shared" si="41"/>
        <v>106.3249902119987</v>
      </c>
      <c r="CC13" s="21">
        <f t="shared" si="42"/>
        <v>1.6959762365833024</v>
      </c>
      <c r="CD13" s="2">
        <f t="shared" si="43"/>
        <v>131.24250000000001</v>
      </c>
      <c r="CE13" s="2">
        <f t="shared" si="44"/>
        <v>176.67504476125069</v>
      </c>
      <c r="CF13" s="21">
        <f t="shared" si="45"/>
        <v>1.3461725032763829</v>
      </c>
      <c r="CG13" s="10" t="str">
        <f t="shared" ref="CG13" si="54">IF(C11&lt;C13,"Rive",IF(C15&gt;C13,"Rive","Inter"))</f>
        <v>Rive</v>
      </c>
      <c r="CH13" s="21">
        <f t="shared" si="47"/>
        <v>0.96930336741593781</v>
      </c>
      <c r="CI13" s="51" t="s">
        <v>126</v>
      </c>
    </row>
    <row r="14" spans="1:90" x14ac:dyDescent="0.25">
      <c r="A14" t="str">
        <f t="shared" si="27"/>
        <v>Appui</v>
      </c>
      <c r="B14" t="b">
        <f t="shared" si="28"/>
        <v>1</v>
      </c>
      <c r="C14">
        <f t="shared" si="29"/>
        <v>2</v>
      </c>
      <c r="D14" t="s">
        <v>50</v>
      </c>
      <c r="E14" t="s">
        <v>47</v>
      </c>
      <c r="F14">
        <v>25</v>
      </c>
      <c r="G14" t="s">
        <v>46</v>
      </c>
      <c r="H14">
        <v>500</v>
      </c>
      <c r="I14">
        <v>220000</v>
      </c>
      <c r="J14">
        <v>1576</v>
      </c>
      <c r="K14">
        <v>1870</v>
      </c>
      <c r="L14">
        <v>1</v>
      </c>
      <c r="M14">
        <v>0.25</v>
      </c>
      <c r="N14">
        <v>2.2000000000000002</v>
      </c>
      <c r="O14">
        <v>1.1286E-3</v>
      </c>
      <c r="P14">
        <v>6.9999999999999993E-2</v>
      </c>
      <c r="Q14">
        <v>1</v>
      </c>
      <c r="R14">
        <v>1.5393804002589981E-4</v>
      </c>
      <c r="S14">
        <v>0.04</v>
      </c>
      <c r="T14">
        <v>4</v>
      </c>
      <c r="U14">
        <v>0</v>
      </c>
      <c r="V14">
        <v>0</v>
      </c>
      <c r="W14">
        <v>0</v>
      </c>
      <c r="X14">
        <v>92.5</v>
      </c>
      <c r="Y14">
        <v>31</v>
      </c>
      <c r="Z14">
        <v>-0.2</v>
      </c>
      <c r="AA14">
        <v>74</v>
      </c>
      <c r="AB14">
        <v>24.8</v>
      </c>
      <c r="AC14">
        <v>0.5</v>
      </c>
      <c r="AD14">
        <v>37</v>
      </c>
      <c r="AE14">
        <v>61.8</v>
      </c>
      <c r="AF14">
        <v>137.1</v>
      </c>
      <c r="AH14">
        <v>98.8</v>
      </c>
      <c r="AI14">
        <v>37</v>
      </c>
      <c r="AJ14">
        <v>61.8</v>
      </c>
      <c r="AK14">
        <v>6.3749774902023404</v>
      </c>
      <c r="AL14">
        <v>8.043111017313942</v>
      </c>
      <c r="AM14">
        <v>-193.40542719509011</v>
      </c>
      <c r="AN14">
        <v>-184.27141471672769</v>
      </c>
      <c r="AO14">
        <v>-223.50108789120071</v>
      </c>
      <c r="AP14">
        <v>0</v>
      </c>
      <c r="AQ14">
        <v>137.1</v>
      </c>
      <c r="AR14">
        <v>89.006595086179289</v>
      </c>
      <c r="AS14">
        <v>140.70010909850399</v>
      </c>
      <c r="AT14">
        <v>16.632590295239911</v>
      </c>
      <c r="AU14">
        <v>-439.54927118232342</v>
      </c>
      <c r="AV14">
        <v>-440.83868207295677</v>
      </c>
      <c r="AW14">
        <v>0</v>
      </c>
      <c r="AX14">
        <v>98.8</v>
      </c>
      <c r="AY14">
        <v>9.0151676954179365</v>
      </c>
      <c r="AZ14">
        <v>-301.15007509888181</v>
      </c>
      <c r="BA14">
        <v>140.70010909850399</v>
      </c>
      <c r="BC14" s="1">
        <f t="shared" si="48"/>
        <v>37</v>
      </c>
      <c r="BD14" s="2">
        <f t="shared" si="0"/>
        <v>6.3749774902023404</v>
      </c>
      <c r="BE14" s="7">
        <f t="shared" si="1"/>
        <v>-193.40542719509011</v>
      </c>
      <c r="BF14" s="1">
        <f t="shared" si="2"/>
        <v>61.8</v>
      </c>
      <c r="BG14" s="2">
        <f t="shared" si="3"/>
        <v>8.043111017313942</v>
      </c>
      <c r="BH14" s="2">
        <f t="shared" si="4"/>
        <v>-184.27141471672769</v>
      </c>
      <c r="BI14" s="2">
        <f t="shared" si="4"/>
        <v>-223.50108789120071</v>
      </c>
      <c r="BJ14" s="7">
        <f t="shared" si="4"/>
        <v>0</v>
      </c>
      <c r="BK14" s="1">
        <f t="shared" si="5"/>
        <v>98.8</v>
      </c>
      <c r="BL14" s="2">
        <f t="shared" si="5"/>
        <v>14.418088507516282</v>
      </c>
      <c r="BM14" s="2">
        <f t="shared" si="6"/>
        <v>377.6768419118178</v>
      </c>
      <c r="BN14" s="2">
        <f t="shared" si="7"/>
        <v>223.50108789120071</v>
      </c>
      <c r="BO14" s="7">
        <f t="shared" si="8"/>
        <v>0</v>
      </c>
      <c r="BP14" s="2"/>
      <c r="BQ14" s="1">
        <f t="shared" si="30"/>
        <v>98.8</v>
      </c>
      <c r="BR14" s="4">
        <v>0</v>
      </c>
      <c r="BS14" s="2">
        <f t="shared" si="32"/>
        <v>98.8</v>
      </c>
      <c r="BT14" s="2">
        <f>BA14</f>
        <v>140.70010909850399</v>
      </c>
      <c r="BU14" s="21">
        <f t="shared" si="34"/>
        <v>1.4240901730617812</v>
      </c>
      <c r="BV14" s="21" t="str">
        <f t="shared" si="35"/>
        <v/>
      </c>
      <c r="BW14" s="21" t="str">
        <f t="shared" si="36"/>
        <v/>
      </c>
      <c r="BX14" s="21" t="str">
        <f t="shared" si="37"/>
        <v/>
      </c>
      <c r="BY14" s="1">
        <f t="shared" si="38"/>
        <v>137.1</v>
      </c>
      <c r="BZ14" s="4">
        <v>0</v>
      </c>
      <c r="CA14" s="2">
        <f t="shared" si="40"/>
        <v>137.1</v>
      </c>
      <c r="CB14" s="2">
        <f t="shared" si="41"/>
        <v>140.70010909850399</v>
      </c>
      <c r="CC14" s="21">
        <f t="shared" si="42"/>
        <v>1.0262590014478774</v>
      </c>
      <c r="CD14" s="2" t="str">
        <f t="shared" si="43"/>
        <v/>
      </c>
      <c r="CE14" s="2" t="str">
        <f t="shared" si="44"/>
        <v/>
      </c>
      <c r="CF14" s="21" t="str">
        <f t="shared" si="45"/>
        <v/>
      </c>
      <c r="CG14" s="15"/>
      <c r="CH14" s="21" t="str">
        <f t="shared" si="47"/>
        <v/>
      </c>
      <c r="CI14" s="51" t="s">
        <v>126</v>
      </c>
    </row>
    <row r="15" spans="1:90" x14ac:dyDescent="0.25">
      <c r="A15" t="str">
        <f t="shared" si="27"/>
        <v>Travée</v>
      </c>
      <c r="B15" t="b">
        <f t="shared" si="28"/>
        <v>1</v>
      </c>
      <c r="C15">
        <f t="shared" si="29"/>
        <v>2</v>
      </c>
      <c r="D15" t="s">
        <v>50</v>
      </c>
      <c r="E15" t="s">
        <v>48</v>
      </c>
      <c r="F15">
        <v>25</v>
      </c>
      <c r="G15" t="s">
        <v>46</v>
      </c>
      <c r="H15">
        <v>500</v>
      </c>
      <c r="I15">
        <v>220000</v>
      </c>
      <c r="J15">
        <v>1576</v>
      </c>
      <c r="K15">
        <v>1870</v>
      </c>
      <c r="L15">
        <v>1</v>
      </c>
      <c r="M15">
        <v>0.23499999999999999</v>
      </c>
      <c r="N15">
        <v>2.2000000000000002</v>
      </c>
      <c r="O15">
        <v>8.470000000000001E-4</v>
      </c>
      <c r="P15">
        <v>0.04</v>
      </c>
      <c r="Q15">
        <v>1</v>
      </c>
      <c r="R15">
        <v>0</v>
      </c>
      <c r="S15">
        <v>0</v>
      </c>
      <c r="T15">
        <v>1</v>
      </c>
      <c r="U15">
        <v>2.9099999999999999E-5</v>
      </c>
      <c r="V15">
        <v>0</v>
      </c>
      <c r="W15">
        <v>6</v>
      </c>
      <c r="X15">
        <v>40.700000000000003</v>
      </c>
      <c r="Y15">
        <v>16.100000000000001</v>
      </c>
      <c r="Z15">
        <v>0</v>
      </c>
      <c r="AA15">
        <v>51.112499999999997</v>
      </c>
      <c r="AB15">
        <v>19.635000000000002</v>
      </c>
      <c r="AC15">
        <v>0.5</v>
      </c>
      <c r="AD15">
        <v>25.556249999999999</v>
      </c>
      <c r="AE15">
        <v>45.191249999999997</v>
      </c>
      <c r="AF15">
        <v>98.454375000000013</v>
      </c>
      <c r="AH15">
        <v>70.747500000000002</v>
      </c>
      <c r="AI15">
        <v>25.556249999999999</v>
      </c>
      <c r="AJ15">
        <v>45.191249999999997</v>
      </c>
      <c r="AK15">
        <v>4.3976016069699657</v>
      </c>
      <c r="AL15">
        <v>6.6675366745738094</v>
      </c>
      <c r="AM15">
        <v>-162.76744837908049</v>
      </c>
      <c r="AN15">
        <v>-215.47098339137591</v>
      </c>
      <c r="AO15">
        <v>0</v>
      </c>
      <c r="AP15">
        <v>-295.19670697592892</v>
      </c>
      <c r="AQ15">
        <v>98.454375000000013</v>
      </c>
      <c r="AR15">
        <v>74.708892277634021</v>
      </c>
      <c r="AS15">
        <v>140.37551379298091</v>
      </c>
      <c r="AT15">
        <v>10.54955040152767</v>
      </c>
      <c r="AU15">
        <v>-435.365878607318</v>
      </c>
      <c r="AV15">
        <v>0</v>
      </c>
      <c r="AW15">
        <v>-824.5740510705233</v>
      </c>
      <c r="AX15">
        <v>70.747500000000002</v>
      </c>
      <c r="AY15">
        <v>15.593743314081941</v>
      </c>
      <c r="AZ15">
        <v>-443.64689832571969</v>
      </c>
      <c r="BA15">
        <v>74.708892277634021</v>
      </c>
      <c r="BC15" s="1">
        <f t="shared" si="48"/>
        <v>25.556249999999999</v>
      </c>
      <c r="BD15" s="2">
        <f t="shared" si="0"/>
        <v>4.3976016069699657</v>
      </c>
      <c r="BE15" s="7">
        <f t="shared" si="1"/>
        <v>-162.76744837908049</v>
      </c>
      <c r="BF15" s="1">
        <f t="shared" si="2"/>
        <v>45.191249999999997</v>
      </c>
      <c r="BG15" s="2">
        <f t="shared" si="3"/>
        <v>6.6675366745738094</v>
      </c>
      <c r="BH15" s="2">
        <f t="shared" si="4"/>
        <v>-215.47098339137591</v>
      </c>
      <c r="BI15" s="2">
        <f t="shared" si="4"/>
        <v>0</v>
      </c>
      <c r="BJ15" s="7">
        <f t="shared" si="4"/>
        <v>-295.19670697592892</v>
      </c>
      <c r="BK15" s="1">
        <f t="shared" si="5"/>
        <v>70.747500000000002</v>
      </c>
      <c r="BL15" s="2">
        <f t="shared" si="5"/>
        <v>11.065138281543774</v>
      </c>
      <c r="BM15" s="2">
        <f t="shared" si="6"/>
        <v>378.23843177045637</v>
      </c>
      <c r="BN15" s="2">
        <f t="shared" si="7"/>
        <v>0</v>
      </c>
      <c r="BO15" s="7">
        <f t="shared" si="8"/>
        <v>-295.19670697592892</v>
      </c>
      <c r="BP15" s="2"/>
      <c r="BQ15" s="1">
        <f t="shared" si="30"/>
        <v>70.747500000000002</v>
      </c>
      <c r="BR15" s="4" t="str">
        <f t="shared" ref="BR15" si="55">IF(ISNUMBER(SEARCH("Appui",E15)),0,"0")</f>
        <v>0</v>
      </c>
      <c r="BS15" s="2">
        <f t="shared" si="32"/>
        <v>70.747500000000002</v>
      </c>
      <c r="BT15" s="2">
        <f t="shared" si="33"/>
        <v>74.708892277634021</v>
      </c>
      <c r="BU15" s="21">
        <f t="shared" si="34"/>
        <v>1.0559933888495567</v>
      </c>
      <c r="BV15" s="21">
        <f t="shared" si="35"/>
        <v>171.8</v>
      </c>
      <c r="BW15" s="21">
        <f t="shared" si="36"/>
        <v>196.74885969928826</v>
      </c>
      <c r="BX15" s="21">
        <f t="shared" si="37"/>
        <v>1.1452203707758337</v>
      </c>
      <c r="BY15" s="1">
        <f t="shared" si="38"/>
        <v>98.454375000000013</v>
      </c>
      <c r="BZ15" s="4" t="str">
        <f t="shared" ref="BZ15" si="56">IF(ISNUMBER(SEARCH("Appui",M15)),0,"0")</f>
        <v>0</v>
      </c>
      <c r="CA15" s="2">
        <f t="shared" si="40"/>
        <v>98.454375000000013</v>
      </c>
      <c r="CB15" s="2">
        <f t="shared" si="41"/>
        <v>140.37551379298091</v>
      </c>
      <c r="CC15" s="21">
        <f t="shared" si="42"/>
        <v>1.4257925439370358</v>
      </c>
      <c r="CD15" s="2">
        <f t="shared" si="43"/>
        <v>238.84500000000003</v>
      </c>
      <c r="CE15" s="2">
        <f t="shared" si="44"/>
        <v>281.77916800595767</v>
      </c>
      <c r="CF15" s="21">
        <f t="shared" si="45"/>
        <v>1.1797574494168086</v>
      </c>
      <c r="CG15" s="10" t="str">
        <f t="shared" ref="CG15" si="57">IF(C13&lt;C15,"Rive",IF(C17&gt;C15,"Rive","Inter"))</f>
        <v>Inter</v>
      </c>
      <c r="CH15" s="21">
        <f t="shared" si="47"/>
        <v>0.8237512181510529</v>
      </c>
      <c r="CI15" s="51" t="s">
        <v>126</v>
      </c>
    </row>
    <row r="16" spans="1:90" x14ac:dyDescent="0.25">
      <c r="A16" t="str">
        <f t="shared" si="27"/>
        <v>Appui</v>
      </c>
      <c r="B16" t="b">
        <f t="shared" si="28"/>
        <v>1</v>
      </c>
      <c r="C16">
        <f t="shared" si="29"/>
        <v>2</v>
      </c>
      <c r="D16" t="s">
        <v>50</v>
      </c>
      <c r="E16" t="s">
        <v>49</v>
      </c>
      <c r="F16">
        <v>25</v>
      </c>
      <c r="G16" t="s">
        <v>46</v>
      </c>
      <c r="H16">
        <v>500</v>
      </c>
      <c r="I16">
        <v>220000</v>
      </c>
      <c r="J16">
        <v>1576</v>
      </c>
      <c r="K16">
        <v>1870</v>
      </c>
      <c r="L16">
        <v>1</v>
      </c>
      <c r="M16">
        <v>0.22</v>
      </c>
      <c r="N16">
        <v>2.2000000000000002</v>
      </c>
      <c r="O16">
        <v>1.3297999999999999E-3</v>
      </c>
      <c r="P16">
        <v>0.04</v>
      </c>
      <c r="Q16">
        <v>1</v>
      </c>
      <c r="R16">
        <v>0</v>
      </c>
      <c r="S16">
        <v>0</v>
      </c>
      <c r="T16">
        <v>1</v>
      </c>
      <c r="U16">
        <v>2.9099999999999999E-5</v>
      </c>
      <c r="V16">
        <v>0</v>
      </c>
      <c r="W16">
        <v>4</v>
      </c>
      <c r="X16">
        <v>77.5</v>
      </c>
      <c r="Y16">
        <v>29</v>
      </c>
      <c r="Z16">
        <v>-0.03</v>
      </c>
      <c r="AA16">
        <v>75.174999999999997</v>
      </c>
      <c r="AB16">
        <v>28.13</v>
      </c>
      <c r="AC16">
        <v>0.25</v>
      </c>
      <c r="AD16">
        <v>56.381249999999987</v>
      </c>
      <c r="AE16">
        <v>46.923749999999998</v>
      </c>
      <c r="AF16">
        <v>143.68125000000001</v>
      </c>
      <c r="AH16">
        <v>103.30500000000001</v>
      </c>
      <c r="AI16">
        <v>56.381249999999987</v>
      </c>
      <c r="AJ16">
        <v>46.923749999999998</v>
      </c>
      <c r="AK16">
        <v>9.0661294174247278</v>
      </c>
      <c r="AL16">
        <v>7.0011900708402779</v>
      </c>
      <c r="AM16">
        <v>-251.28897139675161</v>
      </c>
      <c r="AN16">
        <v>-182.1817350747873</v>
      </c>
      <c r="AO16">
        <v>0</v>
      </c>
      <c r="AP16">
        <v>-255.8076183095456</v>
      </c>
      <c r="AQ16">
        <v>143.68125000000001</v>
      </c>
      <c r="AR16">
        <v>103.37982574480451</v>
      </c>
      <c r="AS16">
        <v>142.10719932744959</v>
      </c>
      <c r="AT16">
        <v>0</v>
      </c>
      <c r="AU16">
        <v>0</v>
      </c>
      <c r="AV16">
        <v>0</v>
      </c>
      <c r="AW16">
        <v>0</v>
      </c>
      <c r="AX16">
        <v>103.30500000000001</v>
      </c>
      <c r="AY16">
        <v>16.666666666666671</v>
      </c>
      <c r="AZ16">
        <v>-453.10765090352578</v>
      </c>
      <c r="BA16">
        <v>103.37982574480451</v>
      </c>
      <c r="BC16" s="1">
        <f t="shared" si="48"/>
        <v>56.381249999999987</v>
      </c>
      <c r="BD16" s="2">
        <f t="shared" si="0"/>
        <v>9.0661294174247278</v>
      </c>
      <c r="BE16" s="7">
        <f t="shared" si="1"/>
        <v>-251.28897139675161</v>
      </c>
      <c r="BF16" s="1">
        <f t="shared" si="2"/>
        <v>46.923749999999998</v>
      </c>
      <c r="BG16" s="2">
        <f t="shared" si="3"/>
        <v>7.0011900708402779</v>
      </c>
      <c r="BH16" s="2">
        <f t="shared" si="4"/>
        <v>-182.1817350747873</v>
      </c>
      <c r="BI16" s="2">
        <f t="shared" si="4"/>
        <v>0</v>
      </c>
      <c r="BJ16" s="7">
        <f t="shared" si="4"/>
        <v>-255.8076183095456</v>
      </c>
      <c r="BK16" s="1">
        <f t="shared" si="5"/>
        <v>103.30499999999998</v>
      </c>
      <c r="BL16" s="2">
        <f t="shared" si="5"/>
        <v>16.067319488265007</v>
      </c>
      <c r="BM16" s="2">
        <f t="shared" si="6"/>
        <v>433.4707064715389</v>
      </c>
      <c r="BN16" s="2">
        <f t="shared" si="7"/>
        <v>0</v>
      </c>
      <c r="BO16" s="7">
        <f t="shared" si="8"/>
        <v>-255.8076183095456</v>
      </c>
      <c r="BP16" s="2"/>
      <c r="BQ16" s="1">
        <f t="shared" si="30"/>
        <v>103.30500000000001</v>
      </c>
      <c r="BR16" s="4">
        <v>0</v>
      </c>
      <c r="BS16" s="2">
        <f t="shared" si="32"/>
        <v>103.30500000000001</v>
      </c>
      <c r="BT16" s="2">
        <f t="shared" si="33"/>
        <v>103.37982574480451</v>
      </c>
      <c r="BU16" s="21">
        <f t="shared" si="34"/>
        <v>1.0007243187145298</v>
      </c>
      <c r="BV16" s="21" t="str">
        <f t="shared" si="35"/>
        <v/>
      </c>
      <c r="BW16" s="21" t="str">
        <f t="shared" si="36"/>
        <v/>
      </c>
      <c r="BX16" s="21" t="str">
        <f t="shared" si="37"/>
        <v/>
      </c>
      <c r="BY16" s="1">
        <f t="shared" si="38"/>
        <v>143.68125000000001</v>
      </c>
      <c r="BZ16" s="4">
        <v>0</v>
      </c>
      <c r="CA16" s="2">
        <f t="shared" si="40"/>
        <v>143.68125000000001</v>
      </c>
      <c r="CB16" s="2">
        <f t="shared" si="41"/>
        <v>142.10719932744959</v>
      </c>
      <c r="CC16" s="21">
        <f t="shared" si="42"/>
        <v>0.98904484285492777</v>
      </c>
      <c r="CD16" s="2" t="str">
        <f t="shared" si="43"/>
        <v/>
      </c>
      <c r="CE16" s="2" t="str">
        <f t="shared" si="44"/>
        <v/>
      </c>
      <c r="CF16" s="21" t="str">
        <f t="shared" si="45"/>
        <v/>
      </c>
      <c r="CG16" s="15"/>
      <c r="CH16" s="21" t="str">
        <f t="shared" si="47"/>
        <v/>
      </c>
      <c r="CI16" s="51" t="s">
        <v>126</v>
      </c>
    </row>
    <row r="17" spans="1:88" x14ac:dyDescent="0.25">
      <c r="A17" t="str">
        <f t="shared" si="27"/>
        <v>Travée</v>
      </c>
      <c r="B17" t="b">
        <f t="shared" si="28"/>
        <v>1</v>
      </c>
      <c r="C17">
        <f>IF(D17=D15,C15,C15+1)</f>
        <v>2</v>
      </c>
      <c r="D17" t="s">
        <v>50</v>
      </c>
      <c r="E17" t="s">
        <v>51</v>
      </c>
      <c r="F17">
        <v>25</v>
      </c>
      <c r="G17" t="s">
        <v>46</v>
      </c>
      <c r="H17">
        <v>500</v>
      </c>
      <c r="I17">
        <v>220000</v>
      </c>
      <c r="J17">
        <v>1576</v>
      </c>
      <c r="K17">
        <v>1870</v>
      </c>
      <c r="L17">
        <v>1</v>
      </c>
      <c r="M17">
        <v>0.23499999999999999</v>
      </c>
      <c r="N17">
        <v>2.2000000000000002</v>
      </c>
      <c r="O17">
        <v>2.8160000000000001E-4</v>
      </c>
      <c r="P17">
        <v>0.04</v>
      </c>
      <c r="Q17">
        <v>1</v>
      </c>
      <c r="R17">
        <v>0</v>
      </c>
      <c r="S17">
        <v>0</v>
      </c>
      <c r="T17">
        <v>1</v>
      </c>
      <c r="U17">
        <v>2.9099999999999999E-5</v>
      </c>
      <c r="V17">
        <v>0</v>
      </c>
      <c r="W17">
        <v>2</v>
      </c>
      <c r="X17">
        <v>4</v>
      </c>
      <c r="Y17">
        <v>6.5</v>
      </c>
      <c r="Z17">
        <v>0</v>
      </c>
      <c r="AA17">
        <v>5.1624999999999996</v>
      </c>
      <c r="AB17">
        <v>6.9349999999999996</v>
      </c>
      <c r="AC17">
        <v>0</v>
      </c>
      <c r="AD17">
        <v>5.1624999999999996</v>
      </c>
      <c r="AE17">
        <v>6.9349999999999996</v>
      </c>
      <c r="AF17">
        <v>17.371874999999999</v>
      </c>
      <c r="AH17">
        <v>12.0975</v>
      </c>
      <c r="AI17">
        <v>5.1624999999999996</v>
      </c>
      <c r="AJ17">
        <v>6.9349999999999996</v>
      </c>
      <c r="AK17">
        <v>1.4696776486467411</v>
      </c>
      <c r="AL17">
        <v>1.6735423395142519</v>
      </c>
      <c r="AM17">
        <v>-96.881628920103537</v>
      </c>
      <c r="AN17">
        <v>-97.665691568982936</v>
      </c>
      <c r="AO17">
        <v>0</v>
      </c>
      <c r="AP17">
        <v>-131.8690765341278</v>
      </c>
      <c r="AQ17">
        <v>17.371874999999999</v>
      </c>
      <c r="AR17">
        <v>25.257071304347789</v>
      </c>
      <c r="AS17">
        <v>48.057510310385567</v>
      </c>
      <c r="AT17">
        <v>3.045724713531897</v>
      </c>
      <c r="AU17">
        <v>-247.10372030767039</v>
      </c>
      <c r="AV17">
        <v>0</v>
      </c>
      <c r="AW17">
        <v>-336.23342199649312</v>
      </c>
      <c r="AX17">
        <v>12.0975</v>
      </c>
      <c r="AY17">
        <v>2.4989769460284901</v>
      </c>
      <c r="AZ17">
        <v>-229.64747142019709</v>
      </c>
      <c r="BA17">
        <v>25.257071304347789</v>
      </c>
      <c r="BC17" s="1">
        <f t="shared" si="48"/>
        <v>5.1624999999999996</v>
      </c>
      <c r="BD17" s="2">
        <f t="shared" si="0"/>
        <v>1.4696776486467411</v>
      </c>
      <c r="BE17" s="7">
        <f t="shared" si="1"/>
        <v>-96.881628920103537</v>
      </c>
      <c r="BF17" s="1">
        <f t="shared" si="2"/>
        <v>6.9349999999999996</v>
      </c>
      <c r="BG17" s="2">
        <f t="shared" si="3"/>
        <v>1.6735423395142519</v>
      </c>
      <c r="BH17" s="2">
        <f t="shared" si="4"/>
        <v>-97.665691568982936</v>
      </c>
      <c r="BI17" s="2">
        <f t="shared" si="4"/>
        <v>0</v>
      </c>
      <c r="BJ17" s="7">
        <f t="shared" si="4"/>
        <v>-131.8690765341278</v>
      </c>
      <c r="BK17" s="1">
        <f t="shared" si="5"/>
        <v>12.0975</v>
      </c>
      <c r="BL17" s="2">
        <f t="shared" si="5"/>
        <v>3.1432199881609932</v>
      </c>
      <c r="BM17" s="2">
        <f t="shared" si="6"/>
        <v>194.54732048908647</v>
      </c>
      <c r="BN17" s="2">
        <f t="shared" si="7"/>
        <v>0</v>
      </c>
      <c r="BO17" s="7">
        <f t="shared" si="8"/>
        <v>-131.8690765341278</v>
      </c>
      <c r="BP17" s="2"/>
      <c r="BQ17" s="1">
        <f t="shared" si="30"/>
        <v>12.0975</v>
      </c>
      <c r="BR17" s="4" t="str">
        <f t="shared" ref="BR17" si="58">IF(ISNUMBER(SEARCH("Appui",E17)),0,"0")</f>
        <v>0</v>
      </c>
      <c r="BS17" s="2">
        <f t="shared" si="32"/>
        <v>12.0975</v>
      </c>
      <c r="BT17" s="2">
        <f t="shared" si="33"/>
        <v>25.257071304347789</v>
      </c>
      <c r="BU17" s="21">
        <f t="shared" si="34"/>
        <v>2.0877926269351343</v>
      </c>
      <c r="BV17" s="21">
        <f t="shared" si="35"/>
        <v>80.25</v>
      </c>
      <c r="BW17" s="21">
        <f t="shared" si="36"/>
        <v>128.63689704915234</v>
      </c>
      <c r="BX17" s="21">
        <f t="shared" si="37"/>
        <v>1.6029519881514309</v>
      </c>
      <c r="BY17" s="1">
        <f t="shared" si="38"/>
        <v>17.371874999999999</v>
      </c>
      <c r="BZ17" s="4" t="str">
        <f t="shared" ref="BZ17" si="59">IF(ISNUMBER(SEARCH("Appui",M17)),0,"0")</f>
        <v>0</v>
      </c>
      <c r="CA17" s="2">
        <f t="shared" si="40"/>
        <v>17.371874999999999</v>
      </c>
      <c r="CB17" s="2">
        <f t="shared" si="41"/>
        <v>48.057510310385567</v>
      </c>
      <c r="CC17" s="21">
        <f t="shared" si="42"/>
        <v>2.7663974274731755</v>
      </c>
      <c r="CD17" s="2">
        <f t="shared" si="43"/>
        <v>112.46250000000001</v>
      </c>
      <c r="CE17" s="2">
        <f t="shared" si="44"/>
        <v>170.80102284651267</v>
      </c>
      <c r="CF17" s="21">
        <f t="shared" si="45"/>
        <v>1.5187375600445718</v>
      </c>
      <c r="CG17" s="10" t="str">
        <f t="shared" ref="CG17" si="60">IF(C15&lt;C17,"Rive",IF(C19&gt;C17,"Rive","Inter"))</f>
        <v>Inter</v>
      </c>
      <c r="CH17" s="21">
        <f t="shared" si="47"/>
        <v>1.1438203583341322</v>
      </c>
      <c r="CI17" s="51" t="s">
        <v>126</v>
      </c>
    </row>
    <row r="18" spans="1:88" x14ac:dyDescent="0.25">
      <c r="A18" t="str">
        <f t="shared" si="27"/>
        <v>Appui</v>
      </c>
      <c r="B18" t="b">
        <f t="shared" si="28"/>
        <v>1</v>
      </c>
      <c r="C18">
        <f t="shared" si="29"/>
        <v>2</v>
      </c>
      <c r="D18" t="s">
        <v>50</v>
      </c>
      <c r="E18" t="s">
        <v>52</v>
      </c>
      <c r="F18">
        <v>25</v>
      </c>
      <c r="G18" t="s">
        <v>46</v>
      </c>
      <c r="H18">
        <v>500</v>
      </c>
      <c r="I18">
        <v>220000</v>
      </c>
      <c r="J18">
        <v>1576</v>
      </c>
      <c r="K18">
        <v>1870</v>
      </c>
      <c r="L18">
        <v>1</v>
      </c>
      <c r="M18">
        <v>0.25</v>
      </c>
      <c r="N18">
        <v>2.2000000000000002</v>
      </c>
      <c r="O18">
        <v>1.3297999999999999E-3</v>
      </c>
      <c r="P18">
        <v>6.9999999999999993E-2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20</v>
      </c>
      <c r="Y18">
        <v>13</v>
      </c>
      <c r="Z18">
        <v>0</v>
      </c>
      <c r="AA18">
        <v>20</v>
      </c>
      <c r="AB18">
        <v>13</v>
      </c>
      <c r="AC18">
        <v>0</v>
      </c>
      <c r="AD18">
        <v>20</v>
      </c>
      <c r="AE18">
        <v>13</v>
      </c>
      <c r="AF18">
        <v>46.5</v>
      </c>
      <c r="AH18">
        <v>33</v>
      </c>
      <c r="AI18">
        <v>20</v>
      </c>
      <c r="AJ18">
        <v>13</v>
      </c>
      <c r="AK18">
        <v>3.2160086615407542</v>
      </c>
      <c r="AL18">
        <v>2.0904056300014928</v>
      </c>
      <c r="AM18">
        <v>-89.139198367099567</v>
      </c>
      <c r="AN18">
        <v>-57.94047893861471</v>
      </c>
      <c r="AO18">
        <v>0</v>
      </c>
      <c r="AP18">
        <v>0</v>
      </c>
      <c r="AQ18">
        <v>46.5</v>
      </c>
      <c r="AR18">
        <v>103.37982574480461</v>
      </c>
      <c r="AS18">
        <v>103.37982574480461</v>
      </c>
      <c r="AT18">
        <v>5.4615509199535532</v>
      </c>
      <c r="AU18">
        <v>-212.58252549742821</v>
      </c>
      <c r="AV18">
        <v>0</v>
      </c>
      <c r="AW18">
        <v>0</v>
      </c>
      <c r="AX18">
        <v>33</v>
      </c>
      <c r="AY18">
        <v>3.9427820985975401</v>
      </c>
      <c r="AZ18">
        <v>-150.6876485289022</v>
      </c>
      <c r="BA18">
        <v>103.37982574480461</v>
      </c>
      <c r="BC18" s="1">
        <f t="shared" si="48"/>
        <v>20</v>
      </c>
      <c r="BD18" s="2">
        <f t="shared" si="0"/>
        <v>3.2160086615407542</v>
      </c>
      <c r="BE18" s="7">
        <f t="shared" si="1"/>
        <v>-89.139198367099567</v>
      </c>
      <c r="BF18" s="1">
        <f t="shared" si="2"/>
        <v>13</v>
      </c>
      <c r="BG18" s="2">
        <f t="shared" si="3"/>
        <v>2.0904056300014928</v>
      </c>
      <c r="BH18" s="2">
        <f t="shared" si="4"/>
        <v>-57.94047893861471</v>
      </c>
      <c r="BI18" s="2">
        <f t="shared" si="4"/>
        <v>0</v>
      </c>
      <c r="BJ18" s="7">
        <f t="shared" si="4"/>
        <v>0</v>
      </c>
      <c r="BK18" s="1">
        <f t="shared" si="5"/>
        <v>33</v>
      </c>
      <c r="BL18" s="2">
        <f t="shared" si="5"/>
        <v>5.3064142915422465</v>
      </c>
      <c r="BM18" s="2">
        <f t="shared" si="6"/>
        <v>147.07967730571428</v>
      </c>
      <c r="BN18" s="2">
        <f t="shared" si="7"/>
        <v>0</v>
      </c>
      <c r="BO18" s="7">
        <f t="shared" si="8"/>
        <v>0</v>
      </c>
      <c r="BP18" s="2"/>
      <c r="BQ18" s="1">
        <f t="shared" si="30"/>
        <v>33</v>
      </c>
      <c r="BR18" s="4">
        <v>0</v>
      </c>
      <c r="BS18" s="2">
        <f t="shared" si="32"/>
        <v>33</v>
      </c>
      <c r="BT18" s="2">
        <f t="shared" si="33"/>
        <v>103.37982574480461</v>
      </c>
      <c r="BU18" s="21">
        <f t="shared" si="34"/>
        <v>3.1327219922668061</v>
      </c>
      <c r="BV18" s="21" t="str">
        <f t="shared" si="35"/>
        <v/>
      </c>
      <c r="BW18" s="21" t="str">
        <f t="shared" si="36"/>
        <v/>
      </c>
      <c r="BX18" s="21" t="str">
        <f t="shared" si="37"/>
        <v/>
      </c>
      <c r="BY18" s="1">
        <f t="shared" si="38"/>
        <v>46.5</v>
      </c>
      <c r="BZ18" s="4">
        <v>0</v>
      </c>
      <c r="CA18" s="2">
        <f t="shared" si="40"/>
        <v>46.5</v>
      </c>
      <c r="CB18" s="2">
        <f t="shared" si="41"/>
        <v>103.37982574480461</v>
      </c>
      <c r="CC18" s="21">
        <f t="shared" si="42"/>
        <v>2.223222059028056</v>
      </c>
      <c r="CD18" s="2" t="str">
        <f t="shared" si="43"/>
        <v/>
      </c>
      <c r="CE18" s="2" t="str">
        <f t="shared" si="44"/>
        <v/>
      </c>
      <c r="CF18" s="21" t="str">
        <f t="shared" si="45"/>
        <v/>
      </c>
      <c r="CG18" s="15"/>
      <c r="CH18" s="21" t="str">
        <f t="shared" si="47"/>
        <v/>
      </c>
      <c r="CI18" s="51" t="s">
        <v>126</v>
      </c>
    </row>
    <row r="19" spans="1:88" x14ac:dyDescent="0.25">
      <c r="A19" t="str">
        <f t="shared" si="27"/>
        <v>Travée</v>
      </c>
      <c r="B19" t="b">
        <f t="shared" si="28"/>
        <v>1</v>
      </c>
      <c r="C19">
        <f t="shared" si="29"/>
        <v>2</v>
      </c>
      <c r="D19" t="s">
        <v>50</v>
      </c>
      <c r="E19" t="s">
        <v>53</v>
      </c>
      <c r="F19">
        <v>25</v>
      </c>
      <c r="G19" t="s">
        <v>46</v>
      </c>
      <c r="H19">
        <v>500</v>
      </c>
      <c r="I19">
        <v>220000</v>
      </c>
      <c r="J19">
        <v>1576</v>
      </c>
      <c r="K19">
        <v>1870</v>
      </c>
      <c r="L19">
        <v>1</v>
      </c>
      <c r="M19">
        <v>0.23499999999999999</v>
      </c>
      <c r="N19">
        <v>2.2000000000000002</v>
      </c>
      <c r="O19">
        <v>2.8160000000000001E-4</v>
      </c>
      <c r="P19">
        <v>0.04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5</v>
      </c>
      <c r="Y19">
        <v>6.5</v>
      </c>
      <c r="Z19">
        <v>0</v>
      </c>
      <c r="AA19">
        <v>3.4624999999999999</v>
      </c>
      <c r="AB19">
        <v>5.9</v>
      </c>
      <c r="AC19">
        <v>0</v>
      </c>
      <c r="AD19">
        <v>3.4624999999999999</v>
      </c>
      <c r="AE19">
        <v>5.9</v>
      </c>
      <c r="AF19">
        <v>13.524374999999999</v>
      </c>
      <c r="AH19">
        <v>9.3625000000000007</v>
      </c>
      <c r="AI19">
        <v>3.4624999999999999</v>
      </c>
      <c r="AJ19">
        <v>5.9</v>
      </c>
      <c r="AK19">
        <v>0.98571715712814312</v>
      </c>
      <c r="AL19">
        <v>1.679631587633154</v>
      </c>
      <c r="AM19">
        <v>-64.978712001015893</v>
      </c>
      <c r="AN19">
        <v>-110.7218616944982</v>
      </c>
      <c r="AO19">
        <v>0</v>
      </c>
      <c r="AP19">
        <v>0</v>
      </c>
      <c r="AQ19">
        <v>13.524374999999999</v>
      </c>
      <c r="AR19">
        <v>25.257071304347789</v>
      </c>
      <c r="AS19">
        <v>25.257071304347789</v>
      </c>
      <c r="AT19">
        <v>2.784822293965306</v>
      </c>
      <c r="AU19">
        <v>-256.7613894247271</v>
      </c>
      <c r="AV19">
        <v>0</v>
      </c>
      <c r="AW19">
        <v>0</v>
      </c>
      <c r="AX19">
        <v>9.3625000000000007</v>
      </c>
      <c r="AY19">
        <v>1.945731612303607</v>
      </c>
      <c r="AZ19">
        <v>-177.69274117684529</v>
      </c>
      <c r="BA19">
        <v>25.257071304347789</v>
      </c>
      <c r="BC19" s="1">
        <f t="shared" si="48"/>
        <v>3.4624999999999999</v>
      </c>
      <c r="BD19" s="2">
        <f t="shared" si="0"/>
        <v>0.98571715712814312</v>
      </c>
      <c r="BE19" s="7">
        <f t="shared" si="1"/>
        <v>-64.978712001015893</v>
      </c>
      <c r="BF19" s="1">
        <f t="shared" si="2"/>
        <v>5.9</v>
      </c>
      <c r="BG19" s="2">
        <f t="shared" si="3"/>
        <v>1.679631587633154</v>
      </c>
      <c r="BH19" s="2">
        <f t="shared" si="4"/>
        <v>-110.7218616944982</v>
      </c>
      <c r="BI19" s="2">
        <f t="shared" si="4"/>
        <v>0</v>
      </c>
      <c r="BJ19" s="7">
        <f t="shared" si="4"/>
        <v>0</v>
      </c>
      <c r="BK19" s="1">
        <f t="shared" si="5"/>
        <v>9.3625000000000007</v>
      </c>
      <c r="BL19" s="2">
        <f t="shared" si="5"/>
        <v>2.6653487447612969</v>
      </c>
      <c r="BM19" s="2">
        <f t="shared" si="6"/>
        <v>175.70057369551409</v>
      </c>
      <c r="BN19" s="2">
        <f t="shared" si="7"/>
        <v>0</v>
      </c>
      <c r="BO19" s="7">
        <f t="shared" si="8"/>
        <v>0</v>
      </c>
      <c r="BP19" s="2"/>
      <c r="BQ19" s="1">
        <f t="shared" si="30"/>
        <v>9.3625000000000007</v>
      </c>
      <c r="BR19" s="4" t="str">
        <f t="shared" ref="BR19" si="61">IF(ISNUMBER(SEARCH("Appui",E19)),0,"0")</f>
        <v>0</v>
      </c>
      <c r="BS19" s="2">
        <f t="shared" si="32"/>
        <v>9.3625000000000007</v>
      </c>
      <c r="BT19" s="2">
        <f t="shared" si="33"/>
        <v>25.257071304347789</v>
      </c>
      <c r="BU19" s="21">
        <f t="shared" si="34"/>
        <v>2.6976845184884151</v>
      </c>
      <c r="BV19" s="21">
        <f t="shared" si="35"/>
        <v>70.75</v>
      </c>
      <c r="BW19" s="21">
        <f t="shared" si="36"/>
        <v>128.63689704915234</v>
      </c>
      <c r="BX19" s="21">
        <f t="shared" si="37"/>
        <v>1.818189357585192</v>
      </c>
      <c r="BY19" s="1">
        <f t="shared" si="38"/>
        <v>13.524374999999999</v>
      </c>
      <c r="BZ19" s="4" t="str">
        <f t="shared" ref="BZ19" si="62">IF(ISNUMBER(SEARCH("Appui",M19)),0,"0")</f>
        <v>0</v>
      </c>
      <c r="CA19" s="2">
        <f t="shared" si="40"/>
        <v>13.524374999999999</v>
      </c>
      <c r="CB19" s="2">
        <f t="shared" si="41"/>
        <v>25.257071304347789</v>
      </c>
      <c r="CC19" s="21">
        <f t="shared" si="42"/>
        <v>1.8675222555088713</v>
      </c>
      <c r="CD19" s="2">
        <f t="shared" si="43"/>
        <v>99.262499999999989</v>
      </c>
      <c r="CE19" s="2">
        <f t="shared" si="44"/>
        <v>148.00058384047489</v>
      </c>
      <c r="CF19" s="21">
        <f t="shared" si="45"/>
        <v>1.4910019779924433</v>
      </c>
      <c r="CG19" s="10" t="str">
        <f t="shared" ref="CG19" si="63">IF(C17&lt;C19,"Rive",IF(C21&gt;C19,"Rive","Inter"))</f>
        <v>Inter</v>
      </c>
      <c r="CH19" s="21">
        <f t="shared" si="47"/>
        <v>1.295926427897266</v>
      </c>
      <c r="CI19" s="51" t="s">
        <v>126</v>
      </c>
      <c r="CJ19" t="s">
        <v>125</v>
      </c>
    </row>
    <row r="20" spans="1:88" x14ac:dyDescent="0.25">
      <c r="A20" t="str">
        <f t="shared" si="27"/>
        <v>Appui</v>
      </c>
      <c r="B20" t="b">
        <f t="shared" si="28"/>
        <v>1</v>
      </c>
      <c r="C20">
        <f t="shared" si="29"/>
        <v>2</v>
      </c>
      <c r="D20" t="s">
        <v>50</v>
      </c>
      <c r="E20" t="s">
        <v>54</v>
      </c>
      <c r="F20">
        <v>25</v>
      </c>
      <c r="G20" t="s">
        <v>46</v>
      </c>
      <c r="H20">
        <v>500</v>
      </c>
      <c r="I20">
        <v>220000</v>
      </c>
      <c r="J20">
        <v>1576</v>
      </c>
      <c r="K20">
        <v>1870</v>
      </c>
      <c r="L20">
        <v>1</v>
      </c>
      <c r="M20">
        <v>0.22</v>
      </c>
      <c r="N20">
        <v>2.2000000000000002</v>
      </c>
      <c r="O20">
        <v>1.3297999999999999E-3</v>
      </c>
      <c r="P20">
        <v>0.04</v>
      </c>
      <c r="Q20">
        <v>1</v>
      </c>
      <c r="R20">
        <v>0</v>
      </c>
      <c r="S20">
        <v>0</v>
      </c>
      <c r="T20">
        <v>1</v>
      </c>
      <c r="U20">
        <v>2.9099999999999999E-5</v>
      </c>
      <c r="V20">
        <v>0</v>
      </c>
      <c r="W20">
        <v>4</v>
      </c>
      <c r="X20">
        <v>61.5</v>
      </c>
      <c r="Y20">
        <v>24</v>
      </c>
      <c r="Z20">
        <v>0.05</v>
      </c>
      <c r="AA20">
        <v>64.575000000000003</v>
      </c>
      <c r="AB20">
        <v>25.2</v>
      </c>
      <c r="AC20">
        <v>0</v>
      </c>
      <c r="AD20">
        <v>64.575000000000003</v>
      </c>
      <c r="AE20">
        <v>25.2</v>
      </c>
      <c r="AF20">
        <v>124.97624999999999</v>
      </c>
      <c r="AH20">
        <v>89.775000000000006</v>
      </c>
      <c r="AI20">
        <v>64.575000000000003</v>
      </c>
      <c r="AJ20">
        <v>25.2</v>
      </c>
      <c r="AK20">
        <v>10.38368796594972</v>
      </c>
      <c r="AL20">
        <v>3.7599294554500711</v>
      </c>
      <c r="AM20">
        <v>-287.80818672777269</v>
      </c>
      <c r="AN20">
        <v>-97.839148062220943</v>
      </c>
      <c r="AO20">
        <v>0</v>
      </c>
      <c r="AP20">
        <v>-137.37930113003651</v>
      </c>
      <c r="AQ20">
        <v>124.97624999999999</v>
      </c>
      <c r="AR20">
        <v>103.37982574480451</v>
      </c>
      <c r="AS20">
        <v>142.10719932744959</v>
      </c>
      <c r="AT20">
        <v>14.17769635235614</v>
      </c>
      <c r="AU20">
        <v>-436.30228875434528</v>
      </c>
      <c r="AV20">
        <v>0</v>
      </c>
      <c r="AW20">
        <v>-1206.392787802381</v>
      </c>
      <c r="AX20">
        <v>89.775000000000006</v>
      </c>
      <c r="AY20">
        <v>9.9061335818140961</v>
      </c>
      <c r="AZ20">
        <v>-412.14724929151788</v>
      </c>
      <c r="BA20">
        <v>103.37982574480451</v>
      </c>
      <c r="BC20" s="1">
        <f t="shared" si="48"/>
        <v>64.575000000000003</v>
      </c>
      <c r="BD20" s="2">
        <f t="shared" si="0"/>
        <v>10.38368796594972</v>
      </c>
      <c r="BE20" s="7">
        <f t="shared" si="1"/>
        <v>-287.80818672777269</v>
      </c>
      <c r="BF20" s="1">
        <f t="shared" si="2"/>
        <v>25.2</v>
      </c>
      <c r="BG20" s="2">
        <f t="shared" si="3"/>
        <v>3.7599294554500711</v>
      </c>
      <c r="BH20" s="2">
        <f t="shared" si="4"/>
        <v>-97.839148062220943</v>
      </c>
      <c r="BI20" s="2">
        <f t="shared" si="4"/>
        <v>0</v>
      </c>
      <c r="BJ20" s="7">
        <f t="shared" si="4"/>
        <v>-137.37930113003651</v>
      </c>
      <c r="BK20" s="1">
        <f t="shared" si="5"/>
        <v>89.775000000000006</v>
      </c>
      <c r="BL20" s="2">
        <f t="shared" si="5"/>
        <v>14.143617421399792</v>
      </c>
      <c r="BM20" s="2">
        <f t="shared" si="6"/>
        <v>385.64733478999364</v>
      </c>
      <c r="BN20" s="2">
        <f t="shared" si="7"/>
        <v>0</v>
      </c>
      <c r="BO20" s="7">
        <f t="shared" si="8"/>
        <v>-137.37930113003651</v>
      </c>
      <c r="BP20" s="2"/>
      <c r="BQ20" s="1">
        <f t="shared" si="30"/>
        <v>89.775000000000006</v>
      </c>
      <c r="BR20" s="4">
        <v>0</v>
      </c>
      <c r="BS20" s="2">
        <f t="shared" si="32"/>
        <v>89.775000000000006</v>
      </c>
      <c r="BT20" s="2">
        <f t="shared" si="33"/>
        <v>103.37982574480451</v>
      </c>
      <c r="BU20" s="21">
        <f t="shared" si="34"/>
        <v>1.1515435894715065</v>
      </c>
      <c r="BV20" s="21" t="str">
        <f t="shared" si="35"/>
        <v/>
      </c>
      <c r="BW20" s="21" t="str">
        <f t="shared" si="36"/>
        <v/>
      </c>
      <c r="BX20" s="21" t="str">
        <f t="shared" si="37"/>
        <v/>
      </c>
      <c r="BY20" s="1">
        <f t="shared" si="38"/>
        <v>124.97624999999999</v>
      </c>
      <c r="BZ20" s="4">
        <v>0</v>
      </c>
      <c r="CA20" s="2">
        <f t="shared" si="40"/>
        <v>124.97624999999999</v>
      </c>
      <c r="CB20" s="2">
        <f t="shared" si="41"/>
        <v>142.10719932744959</v>
      </c>
      <c r="CC20" s="21">
        <f t="shared" si="42"/>
        <v>1.1370736386109328</v>
      </c>
      <c r="CD20" s="2" t="str">
        <f t="shared" si="43"/>
        <v/>
      </c>
      <c r="CE20" s="2" t="str">
        <f t="shared" si="44"/>
        <v/>
      </c>
      <c r="CF20" s="21" t="str">
        <f t="shared" si="45"/>
        <v/>
      </c>
      <c r="CG20" s="15"/>
      <c r="CH20" s="21" t="str">
        <f t="shared" si="47"/>
        <v/>
      </c>
      <c r="CI20" s="51" t="s">
        <v>126</v>
      </c>
    </row>
    <row r="21" spans="1:88" x14ac:dyDescent="0.25">
      <c r="A21" t="str">
        <f t="shared" si="27"/>
        <v>Travée</v>
      </c>
      <c r="B21" t="b">
        <f t="shared" si="28"/>
        <v>1</v>
      </c>
      <c r="C21">
        <f t="shared" si="29"/>
        <v>2</v>
      </c>
      <c r="D21" t="s">
        <v>50</v>
      </c>
      <c r="E21" t="s">
        <v>55</v>
      </c>
      <c r="F21">
        <v>25</v>
      </c>
      <c r="G21" t="s">
        <v>46</v>
      </c>
      <c r="H21">
        <v>500</v>
      </c>
      <c r="I21">
        <v>220000</v>
      </c>
      <c r="J21">
        <v>1576</v>
      </c>
      <c r="K21">
        <v>1870</v>
      </c>
      <c r="L21">
        <v>1</v>
      </c>
      <c r="M21">
        <v>0.23499999999999999</v>
      </c>
      <c r="N21">
        <v>2.2000000000000002</v>
      </c>
      <c r="O21">
        <v>5.6539999999999997E-4</v>
      </c>
      <c r="P21">
        <v>0.04</v>
      </c>
      <c r="Q21">
        <v>1</v>
      </c>
      <c r="R21">
        <v>0</v>
      </c>
      <c r="S21">
        <v>0</v>
      </c>
      <c r="T21">
        <v>1</v>
      </c>
      <c r="U21">
        <v>2.9099999999999999E-5</v>
      </c>
      <c r="V21">
        <v>0</v>
      </c>
      <c r="W21">
        <v>4</v>
      </c>
      <c r="X21">
        <v>32.6</v>
      </c>
      <c r="Y21">
        <v>15.5</v>
      </c>
      <c r="Z21">
        <v>0</v>
      </c>
      <c r="AA21">
        <v>28.4375</v>
      </c>
      <c r="AB21">
        <v>13.984999999999999</v>
      </c>
      <c r="AC21">
        <v>0</v>
      </c>
      <c r="AD21">
        <v>28.4375</v>
      </c>
      <c r="AE21">
        <v>13.984999999999999</v>
      </c>
      <c r="AF21">
        <v>59.368124999999999</v>
      </c>
      <c r="AH21">
        <v>42.422499999999999</v>
      </c>
      <c r="AI21">
        <v>28.4375</v>
      </c>
      <c r="AJ21">
        <v>13.984999999999999</v>
      </c>
      <c r="AK21">
        <v>5.8545875977212321</v>
      </c>
      <c r="AL21">
        <v>2.463729125835779</v>
      </c>
      <c r="AM21">
        <v>-269.0095282534794</v>
      </c>
      <c r="AN21">
        <v>-99.177016797930918</v>
      </c>
      <c r="AO21">
        <v>0</v>
      </c>
      <c r="AP21">
        <v>-135.0054757406964</v>
      </c>
      <c r="AQ21">
        <v>59.368124999999999</v>
      </c>
      <c r="AR21">
        <v>50.295035765929207</v>
      </c>
      <c r="AS21">
        <v>94.913458263888742</v>
      </c>
      <c r="AT21">
        <v>7.302291090862183</v>
      </c>
      <c r="AU21">
        <v>-427.77788916420809</v>
      </c>
      <c r="AV21">
        <v>0</v>
      </c>
      <c r="AW21">
        <v>-589.6823900712136</v>
      </c>
      <c r="AX21">
        <v>42.422499999999999</v>
      </c>
      <c r="AY21">
        <v>6.1773931258322996</v>
      </c>
      <c r="AZ21">
        <v>-408.16961137302178</v>
      </c>
      <c r="BA21">
        <v>50.295035765929207</v>
      </c>
      <c r="BC21" s="1">
        <f t="shared" si="48"/>
        <v>28.4375</v>
      </c>
      <c r="BD21" s="2">
        <f t="shared" si="0"/>
        <v>5.8545875977212321</v>
      </c>
      <c r="BE21" s="7">
        <f t="shared" si="1"/>
        <v>-269.0095282534794</v>
      </c>
      <c r="BF21" s="1">
        <f t="shared" si="2"/>
        <v>13.984999999999999</v>
      </c>
      <c r="BG21" s="2">
        <f t="shared" si="3"/>
        <v>2.463729125835779</v>
      </c>
      <c r="BH21" s="2">
        <f t="shared" si="4"/>
        <v>-99.177016797930918</v>
      </c>
      <c r="BI21" s="2">
        <f t="shared" si="4"/>
        <v>0</v>
      </c>
      <c r="BJ21" s="7">
        <f t="shared" si="4"/>
        <v>-135.0054757406964</v>
      </c>
      <c r="BK21" s="1">
        <f t="shared" si="5"/>
        <v>42.422499999999999</v>
      </c>
      <c r="BL21" s="2">
        <f t="shared" si="5"/>
        <v>8.318316723557011</v>
      </c>
      <c r="BM21" s="2">
        <f t="shared" si="6"/>
        <v>368.18654505141035</v>
      </c>
      <c r="BN21" s="2">
        <f t="shared" si="7"/>
        <v>0</v>
      </c>
      <c r="BO21" s="7">
        <f t="shared" si="8"/>
        <v>-135.0054757406964</v>
      </c>
      <c r="BP21" s="2"/>
      <c r="BQ21" s="1">
        <f t="shared" si="30"/>
        <v>42.422499999999999</v>
      </c>
      <c r="BR21" s="4" t="str">
        <f t="shared" ref="BR21" si="64">IF(ISNUMBER(SEARCH("Appui",E21)),0,"0")</f>
        <v>0</v>
      </c>
      <c r="BS21" s="2">
        <f t="shared" si="32"/>
        <v>42.422499999999999</v>
      </c>
      <c r="BT21" s="2">
        <f t="shared" si="33"/>
        <v>50.295035765929207</v>
      </c>
      <c r="BU21" s="21">
        <f t="shared" si="34"/>
        <v>1.1855745362939292</v>
      </c>
      <c r="BV21" s="21">
        <f t="shared" si="35"/>
        <v>149.85000000000002</v>
      </c>
      <c r="BW21" s="21">
        <f t="shared" si="36"/>
        <v>172.96120875800068</v>
      </c>
      <c r="BX21" s="21">
        <f t="shared" si="37"/>
        <v>1.1542289540073449</v>
      </c>
      <c r="BY21" s="1">
        <f t="shared" si="38"/>
        <v>59.368124999999999</v>
      </c>
      <c r="BZ21" s="4" t="str">
        <f t="shared" ref="BZ21" si="65">IF(ISNUMBER(SEARCH("Appui",M21)),0,"0")</f>
        <v>0</v>
      </c>
      <c r="CA21" s="2">
        <f t="shared" si="40"/>
        <v>59.368124999999999</v>
      </c>
      <c r="CB21" s="2">
        <f t="shared" si="41"/>
        <v>94.913458263888742</v>
      </c>
      <c r="CC21" s="21">
        <f t="shared" si="42"/>
        <v>1.5987275707947446</v>
      </c>
      <c r="CD21" s="2">
        <f t="shared" si="43"/>
        <v>208.71</v>
      </c>
      <c r="CE21" s="2">
        <f t="shared" si="44"/>
        <v>258.90436522239236</v>
      </c>
      <c r="CF21" s="21">
        <f t="shared" si="45"/>
        <v>1.2404981324440245</v>
      </c>
      <c r="CG21" s="10" t="str">
        <f t="shared" ref="CG21" si="66">IF(C19&lt;C21,"Rive",IF(C23&gt;C21,"Rive","Inter"))</f>
        <v>Inter</v>
      </c>
      <c r="CH21" s="21">
        <f t="shared" si="47"/>
        <v>0.82871548444253118</v>
      </c>
      <c r="CI21" s="51" t="s">
        <v>126</v>
      </c>
    </row>
    <row r="22" spans="1:88" x14ac:dyDescent="0.25">
      <c r="A22" t="str">
        <f t="shared" si="27"/>
        <v>Appui</v>
      </c>
      <c r="B22" t="b">
        <f t="shared" si="28"/>
        <v>1</v>
      </c>
      <c r="C22">
        <f>IF(D22=D20,C20,C20+1)</f>
        <v>2</v>
      </c>
      <c r="D22" t="s">
        <v>50</v>
      </c>
      <c r="E22" t="s">
        <v>56</v>
      </c>
      <c r="F22">
        <v>25</v>
      </c>
      <c r="G22" t="s">
        <v>46</v>
      </c>
      <c r="H22">
        <v>500</v>
      </c>
      <c r="I22">
        <v>220000</v>
      </c>
      <c r="J22">
        <v>1576</v>
      </c>
      <c r="K22">
        <v>1870</v>
      </c>
      <c r="L22">
        <v>1</v>
      </c>
      <c r="M22">
        <v>0.25</v>
      </c>
      <c r="N22">
        <v>2.2000000000000002</v>
      </c>
      <c r="O22">
        <v>1.89E-3</v>
      </c>
      <c r="P22">
        <v>6.9999999999999993E-2</v>
      </c>
      <c r="Q22">
        <v>1</v>
      </c>
      <c r="R22">
        <v>0</v>
      </c>
      <c r="S22">
        <v>0</v>
      </c>
      <c r="T22">
        <v>1</v>
      </c>
      <c r="U22">
        <v>2.9099999999999999E-5</v>
      </c>
      <c r="V22">
        <v>0</v>
      </c>
      <c r="W22">
        <v>4</v>
      </c>
      <c r="X22">
        <v>87.5</v>
      </c>
      <c r="Y22">
        <v>30.5</v>
      </c>
      <c r="Z22">
        <v>0.06</v>
      </c>
      <c r="AA22">
        <v>92.75</v>
      </c>
      <c r="AB22">
        <v>32.33</v>
      </c>
      <c r="AC22">
        <v>0</v>
      </c>
      <c r="AD22">
        <v>92.75</v>
      </c>
      <c r="AE22">
        <v>32.33</v>
      </c>
      <c r="AF22">
        <v>173.70750000000001</v>
      </c>
      <c r="AH22">
        <v>125.08</v>
      </c>
      <c r="AI22">
        <v>92.75</v>
      </c>
      <c r="AJ22">
        <v>32.33</v>
      </c>
      <c r="AK22">
        <v>12.89403121004627</v>
      </c>
      <c r="AL22">
        <v>4.160557336257539</v>
      </c>
      <c r="AM22">
        <v>-294.1538489895737</v>
      </c>
      <c r="AN22">
        <v>-89.870552931361061</v>
      </c>
      <c r="AO22">
        <v>0</v>
      </c>
      <c r="AP22">
        <v>-148.61119875786801</v>
      </c>
      <c r="AQ22">
        <v>173.70750000000001</v>
      </c>
      <c r="AR22">
        <v>141.95252023933841</v>
      </c>
      <c r="AS22">
        <v>185.87461458955769</v>
      </c>
      <c r="AT22">
        <v>15.803041332375111</v>
      </c>
      <c r="AU22">
        <v>-436.34640939163421</v>
      </c>
      <c r="AV22">
        <v>0</v>
      </c>
      <c r="AW22">
        <v>-1453.4249930005869</v>
      </c>
      <c r="AX22">
        <v>125.08</v>
      </c>
      <c r="AY22">
        <v>11.69420169444461</v>
      </c>
      <c r="AZ22">
        <v>-411.69217880531369</v>
      </c>
      <c r="BA22">
        <v>141.95252023933841</v>
      </c>
      <c r="BC22" s="1">
        <f t="shared" si="48"/>
        <v>92.75</v>
      </c>
      <c r="BD22" s="2">
        <f t="shared" si="0"/>
        <v>12.89403121004627</v>
      </c>
      <c r="BE22" s="7">
        <f t="shared" si="1"/>
        <v>-294.1538489895737</v>
      </c>
      <c r="BF22" s="1">
        <f t="shared" si="2"/>
        <v>32.33</v>
      </c>
      <c r="BG22" s="2">
        <f t="shared" si="3"/>
        <v>4.160557336257539</v>
      </c>
      <c r="BH22" s="2">
        <f t="shared" ref="BH22:BJ71" si="67">AN22</f>
        <v>-89.870552931361061</v>
      </c>
      <c r="BI22" s="2">
        <f t="shared" si="67"/>
        <v>0</v>
      </c>
      <c r="BJ22" s="7">
        <f t="shared" si="67"/>
        <v>-148.61119875786801</v>
      </c>
      <c r="BK22" s="1">
        <f t="shared" ref="BK22:BL71" si="68">BC22+BF22</f>
        <v>125.08</v>
      </c>
      <c r="BL22" s="2">
        <f t="shared" si="68"/>
        <v>17.054588546303808</v>
      </c>
      <c r="BM22" s="2">
        <f t="shared" si="6"/>
        <v>384.02440192093479</v>
      </c>
      <c r="BN22" s="2">
        <f t="shared" si="7"/>
        <v>0</v>
      </c>
      <c r="BO22" s="7">
        <f t="shared" si="8"/>
        <v>-148.61119875786801</v>
      </c>
      <c r="BP22" s="2"/>
      <c r="BQ22" s="1">
        <f t="shared" si="30"/>
        <v>125.08</v>
      </c>
      <c r="BR22" s="4">
        <v>0</v>
      </c>
      <c r="BS22" s="2">
        <f t="shared" si="32"/>
        <v>125.08</v>
      </c>
      <c r="BT22" s="2">
        <f t="shared" si="33"/>
        <v>141.95252023933841</v>
      </c>
      <c r="BU22" s="21">
        <f t="shared" si="34"/>
        <v>1.1348938298635947</v>
      </c>
      <c r="BV22" s="21" t="str">
        <f t="shared" si="35"/>
        <v/>
      </c>
      <c r="BW22" s="21" t="str">
        <f t="shared" si="36"/>
        <v/>
      </c>
      <c r="BX22" s="21" t="str">
        <f t="shared" si="37"/>
        <v/>
      </c>
      <c r="BY22" s="1">
        <f t="shared" si="38"/>
        <v>173.70750000000001</v>
      </c>
      <c r="BZ22" s="4">
        <v>0</v>
      </c>
      <c r="CA22" s="2">
        <f t="shared" si="40"/>
        <v>173.70750000000001</v>
      </c>
      <c r="CB22" s="2">
        <f t="shared" si="41"/>
        <v>185.87461458955769</v>
      </c>
      <c r="CC22" s="21">
        <f t="shared" si="42"/>
        <v>1.070043691778177</v>
      </c>
      <c r="CD22" s="2" t="str">
        <f t="shared" si="43"/>
        <v/>
      </c>
      <c r="CE22" s="2" t="str">
        <f t="shared" si="44"/>
        <v/>
      </c>
      <c r="CF22" s="21" t="str">
        <f t="shared" si="45"/>
        <v/>
      </c>
      <c r="CG22" s="15"/>
      <c r="CH22" s="21" t="str">
        <f t="shared" si="47"/>
        <v/>
      </c>
      <c r="CI22" s="51" t="s">
        <v>126</v>
      </c>
    </row>
    <row r="23" spans="1:88" x14ac:dyDescent="0.25">
      <c r="A23" t="str">
        <f t="shared" si="27"/>
        <v>Travée</v>
      </c>
      <c r="B23" t="b">
        <f t="shared" si="28"/>
        <v>1</v>
      </c>
      <c r="C23">
        <f t="shared" si="29"/>
        <v>2</v>
      </c>
      <c r="D23" t="s">
        <v>50</v>
      </c>
      <c r="E23" t="s">
        <v>57</v>
      </c>
      <c r="F23">
        <v>25</v>
      </c>
      <c r="G23" t="s">
        <v>46</v>
      </c>
      <c r="H23">
        <v>500</v>
      </c>
      <c r="I23">
        <v>220000</v>
      </c>
      <c r="J23">
        <v>1576</v>
      </c>
      <c r="K23">
        <v>1870</v>
      </c>
      <c r="L23">
        <v>1</v>
      </c>
      <c r="M23">
        <v>0.26</v>
      </c>
      <c r="N23">
        <v>2.2000000000000002</v>
      </c>
      <c r="O23">
        <v>5.6539999999999997E-4</v>
      </c>
      <c r="P23">
        <v>0.04</v>
      </c>
      <c r="Q23">
        <v>1</v>
      </c>
      <c r="R23">
        <v>0</v>
      </c>
      <c r="S23">
        <v>0</v>
      </c>
      <c r="T23">
        <v>1</v>
      </c>
      <c r="U23">
        <v>2.9099999999999999E-5</v>
      </c>
      <c r="V23">
        <v>0</v>
      </c>
      <c r="W23">
        <v>2</v>
      </c>
      <c r="X23">
        <v>25</v>
      </c>
      <c r="Y23">
        <v>10</v>
      </c>
      <c r="Z23">
        <v>0</v>
      </c>
      <c r="AA23">
        <v>22.375</v>
      </c>
      <c r="AB23">
        <v>9.0850000000000009</v>
      </c>
      <c r="AC23">
        <v>0</v>
      </c>
      <c r="AD23">
        <v>22.375</v>
      </c>
      <c r="AE23">
        <v>9.0850000000000009</v>
      </c>
      <c r="AF23">
        <v>43.833750000000002</v>
      </c>
      <c r="AH23">
        <v>31.46</v>
      </c>
      <c r="AI23">
        <v>22.375</v>
      </c>
      <c r="AJ23">
        <v>9.0850000000000009</v>
      </c>
      <c r="AK23">
        <v>3.814553342494944</v>
      </c>
      <c r="AL23">
        <v>1.432615579720522</v>
      </c>
      <c r="AM23">
        <v>-187.17194640876201</v>
      </c>
      <c r="AN23">
        <v>-65.507083150060652</v>
      </c>
      <c r="AO23">
        <v>0</v>
      </c>
      <c r="AP23">
        <v>-86.979800800678234</v>
      </c>
      <c r="AQ23">
        <v>43.833750000000002</v>
      </c>
      <c r="AR23">
        <v>56.863742648834233</v>
      </c>
      <c r="AS23">
        <v>79.640655510273348</v>
      </c>
      <c r="AT23">
        <v>4.9533453352082386</v>
      </c>
      <c r="AU23">
        <v>-320.85232866181423</v>
      </c>
      <c r="AV23">
        <v>0</v>
      </c>
      <c r="AW23">
        <v>-430.04152749124847</v>
      </c>
      <c r="AX23">
        <v>31.46</v>
      </c>
      <c r="AY23">
        <v>3.8895031874645749</v>
      </c>
      <c r="AZ23">
        <v>-267.19656450905688</v>
      </c>
      <c r="BA23">
        <v>56.863742648834233</v>
      </c>
      <c r="BC23" s="1">
        <f t="shared" si="48"/>
        <v>22.375</v>
      </c>
      <c r="BD23" s="2">
        <f t="shared" si="0"/>
        <v>3.814553342494944</v>
      </c>
      <c r="BE23" s="7">
        <f t="shared" si="1"/>
        <v>-187.17194640876201</v>
      </c>
      <c r="BF23" s="1">
        <f t="shared" si="2"/>
        <v>9.0850000000000009</v>
      </c>
      <c r="BG23" s="2">
        <f t="shared" si="3"/>
        <v>1.432615579720522</v>
      </c>
      <c r="BH23" s="2">
        <f t="shared" si="67"/>
        <v>-65.507083150060652</v>
      </c>
      <c r="BI23" s="2">
        <f t="shared" si="67"/>
        <v>0</v>
      </c>
      <c r="BJ23" s="7">
        <f t="shared" si="67"/>
        <v>-86.979800800678234</v>
      </c>
      <c r="BK23" s="1">
        <f t="shared" si="68"/>
        <v>31.46</v>
      </c>
      <c r="BL23" s="2">
        <f t="shared" si="68"/>
        <v>5.247168922215466</v>
      </c>
      <c r="BM23" s="2">
        <f t="shared" si="6"/>
        <v>252.67902955882266</v>
      </c>
      <c r="BN23" s="2">
        <f t="shared" si="7"/>
        <v>0</v>
      </c>
      <c r="BO23" s="7">
        <f t="shared" si="8"/>
        <v>-86.979800800678234</v>
      </c>
      <c r="BP23" s="2"/>
      <c r="BQ23" s="1">
        <f t="shared" si="30"/>
        <v>31.46</v>
      </c>
      <c r="BR23" s="4" t="str">
        <f t="shared" ref="BR23" si="69">IF(ISNUMBER(SEARCH("Appui",E23)),0,"0")</f>
        <v>0</v>
      </c>
      <c r="BS23" s="2">
        <f t="shared" si="32"/>
        <v>31.46</v>
      </c>
      <c r="BT23" s="2">
        <f t="shared" si="33"/>
        <v>56.863742648834233</v>
      </c>
      <c r="BU23" s="21">
        <f t="shared" si="34"/>
        <v>1.8074934090538535</v>
      </c>
      <c r="BV23" s="21">
        <f t="shared" si="35"/>
        <v>94</v>
      </c>
      <c r="BW23" s="21">
        <f t="shared" si="36"/>
        <v>128.23021818342266</v>
      </c>
      <c r="BX23" s="21">
        <f t="shared" si="37"/>
        <v>1.3641512572704539</v>
      </c>
      <c r="BY23" s="1">
        <f t="shared" si="38"/>
        <v>43.833750000000002</v>
      </c>
      <c r="BZ23" s="4" t="str">
        <f t="shared" ref="BZ23" si="70">IF(ISNUMBER(SEARCH("Appui",M23)),0,"0")</f>
        <v>0</v>
      </c>
      <c r="CA23" s="2">
        <f t="shared" si="40"/>
        <v>43.833750000000002</v>
      </c>
      <c r="CB23" s="2">
        <f t="shared" si="41"/>
        <v>79.640655510273348</v>
      </c>
      <c r="CC23" s="21">
        <f t="shared" si="42"/>
        <v>1.8168798131639055</v>
      </c>
      <c r="CD23" s="2">
        <f t="shared" si="43"/>
        <v>130.6875</v>
      </c>
      <c r="CE23" s="2">
        <f t="shared" si="44"/>
        <v>172.96817821997143</v>
      </c>
      <c r="CF23" s="21">
        <f t="shared" si="45"/>
        <v>1.323525036594712</v>
      </c>
      <c r="CG23" s="10" t="str">
        <f t="shared" ref="CG23" si="71">IF(C21&lt;C23,"Rive",IF(C25&gt;C23,"Rive","Inter"))</f>
        <v>Rive</v>
      </c>
      <c r="CH23" s="21">
        <f t="shared" si="47"/>
        <v>0.98119726969620402</v>
      </c>
      <c r="CI23" s="51" t="s">
        <v>126</v>
      </c>
    </row>
    <row r="24" spans="1:88" x14ac:dyDescent="0.25">
      <c r="A24" t="str">
        <f t="shared" si="27"/>
        <v/>
      </c>
      <c r="B24" t="b">
        <f t="shared" si="28"/>
        <v>1</v>
      </c>
      <c r="C24">
        <f t="shared" si="29"/>
        <v>2</v>
      </c>
      <c r="D24" t="s">
        <v>50</v>
      </c>
      <c r="F24">
        <v>25</v>
      </c>
      <c r="G24" t="s">
        <v>46</v>
      </c>
      <c r="H24">
        <v>500</v>
      </c>
      <c r="I24">
        <v>220000</v>
      </c>
      <c r="J24">
        <v>1576</v>
      </c>
      <c r="K24">
        <v>1870</v>
      </c>
      <c r="L24">
        <v>1</v>
      </c>
      <c r="M24">
        <v>0.2</v>
      </c>
      <c r="N24">
        <v>2.2000000000000002</v>
      </c>
      <c r="O24">
        <v>1.0000000000000001E-5</v>
      </c>
      <c r="P24">
        <v>0.03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0.78043082983844214</v>
      </c>
      <c r="AS24">
        <v>0.78043082983844214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0.78043082983844214</v>
      </c>
      <c r="BC24" s="1">
        <f t="shared" si="48"/>
        <v>0</v>
      </c>
      <c r="BD24" s="2">
        <f t="shared" si="0"/>
        <v>0</v>
      </c>
      <c r="BE24" s="7">
        <f t="shared" si="1"/>
        <v>0</v>
      </c>
      <c r="BF24" s="1">
        <f t="shared" si="2"/>
        <v>0</v>
      </c>
      <c r="BG24" s="2">
        <f t="shared" si="3"/>
        <v>0</v>
      </c>
      <c r="BH24" s="2">
        <f t="shared" si="67"/>
        <v>0</v>
      </c>
      <c r="BI24" s="2">
        <f t="shared" si="67"/>
        <v>0</v>
      </c>
      <c r="BJ24" s="7">
        <f t="shared" si="67"/>
        <v>0</v>
      </c>
      <c r="BK24" s="1">
        <f t="shared" si="68"/>
        <v>0</v>
      </c>
      <c r="BL24" s="2">
        <f t="shared" si="68"/>
        <v>0</v>
      </c>
      <c r="BM24" s="2">
        <f t="shared" si="6"/>
        <v>0</v>
      </c>
      <c r="BN24" s="2">
        <f t="shared" si="7"/>
        <v>0</v>
      </c>
      <c r="BO24" s="7">
        <f t="shared" si="8"/>
        <v>0</v>
      </c>
      <c r="BP24" s="2"/>
      <c r="BQ24" s="1">
        <f t="shared" si="30"/>
        <v>0</v>
      </c>
      <c r="BR24" s="4">
        <v>0</v>
      </c>
      <c r="BS24" s="2">
        <f t="shared" si="32"/>
        <v>0</v>
      </c>
      <c r="BT24" s="2">
        <f t="shared" si="33"/>
        <v>0.78043082983844214</v>
      </c>
      <c r="BU24" s="21">
        <f t="shared" si="34"/>
        <v>1</v>
      </c>
      <c r="BV24" s="21" t="str">
        <f t="shared" si="35"/>
        <v/>
      </c>
      <c r="BW24" s="21" t="str">
        <f t="shared" si="36"/>
        <v/>
      </c>
      <c r="BX24" s="21" t="str">
        <f t="shared" si="37"/>
        <v/>
      </c>
      <c r="BY24" s="1">
        <f t="shared" si="38"/>
        <v>0</v>
      </c>
      <c r="BZ24" s="4">
        <v>0</v>
      </c>
      <c r="CA24" s="2">
        <f t="shared" si="40"/>
        <v>0</v>
      </c>
      <c r="CB24" s="2">
        <f t="shared" si="41"/>
        <v>0.78043082983844214</v>
      </c>
      <c r="CC24" s="21">
        <f t="shared" si="42"/>
        <v>1</v>
      </c>
      <c r="CD24" s="2" t="str">
        <f t="shared" si="43"/>
        <v/>
      </c>
      <c r="CE24" s="2" t="str">
        <f t="shared" si="44"/>
        <v/>
      </c>
      <c r="CF24" s="21" t="str">
        <f t="shared" si="45"/>
        <v/>
      </c>
      <c r="CG24" s="15"/>
      <c r="CH24" s="21" t="str">
        <f t="shared" si="47"/>
        <v/>
      </c>
    </row>
    <row r="25" spans="1:88" x14ac:dyDescent="0.25">
      <c r="A25" t="str">
        <f t="shared" si="27"/>
        <v>Travée</v>
      </c>
      <c r="B25" t="b">
        <f t="shared" si="28"/>
        <v>0</v>
      </c>
      <c r="C25">
        <f t="shared" si="29"/>
        <v>3</v>
      </c>
      <c r="D25" t="s">
        <v>58</v>
      </c>
      <c r="E25" t="s">
        <v>45</v>
      </c>
      <c r="F25">
        <v>25</v>
      </c>
      <c r="G25" t="s">
        <v>46</v>
      </c>
      <c r="H25">
        <v>500</v>
      </c>
      <c r="I25">
        <v>220000</v>
      </c>
      <c r="J25">
        <v>1576</v>
      </c>
      <c r="K25">
        <v>1870</v>
      </c>
      <c r="L25">
        <v>1</v>
      </c>
      <c r="M25">
        <v>0.26</v>
      </c>
      <c r="N25">
        <v>2.2000000000000002</v>
      </c>
      <c r="O25">
        <v>5.6539999999999997E-4</v>
      </c>
      <c r="P25">
        <v>0.04</v>
      </c>
      <c r="Q25">
        <v>1</v>
      </c>
      <c r="R25">
        <v>0</v>
      </c>
      <c r="S25">
        <v>0</v>
      </c>
      <c r="T25">
        <v>1</v>
      </c>
      <c r="U25">
        <v>2.9099999999999999E-5</v>
      </c>
      <c r="V25">
        <v>0</v>
      </c>
      <c r="W25">
        <v>2</v>
      </c>
      <c r="X25">
        <v>20.399999999999999</v>
      </c>
      <c r="Y25">
        <v>10</v>
      </c>
      <c r="Z25">
        <v>0</v>
      </c>
      <c r="AA25">
        <v>20.399999999999999</v>
      </c>
      <c r="AB25">
        <v>10</v>
      </c>
      <c r="AC25">
        <v>0.5</v>
      </c>
      <c r="AD25">
        <v>10.199999999999999</v>
      </c>
      <c r="AE25">
        <v>20.2</v>
      </c>
      <c r="AF25">
        <v>42.54</v>
      </c>
      <c r="AH25">
        <v>30.4</v>
      </c>
      <c r="AI25">
        <v>10.199999999999999</v>
      </c>
      <c r="AJ25">
        <v>20.2</v>
      </c>
      <c r="AK25">
        <v>1.738924875684847</v>
      </c>
      <c r="AL25">
        <v>3.1853422906279079</v>
      </c>
      <c r="AM25">
        <v>-85.325311882430071</v>
      </c>
      <c r="AN25">
        <v>-145.65141217735001</v>
      </c>
      <c r="AO25">
        <v>0</v>
      </c>
      <c r="AP25">
        <v>-193.39482401471659</v>
      </c>
      <c r="AQ25">
        <v>42.54</v>
      </c>
      <c r="AR25">
        <v>56.863742648834233</v>
      </c>
      <c r="AS25">
        <v>79.640655510273348</v>
      </c>
      <c r="AT25">
        <v>4.8149741146045866</v>
      </c>
      <c r="AU25">
        <v>-311.36368225804023</v>
      </c>
      <c r="AV25">
        <v>0</v>
      </c>
      <c r="AW25">
        <v>-417.31131689520021</v>
      </c>
      <c r="AX25">
        <v>30.4</v>
      </c>
      <c r="AY25">
        <v>3.7638380798423259</v>
      </c>
      <c r="AZ25">
        <v>-258.17825868298411</v>
      </c>
      <c r="BA25">
        <v>56.863742648834233</v>
      </c>
      <c r="BC25" s="1">
        <f t="shared" si="48"/>
        <v>10.199999999999999</v>
      </c>
      <c r="BD25" s="2">
        <f t="shared" si="0"/>
        <v>1.738924875684847</v>
      </c>
      <c r="BE25" s="7">
        <f t="shared" si="1"/>
        <v>-85.325311882430071</v>
      </c>
      <c r="BF25" s="1">
        <f t="shared" si="2"/>
        <v>20.2</v>
      </c>
      <c r="BG25" s="2">
        <f t="shared" si="3"/>
        <v>3.1853422906279079</v>
      </c>
      <c r="BH25" s="2">
        <f t="shared" si="67"/>
        <v>-145.65141217735001</v>
      </c>
      <c r="BI25" s="2">
        <f t="shared" si="67"/>
        <v>0</v>
      </c>
      <c r="BJ25" s="7">
        <f t="shared" si="67"/>
        <v>-193.39482401471659</v>
      </c>
      <c r="BK25" s="1">
        <f t="shared" si="68"/>
        <v>30.4</v>
      </c>
      <c r="BL25" s="2">
        <f t="shared" si="68"/>
        <v>4.9242671663127551</v>
      </c>
      <c r="BM25" s="2">
        <f t="shared" si="6"/>
        <v>230.97672405978008</v>
      </c>
      <c r="BN25" s="2">
        <f t="shared" si="7"/>
        <v>0</v>
      </c>
      <c r="BO25" s="7">
        <f t="shared" si="8"/>
        <v>-193.39482401471659</v>
      </c>
      <c r="BP25" s="2"/>
      <c r="BQ25" s="1">
        <f t="shared" si="30"/>
        <v>30.4</v>
      </c>
      <c r="BR25" s="4" t="str">
        <f t="shared" ref="BR25" si="72">IF(ISNUMBER(SEARCH("Appui",E25)),0,"0")</f>
        <v>0</v>
      </c>
      <c r="BS25" s="2">
        <f t="shared" si="32"/>
        <v>30.4</v>
      </c>
      <c r="BT25" s="2">
        <f t="shared" si="33"/>
        <v>56.863742648834233</v>
      </c>
      <c r="BU25" s="21">
        <f t="shared" si="34"/>
        <v>1.8705178502905999</v>
      </c>
      <c r="BV25" s="21">
        <f t="shared" si="35"/>
        <v>95.65</v>
      </c>
      <c r="BW25" s="21">
        <f t="shared" si="36"/>
        <v>134.85903797882628</v>
      </c>
      <c r="BX25" s="21">
        <f t="shared" si="37"/>
        <v>1.4099219861874153</v>
      </c>
      <c r="BY25" s="1">
        <f t="shared" si="38"/>
        <v>42.54</v>
      </c>
      <c r="BZ25" s="4" t="str">
        <f t="shared" ref="BZ25" si="73">IF(ISNUMBER(SEARCH("Appui",M25)),0,"0")</f>
        <v>0</v>
      </c>
      <c r="CA25" s="2">
        <f t="shared" si="40"/>
        <v>42.54</v>
      </c>
      <c r="CB25" s="2">
        <f t="shared" si="41"/>
        <v>79.640655510273348</v>
      </c>
      <c r="CC25" s="21">
        <f t="shared" si="42"/>
        <v>1.8721357665790632</v>
      </c>
      <c r="CD25" s="2">
        <f t="shared" si="43"/>
        <v>133.10249999999999</v>
      </c>
      <c r="CE25" s="2">
        <f t="shared" si="44"/>
        <v>157.63595084026539</v>
      </c>
      <c r="CF25" s="21">
        <f t="shared" si="45"/>
        <v>1.1843199852765005</v>
      </c>
      <c r="CG25" s="10" t="str">
        <f t="shared" ref="CG25" si="74">IF(C23&lt;C25,"Rive",IF(C27&gt;C25,"Rive","Inter"))</f>
        <v>Rive</v>
      </c>
      <c r="CH25" s="21">
        <f t="shared" si="47"/>
        <v>1.013196881943061</v>
      </c>
      <c r="CI25" s="51" t="s">
        <v>126</v>
      </c>
    </row>
    <row r="26" spans="1:88" x14ac:dyDescent="0.25">
      <c r="A26" t="str">
        <f t="shared" si="27"/>
        <v>Appui</v>
      </c>
      <c r="B26" t="b">
        <f t="shared" si="28"/>
        <v>0</v>
      </c>
      <c r="C26">
        <f t="shared" si="29"/>
        <v>3</v>
      </c>
      <c r="D26" t="s">
        <v>58</v>
      </c>
      <c r="E26" t="s">
        <v>47</v>
      </c>
      <c r="F26">
        <v>25</v>
      </c>
      <c r="G26" t="s">
        <v>46</v>
      </c>
      <c r="H26">
        <v>500</v>
      </c>
      <c r="I26">
        <v>220000</v>
      </c>
      <c r="J26">
        <v>1576</v>
      </c>
      <c r="K26">
        <v>1870</v>
      </c>
      <c r="L26">
        <v>1</v>
      </c>
      <c r="M26">
        <v>0.25</v>
      </c>
      <c r="N26">
        <v>2.2000000000000002</v>
      </c>
      <c r="O26">
        <v>1.1286E-3</v>
      </c>
      <c r="P26">
        <v>6.9999999999999993E-2</v>
      </c>
      <c r="Q26">
        <v>1</v>
      </c>
      <c r="R26">
        <v>2.0106192982974669E-4</v>
      </c>
      <c r="S26">
        <v>0.04</v>
      </c>
      <c r="T26">
        <v>4</v>
      </c>
      <c r="U26">
        <v>0</v>
      </c>
      <c r="V26">
        <v>0</v>
      </c>
      <c r="W26">
        <v>0</v>
      </c>
      <c r="X26">
        <v>97.5</v>
      </c>
      <c r="Y26">
        <v>33</v>
      </c>
      <c r="Z26">
        <v>0</v>
      </c>
      <c r="AA26">
        <v>97.5</v>
      </c>
      <c r="AB26">
        <v>33</v>
      </c>
      <c r="AC26">
        <v>0.5</v>
      </c>
      <c r="AD26">
        <v>48.75</v>
      </c>
      <c r="AE26">
        <v>81.75</v>
      </c>
      <c r="AF26">
        <v>181.125</v>
      </c>
      <c r="AH26">
        <v>130.5</v>
      </c>
      <c r="AI26">
        <v>48.75</v>
      </c>
      <c r="AJ26">
        <v>81.75</v>
      </c>
      <c r="AK26">
        <v>8.3994635850638986</v>
      </c>
      <c r="AL26">
        <v>10.03950354054947</v>
      </c>
      <c r="AM26">
        <v>-254.82471826380109</v>
      </c>
      <c r="AN26">
        <v>-215.42563069925549</v>
      </c>
      <c r="AO26">
        <v>-261.96188171709957</v>
      </c>
      <c r="AP26">
        <v>0</v>
      </c>
      <c r="AQ26">
        <v>181.125</v>
      </c>
      <c r="AR26">
        <v>89.006595086179289</v>
      </c>
      <c r="AS26">
        <v>155.99059065998409</v>
      </c>
      <c r="AT26">
        <v>0</v>
      </c>
      <c r="AU26">
        <v>0</v>
      </c>
      <c r="AV26">
        <v>0</v>
      </c>
      <c r="AW26">
        <v>0</v>
      </c>
      <c r="AX26">
        <v>130.5</v>
      </c>
      <c r="AY26">
        <v>10.94645919856961</v>
      </c>
      <c r="AZ26">
        <v>-354.24684836628529</v>
      </c>
      <c r="BA26">
        <v>155.99059065998409</v>
      </c>
      <c r="BC26" s="1">
        <f t="shared" si="48"/>
        <v>48.75</v>
      </c>
      <c r="BD26" s="2">
        <f t="shared" si="0"/>
        <v>8.3994635850638986</v>
      </c>
      <c r="BE26" s="7">
        <f t="shared" si="1"/>
        <v>-254.82471826380109</v>
      </c>
      <c r="BF26" s="1">
        <f t="shared" si="2"/>
        <v>81.75</v>
      </c>
      <c r="BG26" s="2">
        <f t="shared" si="3"/>
        <v>10.03950354054947</v>
      </c>
      <c r="BH26" s="2">
        <f t="shared" si="67"/>
        <v>-215.42563069925549</v>
      </c>
      <c r="BI26" s="2">
        <f t="shared" si="67"/>
        <v>-261.96188171709957</v>
      </c>
      <c r="BJ26" s="7">
        <f t="shared" si="67"/>
        <v>0</v>
      </c>
      <c r="BK26" s="1">
        <f t="shared" si="68"/>
        <v>130.5</v>
      </c>
      <c r="BL26" s="2">
        <f t="shared" si="68"/>
        <v>18.438967125613367</v>
      </c>
      <c r="BM26" s="2">
        <f t="shared" si="6"/>
        <v>470.25034896305658</v>
      </c>
      <c r="BN26" s="2">
        <f t="shared" si="7"/>
        <v>261.96188171709957</v>
      </c>
      <c r="BO26" s="7">
        <f t="shared" si="8"/>
        <v>0</v>
      </c>
      <c r="BP26" s="2"/>
      <c r="BQ26" s="1">
        <f t="shared" si="30"/>
        <v>130.5</v>
      </c>
      <c r="BR26" s="4">
        <v>0</v>
      </c>
      <c r="BS26" s="2">
        <f t="shared" si="32"/>
        <v>130.5</v>
      </c>
      <c r="BT26" s="2">
        <f t="shared" si="33"/>
        <v>155.99059065998409</v>
      </c>
      <c r="BU26" s="21">
        <f t="shared" si="34"/>
        <v>1.1953301966282306</v>
      </c>
      <c r="BV26" s="21" t="str">
        <f t="shared" si="35"/>
        <v/>
      </c>
      <c r="BW26" s="21" t="str">
        <f t="shared" si="36"/>
        <v/>
      </c>
      <c r="BX26" s="21" t="str">
        <f t="shared" si="37"/>
        <v/>
      </c>
      <c r="BY26" s="1">
        <f t="shared" si="38"/>
        <v>181.125</v>
      </c>
      <c r="BZ26" s="4">
        <v>0</v>
      </c>
      <c r="CA26" s="2">
        <f t="shared" si="40"/>
        <v>181.125</v>
      </c>
      <c r="CB26" s="2">
        <f t="shared" si="41"/>
        <v>155.99059065998409</v>
      </c>
      <c r="CC26" s="21">
        <f t="shared" si="42"/>
        <v>0.86123169446506054</v>
      </c>
      <c r="CD26" s="2" t="str">
        <f t="shared" si="43"/>
        <v/>
      </c>
      <c r="CE26" s="2" t="str">
        <f t="shared" si="44"/>
        <v/>
      </c>
      <c r="CF26" s="21" t="str">
        <f t="shared" si="45"/>
        <v/>
      </c>
      <c r="CG26" s="15"/>
      <c r="CH26" s="21" t="str">
        <f t="shared" si="47"/>
        <v/>
      </c>
      <c r="CI26" s="51" t="s">
        <v>126</v>
      </c>
    </row>
    <row r="27" spans="1:88" x14ac:dyDescent="0.25">
      <c r="A27" t="str">
        <f t="shared" si="27"/>
        <v>Travée</v>
      </c>
      <c r="B27" t="b">
        <f t="shared" si="28"/>
        <v>0</v>
      </c>
      <c r="C27">
        <f t="shared" si="29"/>
        <v>3</v>
      </c>
      <c r="D27" t="s">
        <v>58</v>
      </c>
      <c r="E27" t="s">
        <v>48</v>
      </c>
      <c r="F27">
        <v>25</v>
      </c>
      <c r="G27" t="s">
        <v>46</v>
      </c>
      <c r="H27">
        <v>500</v>
      </c>
      <c r="I27">
        <v>220000</v>
      </c>
      <c r="J27">
        <v>1576</v>
      </c>
      <c r="K27">
        <v>1870</v>
      </c>
      <c r="L27">
        <v>1</v>
      </c>
      <c r="M27">
        <v>0.23499999999999999</v>
      </c>
      <c r="N27">
        <v>2.2000000000000002</v>
      </c>
      <c r="O27">
        <v>1.1286E-3</v>
      </c>
      <c r="P27">
        <v>0.04</v>
      </c>
      <c r="Q27">
        <v>1</v>
      </c>
      <c r="R27">
        <v>0</v>
      </c>
      <c r="S27">
        <v>0</v>
      </c>
      <c r="T27">
        <v>1</v>
      </c>
      <c r="U27">
        <v>2.9099999999999999E-5</v>
      </c>
      <c r="V27">
        <v>0</v>
      </c>
      <c r="W27">
        <v>4</v>
      </c>
      <c r="X27">
        <v>43.2</v>
      </c>
      <c r="Y27">
        <v>16</v>
      </c>
      <c r="Z27">
        <v>0</v>
      </c>
      <c r="AA27">
        <v>50.95</v>
      </c>
      <c r="AB27">
        <v>18.95</v>
      </c>
      <c r="AC27">
        <v>0.5</v>
      </c>
      <c r="AD27">
        <v>25.475000000000001</v>
      </c>
      <c r="AE27">
        <v>44.424999999999997</v>
      </c>
      <c r="AF27">
        <v>97.20750000000001</v>
      </c>
      <c r="AH27">
        <v>69.900000000000006</v>
      </c>
      <c r="AI27">
        <v>25.475000000000001</v>
      </c>
      <c r="AJ27">
        <v>44.424999999999997</v>
      </c>
      <c r="AK27">
        <v>3.876424205439474</v>
      </c>
      <c r="AL27">
        <v>6.2060832596489339</v>
      </c>
      <c r="AM27">
        <v>-122.6000482980193</v>
      </c>
      <c r="AN27">
        <v>-183.06649849858741</v>
      </c>
      <c r="AO27">
        <v>0</v>
      </c>
      <c r="AP27">
        <v>-251.5783869552609</v>
      </c>
      <c r="AQ27">
        <v>97.20750000000001</v>
      </c>
      <c r="AR27">
        <v>97.153517082319865</v>
      </c>
      <c r="AS27">
        <v>138.56175800562889</v>
      </c>
      <c r="AT27">
        <v>9.3556508293443752</v>
      </c>
      <c r="AU27">
        <v>-410.38445643330363</v>
      </c>
      <c r="AV27">
        <v>0</v>
      </c>
      <c r="AW27">
        <v>-574.50072187048818</v>
      </c>
      <c r="AX27">
        <v>69.900000000000006</v>
      </c>
      <c r="AY27">
        <v>7.4988472573512768</v>
      </c>
      <c r="AZ27">
        <v>-344.90432555979328</v>
      </c>
      <c r="BA27">
        <v>97.153517082319865</v>
      </c>
      <c r="BC27" s="1">
        <f t="shared" si="48"/>
        <v>25.475000000000001</v>
      </c>
      <c r="BD27" s="2">
        <f t="shared" si="0"/>
        <v>3.876424205439474</v>
      </c>
      <c r="BE27" s="7">
        <f t="shared" si="1"/>
        <v>-122.6000482980193</v>
      </c>
      <c r="BF27" s="1">
        <f t="shared" si="2"/>
        <v>44.424999999999997</v>
      </c>
      <c r="BG27" s="2">
        <f t="shared" si="3"/>
        <v>6.2060832596489339</v>
      </c>
      <c r="BH27" s="2">
        <f t="shared" si="67"/>
        <v>-183.06649849858741</v>
      </c>
      <c r="BI27" s="2">
        <f t="shared" si="67"/>
        <v>0</v>
      </c>
      <c r="BJ27" s="7">
        <f t="shared" si="67"/>
        <v>-251.5783869552609</v>
      </c>
      <c r="BK27" s="1">
        <f t="shared" si="68"/>
        <v>69.900000000000006</v>
      </c>
      <c r="BL27" s="2">
        <f t="shared" si="68"/>
        <v>10.082507465088408</v>
      </c>
      <c r="BM27" s="2">
        <f t="shared" si="6"/>
        <v>305.66654679660672</v>
      </c>
      <c r="BN27" s="2">
        <f t="shared" si="7"/>
        <v>0</v>
      </c>
      <c r="BO27" s="7">
        <f t="shared" si="8"/>
        <v>-251.5783869552609</v>
      </c>
      <c r="BP27" s="2"/>
      <c r="BQ27" s="1">
        <f t="shared" si="30"/>
        <v>69.900000000000006</v>
      </c>
      <c r="BR27" s="4" t="str">
        <f t="shared" ref="BR27" si="75">IF(ISNUMBER(SEARCH("Appui",E27)),0,"0")</f>
        <v>0</v>
      </c>
      <c r="BS27" s="2">
        <f t="shared" si="32"/>
        <v>69.900000000000006</v>
      </c>
      <c r="BT27" s="2">
        <f t="shared" si="33"/>
        <v>97.153517082319865</v>
      </c>
      <c r="BU27" s="21">
        <f t="shared" si="34"/>
        <v>1.3898929482449194</v>
      </c>
      <c r="BV27" s="21">
        <f t="shared" si="35"/>
        <v>177.95</v>
      </c>
      <c r="BW27" s="21">
        <f t="shared" si="36"/>
        <v>205.56910216885814</v>
      </c>
      <c r="BX27" s="21">
        <f t="shared" si="37"/>
        <v>1.1552070928286493</v>
      </c>
      <c r="BY27" s="1">
        <f t="shared" si="38"/>
        <v>97.20750000000001</v>
      </c>
      <c r="BZ27" s="4" t="str">
        <f t="shared" ref="BZ27" si="76">IF(ISNUMBER(SEARCH("Appui",M27)),0,"0")</f>
        <v>0</v>
      </c>
      <c r="CA27" s="2">
        <f t="shared" si="40"/>
        <v>97.20750000000001</v>
      </c>
      <c r="CB27" s="2">
        <f t="shared" si="41"/>
        <v>138.56175800562889</v>
      </c>
      <c r="CC27" s="21">
        <f t="shared" si="42"/>
        <v>1.4254225034655645</v>
      </c>
      <c r="CD27" s="2">
        <f t="shared" si="43"/>
        <v>247.32000000000002</v>
      </c>
      <c r="CE27" s="2">
        <f t="shared" si="44"/>
        <v>309.95582574648563</v>
      </c>
      <c r="CF27" s="21">
        <f t="shared" si="45"/>
        <v>1.2532582312246709</v>
      </c>
      <c r="CG27" s="10" t="str">
        <f t="shared" ref="CG27" si="77">IF(C25&lt;C27,"Rive",IF(C29&gt;C27,"Rive","Inter"))</f>
        <v>Inter</v>
      </c>
      <c r="CH27" s="21">
        <f t="shared" si="47"/>
        <v>0.83118673042559488</v>
      </c>
      <c r="CI27" s="51" t="s">
        <v>126</v>
      </c>
    </row>
    <row r="28" spans="1:88" x14ac:dyDescent="0.25">
      <c r="A28" t="str">
        <f t="shared" si="27"/>
        <v>Appui</v>
      </c>
      <c r="B28" t="b">
        <f t="shared" si="28"/>
        <v>0</v>
      </c>
      <c r="C28">
        <f t="shared" si="29"/>
        <v>3</v>
      </c>
      <c r="D28" t="s">
        <v>58</v>
      </c>
      <c r="E28" t="s">
        <v>49</v>
      </c>
      <c r="F28">
        <v>25</v>
      </c>
      <c r="G28" t="s">
        <v>46</v>
      </c>
      <c r="H28">
        <v>500</v>
      </c>
      <c r="I28">
        <v>220000</v>
      </c>
      <c r="J28">
        <v>1576</v>
      </c>
      <c r="K28">
        <v>1870</v>
      </c>
      <c r="L28">
        <v>1</v>
      </c>
      <c r="M28">
        <v>0.22</v>
      </c>
      <c r="N28">
        <v>2.2000000000000002</v>
      </c>
      <c r="O28">
        <v>1.0482E-3</v>
      </c>
      <c r="P28">
        <v>8.4999999999999992E-2</v>
      </c>
      <c r="Q28">
        <v>1</v>
      </c>
      <c r="R28">
        <v>0</v>
      </c>
      <c r="S28">
        <v>0</v>
      </c>
      <c r="T28">
        <v>1</v>
      </c>
      <c r="U28">
        <v>2.9099999999999999E-5</v>
      </c>
      <c r="V28">
        <v>0</v>
      </c>
      <c r="W28">
        <v>12</v>
      </c>
      <c r="X28">
        <v>77.5</v>
      </c>
      <c r="Y28">
        <v>29.5</v>
      </c>
      <c r="Z28">
        <v>-0.2</v>
      </c>
      <c r="AA28">
        <v>62</v>
      </c>
      <c r="AB28">
        <v>23.6</v>
      </c>
      <c r="AC28">
        <v>0.25</v>
      </c>
      <c r="AD28">
        <v>46.5</v>
      </c>
      <c r="AE28">
        <v>39.1</v>
      </c>
      <c r="AF28">
        <v>119.1</v>
      </c>
      <c r="AH28">
        <v>85.6</v>
      </c>
      <c r="AI28">
        <v>46.5</v>
      </c>
      <c r="AJ28">
        <v>39.1</v>
      </c>
      <c r="AK28">
        <v>13.019889389608419</v>
      </c>
      <c r="AL28">
        <v>6.9860500544744779</v>
      </c>
      <c r="AM28">
        <v>-351.30043574225402</v>
      </c>
      <c r="AN28">
        <v>-141.11457474718301</v>
      </c>
      <c r="AO28">
        <v>0</v>
      </c>
      <c r="AP28">
        <v>-283.70510399087323</v>
      </c>
      <c r="AQ28">
        <v>119.1</v>
      </c>
      <c r="AR28">
        <v>60.840579513092472</v>
      </c>
      <c r="AS28">
        <v>186.79754482172939</v>
      </c>
      <c r="AT28">
        <v>13.4376987560548</v>
      </c>
      <c r="AU28">
        <v>-429.16324950657332</v>
      </c>
      <c r="AV28">
        <v>0</v>
      </c>
      <c r="AW28">
        <v>-924.41214262552512</v>
      </c>
      <c r="AX28">
        <v>85.6</v>
      </c>
      <c r="AY28">
        <v>0</v>
      </c>
      <c r="AZ28">
        <v>0</v>
      </c>
      <c r="BA28">
        <v>60.840579513092472</v>
      </c>
      <c r="BC28" s="1">
        <f t="shared" si="48"/>
        <v>46.5</v>
      </c>
      <c r="BD28" s="2">
        <f t="shared" si="0"/>
        <v>13.019889389608419</v>
      </c>
      <c r="BE28" s="7">
        <f t="shared" si="1"/>
        <v>-351.30043574225402</v>
      </c>
      <c r="BF28" s="1">
        <f t="shared" si="2"/>
        <v>39.1</v>
      </c>
      <c r="BG28" s="2">
        <f t="shared" si="3"/>
        <v>6.9860500544744779</v>
      </c>
      <c r="BH28" s="2">
        <f t="shared" si="67"/>
        <v>-141.11457474718301</v>
      </c>
      <c r="BI28" s="2">
        <f t="shared" si="67"/>
        <v>0</v>
      </c>
      <c r="BJ28" s="7">
        <f t="shared" si="67"/>
        <v>-283.70510399087323</v>
      </c>
      <c r="BK28" s="1">
        <f t="shared" si="68"/>
        <v>85.6</v>
      </c>
      <c r="BL28" s="2">
        <f t="shared" si="68"/>
        <v>20.005939444082898</v>
      </c>
      <c r="BM28" s="2">
        <f t="shared" si="6"/>
        <v>492.41501048943701</v>
      </c>
      <c r="BN28" s="2">
        <f t="shared" si="7"/>
        <v>0</v>
      </c>
      <c r="BO28" s="7">
        <f t="shared" si="8"/>
        <v>-283.70510399087323</v>
      </c>
      <c r="BP28" s="2"/>
      <c r="BQ28" s="1">
        <f t="shared" si="30"/>
        <v>85.6</v>
      </c>
      <c r="BR28" s="4">
        <v>0</v>
      </c>
      <c r="BS28" s="2">
        <f t="shared" si="32"/>
        <v>85.6</v>
      </c>
      <c r="BT28" s="2">
        <f t="shared" si="33"/>
        <v>60.840579513092472</v>
      </c>
      <c r="BU28" s="21">
        <f t="shared" si="34"/>
        <v>0.71075443356416446</v>
      </c>
      <c r="BV28" s="21" t="str">
        <f t="shared" si="35"/>
        <v/>
      </c>
      <c r="BW28" s="21" t="str">
        <f t="shared" si="36"/>
        <v/>
      </c>
      <c r="BX28" s="21" t="str">
        <f t="shared" si="37"/>
        <v/>
      </c>
      <c r="BY28" s="1">
        <f t="shared" si="38"/>
        <v>119.1</v>
      </c>
      <c r="BZ28" s="4">
        <v>0</v>
      </c>
      <c r="CA28" s="2">
        <f t="shared" si="40"/>
        <v>119.1</v>
      </c>
      <c r="CB28" s="2">
        <f t="shared" si="41"/>
        <v>186.79754482172939</v>
      </c>
      <c r="CC28" s="21">
        <f t="shared" si="42"/>
        <v>1.5684092764209017</v>
      </c>
      <c r="CD28" s="2" t="str">
        <f t="shared" si="43"/>
        <v/>
      </c>
      <c r="CE28" s="2" t="str">
        <f t="shared" si="44"/>
        <v/>
      </c>
      <c r="CF28" s="21" t="str">
        <f t="shared" si="45"/>
        <v/>
      </c>
      <c r="CG28" s="15"/>
      <c r="CH28" s="21" t="str">
        <f t="shared" si="47"/>
        <v/>
      </c>
      <c r="CI28" s="51" t="s">
        <v>126</v>
      </c>
    </row>
    <row r="29" spans="1:88" x14ac:dyDescent="0.25">
      <c r="A29" t="str">
        <f t="shared" si="27"/>
        <v>Travée</v>
      </c>
      <c r="B29" t="b">
        <f t="shared" si="28"/>
        <v>0</v>
      </c>
      <c r="C29">
        <f t="shared" si="29"/>
        <v>3</v>
      </c>
      <c r="D29" t="s">
        <v>58</v>
      </c>
      <c r="E29" t="s">
        <v>51</v>
      </c>
      <c r="F29">
        <v>25</v>
      </c>
      <c r="G29" t="s">
        <v>46</v>
      </c>
      <c r="H29">
        <v>500</v>
      </c>
      <c r="I29">
        <v>220000</v>
      </c>
      <c r="J29">
        <v>1576</v>
      </c>
      <c r="K29">
        <v>1870</v>
      </c>
      <c r="L29">
        <v>1</v>
      </c>
      <c r="M29">
        <v>0.23499999999999999</v>
      </c>
      <c r="N29">
        <v>2.2000000000000002</v>
      </c>
      <c r="O29">
        <v>2.8160000000000001E-4</v>
      </c>
      <c r="P29">
        <v>0.04</v>
      </c>
      <c r="Q29">
        <v>1</v>
      </c>
      <c r="R29">
        <v>0</v>
      </c>
      <c r="S29">
        <v>0</v>
      </c>
      <c r="T29">
        <v>1</v>
      </c>
      <c r="U29">
        <v>2.9099999999999999E-5</v>
      </c>
      <c r="V29">
        <v>0</v>
      </c>
      <c r="W29">
        <v>2</v>
      </c>
      <c r="X29">
        <v>3</v>
      </c>
      <c r="Y29">
        <v>6.5</v>
      </c>
      <c r="Z29">
        <v>0</v>
      </c>
      <c r="AA29">
        <v>10.75</v>
      </c>
      <c r="AB29">
        <v>9.4499999999999993</v>
      </c>
      <c r="AC29">
        <v>0</v>
      </c>
      <c r="AD29">
        <v>10.75</v>
      </c>
      <c r="AE29">
        <v>9.4499999999999993</v>
      </c>
      <c r="AF29">
        <v>28.6875</v>
      </c>
      <c r="AH29">
        <v>20.2</v>
      </c>
      <c r="AI29">
        <v>10.75</v>
      </c>
      <c r="AJ29">
        <v>9.4499999999999993</v>
      </c>
      <c r="AK29">
        <v>3.060345689331593</v>
      </c>
      <c r="AL29">
        <v>2.2804578382710421</v>
      </c>
      <c r="AM29">
        <v>-201.738985290823</v>
      </c>
      <c r="AN29">
        <v>-133.08446796350231</v>
      </c>
      <c r="AO29">
        <v>0</v>
      </c>
      <c r="AP29">
        <v>-179.69182022314459</v>
      </c>
      <c r="AQ29">
        <v>28.6875</v>
      </c>
      <c r="AR29">
        <v>25.257071304347789</v>
      </c>
      <c r="AS29">
        <v>48.057510310385567</v>
      </c>
      <c r="AT29">
        <v>4.9234726962169262</v>
      </c>
      <c r="AU29">
        <v>-408.28854614257023</v>
      </c>
      <c r="AV29">
        <v>0</v>
      </c>
      <c r="AW29">
        <v>-555.73926535739895</v>
      </c>
      <c r="AX29">
        <v>20.2</v>
      </c>
      <c r="AY29">
        <v>4.0962126930535154</v>
      </c>
      <c r="AZ29">
        <v>-383.69467964188362</v>
      </c>
      <c r="BA29">
        <v>25.257071304347789</v>
      </c>
      <c r="BC29" s="1">
        <f t="shared" si="48"/>
        <v>10.75</v>
      </c>
      <c r="BD29" s="2">
        <f t="shared" si="0"/>
        <v>3.060345689331593</v>
      </c>
      <c r="BE29" s="7">
        <f t="shared" si="1"/>
        <v>-201.738985290823</v>
      </c>
      <c r="BF29" s="1">
        <f t="shared" si="2"/>
        <v>9.4499999999999993</v>
      </c>
      <c r="BG29" s="2">
        <f t="shared" si="3"/>
        <v>2.2804578382710421</v>
      </c>
      <c r="BH29" s="2">
        <f t="shared" si="67"/>
        <v>-133.08446796350231</v>
      </c>
      <c r="BI29" s="2">
        <f t="shared" si="67"/>
        <v>0</v>
      </c>
      <c r="BJ29" s="7">
        <f t="shared" si="67"/>
        <v>-179.69182022314459</v>
      </c>
      <c r="BK29" s="1">
        <f t="shared" si="68"/>
        <v>20.2</v>
      </c>
      <c r="BL29" s="2">
        <f t="shared" si="68"/>
        <v>5.3408035276026347</v>
      </c>
      <c r="BM29" s="2">
        <f t="shared" si="6"/>
        <v>334.82345325432527</v>
      </c>
      <c r="BN29" s="2">
        <f t="shared" si="7"/>
        <v>0</v>
      </c>
      <c r="BO29" s="7">
        <f t="shared" si="8"/>
        <v>-179.69182022314459</v>
      </c>
      <c r="BP29" s="2"/>
      <c r="BQ29" s="1">
        <f t="shared" si="30"/>
        <v>20.2</v>
      </c>
      <c r="BR29" s="4" t="str">
        <f t="shared" ref="BR29" si="78">IF(ISNUMBER(SEARCH("Appui",E29)),0,"0")</f>
        <v>0</v>
      </c>
      <c r="BS29" s="2">
        <f t="shared" si="32"/>
        <v>20.2</v>
      </c>
      <c r="BT29" s="2">
        <f t="shared" si="33"/>
        <v>25.257071304347789</v>
      </c>
      <c r="BU29" s="21">
        <f t="shared" si="34"/>
        <v>1.2503500645716727</v>
      </c>
      <c r="BV29" s="21">
        <f t="shared" si="35"/>
        <v>77</v>
      </c>
      <c r="BW29" s="21">
        <f t="shared" si="36"/>
        <v>93.278574254791863</v>
      </c>
      <c r="BX29" s="21">
        <f t="shared" si="37"/>
        <v>1.2114100552570373</v>
      </c>
      <c r="BY29" s="1">
        <f t="shared" si="38"/>
        <v>28.6875</v>
      </c>
      <c r="BZ29" s="4" t="str">
        <f t="shared" ref="BZ29" si="79">IF(ISNUMBER(SEARCH("Appui",M29)),0,"0")</f>
        <v>0</v>
      </c>
      <c r="CA29" s="2">
        <f t="shared" si="40"/>
        <v>28.6875</v>
      </c>
      <c r="CB29" s="2">
        <f t="shared" si="41"/>
        <v>48.057510310385567</v>
      </c>
      <c r="CC29" s="21">
        <f t="shared" si="42"/>
        <v>1.6752073310809783</v>
      </c>
      <c r="CD29" s="2">
        <f t="shared" si="43"/>
        <v>108.1125</v>
      </c>
      <c r="CE29" s="2">
        <f t="shared" si="44"/>
        <v>250.97830408589201</v>
      </c>
      <c r="CF29" s="21">
        <f t="shared" si="45"/>
        <v>2.3214550036849766</v>
      </c>
      <c r="CG29" s="10" t="str">
        <f t="shared" ref="CG29" si="80">IF(C27&lt;C29,"Rive",IF(C31&gt;C29,"Rive","Inter"))</f>
        <v>Inter</v>
      </c>
      <c r="CH29" s="21">
        <f t="shared" si="47"/>
        <v>0.86279176094153653</v>
      </c>
      <c r="CI29" s="51" t="s">
        <v>126</v>
      </c>
    </row>
    <row r="30" spans="1:88" ht="14.1" customHeight="1" x14ac:dyDescent="0.25">
      <c r="A30" t="str">
        <f t="shared" si="27"/>
        <v>Appui</v>
      </c>
      <c r="B30" t="b">
        <f t="shared" si="28"/>
        <v>0</v>
      </c>
      <c r="C30">
        <f t="shared" si="29"/>
        <v>3</v>
      </c>
      <c r="D30" t="s">
        <v>58</v>
      </c>
      <c r="E30" t="s">
        <v>52</v>
      </c>
      <c r="F30">
        <v>25</v>
      </c>
      <c r="G30" t="s">
        <v>46</v>
      </c>
      <c r="H30">
        <v>500</v>
      </c>
      <c r="I30">
        <v>220000</v>
      </c>
      <c r="J30">
        <v>1576</v>
      </c>
      <c r="K30">
        <v>1870</v>
      </c>
      <c r="L30">
        <v>1</v>
      </c>
      <c r="M30">
        <v>0.25</v>
      </c>
      <c r="N30">
        <v>2.2000000000000002</v>
      </c>
      <c r="O30">
        <v>9.3510000000000012E-4</v>
      </c>
      <c r="P30">
        <v>6.9999999999999993E-2</v>
      </c>
      <c r="Q30">
        <v>1</v>
      </c>
      <c r="R30">
        <v>0</v>
      </c>
      <c r="S30">
        <v>0</v>
      </c>
      <c r="T30">
        <v>1</v>
      </c>
      <c r="U30">
        <v>2.9099999999999999E-5</v>
      </c>
      <c r="V30">
        <v>0</v>
      </c>
      <c r="W30">
        <v>12</v>
      </c>
      <c r="X30">
        <v>15</v>
      </c>
      <c r="Y30">
        <v>13</v>
      </c>
      <c r="Z30">
        <v>0</v>
      </c>
      <c r="AA30">
        <v>15</v>
      </c>
      <c r="AB30">
        <v>13</v>
      </c>
      <c r="AC30">
        <v>0</v>
      </c>
      <c r="AD30">
        <v>15</v>
      </c>
      <c r="AE30">
        <v>13</v>
      </c>
      <c r="AF30">
        <v>39.75</v>
      </c>
      <c r="AH30">
        <v>28</v>
      </c>
      <c r="AI30">
        <v>15</v>
      </c>
      <c r="AJ30">
        <v>13</v>
      </c>
      <c r="AK30">
        <v>2.8026671011340789</v>
      </c>
      <c r="AL30">
        <v>1.713344717894443</v>
      </c>
      <c r="AM30">
        <v>-94.16493757654078</v>
      </c>
      <c r="AN30">
        <v>-44.384504081524277</v>
      </c>
      <c r="AO30">
        <v>0</v>
      </c>
      <c r="AP30">
        <v>-72.466764798739007</v>
      </c>
      <c r="AQ30">
        <v>39.75</v>
      </c>
      <c r="AR30">
        <v>75.202426387795668</v>
      </c>
      <c r="AS30">
        <v>219.04404272928349</v>
      </c>
      <c r="AT30">
        <v>3.8757412911518849</v>
      </c>
      <c r="AU30">
        <v>-136.77405628624999</v>
      </c>
      <c r="AV30">
        <v>0</v>
      </c>
      <c r="AW30">
        <v>-230.17037508946979</v>
      </c>
      <c r="AX30">
        <v>28</v>
      </c>
      <c r="AY30">
        <v>3.8533139278176289</v>
      </c>
      <c r="AZ30">
        <v>-179.45854193192201</v>
      </c>
      <c r="BA30">
        <v>75.202426387795668</v>
      </c>
      <c r="BC30" s="1">
        <f t="shared" si="48"/>
        <v>15</v>
      </c>
      <c r="BD30" s="2">
        <f t="shared" si="0"/>
        <v>2.8026671011340789</v>
      </c>
      <c r="BE30" s="7">
        <f t="shared" si="1"/>
        <v>-94.16493757654078</v>
      </c>
      <c r="BF30" s="1">
        <f t="shared" si="2"/>
        <v>13</v>
      </c>
      <c r="BG30" s="2">
        <f t="shared" si="3"/>
        <v>1.713344717894443</v>
      </c>
      <c r="BH30" s="2">
        <f t="shared" si="67"/>
        <v>-44.384504081524277</v>
      </c>
      <c r="BI30" s="2">
        <f t="shared" si="67"/>
        <v>0</v>
      </c>
      <c r="BJ30" s="7">
        <f t="shared" si="67"/>
        <v>-72.466764798739007</v>
      </c>
      <c r="BK30" s="1">
        <f t="shared" si="68"/>
        <v>28</v>
      </c>
      <c r="BL30" s="2">
        <f t="shared" si="68"/>
        <v>4.5160118190285221</v>
      </c>
      <c r="BM30" s="2">
        <f t="shared" si="6"/>
        <v>138.54944165806506</v>
      </c>
      <c r="BN30" s="2">
        <f t="shared" si="7"/>
        <v>0</v>
      </c>
      <c r="BO30" s="7">
        <f t="shared" si="8"/>
        <v>-72.466764798739007</v>
      </c>
      <c r="BP30" s="2"/>
      <c r="BQ30" s="1">
        <f t="shared" si="30"/>
        <v>28</v>
      </c>
      <c r="BR30" s="4">
        <v>0</v>
      </c>
      <c r="BS30" s="2">
        <f t="shared" si="32"/>
        <v>28</v>
      </c>
      <c r="BT30" s="2">
        <f t="shared" si="33"/>
        <v>75.202426387795668</v>
      </c>
      <c r="BU30" s="21">
        <f t="shared" si="34"/>
        <v>2.6858009424212739</v>
      </c>
      <c r="BV30" s="21" t="str">
        <f t="shared" si="35"/>
        <v/>
      </c>
      <c r="BW30" s="21" t="str">
        <f t="shared" si="36"/>
        <v/>
      </c>
      <c r="BX30" s="21" t="str">
        <f t="shared" si="37"/>
        <v/>
      </c>
      <c r="BY30" s="1">
        <f t="shared" si="38"/>
        <v>39.75</v>
      </c>
      <c r="BZ30" s="4">
        <v>0</v>
      </c>
      <c r="CA30" s="2">
        <f t="shared" si="40"/>
        <v>39.75</v>
      </c>
      <c r="CB30" s="2">
        <f t="shared" si="41"/>
        <v>219.04404272928349</v>
      </c>
      <c r="CC30" s="21">
        <f t="shared" si="42"/>
        <v>5.5105419554536725</v>
      </c>
      <c r="CD30" s="2" t="str">
        <f t="shared" si="43"/>
        <v/>
      </c>
      <c r="CE30" s="2" t="str">
        <f t="shared" si="44"/>
        <v/>
      </c>
      <c r="CF30" s="21" t="str">
        <f t="shared" si="45"/>
        <v/>
      </c>
      <c r="CG30" s="15"/>
      <c r="CH30" s="21" t="str">
        <f t="shared" si="47"/>
        <v/>
      </c>
      <c r="CI30" s="51" t="s">
        <v>126</v>
      </c>
    </row>
    <row r="31" spans="1:88" x14ac:dyDescent="0.25">
      <c r="A31" t="str">
        <f t="shared" si="27"/>
        <v>Travée</v>
      </c>
      <c r="B31" t="b">
        <f t="shared" si="28"/>
        <v>0</v>
      </c>
      <c r="C31">
        <f t="shared" si="29"/>
        <v>3</v>
      </c>
      <c r="D31" t="s">
        <v>58</v>
      </c>
      <c r="E31" t="s">
        <v>53</v>
      </c>
      <c r="F31">
        <v>25</v>
      </c>
      <c r="G31" t="s">
        <v>46</v>
      </c>
      <c r="H31">
        <v>500</v>
      </c>
      <c r="I31">
        <v>220000</v>
      </c>
      <c r="J31">
        <v>1576</v>
      </c>
      <c r="K31">
        <v>1870</v>
      </c>
      <c r="L31">
        <v>1</v>
      </c>
      <c r="M31">
        <v>0.23499999999999999</v>
      </c>
      <c r="N31">
        <v>2.2000000000000002</v>
      </c>
      <c r="O31">
        <v>2.8160000000000001E-4</v>
      </c>
      <c r="P31">
        <v>0.04</v>
      </c>
      <c r="Q31">
        <v>1</v>
      </c>
      <c r="R31">
        <v>0</v>
      </c>
      <c r="S31">
        <v>0</v>
      </c>
      <c r="T31">
        <v>1</v>
      </c>
      <c r="U31">
        <v>2.9099999999999999E-5</v>
      </c>
      <c r="V31">
        <v>0</v>
      </c>
      <c r="W31">
        <v>2</v>
      </c>
      <c r="X31">
        <v>5</v>
      </c>
      <c r="Y31">
        <v>6.5</v>
      </c>
      <c r="Z31">
        <v>0</v>
      </c>
      <c r="AA31">
        <v>14.6875</v>
      </c>
      <c r="AB31">
        <v>10.125</v>
      </c>
      <c r="AC31">
        <v>0</v>
      </c>
      <c r="AD31">
        <v>14.6875</v>
      </c>
      <c r="AE31">
        <v>10.125</v>
      </c>
      <c r="AF31">
        <v>35.015625</v>
      </c>
      <c r="AH31">
        <v>24.8125</v>
      </c>
      <c r="AI31">
        <v>14.6875</v>
      </c>
      <c r="AJ31">
        <v>10.125</v>
      </c>
      <c r="AK31">
        <v>4.1812862615867736</v>
      </c>
      <c r="AL31">
        <v>2.4433476838618322</v>
      </c>
      <c r="AM31">
        <v>-275.63175315897308</v>
      </c>
      <c r="AN31">
        <v>-142.59050138946679</v>
      </c>
      <c r="AO31">
        <v>0</v>
      </c>
      <c r="AP31">
        <v>-192.5269502390835</v>
      </c>
      <c r="AQ31">
        <v>35.015625</v>
      </c>
      <c r="AR31">
        <v>25.257071304347789</v>
      </c>
      <c r="AS31">
        <v>48.057510310385567</v>
      </c>
      <c r="AT31">
        <v>6.6835745131325774</v>
      </c>
      <c r="AU31">
        <v>-435.64991897822472</v>
      </c>
      <c r="AV31">
        <v>0</v>
      </c>
      <c r="AW31">
        <v>-912.9479626024455</v>
      </c>
      <c r="AX31">
        <v>24.8125</v>
      </c>
      <c r="AY31">
        <v>14.93423453207677</v>
      </c>
      <c r="AZ31">
        <v>-457.78129864672383</v>
      </c>
      <c r="BA31">
        <v>25.257071304347789</v>
      </c>
      <c r="BC31" s="1">
        <f t="shared" si="48"/>
        <v>14.6875</v>
      </c>
      <c r="BD31" s="2">
        <f t="shared" si="0"/>
        <v>4.1812862615867736</v>
      </c>
      <c r="BE31" s="7">
        <f t="shared" si="1"/>
        <v>-275.63175315897308</v>
      </c>
      <c r="BF31" s="1">
        <f t="shared" si="2"/>
        <v>10.125</v>
      </c>
      <c r="BG31" s="2">
        <f t="shared" si="3"/>
        <v>2.4433476838618322</v>
      </c>
      <c r="BH31" s="2">
        <f t="shared" si="67"/>
        <v>-142.59050138946679</v>
      </c>
      <c r="BI31" s="2">
        <f t="shared" si="67"/>
        <v>0</v>
      </c>
      <c r="BJ31" s="7">
        <f t="shared" si="67"/>
        <v>-192.5269502390835</v>
      </c>
      <c r="BK31" s="1">
        <f t="shared" si="68"/>
        <v>24.8125</v>
      </c>
      <c r="BL31" s="2">
        <f t="shared" si="68"/>
        <v>6.6246339454486058</v>
      </c>
      <c r="BM31" s="2">
        <f t="shared" si="6"/>
        <v>418.22225454843988</v>
      </c>
      <c r="BN31" s="2">
        <f t="shared" si="7"/>
        <v>0</v>
      </c>
      <c r="BO31" s="7">
        <f t="shared" si="8"/>
        <v>-192.5269502390835</v>
      </c>
      <c r="BP31" s="2"/>
      <c r="BQ31" s="1">
        <f t="shared" si="30"/>
        <v>24.8125</v>
      </c>
      <c r="BR31" s="4" t="str">
        <f t="shared" ref="BR31" si="81">IF(ISNUMBER(SEARCH("Appui",E31)),0,"0")</f>
        <v>0</v>
      </c>
      <c r="BS31" s="2">
        <f t="shared" si="32"/>
        <v>24.8125</v>
      </c>
      <c r="BT31" s="2">
        <f t="shared" si="33"/>
        <v>25.257071304347789</v>
      </c>
      <c r="BU31" s="21">
        <f t="shared" si="34"/>
        <v>1.0179172314094826</v>
      </c>
      <c r="BV31" s="21">
        <f t="shared" si="35"/>
        <v>78.75</v>
      </c>
      <c r="BW31" s="21">
        <f t="shared" si="36"/>
        <v>95.952921132450584</v>
      </c>
      <c r="BX31" s="21">
        <f t="shared" si="37"/>
        <v>1.2184497921581026</v>
      </c>
      <c r="BY31" s="1">
        <f t="shared" si="38"/>
        <v>35.015625</v>
      </c>
      <c r="BZ31" s="4" t="str">
        <f t="shared" ref="BZ31" si="82">IF(ISNUMBER(SEARCH("Appui",M31)),0,"0")</f>
        <v>0</v>
      </c>
      <c r="CA31" s="2">
        <f t="shared" si="40"/>
        <v>35.015625</v>
      </c>
      <c r="CB31" s="2">
        <f t="shared" si="41"/>
        <v>48.057510310385567</v>
      </c>
      <c r="CC31" s="21">
        <f t="shared" si="42"/>
        <v>1.3724590182350185</v>
      </c>
      <c r="CD31" s="2">
        <f t="shared" si="43"/>
        <v>110.4375</v>
      </c>
      <c r="CE31" s="2">
        <f t="shared" si="44"/>
        <v>221.73182098512152</v>
      </c>
      <c r="CF31" s="21">
        <f t="shared" si="45"/>
        <v>2.0077584243134941</v>
      </c>
      <c r="CG31" s="10" t="str">
        <f t="shared" ref="CG31" si="83">IF(C29&lt;C31,"Rive",IF(C33&gt;C31,"Rive","Inter"))</f>
        <v>Inter</v>
      </c>
      <c r="CH31" s="21">
        <f t="shared" si="47"/>
        <v>0.86884365484958082</v>
      </c>
      <c r="CI31" s="51" t="s">
        <v>126</v>
      </c>
    </row>
    <row r="32" spans="1:88" x14ac:dyDescent="0.25">
      <c r="A32" t="str">
        <f t="shared" si="27"/>
        <v>Appui</v>
      </c>
      <c r="B32" t="b">
        <f t="shared" si="28"/>
        <v>0</v>
      </c>
      <c r="C32">
        <f t="shared" si="29"/>
        <v>3</v>
      </c>
      <c r="D32" t="s">
        <v>58</v>
      </c>
      <c r="E32" t="s">
        <v>54</v>
      </c>
      <c r="F32">
        <v>25</v>
      </c>
      <c r="G32" t="s">
        <v>46</v>
      </c>
      <c r="H32">
        <v>500</v>
      </c>
      <c r="I32">
        <v>220000</v>
      </c>
      <c r="J32">
        <v>1576</v>
      </c>
      <c r="K32">
        <v>1870</v>
      </c>
      <c r="L32">
        <v>1</v>
      </c>
      <c r="M32">
        <v>0.22</v>
      </c>
      <c r="N32">
        <v>2.2000000000000002</v>
      </c>
      <c r="O32">
        <v>1.3297999999999999E-3</v>
      </c>
      <c r="P32">
        <v>9.9999999999999992E-2</v>
      </c>
      <c r="Q32">
        <v>1</v>
      </c>
      <c r="R32">
        <v>0</v>
      </c>
      <c r="S32">
        <v>0</v>
      </c>
      <c r="T32">
        <v>1</v>
      </c>
      <c r="U32">
        <v>2.9099999999999999E-5</v>
      </c>
      <c r="V32">
        <v>0</v>
      </c>
      <c r="W32">
        <v>6</v>
      </c>
      <c r="X32">
        <v>77.5</v>
      </c>
      <c r="Y32">
        <v>29</v>
      </c>
      <c r="Z32">
        <v>-0.25</v>
      </c>
      <c r="AA32">
        <v>58.125</v>
      </c>
      <c r="AB32">
        <v>21.75</v>
      </c>
      <c r="AC32">
        <v>0</v>
      </c>
      <c r="AD32">
        <v>58.125</v>
      </c>
      <c r="AE32">
        <v>21.75</v>
      </c>
      <c r="AF32">
        <v>111.09375</v>
      </c>
      <c r="AH32">
        <v>79.875</v>
      </c>
      <c r="AI32">
        <v>58.125</v>
      </c>
      <c r="AJ32">
        <v>21.75</v>
      </c>
      <c r="AK32">
        <v>17.83527952632868</v>
      </c>
      <c r="AL32">
        <v>4.9422881397997926</v>
      </c>
      <c r="AM32">
        <v>-393.80618424482623</v>
      </c>
      <c r="AN32">
        <v>-94.08186962323812</v>
      </c>
      <c r="AO32">
        <v>0</v>
      </c>
      <c r="AP32">
        <v>-218.51852023361999</v>
      </c>
      <c r="AQ32">
        <v>111.09375</v>
      </c>
      <c r="AR32">
        <v>66.18927326840992</v>
      </c>
      <c r="AS32">
        <v>128.30457862018841</v>
      </c>
      <c r="AT32">
        <v>15.406190950698081</v>
      </c>
      <c r="AU32">
        <v>-435.24750479948909</v>
      </c>
      <c r="AV32">
        <v>0</v>
      </c>
      <c r="AW32">
        <v>-1400.4661965113589</v>
      </c>
      <c r="AX32">
        <v>79.875</v>
      </c>
      <c r="AY32">
        <v>0</v>
      </c>
      <c r="AZ32">
        <v>0</v>
      </c>
      <c r="BA32">
        <v>66.18927326840992</v>
      </c>
      <c r="BC32" s="1">
        <f t="shared" si="48"/>
        <v>58.125</v>
      </c>
      <c r="BD32" s="2">
        <f t="shared" si="0"/>
        <v>17.83527952632868</v>
      </c>
      <c r="BE32" s="7">
        <f t="shared" si="1"/>
        <v>-393.80618424482623</v>
      </c>
      <c r="BF32" s="1">
        <f t="shared" si="2"/>
        <v>21.75</v>
      </c>
      <c r="BG32" s="2">
        <f t="shared" si="3"/>
        <v>4.9422881397997926</v>
      </c>
      <c r="BH32" s="2">
        <f t="shared" si="67"/>
        <v>-94.08186962323812</v>
      </c>
      <c r="BI32" s="2">
        <f t="shared" si="67"/>
        <v>0</v>
      </c>
      <c r="BJ32" s="7">
        <f t="shared" si="67"/>
        <v>-218.51852023361999</v>
      </c>
      <c r="BK32" s="1">
        <f t="shared" si="68"/>
        <v>79.875</v>
      </c>
      <c r="BL32" s="2">
        <f t="shared" si="68"/>
        <v>22.777567666128473</v>
      </c>
      <c r="BM32" s="2">
        <f t="shared" si="6"/>
        <v>487.88805386806433</v>
      </c>
      <c r="BN32" s="2">
        <f t="shared" si="7"/>
        <v>0</v>
      </c>
      <c r="BO32" s="7">
        <f t="shared" si="8"/>
        <v>-218.51852023361999</v>
      </c>
      <c r="BP32" s="2"/>
      <c r="BQ32" s="1">
        <f t="shared" si="30"/>
        <v>79.875</v>
      </c>
      <c r="BR32" s="4">
        <v>0</v>
      </c>
      <c r="BS32" s="2">
        <f t="shared" si="32"/>
        <v>79.875</v>
      </c>
      <c r="BT32" s="2">
        <f t="shared" si="33"/>
        <v>66.18927326840992</v>
      </c>
      <c r="BU32" s="21">
        <f t="shared" si="34"/>
        <v>0.82866069819605537</v>
      </c>
      <c r="BV32" s="21" t="str">
        <f t="shared" si="35"/>
        <v/>
      </c>
      <c r="BW32" s="21" t="str">
        <f t="shared" si="36"/>
        <v/>
      </c>
      <c r="BX32" s="21" t="str">
        <f t="shared" si="37"/>
        <v/>
      </c>
      <c r="BY32" s="1">
        <f t="shared" si="38"/>
        <v>111.09375</v>
      </c>
      <c r="BZ32" s="4">
        <v>0</v>
      </c>
      <c r="CA32" s="2">
        <f t="shared" si="40"/>
        <v>111.09375</v>
      </c>
      <c r="CB32" s="2">
        <f t="shared" si="41"/>
        <v>128.30457862018841</v>
      </c>
      <c r="CC32" s="21">
        <f t="shared" si="42"/>
        <v>1.1549216640917099</v>
      </c>
      <c r="CD32" s="2" t="str">
        <f t="shared" si="43"/>
        <v/>
      </c>
      <c r="CE32" s="2" t="str">
        <f t="shared" si="44"/>
        <v/>
      </c>
      <c r="CF32" s="21" t="str">
        <f t="shared" si="45"/>
        <v/>
      </c>
      <c r="CG32" s="15"/>
      <c r="CH32" s="21" t="str">
        <f t="shared" si="47"/>
        <v/>
      </c>
      <c r="CI32" s="51" t="s">
        <v>126</v>
      </c>
    </row>
    <row r="33" spans="1:87" x14ac:dyDescent="0.25">
      <c r="A33" t="str">
        <f t="shared" si="27"/>
        <v>Travée</v>
      </c>
      <c r="B33" t="b">
        <f t="shared" si="28"/>
        <v>0</v>
      </c>
      <c r="C33">
        <f>IF(D33=D31,C31,C31+1)</f>
        <v>3</v>
      </c>
      <c r="D33" t="s">
        <v>58</v>
      </c>
      <c r="E33" t="s">
        <v>55</v>
      </c>
      <c r="F33">
        <v>25</v>
      </c>
      <c r="G33" t="s">
        <v>46</v>
      </c>
      <c r="H33">
        <v>500</v>
      </c>
      <c r="I33">
        <v>220000</v>
      </c>
      <c r="J33">
        <v>1576</v>
      </c>
      <c r="K33">
        <v>1870</v>
      </c>
      <c r="L33">
        <v>1</v>
      </c>
      <c r="M33">
        <v>0.23499999999999999</v>
      </c>
      <c r="N33">
        <v>2.2000000000000002</v>
      </c>
      <c r="O33">
        <v>8.470000000000001E-4</v>
      </c>
      <c r="P33">
        <v>0.04</v>
      </c>
      <c r="Q33">
        <v>1</v>
      </c>
      <c r="R33">
        <v>0</v>
      </c>
      <c r="S33">
        <v>0</v>
      </c>
      <c r="T33">
        <v>1</v>
      </c>
      <c r="U33">
        <v>2.9099999999999999E-5</v>
      </c>
      <c r="V33">
        <v>0</v>
      </c>
      <c r="W33">
        <v>8</v>
      </c>
      <c r="X33">
        <v>41.5</v>
      </c>
      <c r="Y33">
        <v>15.5</v>
      </c>
      <c r="Z33">
        <v>0</v>
      </c>
      <c r="AA33">
        <v>51.1875</v>
      </c>
      <c r="AB33">
        <v>19.125</v>
      </c>
      <c r="AC33">
        <v>0</v>
      </c>
      <c r="AD33">
        <v>51.1875</v>
      </c>
      <c r="AE33">
        <v>19.125</v>
      </c>
      <c r="AF33">
        <v>97.790625000000006</v>
      </c>
      <c r="AH33">
        <v>70.3125</v>
      </c>
      <c r="AI33">
        <v>51.1875</v>
      </c>
      <c r="AJ33">
        <v>19.125</v>
      </c>
      <c r="AK33">
        <v>8.8081088679589126</v>
      </c>
      <c r="AL33">
        <v>2.7058758884324732</v>
      </c>
      <c r="AM33">
        <v>-326.0125708546513</v>
      </c>
      <c r="AN33">
        <v>-84.145930719802436</v>
      </c>
      <c r="AO33">
        <v>0</v>
      </c>
      <c r="AP33">
        <v>-115.4268275114642</v>
      </c>
      <c r="AQ33">
        <v>97.790625000000006</v>
      </c>
      <c r="AR33">
        <v>74.708892277634021</v>
      </c>
      <c r="AS33">
        <v>163.7051295454466</v>
      </c>
      <c r="AT33">
        <v>9.504489970320714</v>
      </c>
      <c r="AU33">
        <v>-434.82745421245562</v>
      </c>
      <c r="AV33">
        <v>0</v>
      </c>
      <c r="AW33">
        <v>-623.80402091002895</v>
      </c>
      <c r="AX33">
        <v>70.3125</v>
      </c>
      <c r="AY33">
        <v>14.857453293878811</v>
      </c>
      <c r="AZ33">
        <v>-441.96490006972942</v>
      </c>
      <c r="BA33">
        <v>74.708892277634021</v>
      </c>
      <c r="BC33" s="1">
        <f t="shared" si="48"/>
        <v>51.1875</v>
      </c>
      <c r="BD33" s="2">
        <f t="shared" si="0"/>
        <v>8.8081088679589126</v>
      </c>
      <c r="BE33" s="7">
        <f t="shared" si="1"/>
        <v>-326.0125708546513</v>
      </c>
      <c r="BF33" s="1">
        <f t="shared" si="2"/>
        <v>19.125</v>
      </c>
      <c r="BG33" s="2">
        <f t="shared" si="3"/>
        <v>2.7058758884324732</v>
      </c>
      <c r="BH33" s="2">
        <f t="shared" si="67"/>
        <v>-84.145930719802436</v>
      </c>
      <c r="BI33" s="2">
        <f t="shared" si="67"/>
        <v>0</v>
      </c>
      <c r="BJ33" s="7">
        <f t="shared" si="67"/>
        <v>-115.4268275114642</v>
      </c>
      <c r="BK33" s="1">
        <f t="shared" si="68"/>
        <v>70.3125</v>
      </c>
      <c r="BL33" s="2">
        <f t="shared" si="68"/>
        <v>11.513984756391386</v>
      </c>
      <c r="BM33" s="2">
        <f t="shared" si="6"/>
        <v>410.15850157445374</v>
      </c>
      <c r="BN33" s="2">
        <f t="shared" si="7"/>
        <v>0</v>
      </c>
      <c r="BO33" s="7">
        <f t="shared" si="8"/>
        <v>-115.4268275114642</v>
      </c>
      <c r="BP33" s="2"/>
      <c r="BQ33" s="1">
        <f t="shared" si="30"/>
        <v>70.3125</v>
      </c>
      <c r="BR33" s="4" t="str">
        <f t="shared" ref="BR33" si="84">IF(ISNUMBER(SEARCH("Appui",E33)),0,"0")</f>
        <v>0</v>
      </c>
      <c r="BS33" s="2">
        <f t="shared" si="32"/>
        <v>70.3125</v>
      </c>
      <c r="BT33" s="2">
        <f t="shared" si="33"/>
        <v>74.708892277634021</v>
      </c>
      <c r="BU33" s="21">
        <f t="shared" si="34"/>
        <v>1.0625264679485726</v>
      </c>
      <c r="BV33" s="21">
        <f t="shared" si="35"/>
        <v>173.5</v>
      </c>
      <c r="BW33" s="21">
        <f t="shared" si="36"/>
        <v>172.2736513988358</v>
      </c>
      <c r="BX33" s="21">
        <f t="shared" si="37"/>
        <v>0.9929317083506386</v>
      </c>
      <c r="BY33" s="1">
        <f t="shared" si="38"/>
        <v>97.790625000000006</v>
      </c>
      <c r="BZ33" s="4" t="str">
        <f t="shared" ref="BZ33" si="85">IF(ISNUMBER(SEARCH("Appui",M33)),0,"0")</f>
        <v>0</v>
      </c>
      <c r="CA33" s="2">
        <f t="shared" si="40"/>
        <v>97.790625000000006</v>
      </c>
      <c r="CB33" s="2">
        <f t="shared" si="41"/>
        <v>163.7051295454466</v>
      </c>
      <c r="CC33" s="21">
        <f t="shared" si="42"/>
        <v>1.6740370515624232</v>
      </c>
      <c r="CD33" s="2">
        <f t="shared" si="43"/>
        <v>241.08750000000001</v>
      </c>
      <c r="CE33" s="2">
        <f t="shared" si="44"/>
        <v>326.57342787655523</v>
      </c>
      <c r="CF33" s="21">
        <f t="shared" si="45"/>
        <v>1.3545846544368962</v>
      </c>
      <c r="CG33" s="10" t="str">
        <f t="shared" ref="CG33" si="86">IF(C31&lt;C33,"Rive",IF(C35&gt;C33,"Rive","Inter"))</f>
        <v>Inter</v>
      </c>
      <c r="CH33" s="21">
        <f t="shared" si="47"/>
        <v>0.71456899009212749</v>
      </c>
      <c r="CI33" s="51" t="s">
        <v>126</v>
      </c>
    </row>
    <row r="34" spans="1:87" x14ac:dyDescent="0.25">
      <c r="A34" t="str">
        <f t="shared" si="27"/>
        <v>Appui</v>
      </c>
      <c r="B34" t="b">
        <f t="shared" si="28"/>
        <v>0</v>
      </c>
      <c r="C34">
        <f>IF(D34=D32,C32,C32+1)</f>
        <v>3</v>
      </c>
      <c r="D34" t="s">
        <v>58</v>
      </c>
      <c r="E34" t="s">
        <v>56</v>
      </c>
      <c r="F34">
        <v>25</v>
      </c>
      <c r="G34" t="s">
        <v>46</v>
      </c>
      <c r="H34">
        <v>500</v>
      </c>
      <c r="I34">
        <v>220000</v>
      </c>
      <c r="J34">
        <v>1576</v>
      </c>
      <c r="K34">
        <v>1870</v>
      </c>
      <c r="L34">
        <v>1</v>
      </c>
      <c r="M34">
        <v>0.25</v>
      </c>
      <c r="N34">
        <v>2.2000000000000002</v>
      </c>
      <c r="O34">
        <v>1.89E-3</v>
      </c>
      <c r="P34">
        <v>8.4999999999999992E-2</v>
      </c>
      <c r="Q34">
        <v>1</v>
      </c>
      <c r="R34">
        <v>0</v>
      </c>
      <c r="S34">
        <v>0</v>
      </c>
      <c r="T34">
        <v>1</v>
      </c>
      <c r="U34">
        <v>2.9099999999999999E-5</v>
      </c>
      <c r="V34">
        <v>0</v>
      </c>
      <c r="W34">
        <v>6</v>
      </c>
      <c r="X34">
        <v>95</v>
      </c>
      <c r="Y34">
        <v>31.5</v>
      </c>
      <c r="Z34">
        <v>0</v>
      </c>
      <c r="AA34">
        <v>95</v>
      </c>
      <c r="AB34">
        <v>31.5</v>
      </c>
      <c r="AC34">
        <v>0</v>
      </c>
      <c r="AD34">
        <v>95</v>
      </c>
      <c r="AE34">
        <v>31.5</v>
      </c>
      <c r="AF34">
        <v>175.5</v>
      </c>
      <c r="AH34">
        <v>126.5</v>
      </c>
      <c r="AI34">
        <v>95</v>
      </c>
      <c r="AJ34">
        <v>31.5</v>
      </c>
      <c r="AK34">
        <v>15.202037795382211</v>
      </c>
      <c r="AL34">
        <v>4.3690040188708181</v>
      </c>
      <c r="AM34">
        <v>-329.54978400982122</v>
      </c>
      <c r="AN34">
        <v>-86.825952450973901</v>
      </c>
      <c r="AO34">
        <v>0</v>
      </c>
      <c r="AP34">
        <v>-160.44117114443259</v>
      </c>
      <c r="AQ34">
        <v>175.5</v>
      </c>
      <c r="AR34">
        <v>128.9402449739936</v>
      </c>
      <c r="AS34">
        <v>197.43201804202889</v>
      </c>
      <c r="AT34">
        <v>15.811833045409569</v>
      </c>
      <c r="AU34">
        <v>-435.76755446824211</v>
      </c>
      <c r="AV34">
        <v>0</v>
      </c>
      <c r="AW34">
        <v>-1351.403948157611</v>
      </c>
      <c r="AX34">
        <v>126.5</v>
      </c>
      <c r="AY34">
        <v>16.666666666666671</v>
      </c>
      <c r="AZ34">
        <v>-439.20371093417452</v>
      </c>
      <c r="BA34">
        <v>128.9402449739936</v>
      </c>
      <c r="BC34" s="1">
        <f t="shared" si="48"/>
        <v>95</v>
      </c>
      <c r="BD34" s="2">
        <f t="shared" si="0"/>
        <v>15.202037795382211</v>
      </c>
      <c r="BE34" s="7">
        <f t="shared" si="1"/>
        <v>-329.54978400982122</v>
      </c>
      <c r="BF34" s="1">
        <f t="shared" si="2"/>
        <v>31.5</v>
      </c>
      <c r="BG34" s="2">
        <f t="shared" si="3"/>
        <v>4.3690040188708181</v>
      </c>
      <c r="BH34" s="2">
        <f t="shared" si="67"/>
        <v>-86.825952450973901</v>
      </c>
      <c r="BI34" s="2">
        <f t="shared" si="67"/>
        <v>0</v>
      </c>
      <c r="BJ34" s="7">
        <f t="shared" si="67"/>
        <v>-160.44117114443259</v>
      </c>
      <c r="BK34" s="1">
        <f t="shared" si="68"/>
        <v>126.5</v>
      </c>
      <c r="BL34" s="2">
        <f t="shared" si="68"/>
        <v>19.571041814253029</v>
      </c>
      <c r="BM34" s="2">
        <f t="shared" si="6"/>
        <v>416.37573646079511</v>
      </c>
      <c r="BN34" s="2">
        <f t="shared" si="7"/>
        <v>0</v>
      </c>
      <c r="BO34" s="7">
        <f t="shared" si="8"/>
        <v>-160.44117114443259</v>
      </c>
      <c r="BP34" s="2"/>
      <c r="BQ34" s="1">
        <f t="shared" si="30"/>
        <v>126.5</v>
      </c>
      <c r="BR34" s="4">
        <v>0</v>
      </c>
      <c r="BS34" s="2">
        <f t="shared" si="32"/>
        <v>126.5</v>
      </c>
      <c r="BT34" s="2">
        <f t="shared" si="33"/>
        <v>128.9402449739936</v>
      </c>
      <c r="BU34" s="21">
        <f t="shared" si="34"/>
        <v>1.0192904741027162</v>
      </c>
      <c r="BV34" s="21" t="str">
        <f t="shared" si="35"/>
        <v/>
      </c>
      <c r="BW34" s="21" t="str">
        <f t="shared" si="36"/>
        <v/>
      </c>
      <c r="BX34" s="21" t="str">
        <f t="shared" si="37"/>
        <v/>
      </c>
      <c r="BY34" s="1">
        <f t="shared" si="38"/>
        <v>175.5</v>
      </c>
      <c r="BZ34" s="4">
        <v>0</v>
      </c>
      <c r="CA34" s="2">
        <f t="shared" si="40"/>
        <v>175.5</v>
      </c>
      <c r="CB34" s="2">
        <f t="shared" si="41"/>
        <v>197.43201804202889</v>
      </c>
      <c r="CC34" s="21">
        <f t="shared" si="42"/>
        <v>1.1249687637722443</v>
      </c>
      <c r="CD34" s="2" t="str">
        <f t="shared" si="43"/>
        <v/>
      </c>
      <c r="CE34" s="2" t="str">
        <f t="shared" si="44"/>
        <v/>
      </c>
      <c r="CF34" s="21" t="str">
        <f t="shared" si="45"/>
        <v/>
      </c>
      <c r="CG34" s="15"/>
      <c r="CH34" s="21" t="str">
        <f t="shared" si="47"/>
        <v/>
      </c>
      <c r="CI34" s="51" t="s">
        <v>126</v>
      </c>
    </row>
    <row r="35" spans="1:87" x14ac:dyDescent="0.25">
      <c r="A35" t="str">
        <f t="shared" si="27"/>
        <v>Travée</v>
      </c>
      <c r="B35" t="b">
        <f t="shared" si="28"/>
        <v>0</v>
      </c>
      <c r="C35">
        <f>IF(D35="",100000,IF(D35=D34,C34,C34+1))</f>
        <v>3</v>
      </c>
      <c r="D35" t="s">
        <v>58</v>
      </c>
      <c r="E35" t="s">
        <v>57</v>
      </c>
      <c r="F35">
        <v>25</v>
      </c>
      <c r="G35" t="s">
        <v>46</v>
      </c>
      <c r="H35">
        <v>500</v>
      </c>
      <c r="I35">
        <v>220000</v>
      </c>
      <c r="J35">
        <v>1576</v>
      </c>
      <c r="K35">
        <v>1870</v>
      </c>
      <c r="L35">
        <v>1</v>
      </c>
      <c r="M35">
        <v>0.26</v>
      </c>
      <c r="N35">
        <v>2.2000000000000002</v>
      </c>
      <c r="O35">
        <v>5.6539999999999997E-4</v>
      </c>
      <c r="P35">
        <v>0.04</v>
      </c>
      <c r="Q35">
        <v>1</v>
      </c>
      <c r="R35">
        <v>0</v>
      </c>
      <c r="S35">
        <v>0</v>
      </c>
      <c r="T35">
        <v>1</v>
      </c>
      <c r="U35">
        <v>2.9099999999999999E-5</v>
      </c>
      <c r="V35">
        <v>0</v>
      </c>
      <c r="W35">
        <v>2</v>
      </c>
      <c r="X35">
        <v>21</v>
      </c>
      <c r="Y35">
        <v>10</v>
      </c>
      <c r="Z35">
        <v>0</v>
      </c>
      <c r="AA35">
        <v>21</v>
      </c>
      <c r="AB35">
        <v>10</v>
      </c>
      <c r="AC35">
        <v>0</v>
      </c>
      <c r="AD35">
        <v>21</v>
      </c>
      <c r="AE35">
        <v>10</v>
      </c>
      <c r="AF35">
        <v>43.35</v>
      </c>
      <c r="AH35">
        <v>31</v>
      </c>
      <c r="AI35">
        <v>21</v>
      </c>
      <c r="AJ35">
        <v>10</v>
      </c>
      <c r="AK35">
        <v>3.5801394499393928</v>
      </c>
      <c r="AL35">
        <v>1.5769021240732239</v>
      </c>
      <c r="AM35">
        <v>-175.66975975794429</v>
      </c>
      <c r="AN35">
        <v>-72.104659493737657</v>
      </c>
      <c r="AO35">
        <v>0</v>
      </c>
      <c r="AP35">
        <v>-95.740011888473575</v>
      </c>
      <c r="AQ35">
        <v>43.35</v>
      </c>
      <c r="AR35">
        <v>56.863742648834233</v>
      </c>
      <c r="AS35">
        <v>79.640655510273348</v>
      </c>
      <c r="AT35">
        <v>4.9016653565513124</v>
      </c>
      <c r="AU35">
        <v>-317.30425796804047</v>
      </c>
      <c r="AV35">
        <v>0</v>
      </c>
      <c r="AW35">
        <v>-425.28124741991758</v>
      </c>
      <c r="AX35">
        <v>31</v>
      </c>
      <c r="AY35">
        <v>3.8350172455343392</v>
      </c>
      <c r="AZ35">
        <v>-263.28282065107652</v>
      </c>
      <c r="BA35">
        <v>56.863742648834233</v>
      </c>
      <c r="BC35" s="1">
        <f t="shared" si="48"/>
        <v>21</v>
      </c>
      <c r="BD35" s="2">
        <f t="shared" si="0"/>
        <v>3.5801394499393928</v>
      </c>
      <c r="BE35" s="7">
        <f t="shared" si="1"/>
        <v>-175.66975975794429</v>
      </c>
      <c r="BF35" s="1">
        <f t="shared" si="2"/>
        <v>10</v>
      </c>
      <c r="BG35" s="2">
        <f t="shared" si="3"/>
        <v>1.5769021240732239</v>
      </c>
      <c r="BH35" s="2">
        <f t="shared" si="67"/>
        <v>-72.104659493737657</v>
      </c>
      <c r="BI35" s="2">
        <f t="shared" si="67"/>
        <v>0</v>
      </c>
      <c r="BJ35" s="7">
        <f t="shared" si="67"/>
        <v>-95.740011888473575</v>
      </c>
      <c r="BK35" s="1">
        <f t="shared" si="68"/>
        <v>31</v>
      </c>
      <c r="BL35" s="2">
        <f t="shared" si="68"/>
        <v>5.1570415740126165</v>
      </c>
      <c r="BM35" s="2">
        <f t="shared" si="6"/>
        <v>247.77441925168193</v>
      </c>
      <c r="BN35" s="2">
        <f t="shared" si="7"/>
        <v>0</v>
      </c>
      <c r="BO35" s="7">
        <f t="shared" si="8"/>
        <v>-95.740011888473575</v>
      </c>
      <c r="BP35" s="2"/>
      <c r="BQ35" s="1">
        <f t="shared" si="30"/>
        <v>31</v>
      </c>
      <c r="BR35" s="4" t="str">
        <f t="shared" ref="BR35" si="87">IF(ISNUMBER(SEARCH("Appui",E35)),0,"0")</f>
        <v>0</v>
      </c>
      <c r="BS35" s="2">
        <f t="shared" si="32"/>
        <v>31</v>
      </c>
      <c r="BT35" s="2">
        <f t="shared" si="33"/>
        <v>56.863742648834233</v>
      </c>
      <c r="BU35" s="21">
        <f t="shared" si="34"/>
        <v>1.8343142789946527</v>
      </c>
      <c r="BV35" s="21">
        <f t="shared" si="35"/>
        <v>94.25</v>
      </c>
      <c r="BW35" s="21">
        <f t="shared" si="36"/>
        <v>121.72408055075026</v>
      </c>
      <c r="BX35" s="21">
        <f t="shared" si="37"/>
        <v>1.2915021809098171</v>
      </c>
      <c r="BY35" s="1">
        <f t="shared" si="38"/>
        <v>43.35</v>
      </c>
      <c r="BZ35" s="4" t="str">
        <f t="shared" ref="BZ35" si="88">IF(ISNUMBER(SEARCH("Appui",M35)),0,"0")</f>
        <v>0</v>
      </c>
      <c r="CA35" s="2">
        <f t="shared" si="40"/>
        <v>43.35</v>
      </c>
      <c r="CB35" s="2">
        <f t="shared" si="41"/>
        <v>79.640655510273348</v>
      </c>
      <c r="CC35" s="21">
        <f t="shared" si="42"/>
        <v>1.8371546830512882</v>
      </c>
      <c r="CD35" s="2">
        <f t="shared" si="43"/>
        <v>131.1</v>
      </c>
      <c r="CE35" s="2">
        <f t="shared" si="44"/>
        <v>178.746879946207</v>
      </c>
      <c r="CF35" s="21">
        <f t="shared" si="45"/>
        <v>1.363439206302113</v>
      </c>
      <c r="CG35" s="10" t="str">
        <f t="shared" ref="CG35" si="89">IF(C33&lt;C35,"Rive",IF(C37&gt;C35,"Rive","Inter"))</f>
        <v>Rive</v>
      </c>
      <c r="CH35" s="21">
        <f t="shared" si="47"/>
        <v>0.92848268917429644</v>
      </c>
      <c r="CI35" s="51" t="s">
        <v>126</v>
      </c>
    </row>
    <row r="36" spans="1:87" x14ac:dyDescent="0.25">
      <c r="A36" t="str">
        <f t="shared" si="27"/>
        <v/>
      </c>
      <c r="B36" t="b">
        <f t="shared" si="28"/>
        <v>0</v>
      </c>
      <c r="C36">
        <f>IF(D36="",100000,IF(D36=D35,C35,C35+1))</f>
        <v>3</v>
      </c>
      <c r="D36" t="s">
        <v>58</v>
      </c>
      <c r="F36">
        <v>25</v>
      </c>
      <c r="G36" t="s">
        <v>46</v>
      </c>
      <c r="H36">
        <v>500</v>
      </c>
      <c r="I36">
        <v>220000</v>
      </c>
      <c r="J36">
        <v>1576</v>
      </c>
      <c r="K36">
        <v>1870</v>
      </c>
      <c r="L36">
        <v>1</v>
      </c>
      <c r="M36">
        <v>0.2</v>
      </c>
      <c r="N36">
        <v>2.2000000000000002</v>
      </c>
      <c r="O36">
        <v>1.0000000000000001E-5</v>
      </c>
      <c r="P36">
        <v>0.03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0.78043082983844214</v>
      </c>
      <c r="AS36">
        <v>0.78043082983844214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0.78043082983844214</v>
      </c>
      <c r="BC36" s="1">
        <f t="shared" si="48"/>
        <v>0</v>
      </c>
      <c r="BD36" s="2">
        <f t="shared" si="0"/>
        <v>0</v>
      </c>
      <c r="BE36" s="7">
        <f t="shared" si="1"/>
        <v>0</v>
      </c>
      <c r="BF36" s="1">
        <f t="shared" si="2"/>
        <v>0</v>
      </c>
      <c r="BG36" s="2">
        <f t="shared" si="3"/>
        <v>0</v>
      </c>
      <c r="BH36" s="2">
        <f t="shared" si="67"/>
        <v>0</v>
      </c>
      <c r="BI36" s="2">
        <f t="shared" si="67"/>
        <v>0</v>
      </c>
      <c r="BJ36" s="7">
        <f t="shared" si="67"/>
        <v>0</v>
      </c>
      <c r="BK36" s="1">
        <f t="shared" si="68"/>
        <v>0</v>
      </c>
      <c r="BL36" s="2">
        <f t="shared" si="68"/>
        <v>0</v>
      </c>
      <c r="BM36" s="2">
        <f t="shared" si="6"/>
        <v>0</v>
      </c>
      <c r="BN36" s="2">
        <f t="shared" si="7"/>
        <v>0</v>
      </c>
      <c r="BO36" s="7">
        <f t="shared" si="8"/>
        <v>0</v>
      </c>
      <c r="BP36" s="2"/>
      <c r="BQ36" s="1">
        <f t="shared" si="30"/>
        <v>0</v>
      </c>
      <c r="BR36" s="4">
        <v>0</v>
      </c>
      <c r="BS36" s="2">
        <f t="shared" si="32"/>
        <v>0</v>
      </c>
      <c r="BT36" s="2">
        <f t="shared" si="33"/>
        <v>0.78043082983844214</v>
      </c>
      <c r="BU36" s="21">
        <f t="shared" si="34"/>
        <v>1</v>
      </c>
      <c r="BV36" s="21" t="str">
        <f t="shared" si="35"/>
        <v/>
      </c>
      <c r="BW36" s="21" t="str">
        <f t="shared" si="36"/>
        <v/>
      </c>
      <c r="BX36" s="21" t="str">
        <f t="shared" si="37"/>
        <v/>
      </c>
      <c r="BY36" s="1">
        <f t="shared" si="38"/>
        <v>0</v>
      </c>
      <c r="BZ36" s="4">
        <v>0</v>
      </c>
      <c r="CA36" s="2">
        <f t="shared" si="40"/>
        <v>0</v>
      </c>
      <c r="CB36" s="2">
        <f t="shared" si="41"/>
        <v>0.78043082983844214</v>
      </c>
      <c r="CC36" s="21">
        <f t="shared" si="42"/>
        <v>1</v>
      </c>
      <c r="CD36" s="2" t="str">
        <f t="shared" si="43"/>
        <v/>
      </c>
      <c r="CE36" s="2" t="str">
        <f t="shared" si="44"/>
        <v/>
      </c>
      <c r="CF36" s="21" t="str">
        <f t="shared" si="45"/>
        <v/>
      </c>
      <c r="CG36" s="15"/>
      <c r="CH36" s="21" t="str">
        <f t="shared" si="47"/>
        <v/>
      </c>
    </row>
    <row r="37" spans="1:87" x14ac:dyDescent="0.25">
      <c r="A37" t="str">
        <f t="shared" si="27"/>
        <v>Travée</v>
      </c>
      <c r="B37" t="b">
        <f t="shared" si="28"/>
        <v>1</v>
      </c>
      <c r="C37">
        <f t="shared" ref="C37:C71" si="90">IF(D37="",100000,IF(D37=D36,C36,C36+1))</f>
        <v>4</v>
      </c>
      <c r="D37" t="s">
        <v>91</v>
      </c>
      <c r="E37" t="s">
        <v>45</v>
      </c>
      <c r="F37">
        <v>25</v>
      </c>
      <c r="G37" t="s">
        <v>46</v>
      </c>
      <c r="H37">
        <v>500</v>
      </c>
      <c r="I37">
        <v>220000</v>
      </c>
      <c r="J37">
        <v>1576</v>
      </c>
      <c r="K37">
        <v>1870</v>
      </c>
      <c r="L37">
        <v>1</v>
      </c>
      <c r="M37">
        <v>0.26</v>
      </c>
      <c r="N37">
        <v>2.2000000000000002</v>
      </c>
      <c r="O37">
        <v>5.6539999999999997E-4</v>
      </c>
      <c r="P37">
        <v>0.04</v>
      </c>
      <c r="Q37">
        <v>1</v>
      </c>
      <c r="R37">
        <v>0</v>
      </c>
      <c r="S37">
        <v>0</v>
      </c>
      <c r="T37">
        <v>1</v>
      </c>
      <c r="U37">
        <v>2.9099999999999999E-5</v>
      </c>
      <c r="V37">
        <v>0</v>
      </c>
      <c r="W37">
        <v>2</v>
      </c>
      <c r="X37">
        <v>19</v>
      </c>
      <c r="Y37">
        <v>5</v>
      </c>
      <c r="Z37">
        <v>0</v>
      </c>
      <c r="AA37">
        <v>21.625</v>
      </c>
      <c r="AB37">
        <v>5.75</v>
      </c>
      <c r="AC37">
        <v>0.5</v>
      </c>
      <c r="AD37">
        <v>10.8125</v>
      </c>
      <c r="AE37">
        <v>16.5625</v>
      </c>
      <c r="AF37">
        <v>37.818750000000001</v>
      </c>
      <c r="AH37">
        <v>27.375</v>
      </c>
      <c r="AI37">
        <v>10.8125</v>
      </c>
      <c r="AJ37">
        <v>16.5625</v>
      </c>
      <c r="AK37">
        <v>1.8433456096414109</v>
      </c>
      <c r="AL37">
        <v>2.6117441429962742</v>
      </c>
      <c r="AM37">
        <v>-90.449013208703477</v>
      </c>
      <c r="AN37">
        <v>-119.423342286503</v>
      </c>
      <c r="AO37">
        <v>0</v>
      </c>
      <c r="AP37">
        <v>-158.5693946902843</v>
      </c>
      <c r="AQ37">
        <v>37.818750000000001</v>
      </c>
      <c r="AR37">
        <v>56.863742648834233</v>
      </c>
      <c r="AS37">
        <v>79.640655510273348</v>
      </c>
      <c r="AT37">
        <v>4.3057873810990213</v>
      </c>
      <c r="AU37">
        <v>-276.74720417698512</v>
      </c>
      <c r="AV37">
        <v>0</v>
      </c>
      <c r="AW37">
        <v>-370.87595451137008</v>
      </c>
      <c r="AX37">
        <v>27.375</v>
      </c>
      <c r="AY37">
        <v>3.4030807299129071</v>
      </c>
      <c r="AZ37">
        <v>-232.44826148490549</v>
      </c>
      <c r="BA37">
        <v>56.863742648834233</v>
      </c>
      <c r="BC37" s="1">
        <f t="shared" si="48"/>
        <v>10.8125</v>
      </c>
      <c r="BD37" s="2">
        <f t="shared" si="0"/>
        <v>1.8433456096414109</v>
      </c>
      <c r="BE37" s="7">
        <f t="shared" si="1"/>
        <v>-90.449013208703477</v>
      </c>
      <c r="BF37" s="1">
        <f t="shared" si="2"/>
        <v>16.5625</v>
      </c>
      <c r="BG37" s="2">
        <f t="shared" si="3"/>
        <v>2.6117441429962742</v>
      </c>
      <c r="BH37" s="2">
        <f t="shared" si="67"/>
        <v>-119.423342286503</v>
      </c>
      <c r="BI37" s="2">
        <f t="shared" si="67"/>
        <v>0</v>
      </c>
      <c r="BJ37" s="7">
        <f t="shared" si="67"/>
        <v>-158.5693946902843</v>
      </c>
      <c r="BK37" s="1">
        <f t="shared" si="68"/>
        <v>27.375</v>
      </c>
      <c r="BL37" s="2">
        <f t="shared" si="68"/>
        <v>4.4550897526376847</v>
      </c>
      <c r="BM37" s="2">
        <f t="shared" si="6"/>
        <v>209.87235549520648</v>
      </c>
      <c r="BN37" s="2">
        <f t="shared" si="7"/>
        <v>0</v>
      </c>
      <c r="BO37" s="7">
        <f t="shared" si="8"/>
        <v>-158.5693946902843</v>
      </c>
      <c r="BP37" s="2"/>
      <c r="BQ37" s="1">
        <f t="shared" si="30"/>
        <v>27.375</v>
      </c>
      <c r="BR37" s="4" t="str">
        <f t="shared" ref="BR37" si="91">IF(ISNUMBER(SEARCH("Appui",E37)),0,"0")</f>
        <v>0</v>
      </c>
      <c r="BS37" s="2">
        <f t="shared" si="32"/>
        <v>27.375</v>
      </c>
      <c r="BT37" s="2">
        <f t="shared" si="33"/>
        <v>56.863742648834233</v>
      </c>
      <c r="BU37" s="21">
        <f t="shared" si="34"/>
        <v>2.0772143433364105</v>
      </c>
      <c r="BV37" s="21">
        <f t="shared" si="35"/>
        <v>91.5</v>
      </c>
      <c r="BW37" s="21">
        <f t="shared" si="36"/>
        <v>134.85903797882628</v>
      </c>
      <c r="BX37" s="21">
        <f t="shared" si="37"/>
        <v>1.4738692675281562</v>
      </c>
      <c r="BY37" s="1">
        <f t="shared" si="38"/>
        <v>37.818750000000001</v>
      </c>
      <c r="BZ37" s="4" t="str">
        <f t="shared" ref="BZ37" si="92">IF(ISNUMBER(SEARCH("Appui",M37)),0,"0")</f>
        <v>0</v>
      </c>
      <c r="CA37" s="2">
        <f t="shared" si="40"/>
        <v>37.818750000000001</v>
      </c>
      <c r="CB37" s="2">
        <f t="shared" si="41"/>
        <v>79.640655510273348</v>
      </c>
      <c r="CC37" s="21">
        <f t="shared" si="42"/>
        <v>2.1058510794321164</v>
      </c>
      <c r="CD37" s="2">
        <f t="shared" si="43"/>
        <v>126.52500000000001</v>
      </c>
      <c r="CE37" s="2">
        <f t="shared" si="44"/>
        <v>157.63595084026539</v>
      </c>
      <c r="CF37" s="21">
        <f t="shared" si="45"/>
        <v>1.2458877758566718</v>
      </c>
      <c r="CG37" s="10" t="str">
        <f t="shared" ref="CG37" si="93">IF(C35&lt;C37,"Rive",IF(C39&gt;C37,"Rive","Inter"))</f>
        <v>Rive</v>
      </c>
      <c r="CH37" s="21">
        <f t="shared" si="47"/>
        <v>1.0658687056220215</v>
      </c>
      <c r="CI37" s="51" t="s">
        <v>126</v>
      </c>
    </row>
    <row r="38" spans="1:87" x14ac:dyDescent="0.25">
      <c r="A38" t="str">
        <f t="shared" si="27"/>
        <v>Appui</v>
      </c>
      <c r="B38" t="b">
        <f t="shared" si="28"/>
        <v>1</v>
      </c>
      <c r="C38">
        <f t="shared" si="90"/>
        <v>4</v>
      </c>
      <c r="D38" t="s">
        <v>91</v>
      </c>
      <c r="E38" t="s">
        <v>47</v>
      </c>
      <c r="F38">
        <v>25</v>
      </c>
      <c r="G38" t="s">
        <v>46</v>
      </c>
      <c r="H38">
        <v>500</v>
      </c>
      <c r="I38">
        <v>220000</v>
      </c>
      <c r="J38">
        <v>1576</v>
      </c>
      <c r="K38">
        <v>1870</v>
      </c>
      <c r="L38">
        <v>1</v>
      </c>
      <c r="M38">
        <v>0.25</v>
      </c>
      <c r="N38">
        <v>2.2000000000000002</v>
      </c>
      <c r="O38">
        <v>1.1286E-3</v>
      </c>
      <c r="P38">
        <v>6.9999999999999993E-2</v>
      </c>
      <c r="Q38">
        <v>1</v>
      </c>
      <c r="R38">
        <v>2.0106192982974669E-4</v>
      </c>
      <c r="S38">
        <v>0.04</v>
      </c>
      <c r="T38">
        <v>4</v>
      </c>
      <c r="U38">
        <v>0</v>
      </c>
      <c r="V38">
        <v>0</v>
      </c>
      <c r="W38">
        <v>0</v>
      </c>
      <c r="X38">
        <v>105</v>
      </c>
      <c r="Y38">
        <v>30</v>
      </c>
      <c r="Z38">
        <v>-0.05</v>
      </c>
      <c r="AA38">
        <v>99.75</v>
      </c>
      <c r="AB38">
        <v>28.5</v>
      </c>
      <c r="AC38">
        <v>0.5</v>
      </c>
      <c r="AD38">
        <v>49.875</v>
      </c>
      <c r="AE38">
        <v>78.375</v>
      </c>
      <c r="AF38">
        <v>177.41249999999999</v>
      </c>
      <c r="AH38">
        <v>128.25</v>
      </c>
      <c r="AI38">
        <v>49.875</v>
      </c>
      <c r="AJ38">
        <v>78.375</v>
      </c>
      <c r="AK38">
        <v>8.5932973601038345</v>
      </c>
      <c r="AL38">
        <v>9.6250286237377995</v>
      </c>
      <c r="AM38">
        <v>-260.7052886852735</v>
      </c>
      <c r="AN38">
        <v>-206.5319120006624</v>
      </c>
      <c r="AO38">
        <v>-251.14694164621019</v>
      </c>
      <c r="AP38">
        <v>0</v>
      </c>
      <c r="AQ38">
        <v>177.41249999999999</v>
      </c>
      <c r="AR38">
        <v>89.006595086179289</v>
      </c>
      <c r="AS38">
        <v>155.99059065998409</v>
      </c>
      <c r="AT38">
        <v>0</v>
      </c>
      <c r="AU38">
        <v>0</v>
      </c>
      <c r="AV38">
        <v>0</v>
      </c>
      <c r="AW38">
        <v>0</v>
      </c>
      <c r="AX38">
        <v>128.25</v>
      </c>
      <c r="AY38">
        <v>10.763363437327349</v>
      </c>
      <c r="AZ38">
        <v>-345.65277397402889</v>
      </c>
      <c r="BA38">
        <v>155.99059065998409</v>
      </c>
      <c r="BC38" s="1">
        <f t="shared" si="48"/>
        <v>49.875</v>
      </c>
      <c r="BD38" s="2">
        <f t="shared" si="0"/>
        <v>8.5932973601038345</v>
      </c>
      <c r="BE38" s="7">
        <f t="shared" si="1"/>
        <v>-260.7052886852735</v>
      </c>
      <c r="BF38" s="1">
        <f t="shared" si="2"/>
        <v>78.375</v>
      </c>
      <c r="BG38" s="2">
        <f t="shared" si="3"/>
        <v>9.6250286237377995</v>
      </c>
      <c r="BH38" s="2">
        <f t="shared" si="67"/>
        <v>-206.5319120006624</v>
      </c>
      <c r="BI38" s="2">
        <f t="shared" si="67"/>
        <v>-251.14694164621019</v>
      </c>
      <c r="BJ38" s="7">
        <f t="shared" si="67"/>
        <v>0</v>
      </c>
      <c r="BK38" s="1">
        <f t="shared" si="68"/>
        <v>128.25</v>
      </c>
      <c r="BL38" s="2">
        <f t="shared" si="68"/>
        <v>18.218325983841634</v>
      </c>
      <c r="BM38" s="2">
        <f t="shared" si="6"/>
        <v>467.23720068593593</v>
      </c>
      <c r="BN38" s="2">
        <f t="shared" si="7"/>
        <v>251.14694164621019</v>
      </c>
      <c r="BO38" s="7">
        <f t="shared" si="8"/>
        <v>0</v>
      </c>
      <c r="BP38" s="2"/>
      <c r="BQ38" s="1">
        <f t="shared" si="30"/>
        <v>128.25</v>
      </c>
      <c r="BR38" s="4">
        <v>0</v>
      </c>
      <c r="BS38" s="2">
        <f t="shared" si="32"/>
        <v>128.25</v>
      </c>
      <c r="BT38" s="2">
        <f t="shared" si="33"/>
        <v>155.99059065998409</v>
      </c>
      <c r="BU38" s="21">
        <f t="shared" si="34"/>
        <v>1.2163009018322346</v>
      </c>
      <c r="BV38" s="21" t="str">
        <f t="shared" si="35"/>
        <v/>
      </c>
      <c r="BW38" s="21" t="str">
        <f t="shared" si="36"/>
        <v/>
      </c>
      <c r="BX38" s="21" t="str">
        <f t="shared" si="37"/>
        <v/>
      </c>
      <c r="BY38" s="1">
        <f t="shared" si="38"/>
        <v>177.41249999999999</v>
      </c>
      <c r="BZ38" s="4">
        <v>0</v>
      </c>
      <c r="CA38" s="2">
        <f t="shared" si="40"/>
        <v>177.41249999999999</v>
      </c>
      <c r="CB38" s="2">
        <f t="shared" si="41"/>
        <v>155.99059065998409</v>
      </c>
      <c r="CC38" s="21">
        <f t="shared" si="42"/>
        <v>0.8792536639751094</v>
      </c>
      <c r="CD38" s="2" t="str">
        <f t="shared" si="43"/>
        <v/>
      </c>
      <c r="CE38" s="2" t="str">
        <f t="shared" si="44"/>
        <v/>
      </c>
      <c r="CF38" s="21" t="str">
        <f t="shared" si="45"/>
        <v/>
      </c>
      <c r="CG38" s="15"/>
      <c r="CH38" s="21" t="str">
        <f t="shared" si="47"/>
        <v/>
      </c>
      <c r="CI38" s="51" t="s">
        <v>126</v>
      </c>
    </row>
    <row r="39" spans="1:87" x14ac:dyDescent="0.25">
      <c r="A39" t="str">
        <f t="shared" si="27"/>
        <v>Travée</v>
      </c>
      <c r="B39" t="b">
        <f t="shared" si="28"/>
        <v>1</v>
      </c>
      <c r="C39">
        <f t="shared" si="90"/>
        <v>4</v>
      </c>
      <c r="D39" t="s">
        <v>91</v>
      </c>
      <c r="E39" t="s">
        <v>48</v>
      </c>
      <c r="F39">
        <v>25</v>
      </c>
      <c r="G39" t="s">
        <v>46</v>
      </c>
      <c r="H39">
        <v>500</v>
      </c>
      <c r="I39">
        <v>220000</v>
      </c>
      <c r="J39">
        <v>1576</v>
      </c>
      <c r="K39">
        <v>1870</v>
      </c>
      <c r="L39">
        <v>1</v>
      </c>
      <c r="M39">
        <v>0.23499999999999999</v>
      </c>
      <c r="N39">
        <v>2.2000000000000002</v>
      </c>
      <c r="O39">
        <v>8.470000000000001E-4</v>
      </c>
      <c r="P39">
        <v>0.04</v>
      </c>
      <c r="Q39">
        <v>1</v>
      </c>
      <c r="R39">
        <v>0</v>
      </c>
      <c r="S39">
        <v>0</v>
      </c>
      <c r="T39">
        <v>1</v>
      </c>
      <c r="U39">
        <v>2.9099999999999999E-5</v>
      </c>
      <c r="V39">
        <v>0</v>
      </c>
      <c r="W39">
        <v>6</v>
      </c>
      <c r="X39">
        <v>47</v>
      </c>
      <c r="Y39">
        <v>17</v>
      </c>
      <c r="Z39">
        <v>0</v>
      </c>
      <c r="AA39">
        <v>51.95</v>
      </c>
      <c r="AB39">
        <v>18.574999999999999</v>
      </c>
      <c r="AC39">
        <v>0.5</v>
      </c>
      <c r="AD39">
        <v>25.975000000000001</v>
      </c>
      <c r="AE39">
        <v>44.55</v>
      </c>
      <c r="AF39">
        <v>97.995000000000005</v>
      </c>
      <c r="AH39">
        <v>70.525000000000006</v>
      </c>
      <c r="AI39">
        <v>25.975000000000001</v>
      </c>
      <c r="AJ39">
        <v>44.55</v>
      </c>
      <c r="AK39">
        <v>4.4696581752426443</v>
      </c>
      <c r="AL39">
        <v>6.5729263707523709</v>
      </c>
      <c r="AM39">
        <v>-165.43446208448481</v>
      </c>
      <c r="AN39">
        <v>-212.41351611397769</v>
      </c>
      <c r="AO39">
        <v>0</v>
      </c>
      <c r="AP39">
        <v>-291.0079560927752</v>
      </c>
      <c r="AQ39">
        <v>97.995000000000005</v>
      </c>
      <c r="AR39">
        <v>74.708892277634021</v>
      </c>
      <c r="AS39">
        <v>140.37551379298091</v>
      </c>
      <c r="AT39">
        <v>10.478534208771761</v>
      </c>
      <c r="AU39">
        <v>-435.3359956578621</v>
      </c>
      <c r="AV39">
        <v>0</v>
      </c>
      <c r="AW39">
        <v>-813.36369886411569</v>
      </c>
      <c r="AX39">
        <v>70.525000000000006</v>
      </c>
      <c r="AY39">
        <v>15.236054328303419</v>
      </c>
      <c r="AZ39">
        <v>-442.7814596688591</v>
      </c>
      <c r="BA39">
        <v>74.708892277634021</v>
      </c>
      <c r="BC39" s="1">
        <f t="shared" si="48"/>
        <v>25.975000000000001</v>
      </c>
      <c r="BD39" s="2">
        <f t="shared" si="0"/>
        <v>4.4696581752426443</v>
      </c>
      <c r="BE39" s="7">
        <f t="shared" si="1"/>
        <v>-165.43446208448481</v>
      </c>
      <c r="BF39" s="1">
        <f t="shared" si="2"/>
        <v>44.55</v>
      </c>
      <c r="BG39" s="2">
        <f t="shared" si="3"/>
        <v>6.5729263707523709</v>
      </c>
      <c r="BH39" s="2">
        <f t="shared" si="67"/>
        <v>-212.41351611397769</v>
      </c>
      <c r="BI39" s="2">
        <f t="shared" si="67"/>
        <v>0</v>
      </c>
      <c r="BJ39" s="7">
        <f t="shared" si="67"/>
        <v>-291.0079560927752</v>
      </c>
      <c r="BK39" s="1">
        <f t="shared" si="68"/>
        <v>70.525000000000006</v>
      </c>
      <c r="BL39" s="2">
        <f t="shared" si="68"/>
        <v>11.042584545995016</v>
      </c>
      <c r="BM39" s="2">
        <f t="shared" si="6"/>
        <v>377.8479781984625</v>
      </c>
      <c r="BN39" s="2">
        <f t="shared" si="7"/>
        <v>0</v>
      </c>
      <c r="BO39" s="7">
        <f t="shared" si="8"/>
        <v>-291.0079560927752</v>
      </c>
      <c r="BP39" s="2"/>
      <c r="BQ39" s="1">
        <f t="shared" si="30"/>
        <v>70.525000000000006</v>
      </c>
      <c r="BR39" s="4" t="str">
        <f t="shared" ref="BR39" si="94">IF(ISNUMBER(SEARCH("Appui",E39)),0,"0")</f>
        <v>0</v>
      </c>
      <c r="BS39" s="2">
        <f t="shared" si="32"/>
        <v>70.525000000000006</v>
      </c>
      <c r="BT39" s="2">
        <f t="shared" si="33"/>
        <v>74.708892277634021</v>
      </c>
      <c r="BU39" s="21">
        <f t="shared" si="34"/>
        <v>1.0593249525364625</v>
      </c>
      <c r="BV39" s="21">
        <f t="shared" si="35"/>
        <v>194.5</v>
      </c>
      <c r="BW39" s="21">
        <f t="shared" si="36"/>
        <v>194.38176188538665</v>
      </c>
      <c r="BX39" s="21">
        <f t="shared" si="37"/>
        <v>0.99939209195571543</v>
      </c>
      <c r="BY39" s="1">
        <f t="shared" si="38"/>
        <v>97.995000000000005</v>
      </c>
      <c r="BZ39" s="4" t="str">
        <f t="shared" ref="BZ39" si="95">IF(ISNUMBER(SEARCH("Appui",M39)),0,"0")</f>
        <v>0</v>
      </c>
      <c r="CA39" s="2">
        <f t="shared" si="40"/>
        <v>97.995000000000005</v>
      </c>
      <c r="CB39" s="2">
        <f t="shared" si="41"/>
        <v>140.37551379298091</v>
      </c>
      <c r="CC39" s="21">
        <f t="shared" si="42"/>
        <v>1.4324762874940651</v>
      </c>
      <c r="CD39" s="2">
        <f t="shared" si="43"/>
        <v>269.85000000000002</v>
      </c>
      <c r="CE39" s="2">
        <f t="shared" si="44"/>
        <v>322.18574944655074</v>
      </c>
      <c r="CF39" s="21">
        <f t="shared" si="45"/>
        <v>1.1939438556477699</v>
      </c>
      <c r="CG39" s="10" t="str">
        <f t="shared" ref="CG39" si="96">IF(C37&lt;C39,"Rive",IF(C41&gt;C39,"Rive","Inter"))</f>
        <v>Inter</v>
      </c>
      <c r="CH39" s="21">
        <f t="shared" si="47"/>
        <v>0.72033263622526078</v>
      </c>
      <c r="CI39" s="51" t="s">
        <v>126</v>
      </c>
    </row>
    <row r="40" spans="1:87" x14ac:dyDescent="0.25">
      <c r="A40" t="str">
        <f t="shared" si="27"/>
        <v>Appui</v>
      </c>
      <c r="B40" t="b">
        <f t="shared" si="28"/>
        <v>1</v>
      </c>
      <c r="C40">
        <f t="shared" si="90"/>
        <v>4</v>
      </c>
      <c r="D40" t="s">
        <v>91</v>
      </c>
      <c r="E40" t="s">
        <v>49</v>
      </c>
      <c r="F40">
        <v>25</v>
      </c>
      <c r="G40" t="s">
        <v>46</v>
      </c>
      <c r="H40">
        <v>500</v>
      </c>
      <c r="I40">
        <v>220000</v>
      </c>
      <c r="J40">
        <v>1576</v>
      </c>
      <c r="K40">
        <v>1870</v>
      </c>
      <c r="L40">
        <v>1</v>
      </c>
      <c r="M40">
        <v>0.22</v>
      </c>
      <c r="N40">
        <v>2.2000000000000002</v>
      </c>
      <c r="O40">
        <v>1.0482E-3</v>
      </c>
      <c r="P40">
        <v>0.04</v>
      </c>
      <c r="Q40">
        <v>1</v>
      </c>
      <c r="R40">
        <v>0</v>
      </c>
      <c r="S40">
        <v>0</v>
      </c>
      <c r="T40">
        <v>1</v>
      </c>
      <c r="U40">
        <v>2.9099999999999999E-5</v>
      </c>
      <c r="V40">
        <v>0</v>
      </c>
      <c r="W40">
        <v>12</v>
      </c>
      <c r="X40">
        <v>93</v>
      </c>
      <c r="Y40">
        <v>33</v>
      </c>
      <c r="Z40">
        <v>-0.05</v>
      </c>
      <c r="AA40">
        <v>88.35</v>
      </c>
      <c r="AB40">
        <v>31.35</v>
      </c>
      <c r="AC40">
        <v>0.25</v>
      </c>
      <c r="AD40">
        <v>66.262499999999989</v>
      </c>
      <c r="AE40">
        <v>53.4375</v>
      </c>
      <c r="AF40">
        <v>166.29750000000001</v>
      </c>
      <c r="AH40">
        <v>119.7</v>
      </c>
      <c r="AI40">
        <v>66.262499999999989</v>
      </c>
      <c r="AJ40">
        <v>53.4375</v>
      </c>
      <c r="AK40">
        <v>11.77524077026599</v>
      </c>
      <c r="AL40">
        <v>7.5105170486157604</v>
      </c>
      <c r="AM40">
        <v>-372.24776511163282</v>
      </c>
      <c r="AN40">
        <v>-192.15244607614289</v>
      </c>
      <c r="AO40">
        <v>0</v>
      </c>
      <c r="AP40">
        <v>-270.00378277232483</v>
      </c>
      <c r="AQ40">
        <v>166.29750000000001</v>
      </c>
      <c r="AR40">
        <v>83.355148555521154</v>
      </c>
      <c r="AS40">
        <v>207.6298806471556</v>
      </c>
      <c r="AT40">
        <v>15.510270973705969</v>
      </c>
      <c r="AU40">
        <v>-436.47472016575858</v>
      </c>
      <c r="AV40">
        <v>0</v>
      </c>
      <c r="AW40">
        <v>-1282.1746107700201</v>
      </c>
      <c r="AX40">
        <v>119.7</v>
      </c>
      <c r="AY40">
        <v>0</v>
      </c>
      <c r="AZ40">
        <v>0</v>
      </c>
      <c r="BA40">
        <v>83.355148555521154</v>
      </c>
      <c r="BC40" s="1">
        <f t="shared" si="48"/>
        <v>66.262499999999989</v>
      </c>
      <c r="BD40" s="2">
        <f t="shared" si="0"/>
        <v>11.77524077026599</v>
      </c>
      <c r="BE40" s="7">
        <f t="shared" si="1"/>
        <v>-372.24776511163282</v>
      </c>
      <c r="BF40" s="1">
        <f t="shared" si="2"/>
        <v>53.4375</v>
      </c>
      <c r="BG40" s="2">
        <f t="shared" si="3"/>
        <v>7.5105170486157604</v>
      </c>
      <c r="BH40" s="2">
        <f t="shared" si="67"/>
        <v>-192.15244607614289</v>
      </c>
      <c r="BI40" s="2">
        <f t="shared" si="67"/>
        <v>0</v>
      </c>
      <c r="BJ40" s="7">
        <f t="shared" si="67"/>
        <v>-270.00378277232483</v>
      </c>
      <c r="BK40" s="1">
        <f t="shared" si="68"/>
        <v>119.69999999999999</v>
      </c>
      <c r="BL40" s="2">
        <f t="shared" si="68"/>
        <v>19.285757818881748</v>
      </c>
      <c r="BM40" s="2">
        <f t="shared" si="6"/>
        <v>564.40021118777577</v>
      </c>
      <c r="BN40" s="2">
        <f t="shared" si="7"/>
        <v>0</v>
      </c>
      <c r="BO40" s="7">
        <f t="shared" si="8"/>
        <v>-270.00378277232483</v>
      </c>
      <c r="BP40" s="2"/>
      <c r="BQ40" s="1">
        <f t="shared" si="30"/>
        <v>119.7</v>
      </c>
      <c r="BR40" s="4">
        <v>0</v>
      </c>
      <c r="BS40" s="2">
        <f t="shared" si="32"/>
        <v>119.7</v>
      </c>
      <c r="BT40" s="2">
        <f t="shared" si="33"/>
        <v>83.355148555521154</v>
      </c>
      <c r="BU40" s="21">
        <f t="shared" si="34"/>
        <v>0.69636715585230702</v>
      </c>
      <c r="BV40" s="21" t="str">
        <f t="shared" si="35"/>
        <v/>
      </c>
      <c r="BW40" s="21" t="str">
        <f t="shared" si="36"/>
        <v/>
      </c>
      <c r="BX40" s="21" t="str">
        <f t="shared" si="37"/>
        <v/>
      </c>
      <c r="BY40" s="1">
        <f t="shared" si="38"/>
        <v>166.29750000000001</v>
      </c>
      <c r="BZ40" s="4">
        <v>0</v>
      </c>
      <c r="CA40" s="2">
        <f t="shared" si="40"/>
        <v>166.29750000000001</v>
      </c>
      <c r="CB40" s="2">
        <f t="shared" si="41"/>
        <v>207.6298806471556</v>
      </c>
      <c r="CC40" s="21">
        <f t="shared" si="42"/>
        <v>1.2485448106384978</v>
      </c>
      <c r="CD40" s="2" t="str">
        <f t="shared" si="43"/>
        <v/>
      </c>
      <c r="CE40" s="2" t="str">
        <f t="shared" si="44"/>
        <v/>
      </c>
      <c r="CF40" s="21" t="str">
        <f t="shared" si="45"/>
        <v/>
      </c>
      <c r="CG40" s="15"/>
      <c r="CH40" s="21" t="str">
        <f t="shared" si="47"/>
        <v/>
      </c>
      <c r="CI40" s="51" t="s">
        <v>126</v>
      </c>
    </row>
    <row r="41" spans="1:87" x14ac:dyDescent="0.25">
      <c r="A41" t="str">
        <f t="shared" si="27"/>
        <v>Travée</v>
      </c>
      <c r="B41" t="b">
        <f t="shared" si="28"/>
        <v>1</v>
      </c>
      <c r="C41">
        <f t="shared" si="90"/>
        <v>4</v>
      </c>
      <c r="D41" t="s">
        <v>91</v>
      </c>
      <c r="E41" t="s">
        <v>51</v>
      </c>
      <c r="F41">
        <v>25</v>
      </c>
      <c r="G41" t="s">
        <v>46</v>
      </c>
      <c r="H41">
        <v>500</v>
      </c>
      <c r="I41">
        <v>220000</v>
      </c>
      <c r="J41">
        <v>1576</v>
      </c>
      <c r="K41">
        <v>1870</v>
      </c>
      <c r="L41">
        <v>1</v>
      </c>
      <c r="M41">
        <v>0.23499999999999999</v>
      </c>
      <c r="N41">
        <v>2.2000000000000002</v>
      </c>
      <c r="O41">
        <v>2.8160000000000001E-4</v>
      </c>
      <c r="P41">
        <v>0.04</v>
      </c>
      <c r="Q41">
        <v>1</v>
      </c>
      <c r="R41">
        <v>0</v>
      </c>
      <c r="S41">
        <v>0</v>
      </c>
      <c r="T41">
        <v>1</v>
      </c>
      <c r="U41">
        <v>2.9099999999999999E-5</v>
      </c>
      <c r="V41">
        <v>0</v>
      </c>
      <c r="W41">
        <v>6</v>
      </c>
      <c r="X41">
        <v>2</v>
      </c>
      <c r="Y41">
        <v>6.3</v>
      </c>
      <c r="Z41">
        <v>0</v>
      </c>
      <c r="AA41">
        <v>4.3250000000000002</v>
      </c>
      <c r="AB41">
        <v>7.125</v>
      </c>
      <c r="AC41">
        <v>0</v>
      </c>
      <c r="AD41">
        <v>4.3250000000000002</v>
      </c>
      <c r="AE41">
        <v>7.125</v>
      </c>
      <c r="AF41">
        <v>16.526250000000001</v>
      </c>
      <c r="AH41">
        <v>11.45</v>
      </c>
      <c r="AI41">
        <v>4.3250000000000002</v>
      </c>
      <c r="AJ41">
        <v>7.125</v>
      </c>
      <c r="AK41">
        <v>1.2312557053038311</v>
      </c>
      <c r="AL41">
        <v>1.3938994208912281</v>
      </c>
      <c r="AM41">
        <v>-81.164752256368246</v>
      </c>
      <c r="AN41">
        <v>-66.860079778237875</v>
      </c>
      <c r="AO41">
        <v>0</v>
      </c>
      <c r="AP41">
        <v>-90.630957751170641</v>
      </c>
      <c r="AQ41">
        <v>16.526250000000001</v>
      </c>
      <c r="AR41">
        <v>25.257071304347789</v>
      </c>
      <c r="AS41">
        <v>96.476549090950158</v>
      </c>
      <c r="AT41">
        <v>2.366870651512559</v>
      </c>
      <c r="AU41">
        <v>-156.50896750541159</v>
      </c>
      <c r="AV41">
        <v>0</v>
      </c>
      <c r="AW41">
        <v>-214.12874584085361</v>
      </c>
      <c r="AX41">
        <v>11.45</v>
      </c>
      <c r="AY41">
        <v>2.3686304301706542</v>
      </c>
      <c r="AZ41">
        <v>-217.34544399047601</v>
      </c>
      <c r="BA41">
        <v>25.257071304347789</v>
      </c>
      <c r="BC41" s="1">
        <f t="shared" si="48"/>
        <v>4.3250000000000002</v>
      </c>
      <c r="BD41" s="2">
        <f t="shared" si="0"/>
        <v>1.2312557053038311</v>
      </c>
      <c r="BE41" s="7">
        <f t="shared" si="1"/>
        <v>-81.164752256368246</v>
      </c>
      <c r="BF41" s="1">
        <f t="shared" si="2"/>
        <v>7.125</v>
      </c>
      <c r="BG41" s="2">
        <f t="shared" si="3"/>
        <v>1.3938994208912281</v>
      </c>
      <c r="BH41" s="2">
        <f t="shared" si="67"/>
        <v>-66.860079778237875</v>
      </c>
      <c r="BI41" s="2">
        <f t="shared" si="67"/>
        <v>0</v>
      </c>
      <c r="BJ41" s="7">
        <f t="shared" si="67"/>
        <v>-90.630957751170641</v>
      </c>
      <c r="BK41" s="1">
        <f t="shared" si="68"/>
        <v>11.45</v>
      </c>
      <c r="BL41" s="2">
        <f t="shared" si="68"/>
        <v>2.6251551261950592</v>
      </c>
      <c r="BM41" s="2">
        <f t="shared" si="6"/>
        <v>148.02483203460611</v>
      </c>
      <c r="BN41" s="2">
        <f t="shared" si="7"/>
        <v>0</v>
      </c>
      <c r="BO41" s="7">
        <f t="shared" si="8"/>
        <v>-90.630957751170641</v>
      </c>
      <c r="BP41" s="2"/>
      <c r="BQ41" s="1">
        <f t="shared" si="30"/>
        <v>11.45</v>
      </c>
      <c r="BR41" s="4" t="str">
        <f t="shared" ref="BR41" si="97">IF(ISNUMBER(SEARCH("Appui",E41)),0,"0")</f>
        <v>0</v>
      </c>
      <c r="BS41" s="2">
        <f t="shared" si="32"/>
        <v>11.45</v>
      </c>
      <c r="BT41" s="2">
        <f t="shared" si="33"/>
        <v>25.257071304347789</v>
      </c>
      <c r="BU41" s="21">
        <f t="shared" si="34"/>
        <v>2.2058577558382351</v>
      </c>
      <c r="BV41" s="21">
        <f t="shared" si="35"/>
        <v>91.3</v>
      </c>
      <c r="BW41" s="21">
        <f t="shared" si="36"/>
        <v>104.53585877600619</v>
      </c>
      <c r="BX41" s="21">
        <f t="shared" si="37"/>
        <v>1.1449710709310645</v>
      </c>
      <c r="BY41" s="1">
        <f t="shared" si="38"/>
        <v>16.526250000000001</v>
      </c>
      <c r="BZ41" s="4" t="str">
        <f t="shared" ref="BZ41" si="98">IF(ISNUMBER(SEARCH("Appui",M41)),0,"0")</f>
        <v>0</v>
      </c>
      <c r="CA41" s="2">
        <f t="shared" si="40"/>
        <v>16.526250000000001</v>
      </c>
      <c r="CB41" s="2">
        <f t="shared" si="41"/>
        <v>96.476549090950158</v>
      </c>
      <c r="CC41" s="21">
        <f t="shared" si="42"/>
        <v>5.8377762100264823</v>
      </c>
      <c r="CD41" s="2">
        <f t="shared" si="43"/>
        <v>127.80000000000001</v>
      </c>
      <c r="CE41" s="2">
        <f t="shared" si="44"/>
        <v>237.89270260842579</v>
      </c>
      <c r="CF41" s="21">
        <f t="shared" si="45"/>
        <v>1.8614452473272751</v>
      </c>
      <c r="CG41" s="10" t="str">
        <f t="shared" ref="CG41" si="99">IF(C39&lt;C41,"Rive",IF(C43&gt;C41,"Rive","Inter"))</f>
        <v>Inter</v>
      </c>
      <c r="CH41" s="21">
        <f t="shared" si="47"/>
        <v>0.81796446616593255</v>
      </c>
      <c r="CI41" s="51" t="s">
        <v>126</v>
      </c>
    </row>
    <row r="42" spans="1:87" x14ac:dyDescent="0.25">
      <c r="A42" t="str">
        <f t="shared" si="27"/>
        <v>Appui</v>
      </c>
      <c r="B42" t="b">
        <f t="shared" si="28"/>
        <v>1</v>
      </c>
      <c r="C42">
        <f t="shared" si="90"/>
        <v>4</v>
      </c>
      <c r="D42" t="s">
        <v>91</v>
      </c>
      <c r="E42" t="s">
        <v>52</v>
      </c>
      <c r="F42">
        <v>25</v>
      </c>
      <c r="G42" t="s">
        <v>46</v>
      </c>
      <c r="H42">
        <v>500</v>
      </c>
      <c r="I42">
        <v>220000</v>
      </c>
      <c r="J42">
        <v>1576</v>
      </c>
      <c r="K42">
        <v>1870</v>
      </c>
      <c r="L42">
        <v>1</v>
      </c>
      <c r="M42">
        <v>0.25</v>
      </c>
      <c r="N42">
        <v>2.2000000000000002</v>
      </c>
      <c r="O42">
        <v>9.3510000000000012E-4</v>
      </c>
      <c r="P42">
        <v>6.9999999999999993E-2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25</v>
      </c>
      <c r="Y42">
        <v>15</v>
      </c>
      <c r="Z42">
        <v>0</v>
      </c>
      <c r="AA42">
        <v>25</v>
      </c>
      <c r="AB42">
        <v>15</v>
      </c>
      <c r="AC42">
        <v>0</v>
      </c>
      <c r="AD42">
        <v>25</v>
      </c>
      <c r="AE42">
        <v>15</v>
      </c>
      <c r="AF42">
        <v>56.25</v>
      </c>
      <c r="AH42">
        <v>40</v>
      </c>
      <c r="AI42">
        <v>25</v>
      </c>
      <c r="AJ42">
        <v>15</v>
      </c>
      <c r="AK42">
        <v>4.6711118352234671</v>
      </c>
      <c r="AL42">
        <v>2.8026671011340789</v>
      </c>
      <c r="AM42">
        <v>-156.941562627568</v>
      </c>
      <c r="AN42">
        <v>-94.16493757654078</v>
      </c>
      <c r="AO42">
        <v>0</v>
      </c>
      <c r="AP42">
        <v>0</v>
      </c>
      <c r="AQ42">
        <v>56.25</v>
      </c>
      <c r="AR42">
        <v>75.202426387795668</v>
      </c>
      <c r="AS42">
        <v>75.202426387795668</v>
      </c>
      <c r="AT42">
        <v>7.4057202109455176</v>
      </c>
      <c r="AU42">
        <v>-361.48799773393807</v>
      </c>
      <c r="AV42">
        <v>0</v>
      </c>
      <c r="AW42">
        <v>0</v>
      </c>
      <c r="AX42">
        <v>40</v>
      </c>
      <c r="AY42">
        <v>5.4061423670219071</v>
      </c>
      <c r="AZ42">
        <v>-256.65226468666799</v>
      </c>
      <c r="BA42">
        <v>75.202426387795668</v>
      </c>
      <c r="BC42" s="1">
        <f t="shared" si="48"/>
        <v>25</v>
      </c>
      <c r="BD42" s="2">
        <f t="shared" si="0"/>
        <v>4.6711118352234671</v>
      </c>
      <c r="BE42" s="7">
        <f t="shared" si="1"/>
        <v>-156.941562627568</v>
      </c>
      <c r="BF42" s="1">
        <f t="shared" si="2"/>
        <v>15</v>
      </c>
      <c r="BG42" s="2">
        <f t="shared" si="3"/>
        <v>2.8026671011340789</v>
      </c>
      <c r="BH42" s="2">
        <f t="shared" si="67"/>
        <v>-94.16493757654078</v>
      </c>
      <c r="BI42" s="2">
        <f t="shared" si="67"/>
        <v>0</v>
      </c>
      <c r="BJ42" s="7">
        <f t="shared" si="67"/>
        <v>0</v>
      </c>
      <c r="BK42" s="1">
        <f t="shared" si="68"/>
        <v>40</v>
      </c>
      <c r="BL42" s="2">
        <f t="shared" si="68"/>
        <v>7.4737789363575455</v>
      </c>
      <c r="BM42" s="2">
        <f t="shared" si="6"/>
        <v>251.10650020410878</v>
      </c>
      <c r="BN42" s="2">
        <f t="shared" si="7"/>
        <v>0</v>
      </c>
      <c r="BO42" s="7">
        <f t="shared" si="8"/>
        <v>0</v>
      </c>
      <c r="BP42" s="2"/>
      <c r="BQ42" s="1">
        <f t="shared" si="30"/>
        <v>40</v>
      </c>
      <c r="BR42" s="4">
        <v>0</v>
      </c>
      <c r="BS42" s="2">
        <f t="shared" si="32"/>
        <v>40</v>
      </c>
      <c r="BT42" s="2">
        <f t="shared" si="33"/>
        <v>75.202426387795668</v>
      </c>
      <c r="BU42" s="21">
        <f t="shared" si="34"/>
        <v>1.8800606596948917</v>
      </c>
      <c r="BV42" s="21" t="str">
        <f t="shared" si="35"/>
        <v/>
      </c>
      <c r="BW42" s="21" t="str">
        <f t="shared" si="36"/>
        <v/>
      </c>
      <c r="BX42" s="21" t="str">
        <f t="shared" si="37"/>
        <v/>
      </c>
      <c r="BY42" s="1">
        <f t="shared" si="38"/>
        <v>56.25</v>
      </c>
      <c r="BZ42" s="4">
        <v>0</v>
      </c>
      <c r="CA42" s="2">
        <f t="shared" si="40"/>
        <v>56.25</v>
      </c>
      <c r="CB42" s="2">
        <f t="shared" si="41"/>
        <v>75.202426387795668</v>
      </c>
      <c r="CC42" s="21">
        <f t="shared" si="42"/>
        <v>1.336932024671923</v>
      </c>
      <c r="CD42" s="2" t="str">
        <f t="shared" si="43"/>
        <v/>
      </c>
      <c r="CE42" s="2" t="str">
        <f t="shared" si="44"/>
        <v/>
      </c>
      <c r="CF42" s="21" t="str">
        <f t="shared" si="45"/>
        <v/>
      </c>
      <c r="CG42" s="15"/>
      <c r="CH42" s="21" t="str">
        <f t="shared" si="47"/>
        <v/>
      </c>
      <c r="CI42" s="51" t="s">
        <v>126</v>
      </c>
    </row>
    <row r="43" spans="1:87" x14ac:dyDescent="0.25">
      <c r="A43" t="str">
        <f t="shared" si="27"/>
        <v>Travée</v>
      </c>
      <c r="B43" t="b">
        <f t="shared" si="28"/>
        <v>1</v>
      </c>
      <c r="C43">
        <f t="shared" si="90"/>
        <v>4</v>
      </c>
      <c r="D43" t="s">
        <v>91</v>
      </c>
      <c r="E43" t="s">
        <v>53</v>
      </c>
      <c r="F43">
        <v>25</v>
      </c>
      <c r="G43" t="s">
        <v>46</v>
      </c>
      <c r="H43">
        <v>500</v>
      </c>
      <c r="I43">
        <v>220000</v>
      </c>
      <c r="J43">
        <v>1576</v>
      </c>
      <c r="K43">
        <v>1870</v>
      </c>
      <c r="L43">
        <v>1</v>
      </c>
      <c r="M43">
        <v>0.23499999999999999</v>
      </c>
      <c r="N43">
        <v>2.2000000000000002</v>
      </c>
      <c r="O43">
        <v>2.8160000000000001E-4</v>
      </c>
      <c r="P43">
        <v>0.04</v>
      </c>
      <c r="Q43">
        <v>1</v>
      </c>
      <c r="R43">
        <v>0</v>
      </c>
      <c r="S43">
        <v>0</v>
      </c>
      <c r="T43">
        <v>1</v>
      </c>
      <c r="U43">
        <v>2.9099999999999999E-5</v>
      </c>
      <c r="V43">
        <v>0</v>
      </c>
      <c r="W43">
        <v>6</v>
      </c>
      <c r="X43">
        <v>4</v>
      </c>
      <c r="Y43">
        <v>6.5</v>
      </c>
      <c r="Z43">
        <v>0</v>
      </c>
      <c r="AA43">
        <v>4</v>
      </c>
      <c r="AB43">
        <v>6.5</v>
      </c>
      <c r="AC43">
        <v>0</v>
      </c>
      <c r="AD43">
        <v>4</v>
      </c>
      <c r="AE43">
        <v>6.5</v>
      </c>
      <c r="AF43">
        <v>15.15</v>
      </c>
      <c r="AH43">
        <v>10.5</v>
      </c>
      <c r="AI43">
        <v>4</v>
      </c>
      <c r="AJ43">
        <v>6.5</v>
      </c>
      <c r="AK43">
        <v>1.1387338879205811</v>
      </c>
      <c r="AL43">
        <v>1.2716275418656791</v>
      </c>
      <c r="AM43">
        <v>-75.065664925381412</v>
      </c>
      <c r="AN43">
        <v>-60.995160499445099</v>
      </c>
      <c r="AO43">
        <v>0</v>
      </c>
      <c r="AP43">
        <v>-82.680873737910076</v>
      </c>
      <c r="AQ43">
        <v>15.15</v>
      </c>
      <c r="AR43">
        <v>25.257071304347789</v>
      </c>
      <c r="AS43">
        <v>96.476549090950158</v>
      </c>
      <c r="AT43">
        <v>2.174077304022191</v>
      </c>
      <c r="AU43">
        <v>-143.46792157648349</v>
      </c>
      <c r="AV43">
        <v>0</v>
      </c>
      <c r="AW43">
        <v>-196.2793133838677</v>
      </c>
      <c r="AX43">
        <v>10.5</v>
      </c>
      <c r="AY43">
        <v>2.1766772579815932</v>
      </c>
      <c r="AZ43">
        <v>-199.29834285466359</v>
      </c>
      <c r="BA43">
        <v>25.257071304347789</v>
      </c>
      <c r="BC43" s="1">
        <f t="shared" si="48"/>
        <v>4</v>
      </c>
      <c r="BD43" s="2">
        <f t="shared" si="0"/>
        <v>1.1387338879205811</v>
      </c>
      <c r="BE43" s="7">
        <f t="shared" si="1"/>
        <v>-75.065664925381412</v>
      </c>
      <c r="BF43" s="1">
        <f t="shared" si="2"/>
        <v>6.5</v>
      </c>
      <c r="BG43" s="2">
        <f t="shared" si="3"/>
        <v>1.2716275418656791</v>
      </c>
      <c r="BH43" s="2">
        <f t="shared" si="67"/>
        <v>-60.995160499445099</v>
      </c>
      <c r="BI43" s="2">
        <f t="shared" si="67"/>
        <v>0</v>
      </c>
      <c r="BJ43" s="7">
        <f t="shared" si="67"/>
        <v>-82.680873737910076</v>
      </c>
      <c r="BK43" s="1">
        <f t="shared" si="68"/>
        <v>10.5</v>
      </c>
      <c r="BL43" s="2">
        <f t="shared" si="68"/>
        <v>2.4103614297862599</v>
      </c>
      <c r="BM43" s="2">
        <f t="shared" si="6"/>
        <v>136.0608254248265</v>
      </c>
      <c r="BN43" s="2">
        <f t="shared" si="7"/>
        <v>0</v>
      </c>
      <c r="BO43" s="7">
        <f t="shared" si="8"/>
        <v>-82.680873737910076</v>
      </c>
      <c r="BP43" s="2"/>
      <c r="BQ43" s="1">
        <f t="shared" si="30"/>
        <v>10.5</v>
      </c>
      <c r="BR43" s="4" t="str">
        <f t="shared" ref="BR43" si="100">IF(ISNUMBER(SEARCH("Appui",E43)),0,"0")</f>
        <v>0</v>
      </c>
      <c r="BS43" s="2">
        <f t="shared" si="32"/>
        <v>10.5</v>
      </c>
      <c r="BT43" s="2">
        <f t="shared" si="33"/>
        <v>25.257071304347789</v>
      </c>
      <c r="BU43" s="21">
        <f t="shared" si="34"/>
        <v>2.4054353623188369</v>
      </c>
      <c r="BV43" s="21">
        <f t="shared" si="35"/>
        <v>92.25</v>
      </c>
      <c r="BW43" s="21">
        <f t="shared" si="36"/>
        <v>104.53585877600619</v>
      </c>
      <c r="BX43" s="21">
        <f t="shared" si="37"/>
        <v>1.1331800409323165</v>
      </c>
      <c r="BY43" s="1">
        <f t="shared" si="38"/>
        <v>15.15</v>
      </c>
      <c r="BZ43" s="4" t="str">
        <f t="shared" ref="BZ43" si="101">IF(ISNUMBER(SEARCH("Appui",M43)),0,"0")</f>
        <v>0</v>
      </c>
      <c r="CA43" s="2">
        <f t="shared" si="40"/>
        <v>15.15</v>
      </c>
      <c r="CB43" s="2">
        <f t="shared" si="41"/>
        <v>96.476549090950158</v>
      </c>
      <c r="CC43" s="21">
        <f t="shared" si="42"/>
        <v>6.368089048907601</v>
      </c>
      <c r="CD43" s="2">
        <f t="shared" si="43"/>
        <v>128.96250000000001</v>
      </c>
      <c r="CE43" s="2">
        <f t="shared" si="44"/>
        <v>237.89270260842579</v>
      </c>
      <c r="CF43" s="21">
        <f t="shared" si="45"/>
        <v>1.8446657176188874</v>
      </c>
      <c r="CG43" s="10" t="str">
        <f t="shared" ref="CG43" si="102">IF(C41&lt;C43,"Rive",IF(C45&gt;C43,"Rive","Inter"))</f>
        <v>Inter</v>
      </c>
      <c r="CH43" s="21">
        <f t="shared" si="47"/>
        <v>0.81059113134443106</v>
      </c>
      <c r="CI43" s="51" t="s">
        <v>126</v>
      </c>
    </row>
    <row r="44" spans="1:87" x14ac:dyDescent="0.25">
      <c r="A44" t="str">
        <f t="shared" si="27"/>
        <v>Appui</v>
      </c>
      <c r="B44" t="b">
        <f t="shared" si="28"/>
        <v>1</v>
      </c>
      <c r="C44">
        <f t="shared" si="90"/>
        <v>4</v>
      </c>
      <c r="D44" t="s">
        <v>91</v>
      </c>
      <c r="E44" t="s">
        <v>54</v>
      </c>
      <c r="F44">
        <v>25</v>
      </c>
      <c r="G44" t="s">
        <v>46</v>
      </c>
      <c r="H44">
        <v>500</v>
      </c>
      <c r="I44">
        <v>220000</v>
      </c>
      <c r="J44">
        <v>1576</v>
      </c>
      <c r="K44">
        <v>1870</v>
      </c>
      <c r="L44">
        <v>1</v>
      </c>
      <c r="M44">
        <v>0.22</v>
      </c>
      <c r="N44">
        <v>2.2000000000000002</v>
      </c>
      <c r="O44">
        <v>1.0482E-3</v>
      </c>
      <c r="P44">
        <v>0.04</v>
      </c>
      <c r="Q44">
        <v>1</v>
      </c>
      <c r="R44">
        <v>0</v>
      </c>
      <c r="S44">
        <v>0</v>
      </c>
      <c r="T44">
        <v>1</v>
      </c>
      <c r="U44">
        <v>2.9099999999999999E-5</v>
      </c>
      <c r="V44">
        <v>0</v>
      </c>
      <c r="W44">
        <v>12</v>
      </c>
      <c r="X44">
        <v>92.5</v>
      </c>
      <c r="Y44">
        <v>31</v>
      </c>
      <c r="Z44">
        <v>0</v>
      </c>
      <c r="AA44">
        <v>92.5</v>
      </c>
      <c r="AB44">
        <v>31</v>
      </c>
      <c r="AC44">
        <v>0</v>
      </c>
      <c r="AD44">
        <v>92.5</v>
      </c>
      <c r="AE44">
        <v>31</v>
      </c>
      <c r="AF44">
        <v>171.375</v>
      </c>
      <c r="AH44">
        <v>123.5</v>
      </c>
      <c r="AI44">
        <v>92.5</v>
      </c>
      <c r="AJ44">
        <v>31</v>
      </c>
      <c r="AK44">
        <v>16.437800735704311</v>
      </c>
      <c r="AL44">
        <v>4.3569783112437612</v>
      </c>
      <c r="AM44">
        <v>-519.64411654896855</v>
      </c>
      <c r="AN44">
        <v>-111.4708926944641</v>
      </c>
      <c r="AO44">
        <v>0</v>
      </c>
      <c r="AP44">
        <v>-156.6337733977463</v>
      </c>
      <c r="AQ44">
        <v>171.375</v>
      </c>
      <c r="AR44">
        <v>83.355148555521154</v>
      </c>
      <c r="AS44">
        <v>207.6298806471556</v>
      </c>
      <c r="AT44">
        <v>15.806683258595431</v>
      </c>
      <c r="AU44">
        <v>-436.65682572308862</v>
      </c>
      <c r="AV44">
        <v>0</v>
      </c>
      <c r="AW44">
        <v>-1353.047897617224</v>
      </c>
      <c r="AX44">
        <v>123.5</v>
      </c>
      <c r="AY44">
        <v>0</v>
      </c>
      <c r="AZ44">
        <v>0</v>
      </c>
      <c r="BA44">
        <v>83.355148555521154</v>
      </c>
      <c r="BC44" s="1">
        <f t="shared" si="48"/>
        <v>92.5</v>
      </c>
      <c r="BD44" s="2">
        <f t="shared" si="0"/>
        <v>16.437800735704311</v>
      </c>
      <c r="BE44" s="7">
        <f t="shared" si="1"/>
        <v>-519.64411654896855</v>
      </c>
      <c r="BF44" s="1">
        <f t="shared" si="2"/>
        <v>31</v>
      </c>
      <c r="BG44" s="2">
        <f t="shared" si="3"/>
        <v>4.3569783112437612</v>
      </c>
      <c r="BH44" s="2">
        <f t="shared" si="67"/>
        <v>-111.4708926944641</v>
      </c>
      <c r="BI44" s="2">
        <f t="shared" si="67"/>
        <v>0</v>
      </c>
      <c r="BJ44" s="7">
        <f t="shared" si="67"/>
        <v>-156.6337733977463</v>
      </c>
      <c r="BK44" s="1">
        <f t="shared" si="68"/>
        <v>123.5</v>
      </c>
      <c r="BL44" s="2">
        <f t="shared" si="68"/>
        <v>20.794779046948072</v>
      </c>
      <c r="BM44" s="2">
        <f t="shared" si="6"/>
        <v>631.11500924343261</v>
      </c>
      <c r="BN44" s="2">
        <f t="shared" si="7"/>
        <v>0</v>
      </c>
      <c r="BO44" s="7">
        <f t="shared" si="8"/>
        <v>-156.6337733977463</v>
      </c>
      <c r="BP44" s="2"/>
      <c r="BQ44" s="1">
        <f t="shared" si="30"/>
        <v>123.5</v>
      </c>
      <c r="BR44" s="4">
        <v>0</v>
      </c>
      <c r="BS44" s="2">
        <f t="shared" si="32"/>
        <v>123.5</v>
      </c>
      <c r="BT44" s="2">
        <f t="shared" si="33"/>
        <v>83.355148555521154</v>
      </c>
      <c r="BU44" s="21">
        <f t="shared" si="34"/>
        <v>0.67494047413377456</v>
      </c>
      <c r="BV44" s="21" t="str">
        <f t="shared" si="35"/>
        <v/>
      </c>
      <c r="BW44" s="21" t="str">
        <f t="shared" si="36"/>
        <v/>
      </c>
      <c r="BX44" s="21" t="str">
        <f t="shared" si="37"/>
        <v/>
      </c>
      <c r="BY44" s="1">
        <f t="shared" si="38"/>
        <v>171.375</v>
      </c>
      <c r="BZ44" s="4">
        <v>0</v>
      </c>
      <c r="CA44" s="2">
        <f t="shared" si="40"/>
        <v>171.375</v>
      </c>
      <c r="CB44" s="2">
        <f t="shared" si="41"/>
        <v>207.6298806471556</v>
      </c>
      <c r="CC44" s="21">
        <f t="shared" si="42"/>
        <v>1.2115529140607184</v>
      </c>
      <c r="CD44" s="2" t="str">
        <f t="shared" si="43"/>
        <v/>
      </c>
      <c r="CE44" s="2" t="str">
        <f t="shared" si="44"/>
        <v/>
      </c>
      <c r="CF44" s="21" t="str">
        <f t="shared" si="45"/>
        <v/>
      </c>
      <c r="CG44" s="15"/>
      <c r="CH44" s="21" t="str">
        <f t="shared" si="47"/>
        <v/>
      </c>
      <c r="CI44" s="85"/>
    </row>
    <row r="45" spans="1:87" x14ac:dyDescent="0.25">
      <c r="A45" t="str">
        <f t="shared" si="27"/>
        <v>Travée</v>
      </c>
      <c r="B45" t="b">
        <f t="shared" si="28"/>
        <v>1</v>
      </c>
      <c r="C45">
        <f>IF(D45="",100000,IF(D45=D43,C43,C43+1))</f>
        <v>4</v>
      </c>
      <c r="D45" t="s">
        <v>91</v>
      </c>
      <c r="E45" t="s">
        <v>55</v>
      </c>
      <c r="F45">
        <v>25</v>
      </c>
      <c r="G45" t="s">
        <v>46</v>
      </c>
      <c r="H45">
        <v>500</v>
      </c>
      <c r="I45">
        <v>220000</v>
      </c>
      <c r="J45">
        <v>1576</v>
      </c>
      <c r="K45">
        <v>1870</v>
      </c>
      <c r="L45">
        <v>1</v>
      </c>
      <c r="M45">
        <v>0.23499999999999999</v>
      </c>
      <c r="N45">
        <v>2.2000000000000002</v>
      </c>
      <c r="O45">
        <v>5.6539999999999997E-4</v>
      </c>
      <c r="P45">
        <v>0.04</v>
      </c>
      <c r="Q45">
        <v>1</v>
      </c>
      <c r="R45">
        <v>0</v>
      </c>
      <c r="S45">
        <v>0</v>
      </c>
      <c r="T45">
        <v>1</v>
      </c>
      <c r="U45">
        <v>2.9099999999999999E-5</v>
      </c>
      <c r="V45">
        <v>0</v>
      </c>
      <c r="W45">
        <v>8</v>
      </c>
      <c r="X45">
        <v>44</v>
      </c>
      <c r="Y45">
        <v>16.100000000000001</v>
      </c>
      <c r="Z45">
        <v>0</v>
      </c>
      <c r="AA45">
        <v>44</v>
      </c>
      <c r="AB45">
        <v>16.100000000000001</v>
      </c>
      <c r="AC45">
        <v>0</v>
      </c>
      <c r="AD45">
        <v>44</v>
      </c>
      <c r="AE45">
        <v>16.100000000000001</v>
      </c>
      <c r="AF45">
        <v>83.550000000000011</v>
      </c>
      <c r="AH45">
        <v>60.1</v>
      </c>
      <c r="AI45">
        <v>44</v>
      </c>
      <c r="AJ45">
        <v>16.100000000000001</v>
      </c>
      <c r="AK45">
        <v>9.0585267446060662</v>
      </c>
      <c r="AL45">
        <v>2.5221854461443192</v>
      </c>
      <c r="AM45">
        <v>-416.22573162736148</v>
      </c>
      <c r="AN45">
        <v>-91.342796684844842</v>
      </c>
      <c r="AO45">
        <v>0</v>
      </c>
      <c r="AP45">
        <v>-124.70392347321619</v>
      </c>
      <c r="AQ45">
        <v>83.550000000000011</v>
      </c>
      <c r="AR45">
        <v>50.295035765929207</v>
      </c>
      <c r="AS45">
        <v>142.1882406676468</v>
      </c>
      <c r="AT45">
        <v>9.3155464675957358</v>
      </c>
      <c r="AU45">
        <v>-435.18345687500238</v>
      </c>
      <c r="AV45">
        <v>0</v>
      </c>
      <c r="AW45">
        <v>-752.80989971113331</v>
      </c>
      <c r="AX45">
        <v>60.1</v>
      </c>
      <c r="AY45">
        <v>0</v>
      </c>
      <c r="AZ45">
        <v>0</v>
      </c>
      <c r="BA45">
        <v>50.295035765929207</v>
      </c>
      <c r="BC45" s="1">
        <f t="shared" si="48"/>
        <v>44</v>
      </c>
      <c r="BD45" s="2">
        <f t="shared" si="0"/>
        <v>9.0585267446060662</v>
      </c>
      <c r="BE45" s="7">
        <f t="shared" si="1"/>
        <v>-416.22573162736148</v>
      </c>
      <c r="BF45" s="1">
        <f t="shared" si="2"/>
        <v>16.100000000000001</v>
      </c>
      <c r="BG45" s="2">
        <f t="shared" si="3"/>
        <v>2.5221854461443192</v>
      </c>
      <c r="BH45" s="2">
        <f t="shared" si="67"/>
        <v>-91.342796684844842</v>
      </c>
      <c r="BI45" s="2">
        <f t="shared" si="67"/>
        <v>0</v>
      </c>
      <c r="BJ45" s="7">
        <f t="shared" si="67"/>
        <v>-124.70392347321619</v>
      </c>
      <c r="BK45" s="1">
        <f t="shared" si="68"/>
        <v>60.1</v>
      </c>
      <c r="BL45" s="2">
        <f t="shared" si="68"/>
        <v>11.580712190750386</v>
      </c>
      <c r="BM45" s="2">
        <f t="shared" si="6"/>
        <v>507.56852831220635</v>
      </c>
      <c r="BN45" s="2">
        <f t="shared" si="7"/>
        <v>0</v>
      </c>
      <c r="BO45" s="7">
        <f t="shared" si="8"/>
        <v>-124.70392347321619</v>
      </c>
      <c r="BP45" s="2"/>
      <c r="BQ45" s="1">
        <f t="shared" si="30"/>
        <v>60.1</v>
      </c>
      <c r="BR45" s="4" t="str">
        <f t="shared" ref="BR45" si="103">IF(ISNUMBER(SEARCH("Appui",E45)),0,"0")</f>
        <v>0</v>
      </c>
      <c r="BS45" s="2">
        <f t="shared" si="32"/>
        <v>60.1</v>
      </c>
      <c r="BT45" s="2">
        <f t="shared" si="33"/>
        <v>50.295035765929207</v>
      </c>
      <c r="BU45" s="21">
        <f t="shared" si="34"/>
        <v>0.83685583637153416</v>
      </c>
      <c r="BV45" s="21">
        <f t="shared" si="35"/>
        <v>188.6</v>
      </c>
      <c r="BW45" s="21">
        <f t="shared" si="36"/>
        <v>162.948870163359</v>
      </c>
      <c r="BX45" s="21">
        <f t="shared" si="37"/>
        <v>0.86399188845895547</v>
      </c>
      <c r="BY45" s="1">
        <f t="shared" si="38"/>
        <v>83.550000000000011</v>
      </c>
      <c r="BZ45" s="4" t="str">
        <f t="shared" ref="BZ45" si="104">IF(ISNUMBER(SEARCH("Appui",M45)),0,"0")</f>
        <v>0</v>
      </c>
      <c r="CA45" s="2">
        <f t="shared" si="40"/>
        <v>83.550000000000011</v>
      </c>
      <c r="CB45" s="2">
        <f t="shared" si="41"/>
        <v>142.1882406676468</v>
      </c>
      <c r="CC45" s="21">
        <f t="shared" si="42"/>
        <v>1.7018341193015771</v>
      </c>
      <c r="CD45" s="2">
        <f t="shared" si="43"/>
        <v>261.86250000000001</v>
      </c>
      <c r="CE45" s="2">
        <f t="shared" si="44"/>
        <v>350.97582561782451</v>
      </c>
      <c r="CF45" s="21">
        <f t="shared" si="45"/>
        <v>1.3403057926118649</v>
      </c>
      <c r="CG45" s="10" t="str">
        <f t="shared" ref="CG45" si="105">IF(C43&lt;C45,"Rive",IF(C47&gt;C45,"Rive","Inter"))</f>
        <v>Inter</v>
      </c>
      <c r="CH45" s="21">
        <f t="shared" si="47"/>
        <v>0.62226882491139046</v>
      </c>
      <c r="CI45" s="85"/>
    </row>
    <row r="46" spans="1:87" x14ac:dyDescent="0.25">
      <c r="A46" t="str">
        <f t="shared" si="27"/>
        <v>Appui</v>
      </c>
      <c r="B46" t="b">
        <f t="shared" si="28"/>
        <v>1</v>
      </c>
      <c r="C46">
        <f>IF(D46="",100000,IF(D46=D44,C44,C44+1))</f>
        <v>4</v>
      </c>
      <c r="D46" t="s">
        <v>91</v>
      </c>
      <c r="E46" t="s">
        <v>56</v>
      </c>
      <c r="F46">
        <v>25</v>
      </c>
      <c r="G46" t="s">
        <v>46</v>
      </c>
      <c r="H46">
        <v>500</v>
      </c>
      <c r="I46">
        <v>220000</v>
      </c>
      <c r="J46">
        <v>1576</v>
      </c>
      <c r="K46">
        <v>1870</v>
      </c>
      <c r="L46">
        <v>1</v>
      </c>
      <c r="M46">
        <v>0.25</v>
      </c>
      <c r="N46">
        <v>2.2000000000000002</v>
      </c>
      <c r="O46">
        <v>1.89E-3</v>
      </c>
      <c r="P46">
        <v>6.9999999999999993E-2</v>
      </c>
      <c r="Q46">
        <v>1</v>
      </c>
      <c r="R46">
        <v>0</v>
      </c>
      <c r="S46">
        <v>0</v>
      </c>
      <c r="T46">
        <v>1</v>
      </c>
      <c r="U46">
        <v>2.9099999999999999E-5</v>
      </c>
      <c r="V46">
        <v>0</v>
      </c>
      <c r="W46">
        <v>6</v>
      </c>
      <c r="X46">
        <v>100</v>
      </c>
      <c r="Y46">
        <v>33.5</v>
      </c>
      <c r="Z46">
        <v>0</v>
      </c>
      <c r="AA46">
        <v>100</v>
      </c>
      <c r="AB46">
        <v>33.5</v>
      </c>
      <c r="AC46">
        <v>0</v>
      </c>
      <c r="AD46">
        <v>100</v>
      </c>
      <c r="AE46">
        <v>33.5</v>
      </c>
      <c r="AF46">
        <v>185.25</v>
      </c>
      <c r="AH46">
        <v>133.5</v>
      </c>
      <c r="AI46">
        <v>100</v>
      </c>
      <c r="AJ46">
        <v>33.5</v>
      </c>
      <c r="AK46">
        <v>13.90192044209841</v>
      </c>
      <c r="AL46">
        <v>4.1674813332338196</v>
      </c>
      <c r="AM46">
        <v>-317.14700699684488</v>
      </c>
      <c r="AN46">
        <v>-87.675802585286291</v>
      </c>
      <c r="AO46">
        <v>0</v>
      </c>
      <c r="AP46">
        <v>-145.27692832419399</v>
      </c>
      <c r="AQ46">
        <v>185.25</v>
      </c>
      <c r="AR46">
        <v>141.95252023933841</v>
      </c>
      <c r="AS46">
        <v>209.94528925319989</v>
      </c>
      <c r="AT46">
        <v>15.61601246189511</v>
      </c>
      <c r="AU46">
        <v>-435.96504672454103</v>
      </c>
      <c r="AV46">
        <v>0</v>
      </c>
      <c r="AW46">
        <v>-1289.1885929396381</v>
      </c>
      <c r="AX46">
        <v>133.5</v>
      </c>
      <c r="AY46">
        <v>13.247618186050209</v>
      </c>
      <c r="AZ46">
        <v>-435.26308761750852</v>
      </c>
      <c r="BA46">
        <v>141.95252023933841</v>
      </c>
      <c r="BC46" s="1">
        <f t="shared" si="48"/>
        <v>100</v>
      </c>
      <c r="BD46" s="2">
        <f t="shared" si="0"/>
        <v>13.90192044209841</v>
      </c>
      <c r="BE46" s="7">
        <f t="shared" si="1"/>
        <v>-317.14700699684488</v>
      </c>
      <c r="BF46" s="1">
        <f t="shared" si="2"/>
        <v>33.5</v>
      </c>
      <c r="BG46" s="2">
        <f t="shared" si="3"/>
        <v>4.1674813332338196</v>
      </c>
      <c r="BH46" s="2">
        <f t="shared" si="67"/>
        <v>-87.675802585286291</v>
      </c>
      <c r="BI46" s="2">
        <f t="shared" si="67"/>
        <v>0</v>
      </c>
      <c r="BJ46" s="7">
        <f t="shared" si="67"/>
        <v>-145.27692832419399</v>
      </c>
      <c r="BK46" s="1">
        <f t="shared" si="68"/>
        <v>133.5</v>
      </c>
      <c r="BL46" s="2">
        <f t="shared" si="68"/>
        <v>18.069401775332231</v>
      </c>
      <c r="BM46" s="2">
        <f t="shared" si="6"/>
        <v>404.82280958213119</v>
      </c>
      <c r="BN46" s="2">
        <f t="shared" si="7"/>
        <v>0</v>
      </c>
      <c r="BO46" s="7">
        <f t="shared" si="8"/>
        <v>-145.27692832419399</v>
      </c>
      <c r="BP46" s="2"/>
      <c r="BQ46" s="1">
        <f t="shared" si="30"/>
        <v>133.5</v>
      </c>
      <c r="BR46" s="4">
        <v>0</v>
      </c>
      <c r="BS46" s="2">
        <f t="shared" si="32"/>
        <v>133.5</v>
      </c>
      <c r="BT46" s="2">
        <f t="shared" si="33"/>
        <v>141.95252023933841</v>
      </c>
      <c r="BU46" s="21">
        <f t="shared" si="34"/>
        <v>1.0633147583471043</v>
      </c>
      <c r="BV46" s="21" t="str">
        <f t="shared" si="35"/>
        <v/>
      </c>
      <c r="BW46" s="21" t="str">
        <f t="shared" si="36"/>
        <v/>
      </c>
      <c r="BX46" s="21" t="str">
        <f t="shared" si="37"/>
        <v/>
      </c>
      <c r="BY46" s="1">
        <f t="shared" si="38"/>
        <v>185.25</v>
      </c>
      <c r="BZ46" s="4">
        <v>0</v>
      </c>
      <c r="CA46" s="2">
        <f t="shared" si="40"/>
        <v>185.25</v>
      </c>
      <c r="CB46" s="2">
        <f t="shared" si="41"/>
        <v>209.94528925319989</v>
      </c>
      <c r="CC46" s="21">
        <f t="shared" si="42"/>
        <v>1.1333079042008092</v>
      </c>
      <c r="CD46" s="2" t="str">
        <f t="shared" si="43"/>
        <v/>
      </c>
      <c r="CE46" s="2" t="str">
        <f t="shared" si="44"/>
        <v/>
      </c>
      <c r="CF46" s="21" t="str">
        <f t="shared" si="45"/>
        <v/>
      </c>
      <c r="CG46" s="15"/>
      <c r="CH46" s="21" t="str">
        <f t="shared" si="47"/>
        <v/>
      </c>
      <c r="CI46" s="85"/>
    </row>
    <row r="47" spans="1:87" x14ac:dyDescent="0.25">
      <c r="A47" t="str">
        <f t="shared" si="27"/>
        <v>Travée</v>
      </c>
      <c r="B47" t="b">
        <f t="shared" si="28"/>
        <v>1</v>
      </c>
      <c r="C47">
        <f t="shared" si="90"/>
        <v>4</v>
      </c>
      <c r="D47" t="s">
        <v>91</v>
      </c>
      <c r="E47" t="s">
        <v>57</v>
      </c>
      <c r="F47">
        <v>25</v>
      </c>
      <c r="G47" t="s">
        <v>46</v>
      </c>
      <c r="H47">
        <v>500</v>
      </c>
      <c r="I47">
        <v>220000</v>
      </c>
      <c r="J47">
        <v>1576</v>
      </c>
      <c r="K47">
        <v>1870</v>
      </c>
      <c r="L47">
        <v>1</v>
      </c>
      <c r="M47">
        <v>0.26</v>
      </c>
      <c r="N47">
        <v>2.2000000000000002</v>
      </c>
      <c r="O47">
        <v>5.6539999999999997E-4</v>
      </c>
      <c r="P47">
        <v>0.04</v>
      </c>
      <c r="Q47">
        <v>1</v>
      </c>
      <c r="R47">
        <v>0</v>
      </c>
      <c r="S47">
        <v>0</v>
      </c>
      <c r="T47">
        <v>1</v>
      </c>
      <c r="U47">
        <v>2.9099999999999999E-5</v>
      </c>
      <c r="V47">
        <v>0</v>
      </c>
      <c r="W47">
        <v>2</v>
      </c>
      <c r="X47">
        <v>20</v>
      </c>
      <c r="Y47">
        <v>10</v>
      </c>
      <c r="Z47">
        <v>0</v>
      </c>
      <c r="AA47">
        <v>20</v>
      </c>
      <c r="AB47">
        <v>10</v>
      </c>
      <c r="AC47">
        <v>0</v>
      </c>
      <c r="AD47">
        <v>20</v>
      </c>
      <c r="AE47">
        <v>10</v>
      </c>
      <c r="AF47">
        <v>42</v>
      </c>
      <c r="AH47">
        <v>30</v>
      </c>
      <c r="AI47">
        <v>20</v>
      </c>
      <c r="AJ47">
        <v>10</v>
      </c>
      <c r="AK47">
        <v>3.4096566189898989</v>
      </c>
      <c r="AL47">
        <v>1.5769021240732239</v>
      </c>
      <c r="AM47">
        <v>-167.30453310280399</v>
      </c>
      <c r="AN47">
        <v>-72.104659493737657</v>
      </c>
      <c r="AO47">
        <v>0</v>
      </c>
      <c r="AP47">
        <v>-95.740011888473575</v>
      </c>
      <c r="AQ47">
        <v>42</v>
      </c>
      <c r="AR47">
        <v>56.863742648834233</v>
      </c>
      <c r="AS47">
        <v>79.640655510273348</v>
      </c>
      <c r="AT47">
        <v>4.7570707797135903</v>
      </c>
      <c r="AU47">
        <v>-307.40356194604828</v>
      </c>
      <c r="AV47">
        <v>0</v>
      </c>
      <c r="AW47">
        <v>-411.99856439712079</v>
      </c>
      <c r="AX47">
        <v>30</v>
      </c>
      <c r="AY47">
        <v>3.7163159116488709</v>
      </c>
      <c r="AZ47">
        <v>-254.775418971151</v>
      </c>
      <c r="BA47">
        <v>56.863742648834233</v>
      </c>
      <c r="BC47" s="1">
        <f t="shared" si="48"/>
        <v>20</v>
      </c>
      <c r="BD47" s="2">
        <f t="shared" si="0"/>
        <v>3.4096566189898989</v>
      </c>
      <c r="BE47" s="7">
        <f t="shared" si="1"/>
        <v>-167.30453310280399</v>
      </c>
      <c r="BF47" s="1">
        <f t="shared" si="2"/>
        <v>10</v>
      </c>
      <c r="BG47" s="2">
        <f t="shared" si="3"/>
        <v>1.5769021240732239</v>
      </c>
      <c r="BH47" s="2">
        <f t="shared" si="67"/>
        <v>-72.104659493737657</v>
      </c>
      <c r="BI47" s="2">
        <f t="shared" si="67"/>
        <v>0</v>
      </c>
      <c r="BJ47" s="7">
        <f t="shared" si="67"/>
        <v>-95.740011888473575</v>
      </c>
      <c r="BK47" s="1">
        <f t="shared" si="68"/>
        <v>30</v>
      </c>
      <c r="BL47" s="2">
        <f t="shared" si="68"/>
        <v>4.9865587430631226</v>
      </c>
      <c r="BM47" s="2">
        <f t="shared" si="6"/>
        <v>239.40919259654163</v>
      </c>
      <c r="BN47" s="2">
        <f t="shared" si="7"/>
        <v>0</v>
      </c>
      <c r="BO47" s="7">
        <f t="shared" si="8"/>
        <v>-95.740011888473575</v>
      </c>
      <c r="BP47" s="2"/>
      <c r="BQ47" s="1">
        <f t="shared" si="30"/>
        <v>30</v>
      </c>
      <c r="BR47" s="4" t="str">
        <f t="shared" ref="BR47" si="106">IF(ISNUMBER(SEARCH("Appui",E47)),0,"0")</f>
        <v>0</v>
      </c>
      <c r="BS47" s="2">
        <f t="shared" si="32"/>
        <v>30</v>
      </c>
      <c r="BT47" s="2">
        <f t="shared" si="33"/>
        <v>56.863742648834233</v>
      </c>
      <c r="BU47" s="21">
        <f t="shared" si="34"/>
        <v>1.8954580882944745</v>
      </c>
      <c r="BV47" s="21">
        <f t="shared" si="35"/>
        <v>96.75</v>
      </c>
      <c r="BW47" s="21">
        <f t="shared" si="36"/>
        <v>128.23021818342266</v>
      </c>
      <c r="BX47" s="21">
        <f t="shared" si="37"/>
        <v>1.3253769321283997</v>
      </c>
      <c r="BY47" s="1">
        <f t="shared" si="38"/>
        <v>42</v>
      </c>
      <c r="BZ47" s="4" t="str">
        <f t="shared" ref="BZ47" si="107">IF(ISNUMBER(SEARCH("Appui",M47)),0,"0")</f>
        <v>0</v>
      </c>
      <c r="CA47" s="2">
        <f t="shared" si="40"/>
        <v>42</v>
      </c>
      <c r="CB47" s="2">
        <f t="shared" si="41"/>
        <v>79.640655510273348</v>
      </c>
      <c r="CC47" s="21">
        <f t="shared" si="42"/>
        <v>1.8962060835779369</v>
      </c>
      <c r="CD47" s="2">
        <f t="shared" si="43"/>
        <v>134.625</v>
      </c>
      <c r="CE47" s="2">
        <f t="shared" si="44"/>
        <v>185.00351555179253</v>
      </c>
      <c r="CF47" s="21">
        <f t="shared" si="45"/>
        <v>1.3742136716939093</v>
      </c>
      <c r="CG47" s="10" t="str">
        <f t="shared" ref="CG47" si="108">IF(C45&lt;C47,"Rive",IF(C49&gt;C47,"Rive","Inter"))</f>
        <v>Rive</v>
      </c>
      <c r="CH47" s="21">
        <f t="shared" si="47"/>
        <v>0.95249929941261036</v>
      </c>
      <c r="CI47" s="51" t="s">
        <v>126</v>
      </c>
    </row>
    <row r="48" spans="1:87" x14ac:dyDescent="0.25">
      <c r="A48" t="str">
        <f t="shared" si="27"/>
        <v/>
      </c>
      <c r="B48" t="b">
        <f t="shared" si="28"/>
        <v>1</v>
      </c>
      <c r="C48">
        <f t="shared" si="90"/>
        <v>4</v>
      </c>
      <c r="D48" t="s">
        <v>91</v>
      </c>
      <c r="F48">
        <v>25</v>
      </c>
      <c r="G48" t="s">
        <v>46</v>
      </c>
      <c r="H48">
        <v>500</v>
      </c>
      <c r="I48">
        <v>220000</v>
      </c>
      <c r="J48">
        <v>1576</v>
      </c>
      <c r="K48">
        <v>1870</v>
      </c>
      <c r="L48">
        <v>1</v>
      </c>
      <c r="M48">
        <v>0.2</v>
      </c>
      <c r="N48">
        <v>2.2000000000000002</v>
      </c>
      <c r="O48">
        <v>1.0000000000000001E-5</v>
      </c>
      <c r="P48">
        <v>0.03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0.78043082983844214</v>
      </c>
      <c r="AS48">
        <v>0.78043082983844214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0.78043082983844214</v>
      </c>
      <c r="BC48" s="1">
        <f t="shared" si="48"/>
        <v>0</v>
      </c>
      <c r="BD48" s="2">
        <f t="shared" si="0"/>
        <v>0</v>
      </c>
      <c r="BE48" s="7">
        <f t="shared" si="1"/>
        <v>0</v>
      </c>
      <c r="BF48" s="1">
        <f t="shared" si="2"/>
        <v>0</v>
      </c>
      <c r="BG48" s="2">
        <f t="shared" si="3"/>
        <v>0</v>
      </c>
      <c r="BH48" s="2">
        <f t="shared" si="67"/>
        <v>0</v>
      </c>
      <c r="BI48" s="2">
        <f t="shared" si="67"/>
        <v>0</v>
      </c>
      <c r="BJ48" s="7">
        <f t="shared" si="67"/>
        <v>0</v>
      </c>
      <c r="BK48" s="1">
        <f t="shared" si="68"/>
        <v>0</v>
      </c>
      <c r="BL48" s="2">
        <f t="shared" si="68"/>
        <v>0</v>
      </c>
      <c r="BM48" s="2">
        <f t="shared" si="6"/>
        <v>0</v>
      </c>
      <c r="BN48" s="2">
        <f t="shared" si="7"/>
        <v>0</v>
      </c>
      <c r="BO48" s="7">
        <f t="shared" si="8"/>
        <v>0</v>
      </c>
      <c r="BP48" s="2"/>
      <c r="BQ48" s="1">
        <f t="shared" si="30"/>
        <v>0</v>
      </c>
      <c r="BR48" s="4">
        <v>0</v>
      </c>
      <c r="BS48" s="2">
        <f t="shared" si="32"/>
        <v>0</v>
      </c>
      <c r="BT48" s="2">
        <f t="shared" si="33"/>
        <v>0.78043082983844214</v>
      </c>
      <c r="BU48" s="21">
        <f t="shared" si="34"/>
        <v>1</v>
      </c>
      <c r="BV48" s="21" t="str">
        <f t="shared" si="35"/>
        <v/>
      </c>
      <c r="BW48" s="21" t="str">
        <f t="shared" si="36"/>
        <v/>
      </c>
      <c r="BX48" s="21" t="str">
        <f t="shared" si="37"/>
        <v/>
      </c>
      <c r="BY48" s="1">
        <f t="shared" si="38"/>
        <v>0</v>
      </c>
      <c r="BZ48" s="4">
        <v>0</v>
      </c>
      <c r="CA48" s="2">
        <f t="shared" si="40"/>
        <v>0</v>
      </c>
      <c r="CB48" s="2">
        <f t="shared" si="41"/>
        <v>0.78043082983844214</v>
      </c>
      <c r="CC48" s="21">
        <f t="shared" si="42"/>
        <v>1</v>
      </c>
      <c r="CD48" s="2" t="str">
        <f t="shared" si="43"/>
        <v/>
      </c>
      <c r="CE48" s="2" t="str">
        <f t="shared" si="44"/>
        <v/>
      </c>
      <c r="CF48" s="21" t="str">
        <f t="shared" si="45"/>
        <v/>
      </c>
      <c r="CG48" s="15"/>
    </row>
    <row r="49" spans="1:87" x14ac:dyDescent="0.25">
      <c r="A49" t="str">
        <f t="shared" si="27"/>
        <v>Travée</v>
      </c>
      <c r="B49" t="b">
        <f t="shared" si="28"/>
        <v>0</v>
      </c>
      <c r="C49">
        <f t="shared" si="90"/>
        <v>5</v>
      </c>
      <c r="D49" t="s">
        <v>92</v>
      </c>
      <c r="E49" t="s">
        <v>45</v>
      </c>
      <c r="F49">
        <v>25</v>
      </c>
      <c r="G49" t="s">
        <v>46</v>
      </c>
      <c r="H49">
        <v>500</v>
      </c>
      <c r="I49">
        <v>220000</v>
      </c>
      <c r="J49">
        <v>1576</v>
      </c>
      <c r="K49">
        <v>1870</v>
      </c>
      <c r="L49">
        <v>1</v>
      </c>
      <c r="M49">
        <v>0.26</v>
      </c>
      <c r="N49">
        <v>2.2000000000000002</v>
      </c>
      <c r="O49">
        <v>5.6539999999999997E-4</v>
      </c>
      <c r="P49">
        <v>0.04</v>
      </c>
      <c r="Q49">
        <v>1</v>
      </c>
      <c r="R49">
        <v>0</v>
      </c>
      <c r="S49">
        <v>0</v>
      </c>
      <c r="T49">
        <v>1</v>
      </c>
      <c r="U49">
        <v>2.9099999999999999E-5</v>
      </c>
      <c r="V49">
        <v>0</v>
      </c>
      <c r="W49">
        <v>2</v>
      </c>
      <c r="X49">
        <v>19</v>
      </c>
      <c r="Y49">
        <v>5</v>
      </c>
      <c r="Z49">
        <v>0</v>
      </c>
      <c r="AA49">
        <v>21.6875</v>
      </c>
      <c r="AB49">
        <v>5.8125</v>
      </c>
      <c r="AC49">
        <v>0.5</v>
      </c>
      <c r="AD49">
        <v>10.84375</v>
      </c>
      <c r="AE49">
        <v>16.65625</v>
      </c>
      <c r="AF49">
        <v>37.996875000000003</v>
      </c>
      <c r="AH49">
        <v>27.5</v>
      </c>
      <c r="AI49">
        <v>10.84375</v>
      </c>
      <c r="AJ49">
        <v>16.65625</v>
      </c>
      <c r="AK49">
        <v>1.848673198108584</v>
      </c>
      <c r="AL49">
        <v>2.6265276004094589</v>
      </c>
      <c r="AM49">
        <v>-90.710426541676611</v>
      </c>
      <c r="AN49">
        <v>-120.0993234692568</v>
      </c>
      <c r="AO49">
        <v>0</v>
      </c>
      <c r="AP49">
        <v>-159.4669573017388</v>
      </c>
      <c r="AQ49">
        <v>37.996875000000003</v>
      </c>
      <c r="AR49">
        <v>56.863742648834233</v>
      </c>
      <c r="AS49">
        <v>79.640655510273348</v>
      </c>
      <c r="AT49">
        <v>4.3251178272182074</v>
      </c>
      <c r="AU49">
        <v>-278.05293879691573</v>
      </c>
      <c r="AV49">
        <v>0</v>
      </c>
      <c r="AW49">
        <v>-372.62730131890368</v>
      </c>
      <c r="AX49">
        <v>27.5</v>
      </c>
      <c r="AY49">
        <v>3.4180504391879198</v>
      </c>
      <c r="AZ49">
        <v>-233.51130365092871</v>
      </c>
      <c r="BA49">
        <v>56.863742648834233</v>
      </c>
      <c r="BC49" s="1">
        <f t="shared" si="48"/>
        <v>10.84375</v>
      </c>
      <c r="BD49" s="2">
        <f t="shared" si="0"/>
        <v>1.848673198108584</v>
      </c>
      <c r="BE49" s="7">
        <f t="shared" si="1"/>
        <v>-90.710426541676611</v>
      </c>
      <c r="BF49" s="1">
        <f t="shared" si="2"/>
        <v>16.65625</v>
      </c>
      <c r="BG49" s="2">
        <f t="shared" si="3"/>
        <v>2.6265276004094589</v>
      </c>
      <c r="BH49" s="2">
        <f t="shared" si="67"/>
        <v>-120.0993234692568</v>
      </c>
      <c r="BI49" s="2">
        <f t="shared" si="67"/>
        <v>0</v>
      </c>
      <c r="BJ49" s="7">
        <f t="shared" si="67"/>
        <v>-159.4669573017388</v>
      </c>
      <c r="BK49" s="1">
        <f t="shared" si="68"/>
        <v>27.5</v>
      </c>
      <c r="BL49" s="2">
        <f t="shared" si="68"/>
        <v>4.4752007985180429</v>
      </c>
      <c r="BM49" s="2">
        <f t="shared" si="6"/>
        <v>210.80975001093341</v>
      </c>
      <c r="BN49" s="2">
        <f t="shared" si="7"/>
        <v>0</v>
      </c>
      <c r="BO49" s="7">
        <f t="shared" si="8"/>
        <v>-159.4669573017388</v>
      </c>
      <c r="BP49" s="2"/>
      <c r="BQ49" s="1">
        <f t="shared" si="30"/>
        <v>27.5</v>
      </c>
      <c r="BR49" s="4" t="str">
        <f t="shared" ref="BR49" si="109">IF(ISNUMBER(SEARCH("Appui",E49)),0,"0")</f>
        <v>0</v>
      </c>
      <c r="BS49" s="2">
        <f t="shared" si="32"/>
        <v>27.5</v>
      </c>
      <c r="BT49" s="2">
        <f t="shared" si="33"/>
        <v>56.863742648834233</v>
      </c>
      <c r="BU49" s="21">
        <f t="shared" si="34"/>
        <v>2.0677724599576086</v>
      </c>
      <c r="BV49" s="21">
        <f t="shared" si="35"/>
        <v>94</v>
      </c>
      <c r="BW49" s="21">
        <f t="shared" si="36"/>
        <v>134.85903797882628</v>
      </c>
      <c r="BX49" s="21">
        <f t="shared" si="37"/>
        <v>1.4346706167960241</v>
      </c>
      <c r="BY49" s="1">
        <f t="shared" si="38"/>
        <v>37.996875000000003</v>
      </c>
      <c r="BZ49" s="4" t="str">
        <f t="shared" ref="BZ49" si="110">IF(ISNUMBER(SEARCH("Appui",M49)),0,"0")</f>
        <v>0</v>
      </c>
      <c r="CA49" s="2">
        <f t="shared" si="40"/>
        <v>37.996875000000003</v>
      </c>
      <c r="CB49" s="2">
        <f t="shared" si="41"/>
        <v>79.640655510273348</v>
      </c>
      <c r="CC49" s="21">
        <f t="shared" si="42"/>
        <v>2.0959790906560958</v>
      </c>
      <c r="CD49" s="2">
        <f t="shared" si="43"/>
        <v>130.08750000000001</v>
      </c>
      <c r="CE49" s="2">
        <f t="shared" si="44"/>
        <v>157.63595084026539</v>
      </c>
      <c r="CF49" s="21">
        <f t="shared" si="45"/>
        <v>1.2117686237360652</v>
      </c>
      <c r="CG49" s="10" t="str">
        <f t="shared" ref="CG49" si="111">IF(C47&lt;C49,"Rive",IF(C51&gt;C49,"Rive","Inter"))</f>
        <v>Rive</v>
      </c>
      <c r="CH49" s="21">
        <f t="shared" si="47"/>
        <v>1.0366794502071781</v>
      </c>
      <c r="CI49" s="51" t="s">
        <v>126</v>
      </c>
    </row>
    <row r="50" spans="1:87" x14ac:dyDescent="0.25">
      <c r="A50" t="str">
        <f t="shared" si="27"/>
        <v>Appui</v>
      </c>
      <c r="B50" t="b">
        <f t="shared" si="28"/>
        <v>0</v>
      </c>
      <c r="C50">
        <f t="shared" si="90"/>
        <v>5</v>
      </c>
      <c r="D50" t="s">
        <v>92</v>
      </c>
      <c r="E50" t="s">
        <v>47</v>
      </c>
      <c r="F50">
        <v>25</v>
      </c>
      <c r="G50" t="s">
        <v>46</v>
      </c>
      <c r="H50">
        <v>500</v>
      </c>
      <c r="I50">
        <v>220000</v>
      </c>
      <c r="J50">
        <v>1576</v>
      </c>
      <c r="K50">
        <v>1870</v>
      </c>
      <c r="L50">
        <v>1</v>
      </c>
      <c r="M50">
        <v>0.25</v>
      </c>
      <c r="N50">
        <v>2.2000000000000002</v>
      </c>
      <c r="O50">
        <v>1.1286E-3</v>
      </c>
      <c r="P50">
        <v>6.9999999999999993E-2</v>
      </c>
      <c r="Q50">
        <v>1</v>
      </c>
      <c r="R50">
        <v>2.0106192982974669E-4</v>
      </c>
      <c r="S50">
        <v>0.04</v>
      </c>
      <c r="T50">
        <v>4</v>
      </c>
      <c r="U50">
        <v>0</v>
      </c>
      <c r="V50">
        <v>0</v>
      </c>
      <c r="W50">
        <v>0</v>
      </c>
      <c r="X50">
        <v>107.5</v>
      </c>
      <c r="Y50">
        <v>32.5</v>
      </c>
      <c r="Z50">
        <v>-0.05</v>
      </c>
      <c r="AA50">
        <v>102.125</v>
      </c>
      <c r="AB50">
        <v>30.875</v>
      </c>
      <c r="AC50">
        <v>0.5</v>
      </c>
      <c r="AD50">
        <v>51.0625</v>
      </c>
      <c r="AE50">
        <v>81.9375</v>
      </c>
      <c r="AF50">
        <v>184.18125000000001</v>
      </c>
      <c r="AH50">
        <v>133</v>
      </c>
      <c r="AI50">
        <v>51.0625</v>
      </c>
      <c r="AJ50">
        <v>81.9375</v>
      </c>
      <c r="AK50">
        <v>8.7978996782015351</v>
      </c>
      <c r="AL50">
        <v>10.06252992481679</v>
      </c>
      <c r="AM50">
        <v>-266.91255746349441</v>
      </c>
      <c r="AN50">
        <v>-215.91972618251069</v>
      </c>
      <c r="AO50">
        <v>-262.56271172103789</v>
      </c>
      <c r="AP50">
        <v>0</v>
      </c>
      <c r="AQ50">
        <v>184.18125000000001</v>
      </c>
      <c r="AR50">
        <v>89.006595086179289</v>
      </c>
      <c r="AS50">
        <v>155.99059065998409</v>
      </c>
      <c r="AT50">
        <v>0</v>
      </c>
      <c r="AU50">
        <v>0</v>
      </c>
      <c r="AV50">
        <v>0</v>
      </c>
      <c r="AW50">
        <v>0</v>
      </c>
      <c r="AX50">
        <v>133</v>
      </c>
      <c r="AY50">
        <v>11.18888711878343</v>
      </c>
      <c r="AZ50">
        <v>-367.77624141035147</v>
      </c>
      <c r="BA50">
        <v>155.99059065998409</v>
      </c>
      <c r="BC50" s="1">
        <f t="shared" si="48"/>
        <v>51.0625</v>
      </c>
      <c r="BD50" s="2">
        <f t="shared" si="0"/>
        <v>8.7978996782015351</v>
      </c>
      <c r="BE50" s="7">
        <f t="shared" si="1"/>
        <v>-266.91255746349441</v>
      </c>
      <c r="BF50" s="1">
        <f t="shared" si="2"/>
        <v>81.9375</v>
      </c>
      <c r="BG50" s="2">
        <f t="shared" si="3"/>
        <v>10.06252992481679</v>
      </c>
      <c r="BH50" s="2">
        <f t="shared" si="67"/>
        <v>-215.91972618251069</v>
      </c>
      <c r="BI50" s="2">
        <f t="shared" si="67"/>
        <v>-262.56271172103789</v>
      </c>
      <c r="BJ50" s="7">
        <f t="shared" si="67"/>
        <v>0</v>
      </c>
      <c r="BK50" s="1">
        <f t="shared" si="68"/>
        <v>133</v>
      </c>
      <c r="BL50" s="2">
        <f t="shared" si="68"/>
        <v>18.860429603018325</v>
      </c>
      <c r="BM50" s="2">
        <f t="shared" si="6"/>
        <v>482.83228364600507</v>
      </c>
      <c r="BN50" s="2">
        <f t="shared" si="7"/>
        <v>262.56271172103789</v>
      </c>
      <c r="BO50" s="7">
        <f t="shared" si="8"/>
        <v>0</v>
      </c>
      <c r="BP50" s="2"/>
      <c r="BQ50" s="1">
        <f t="shared" si="30"/>
        <v>133</v>
      </c>
      <c r="BR50" s="4">
        <v>0</v>
      </c>
      <c r="BS50" s="2">
        <f t="shared" si="32"/>
        <v>133</v>
      </c>
      <c r="BT50" s="2">
        <f t="shared" si="33"/>
        <v>155.99059065998409</v>
      </c>
      <c r="BU50" s="21">
        <f t="shared" si="34"/>
        <v>1.1728615839096548</v>
      </c>
      <c r="BV50" s="21" t="str">
        <f t="shared" si="35"/>
        <v/>
      </c>
      <c r="BW50" s="21" t="str">
        <f t="shared" si="36"/>
        <v/>
      </c>
      <c r="BX50" s="21" t="str">
        <f t="shared" si="37"/>
        <v/>
      </c>
      <c r="BY50" s="1">
        <f t="shared" si="38"/>
        <v>184.18125000000001</v>
      </c>
      <c r="BZ50" s="4">
        <v>0</v>
      </c>
      <c r="CA50" s="2">
        <f t="shared" si="40"/>
        <v>184.18125000000001</v>
      </c>
      <c r="CB50" s="2">
        <f t="shared" si="41"/>
        <v>155.99059065998409</v>
      </c>
      <c r="CC50" s="21">
        <f t="shared" si="42"/>
        <v>0.84694066665300671</v>
      </c>
      <c r="CD50" s="2" t="str">
        <f t="shared" si="43"/>
        <v/>
      </c>
      <c r="CE50" s="2" t="str">
        <f t="shared" si="44"/>
        <v/>
      </c>
      <c r="CF50" s="21" t="str">
        <f t="shared" si="45"/>
        <v/>
      </c>
      <c r="CG50" s="15"/>
      <c r="CH50" s="21" t="str">
        <f t="shared" si="47"/>
        <v/>
      </c>
      <c r="CI50" s="51" t="s">
        <v>126</v>
      </c>
    </row>
    <row r="51" spans="1:87" x14ac:dyDescent="0.25">
      <c r="A51" t="str">
        <f t="shared" si="27"/>
        <v>Travée</v>
      </c>
      <c r="B51" t="b">
        <f t="shared" si="28"/>
        <v>0</v>
      </c>
      <c r="C51">
        <f t="shared" si="90"/>
        <v>5</v>
      </c>
      <c r="D51" t="s">
        <v>92</v>
      </c>
      <c r="E51" t="s">
        <v>48</v>
      </c>
      <c r="F51">
        <v>25</v>
      </c>
      <c r="G51" t="s">
        <v>46</v>
      </c>
      <c r="H51">
        <v>500</v>
      </c>
      <c r="I51">
        <v>220000</v>
      </c>
      <c r="J51">
        <v>1576</v>
      </c>
      <c r="K51">
        <v>1870</v>
      </c>
      <c r="L51">
        <v>1</v>
      </c>
      <c r="M51">
        <v>0.23499999999999999</v>
      </c>
      <c r="N51">
        <v>2.2000000000000002</v>
      </c>
      <c r="O51">
        <v>8.470000000000001E-4</v>
      </c>
      <c r="P51">
        <v>0.04</v>
      </c>
      <c r="Q51">
        <v>1</v>
      </c>
      <c r="R51">
        <v>0</v>
      </c>
      <c r="S51">
        <v>0</v>
      </c>
      <c r="T51">
        <v>1</v>
      </c>
      <c r="U51">
        <v>2.9099999999999999E-5</v>
      </c>
      <c r="V51">
        <v>0</v>
      </c>
      <c r="W51">
        <v>6</v>
      </c>
      <c r="X51">
        <v>50.5</v>
      </c>
      <c r="Y51">
        <v>18</v>
      </c>
      <c r="Z51">
        <v>0</v>
      </c>
      <c r="AA51">
        <v>55.5625</v>
      </c>
      <c r="AB51">
        <v>19.662500000000001</v>
      </c>
      <c r="AC51">
        <v>0.5</v>
      </c>
      <c r="AD51">
        <v>27.78125</v>
      </c>
      <c r="AE51">
        <v>47.443750000000001</v>
      </c>
      <c r="AF51">
        <v>104.503125</v>
      </c>
      <c r="AH51">
        <v>75.224999999999994</v>
      </c>
      <c r="AI51">
        <v>27.78125</v>
      </c>
      <c r="AJ51">
        <v>47.443750000000001</v>
      </c>
      <c r="AK51">
        <v>4.7804693428665956</v>
      </c>
      <c r="AL51">
        <v>6.9998715039816606</v>
      </c>
      <c r="AM51">
        <v>-176.93844657496041</v>
      </c>
      <c r="AN51">
        <v>-226.21085870106711</v>
      </c>
      <c r="AO51">
        <v>0</v>
      </c>
      <c r="AP51">
        <v>-309.91040890856601</v>
      </c>
      <c r="AQ51">
        <v>104.503125</v>
      </c>
      <c r="AR51">
        <v>74.708892277634021</v>
      </c>
      <c r="AS51">
        <v>140.37551379298091</v>
      </c>
      <c r="AT51">
        <v>11.45543279189623</v>
      </c>
      <c r="AU51">
        <v>-435.75993040404262</v>
      </c>
      <c r="AV51">
        <v>0</v>
      </c>
      <c r="AW51">
        <v>-972.43704086216542</v>
      </c>
      <c r="AX51">
        <v>75.224999999999994</v>
      </c>
      <c r="AY51">
        <v>0</v>
      </c>
      <c r="AZ51">
        <v>0</v>
      </c>
      <c r="BA51">
        <v>74.708892277634021</v>
      </c>
      <c r="BC51" s="1">
        <f t="shared" si="48"/>
        <v>27.78125</v>
      </c>
      <c r="BD51" s="2">
        <f t="shared" si="0"/>
        <v>4.7804693428665956</v>
      </c>
      <c r="BE51" s="7">
        <f t="shared" si="1"/>
        <v>-176.93844657496041</v>
      </c>
      <c r="BF51" s="1">
        <f t="shared" si="2"/>
        <v>47.443750000000001</v>
      </c>
      <c r="BG51" s="2">
        <f t="shared" si="3"/>
        <v>6.9998715039816606</v>
      </c>
      <c r="BH51" s="2">
        <f t="shared" si="67"/>
        <v>-226.21085870106711</v>
      </c>
      <c r="BI51" s="2">
        <f t="shared" si="67"/>
        <v>0</v>
      </c>
      <c r="BJ51" s="7">
        <f t="shared" si="67"/>
        <v>-309.91040890856601</v>
      </c>
      <c r="BK51" s="1">
        <f t="shared" si="68"/>
        <v>75.224999999999994</v>
      </c>
      <c r="BL51" s="2">
        <f t="shared" si="68"/>
        <v>11.780340846848256</v>
      </c>
      <c r="BM51" s="2">
        <f t="shared" si="6"/>
        <v>403.14930527602752</v>
      </c>
      <c r="BN51" s="2">
        <f t="shared" si="7"/>
        <v>0</v>
      </c>
      <c r="BO51" s="7">
        <f t="shared" si="8"/>
        <v>-309.91040890856601</v>
      </c>
      <c r="BP51" s="2"/>
      <c r="BQ51" s="1">
        <f t="shared" si="30"/>
        <v>75.224999999999994</v>
      </c>
      <c r="BR51" s="4" t="str">
        <f t="shared" ref="BR51" si="112">IF(ISNUMBER(SEARCH("Appui",E51)),0,"0")</f>
        <v>0</v>
      </c>
      <c r="BS51" s="2">
        <f t="shared" si="32"/>
        <v>75.224999999999994</v>
      </c>
      <c r="BT51" s="2">
        <f t="shared" si="33"/>
        <v>74.708892277634021</v>
      </c>
      <c r="BU51" s="21">
        <f t="shared" si="34"/>
        <v>0.99313914626299804</v>
      </c>
      <c r="BV51" s="21">
        <f t="shared" si="35"/>
        <v>203</v>
      </c>
      <c r="BW51" s="21">
        <f t="shared" si="36"/>
        <v>203.09390944542318</v>
      </c>
      <c r="BX51" s="21">
        <f t="shared" si="37"/>
        <v>1.000462608105533</v>
      </c>
      <c r="BY51" s="1">
        <f t="shared" si="38"/>
        <v>104.503125</v>
      </c>
      <c r="BZ51" s="4" t="str">
        <f t="shared" ref="BZ51" si="113">IF(ISNUMBER(SEARCH("Appui",M51)),0,"0")</f>
        <v>0</v>
      </c>
      <c r="CA51" s="2">
        <f t="shared" si="40"/>
        <v>104.503125</v>
      </c>
      <c r="CB51" s="2">
        <f t="shared" si="41"/>
        <v>140.37551379298091</v>
      </c>
      <c r="CC51" s="21">
        <f t="shared" si="42"/>
        <v>1.3432661826426808</v>
      </c>
      <c r="CD51" s="2">
        <f t="shared" si="43"/>
        <v>281.73750000000001</v>
      </c>
      <c r="CE51" s="2">
        <f t="shared" si="44"/>
        <v>330.17654904092558</v>
      </c>
      <c r="CF51" s="21">
        <f t="shared" si="45"/>
        <v>1.1719297184113779</v>
      </c>
      <c r="CG51" s="10" t="str">
        <f t="shared" ref="CG51" si="114">IF(C49&lt;C51,"Rive",IF(C53&gt;C51,"Rive","Inter"))</f>
        <v>Inter</v>
      </c>
      <c r="CH51" s="21">
        <f t="shared" si="47"/>
        <v>0.72086218357663845</v>
      </c>
      <c r="CI51" s="51" t="s">
        <v>126</v>
      </c>
    </row>
    <row r="52" spans="1:87" x14ac:dyDescent="0.25">
      <c r="A52" t="str">
        <f t="shared" si="27"/>
        <v>Appui</v>
      </c>
      <c r="B52" t="b">
        <f t="shared" si="28"/>
        <v>0</v>
      </c>
      <c r="C52">
        <f t="shared" si="90"/>
        <v>5</v>
      </c>
      <c r="D52" t="s">
        <v>92</v>
      </c>
      <c r="E52" t="s">
        <v>49</v>
      </c>
      <c r="F52">
        <v>25</v>
      </c>
      <c r="G52" t="s">
        <v>46</v>
      </c>
      <c r="H52">
        <v>500</v>
      </c>
      <c r="I52">
        <v>220000</v>
      </c>
      <c r="J52">
        <v>1576</v>
      </c>
      <c r="K52">
        <v>1870</v>
      </c>
      <c r="L52">
        <v>1</v>
      </c>
      <c r="M52">
        <v>0.22</v>
      </c>
      <c r="N52">
        <v>2.2000000000000002</v>
      </c>
      <c r="O52">
        <v>1.2930000000000001E-3</v>
      </c>
      <c r="P52">
        <v>0.04</v>
      </c>
      <c r="Q52">
        <v>1</v>
      </c>
      <c r="R52">
        <v>0</v>
      </c>
      <c r="S52">
        <v>0</v>
      </c>
      <c r="T52">
        <v>1</v>
      </c>
      <c r="U52">
        <v>2.9099999999999999E-5</v>
      </c>
      <c r="V52">
        <v>0</v>
      </c>
      <c r="W52">
        <v>12</v>
      </c>
      <c r="X52">
        <v>95</v>
      </c>
      <c r="Y52">
        <v>34</v>
      </c>
      <c r="Z52">
        <v>-0.05</v>
      </c>
      <c r="AA52">
        <v>90.25</v>
      </c>
      <c r="AB52">
        <v>32.299999999999997</v>
      </c>
      <c r="AC52">
        <v>0.25</v>
      </c>
      <c r="AD52">
        <v>67.6875</v>
      </c>
      <c r="AE52">
        <v>54.862499999999997</v>
      </c>
      <c r="AF52">
        <v>170.28749999999999</v>
      </c>
      <c r="AH52">
        <v>122.55</v>
      </c>
      <c r="AI52">
        <v>67.6875</v>
      </c>
      <c r="AJ52">
        <v>54.862499999999997</v>
      </c>
      <c r="AK52">
        <v>11.01927732710695</v>
      </c>
      <c r="AL52">
        <v>7.3271631464270683</v>
      </c>
      <c r="AM52">
        <v>-309.97336337595681</v>
      </c>
      <c r="AN52">
        <v>-172.40884674335811</v>
      </c>
      <c r="AO52">
        <v>0</v>
      </c>
      <c r="AP52">
        <v>-243.1748211715593</v>
      </c>
      <c r="AQ52">
        <v>170.28749999999999</v>
      </c>
      <c r="AR52">
        <v>100.77944367559419</v>
      </c>
      <c r="AS52">
        <v>223.6114798359053</v>
      </c>
      <c r="AT52">
        <v>15.22626114706231</v>
      </c>
      <c r="AU52">
        <v>-436.01654625467899</v>
      </c>
      <c r="AV52">
        <v>0</v>
      </c>
      <c r="AW52">
        <v>-1109.788250779379</v>
      </c>
      <c r="AX52">
        <v>122.55</v>
      </c>
      <c r="AY52">
        <v>0</v>
      </c>
      <c r="AZ52">
        <v>0</v>
      </c>
      <c r="BA52">
        <v>100.77944367559419</v>
      </c>
      <c r="BC52" s="1">
        <f t="shared" si="48"/>
        <v>67.6875</v>
      </c>
      <c r="BD52" s="2">
        <f t="shared" si="0"/>
        <v>11.01927732710695</v>
      </c>
      <c r="BE52" s="7">
        <f t="shared" si="1"/>
        <v>-309.97336337595681</v>
      </c>
      <c r="BF52" s="1">
        <f t="shared" si="2"/>
        <v>54.862499999999997</v>
      </c>
      <c r="BG52" s="2">
        <f t="shared" si="3"/>
        <v>7.3271631464270683</v>
      </c>
      <c r="BH52" s="2">
        <f t="shared" si="67"/>
        <v>-172.40884674335811</v>
      </c>
      <c r="BI52" s="2">
        <f t="shared" si="67"/>
        <v>0</v>
      </c>
      <c r="BJ52" s="7">
        <f t="shared" si="67"/>
        <v>-243.1748211715593</v>
      </c>
      <c r="BK52" s="1">
        <f t="shared" si="68"/>
        <v>122.55</v>
      </c>
      <c r="BL52" s="2">
        <f t="shared" si="68"/>
        <v>18.346440473534017</v>
      </c>
      <c r="BM52" s="2">
        <f t="shared" si="6"/>
        <v>482.38221011931489</v>
      </c>
      <c r="BN52" s="2">
        <f t="shared" si="7"/>
        <v>0</v>
      </c>
      <c r="BO52" s="7">
        <f t="shared" si="8"/>
        <v>-243.1748211715593</v>
      </c>
      <c r="BP52" s="2"/>
      <c r="BQ52" s="1">
        <f t="shared" si="30"/>
        <v>122.55</v>
      </c>
      <c r="BR52" s="4">
        <v>0</v>
      </c>
      <c r="BS52" s="2">
        <f t="shared" si="32"/>
        <v>122.55</v>
      </c>
      <c r="BT52" s="2">
        <f t="shared" si="33"/>
        <v>100.77944367559419</v>
      </c>
      <c r="BU52" s="21">
        <f t="shared" si="34"/>
        <v>0.82235368156339617</v>
      </c>
      <c r="BV52" s="21" t="str">
        <f t="shared" si="35"/>
        <v/>
      </c>
      <c r="BW52" s="21" t="str">
        <f t="shared" si="36"/>
        <v/>
      </c>
      <c r="BX52" s="21" t="str">
        <f t="shared" si="37"/>
        <v/>
      </c>
      <c r="BY52" s="1">
        <f t="shared" si="38"/>
        <v>170.28749999999999</v>
      </c>
      <c r="BZ52" s="4">
        <v>0</v>
      </c>
      <c r="CA52" s="2">
        <f t="shared" si="40"/>
        <v>170.28749999999999</v>
      </c>
      <c r="CB52" s="2">
        <f t="shared" si="41"/>
        <v>223.6114798359053</v>
      </c>
      <c r="CC52" s="21">
        <f t="shared" si="42"/>
        <v>1.3131408931125614</v>
      </c>
      <c r="CD52" s="2" t="str">
        <f t="shared" si="43"/>
        <v/>
      </c>
      <c r="CE52" s="2" t="str">
        <f t="shared" si="44"/>
        <v/>
      </c>
      <c r="CF52" s="21" t="str">
        <f t="shared" si="45"/>
        <v/>
      </c>
      <c r="CG52" s="15"/>
      <c r="CH52" s="21" t="str">
        <f t="shared" si="47"/>
        <v/>
      </c>
      <c r="CI52" s="51" t="s">
        <v>126</v>
      </c>
    </row>
    <row r="53" spans="1:87" x14ac:dyDescent="0.25">
      <c r="A53" t="str">
        <f t="shared" si="27"/>
        <v>Travée</v>
      </c>
      <c r="B53" t="b">
        <f t="shared" si="28"/>
        <v>0</v>
      </c>
      <c r="C53">
        <f t="shared" si="90"/>
        <v>5</v>
      </c>
      <c r="D53" t="s">
        <v>92</v>
      </c>
      <c r="E53" t="s">
        <v>51</v>
      </c>
      <c r="F53">
        <v>25</v>
      </c>
      <c r="G53" t="s">
        <v>46</v>
      </c>
      <c r="H53">
        <v>500</v>
      </c>
      <c r="I53">
        <v>220000</v>
      </c>
      <c r="J53">
        <v>1576</v>
      </c>
      <c r="K53">
        <v>1870</v>
      </c>
      <c r="L53">
        <v>1</v>
      </c>
      <c r="M53">
        <v>0.23499999999999999</v>
      </c>
      <c r="N53">
        <v>2.2000000000000002</v>
      </c>
      <c r="O53">
        <v>2.8160000000000001E-4</v>
      </c>
      <c r="P53">
        <v>0.04</v>
      </c>
      <c r="Q53">
        <v>1</v>
      </c>
      <c r="R53">
        <v>0</v>
      </c>
      <c r="S53">
        <v>0</v>
      </c>
      <c r="T53">
        <v>1</v>
      </c>
      <c r="U53">
        <v>2.9099999999999999E-5</v>
      </c>
      <c r="V53">
        <v>0</v>
      </c>
      <c r="W53">
        <v>6</v>
      </c>
      <c r="X53">
        <v>0</v>
      </c>
      <c r="Y53">
        <v>5</v>
      </c>
      <c r="Z53">
        <v>0</v>
      </c>
      <c r="AA53">
        <v>2.375</v>
      </c>
      <c r="AB53">
        <v>5.85</v>
      </c>
      <c r="AC53">
        <v>0</v>
      </c>
      <c r="AD53">
        <v>2.375</v>
      </c>
      <c r="AE53">
        <v>5.85</v>
      </c>
      <c r="AF53">
        <v>11.981249999999999</v>
      </c>
      <c r="AH53">
        <v>8.2249999999999996</v>
      </c>
      <c r="AI53">
        <v>2.375</v>
      </c>
      <c r="AJ53">
        <v>5.85</v>
      </c>
      <c r="AK53">
        <v>0.67612525213686514</v>
      </c>
      <c r="AL53">
        <v>1.144464787679111</v>
      </c>
      <c r="AM53">
        <v>-44.570225288430052</v>
      </c>
      <c r="AN53">
        <v>-54.895644449500587</v>
      </c>
      <c r="AO53">
        <v>0</v>
      </c>
      <c r="AP53">
        <v>-74.412786364119071</v>
      </c>
      <c r="AQ53">
        <v>11.981249999999999</v>
      </c>
      <c r="AR53">
        <v>25.257071304347789</v>
      </c>
      <c r="AS53">
        <v>96.476549090950158</v>
      </c>
      <c r="AT53">
        <v>1.727152576068878</v>
      </c>
      <c r="AU53">
        <v>-113.4468119742923</v>
      </c>
      <c r="AV53">
        <v>0</v>
      </c>
      <c r="AW53">
        <v>-155.19422023194991</v>
      </c>
      <c r="AX53">
        <v>8.2249999999999996</v>
      </c>
      <c r="AY53">
        <v>1.7135868600353159</v>
      </c>
      <c r="AZ53">
        <v>-156.0908448369054</v>
      </c>
      <c r="BA53">
        <v>25.257071304347789</v>
      </c>
      <c r="BC53" s="1">
        <f t="shared" si="48"/>
        <v>2.375</v>
      </c>
      <c r="BD53" s="2">
        <f t="shared" si="0"/>
        <v>0.67612525213686514</v>
      </c>
      <c r="BE53" s="7">
        <f t="shared" si="1"/>
        <v>-44.570225288430052</v>
      </c>
      <c r="BF53" s="1">
        <f t="shared" si="2"/>
        <v>5.85</v>
      </c>
      <c r="BG53" s="2">
        <f t="shared" si="3"/>
        <v>1.144464787679111</v>
      </c>
      <c r="BH53" s="2">
        <f t="shared" si="67"/>
        <v>-54.895644449500587</v>
      </c>
      <c r="BI53" s="2">
        <f t="shared" si="67"/>
        <v>0</v>
      </c>
      <c r="BJ53" s="7">
        <f t="shared" si="67"/>
        <v>-74.412786364119071</v>
      </c>
      <c r="BK53" s="1">
        <f t="shared" si="68"/>
        <v>8.2249999999999996</v>
      </c>
      <c r="BL53" s="2">
        <f t="shared" si="68"/>
        <v>1.820590039815976</v>
      </c>
      <c r="BM53" s="2">
        <f t="shared" si="6"/>
        <v>99.465869737930632</v>
      </c>
      <c r="BN53" s="2">
        <f t="shared" si="7"/>
        <v>0</v>
      </c>
      <c r="BO53" s="7">
        <f t="shared" si="8"/>
        <v>-74.412786364119071</v>
      </c>
      <c r="BP53" s="2"/>
      <c r="BQ53" s="1">
        <f t="shared" si="30"/>
        <v>8.2249999999999996</v>
      </c>
      <c r="BR53" s="4" t="str">
        <f t="shared" ref="BR53" si="115">IF(ISNUMBER(SEARCH("Appui",E53)),0,"0")</f>
        <v>0</v>
      </c>
      <c r="BS53" s="2">
        <f t="shared" si="32"/>
        <v>8.2249999999999996</v>
      </c>
      <c r="BT53" s="2">
        <f t="shared" si="33"/>
        <v>25.257071304347789</v>
      </c>
      <c r="BU53" s="21">
        <f t="shared" si="34"/>
        <v>3.0707685476410687</v>
      </c>
      <c r="BV53" s="21">
        <f t="shared" si="35"/>
        <v>83.5</v>
      </c>
      <c r="BW53" s="21">
        <f t="shared" si="36"/>
        <v>126.03651497994213</v>
      </c>
      <c r="BX53" s="21">
        <f t="shared" si="37"/>
        <v>1.5094193410771513</v>
      </c>
      <c r="BY53" s="1">
        <f t="shared" si="38"/>
        <v>11.981249999999999</v>
      </c>
      <c r="BZ53" s="4" t="str">
        <f t="shared" ref="BZ53" si="116">IF(ISNUMBER(SEARCH("Appui",M53)),0,"0")</f>
        <v>0</v>
      </c>
      <c r="CA53" s="2">
        <f t="shared" si="40"/>
        <v>11.981249999999999</v>
      </c>
      <c r="CB53" s="2">
        <f t="shared" si="41"/>
        <v>96.476549090950158</v>
      </c>
      <c r="CC53" s="21">
        <f t="shared" si="42"/>
        <v>8.0522941338299567</v>
      </c>
      <c r="CD53" s="2">
        <f t="shared" si="43"/>
        <v>117</v>
      </c>
      <c r="CE53" s="2">
        <f t="shared" si="44"/>
        <v>258.67201084670006</v>
      </c>
      <c r="CF53" s="21">
        <f t="shared" si="45"/>
        <v>2.2108718875786328</v>
      </c>
      <c r="CG53" s="10" t="str">
        <f t="shared" ref="CG53" si="117">IF(C51&lt;C53,"Rive",IF(C55&gt;C53,"Rive","Inter"))</f>
        <v>Inter</v>
      </c>
      <c r="CH53" s="21">
        <f t="shared" si="47"/>
        <v>1.0772351707687362</v>
      </c>
      <c r="CI53" s="51" t="s">
        <v>126</v>
      </c>
    </row>
    <row r="54" spans="1:87" x14ac:dyDescent="0.25">
      <c r="A54" t="str">
        <f t="shared" si="27"/>
        <v>Appui</v>
      </c>
      <c r="B54" t="b">
        <f t="shared" si="28"/>
        <v>0</v>
      </c>
      <c r="C54">
        <f t="shared" si="90"/>
        <v>5</v>
      </c>
      <c r="D54" t="s">
        <v>92</v>
      </c>
      <c r="E54" t="s">
        <v>52</v>
      </c>
      <c r="F54">
        <v>25</v>
      </c>
      <c r="G54" t="s">
        <v>46</v>
      </c>
      <c r="H54">
        <v>500</v>
      </c>
      <c r="I54">
        <v>220000</v>
      </c>
      <c r="J54">
        <v>1576</v>
      </c>
      <c r="K54">
        <v>1870</v>
      </c>
      <c r="L54">
        <v>1</v>
      </c>
      <c r="M54">
        <v>0.25</v>
      </c>
      <c r="N54">
        <v>2.2000000000000002</v>
      </c>
      <c r="O54">
        <v>1.2930000000000001E-3</v>
      </c>
      <c r="P54">
        <v>6.9999999999999993E-2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15</v>
      </c>
      <c r="Y54">
        <v>13</v>
      </c>
      <c r="Z54">
        <v>0</v>
      </c>
      <c r="AA54">
        <v>15</v>
      </c>
      <c r="AB54">
        <v>13</v>
      </c>
      <c r="AC54">
        <v>0</v>
      </c>
      <c r="AD54">
        <v>15</v>
      </c>
      <c r="AE54">
        <v>13</v>
      </c>
      <c r="AF54">
        <v>39.75</v>
      </c>
      <c r="AH54">
        <v>28</v>
      </c>
      <c r="AI54">
        <v>15</v>
      </c>
      <c r="AJ54">
        <v>13</v>
      </c>
      <c r="AK54">
        <v>2.4419451140403261</v>
      </c>
      <c r="AL54">
        <v>2.1163524321682812</v>
      </c>
      <c r="AM54">
        <v>-68.692158088854669</v>
      </c>
      <c r="AN54">
        <v>-59.533203677007393</v>
      </c>
      <c r="AO54">
        <v>0</v>
      </c>
      <c r="AP54">
        <v>0</v>
      </c>
      <c r="AQ54">
        <v>39.75</v>
      </c>
      <c r="AR54">
        <v>100.77944367559449</v>
      </c>
      <c r="AS54">
        <v>100.77944367559449</v>
      </c>
      <c r="AT54">
        <v>4.7583578493418406</v>
      </c>
      <c r="AU54">
        <v>-186.58812933515389</v>
      </c>
      <c r="AV54">
        <v>0</v>
      </c>
      <c r="AW54">
        <v>0</v>
      </c>
      <c r="AX54">
        <v>28</v>
      </c>
      <c r="AY54">
        <v>3.4018049818703142</v>
      </c>
      <c r="AZ54">
        <v>-131.2980621548989</v>
      </c>
      <c r="BA54">
        <v>100.77944367559449</v>
      </c>
      <c r="BC54" s="1">
        <f t="shared" si="48"/>
        <v>15</v>
      </c>
      <c r="BD54" s="2">
        <f t="shared" si="0"/>
        <v>2.4419451140403261</v>
      </c>
      <c r="BE54" s="7">
        <f t="shared" si="1"/>
        <v>-68.692158088854669</v>
      </c>
      <c r="BF54" s="1">
        <f t="shared" si="2"/>
        <v>13</v>
      </c>
      <c r="BG54" s="2">
        <f t="shared" si="3"/>
        <v>2.1163524321682812</v>
      </c>
      <c r="BH54" s="2">
        <f t="shared" si="67"/>
        <v>-59.533203677007393</v>
      </c>
      <c r="BI54" s="2">
        <f t="shared" si="67"/>
        <v>0</v>
      </c>
      <c r="BJ54" s="7">
        <f t="shared" si="67"/>
        <v>0</v>
      </c>
      <c r="BK54" s="1">
        <f t="shared" si="68"/>
        <v>28</v>
      </c>
      <c r="BL54" s="2">
        <f t="shared" si="68"/>
        <v>4.5582975462086068</v>
      </c>
      <c r="BM54" s="2">
        <f t="shared" si="6"/>
        <v>128.22536176586206</v>
      </c>
      <c r="BN54" s="2">
        <f t="shared" si="7"/>
        <v>0</v>
      </c>
      <c r="BO54" s="7">
        <f t="shared" si="8"/>
        <v>0</v>
      </c>
      <c r="BP54" s="2"/>
      <c r="BQ54" s="1">
        <f t="shared" si="30"/>
        <v>28</v>
      </c>
      <c r="BR54" s="4">
        <v>0</v>
      </c>
      <c r="BS54" s="2">
        <f t="shared" si="32"/>
        <v>28</v>
      </c>
      <c r="BT54" s="2">
        <f t="shared" si="33"/>
        <v>100.77944367559449</v>
      </c>
      <c r="BU54" s="21">
        <f t="shared" si="34"/>
        <v>3.5992658455569462</v>
      </c>
      <c r="BV54" s="21" t="str">
        <f t="shared" si="35"/>
        <v/>
      </c>
      <c r="BW54" s="21" t="str">
        <f t="shared" si="36"/>
        <v/>
      </c>
      <c r="BX54" s="21" t="str">
        <f t="shared" si="37"/>
        <v/>
      </c>
      <c r="BY54" s="1">
        <f t="shared" si="38"/>
        <v>39.75</v>
      </c>
      <c r="BZ54" s="4">
        <v>0</v>
      </c>
      <c r="CA54" s="2">
        <f t="shared" si="40"/>
        <v>39.75</v>
      </c>
      <c r="CB54" s="2">
        <f t="shared" si="41"/>
        <v>100.77944367559449</v>
      </c>
      <c r="CC54" s="21">
        <f t="shared" si="42"/>
        <v>2.535331916367157</v>
      </c>
      <c r="CD54" s="2" t="str">
        <f t="shared" si="43"/>
        <v/>
      </c>
      <c r="CE54" s="2" t="str">
        <f t="shared" si="44"/>
        <v/>
      </c>
      <c r="CF54" s="21" t="str">
        <f t="shared" si="45"/>
        <v/>
      </c>
      <c r="CG54" s="15"/>
      <c r="CH54" s="21" t="str">
        <f t="shared" si="47"/>
        <v/>
      </c>
      <c r="CI54" s="51" t="s">
        <v>126</v>
      </c>
    </row>
    <row r="55" spans="1:87" x14ac:dyDescent="0.25">
      <c r="A55" t="str">
        <f t="shared" si="27"/>
        <v>Travée</v>
      </c>
      <c r="B55" t="b">
        <f t="shared" si="28"/>
        <v>0</v>
      </c>
      <c r="C55">
        <f t="shared" si="90"/>
        <v>5</v>
      </c>
      <c r="D55" t="s">
        <v>92</v>
      </c>
      <c r="E55" t="s">
        <v>53</v>
      </c>
      <c r="F55">
        <v>25</v>
      </c>
      <c r="G55" t="s">
        <v>46</v>
      </c>
      <c r="H55">
        <v>500</v>
      </c>
      <c r="I55">
        <v>220000</v>
      </c>
      <c r="J55">
        <v>1576</v>
      </c>
      <c r="K55">
        <v>1870</v>
      </c>
      <c r="L55">
        <v>1</v>
      </c>
      <c r="M55">
        <v>0.23499999999999999</v>
      </c>
      <c r="N55">
        <v>2.2000000000000002</v>
      </c>
      <c r="O55">
        <v>2.8160000000000001E-4</v>
      </c>
      <c r="P55">
        <v>0.04</v>
      </c>
      <c r="Q55">
        <v>1</v>
      </c>
      <c r="R55">
        <v>0</v>
      </c>
      <c r="S55">
        <v>0</v>
      </c>
      <c r="T55">
        <v>1</v>
      </c>
      <c r="U55">
        <v>2.9099999999999999E-5</v>
      </c>
      <c r="V55">
        <v>0</v>
      </c>
      <c r="W55">
        <v>6</v>
      </c>
      <c r="X55">
        <v>5</v>
      </c>
      <c r="Y55">
        <v>6</v>
      </c>
      <c r="Z55">
        <v>0</v>
      </c>
      <c r="AA55">
        <v>5</v>
      </c>
      <c r="AB55">
        <v>6</v>
      </c>
      <c r="AC55">
        <v>0</v>
      </c>
      <c r="AD55">
        <v>5</v>
      </c>
      <c r="AE55">
        <v>6</v>
      </c>
      <c r="AF55">
        <v>15.75</v>
      </c>
      <c r="AH55">
        <v>11</v>
      </c>
      <c r="AI55">
        <v>5</v>
      </c>
      <c r="AJ55">
        <v>6</v>
      </c>
      <c r="AK55">
        <v>1.423416635655411</v>
      </c>
      <c r="AL55">
        <v>1.173810038645241</v>
      </c>
      <c r="AM55">
        <v>-93.832085944038411</v>
      </c>
      <c r="AN55">
        <v>-56.303225076410833</v>
      </c>
      <c r="AO55">
        <v>0</v>
      </c>
      <c r="AP55">
        <v>-76.320806527301585</v>
      </c>
      <c r="AQ55">
        <v>15.75</v>
      </c>
      <c r="AR55">
        <v>25.257071304347789</v>
      </c>
      <c r="AS55">
        <v>96.476549090950158</v>
      </c>
      <c r="AT55">
        <v>2.258227318291564</v>
      </c>
      <c r="AU55">
        <v>-149.1532196049825</v>
      </c>
      <c r="AV55">
        <v>0</v>
      </c>
      <c r="AW55">
        <v>-204.06067922484681</v>
      </c>
      <c r="AX55">
        <v>11</v>
      </c>
      <c r="AY55">
        <v>2.2778104611963541</v>
      </c>
      <c r="AZ55">
        <v>-208.79649105051789</v>
      </c>
      <c r="BA55">
        <v>25.257071304347789</v>
      </c>
      <c r="BC55" s="1">
        <f t="shared" si="48"/>
        <v>5</v>
      </c>
      <c r="BD55" s="2">
        <f t="shared" si="0"/>
        <v>1.423416635655411</v>
      </c>
      <c r="BE55" s="7">
        <f t="shared" si="1"/>
        <v>-93.832085944038411</v>
      </c>
      <c r="BF55" s="1">
        <f t="shared" si="2"/>
        <v>6</v>
      </c>
      <c r="BG55" s="2">
        <f t="shared" si="3"/>
        <v>1.173810038645241</v>
      </c>
      <c r="BH55" s="2">
        <f t="shared" si="67"/>
        <v>-56.303225076410833</v>
      </c>
      <c r="BI55" s="2">
        <f t="shared" si="67"/>
        <v>0</v>
      </c>
      <c r="BJ55" s="7">
        <f t="shared" si="67"/>
        <v>-76.320806527301585</v>
      </c>
      <c r="BK55" s="1">
        <f t="shared" si="68"/>
        <v>11</v>
      </c>
      <c r="BL55" s="2">
        <f t="shared" si="68"/>
        <v>2.5972266743006518</v>
      </c>
      <c r="BM55" s="2">
        <f t="shared" si="6"/>
        <v>150.13531102044925</v>
      </c>
      <c r="BN55" s="2">
        <f t="shared" si="7"/>
        <v>0</v>
      </c>
      <c r="BO55" s="7">
        <f t="shared" si="8"/>
        <v>-76.320806527301585</v>
      </c>
      <c r="BP55" s="2"/>
      <c r="BQ55" s="1">
        <f t="shared" si="30"/>
        <v>11</v>
      </c>
      <c r="BR55" s="4" t="str">
        <f t="shared" ref="BR55" si="118">IF(ISNUMBER(SEARCH("Appui",E55)),0,"0")</f>
        <v>0</v>
      </c>
      <c r="BS55" s="2">
        <f t="shared" si="32"/>
        <v>11</v>
      </c>
      <c r="BT55" s="2">
        <f t="shared" si="33"/>
        <v>25.257071304347789</v>
      </c>
      <c r="BU55" s="21">
        <f t="shared" si="34"/>
        <v>2.2960973913043445</v>
      </c>
      <c r="BV55" s="21">
        <f t="shared" si="35"/>
        <v>80.5</v>
      </c>
      <c r="BW55" s="21">
        <f t="shared" si="36"/>
        <v>126.03651497994213</v>
      </c>
      <c r="BX55" s="21">
        <f t="shared" si="37"/>
        <v>1.5656709935396538</v>
      </c>
      <c r="BY55" s="1">
        <f t="shared" si="38"/>
        <v>15.75</v>
      </c>
      <c r="BZ55" s="4" t="str">
        <f t="shared" ref="BZ55" si="119">IF(ISNUMBER(SEARCH("Appui",M55)),0,"0")</f>
        <v>0</v>
      </c>
      <c r="CA55" s="2">
        <f t="shared" si="40"/>
        <v>15.75</v>
      </c>
      <c r="CB55" s="2">
        <f t="shared" si="41"/>
        <v>96.476549090950158</v>
      </c>
      <c r="CC55" s="21">
        <f t="shared" si="42"/>
        <v>6.1254951803777882</v>
      </c>
      <c r="CD55" s="2">
        <f t="shared" si="43"/>
        <v>112.6875</v>
      </c>
      <c r="CE55" s="2">
        <f t="shared" si="44"/>
        <v>248.38358074197956</v>
      </c>
      <c r="CF55" s="21">
        <f t="shared" si="45"/>
        <v>2.2041804170114658</v>
      </c>
      <c r="CG55" s="10" t="str">
        <f t="shared" ref="CG55" si="120">IF(C53&lt;C55,"Rive",IF(C57&gt;C55,"Rive","Inter"))</f>
        <v>Inter</v>
      </c>
      <c r="CH55" s="21">
        <f t="shared" si="47"/>
        <v>1.118460476804811</v>
      </c>
      <c r="CI55" s="51" t="s">
        <v>126</v>
      </c>
    </row>
    <row r="56" spans="1:87" x14ac:dyDescent="0.25">
      <c r="A56" t="str">
        <f t="shared" si="27"/>
        <v>Appui</v>
      </c>
      <c r="B56" t="b">
        <f t="shared" si="28"/>
        <v>0</v>
      </c>
      <c r="C56">
        <f t="shared" si="90"/>
        <v>5</v>
      </c>
      <c r="D56" t="s">
        <v>92</v>
      </c>
      <c r="E56" t="s">
        <v>54</v>
      </c>
      <c r="F56">
        <v>25</v>
      </c>
      <c r="G56" t="s">
        <v>46</v>
      </c>
      <c r="H56">
        <v>500</v>
      </c>
      <c r="I56">
        <v>220000</v>
      </c>
      <c r="J56">
        <v>1576</v>
      </c>
      <c r="K56">
        <v>1870</v>
      </c>
      <c r="L56">
        <v>1</v>
      </c>
      <c r="M56">
        <v>0.22</v>
      </c>
      <c r="N56">
        <v>2.2000000000000002</v>
      </c>
      <c r="O56">
        <v>1.2930000000000001E-3</v>
      </c>
      <c r="P56">
        <v>0.04</v>
      </c>
      <c r="Q56">
        <v>1</v>
      </c>
      <c r="R56">
        <v>0</v>
      </c>
      <c r="S56">
        <v>0</v>
      </c>
      <c r="T56">
        <v>1</v>
      </c>
      <c r="U56">
        <v>2.9099999999999999E-5</v>
      </c>
      <c r="V56">
        <v>0</v>
      </c>
      <c r="W56">
        <v>10</v>
      </c>
      <c r="X56">
        <v>82.5</v>
      </c>
      <c r="Y56">
        <v>28.5</v>
      </c>
      <c r="Z56">
        <v>0</v>
      </c>
      <c r="AA56">
        <v>82.5</v>
      </c>
      <c r="AB56">
        <v>28.5</v>
      </c>
      <c r="AC56">
        <v>0</v>
      </c>
      <c r="AD56">
        <v>82.5</v>
      </c>
      <c r="AE56">
        <v>28.5</v>
      </c>
      <c r="AF56">
        <v>154.125</v>
      </c>
      <c r="AH56">
        <v>111</v>
      </c>
      <c r="AI56">
        <v>82.5</v>
      </c>
      <c r="AJ56">
        <v>28.5</v>
      </c>
      <c r="AK56">
        <v>13.43069812722179</v>
      </c>
      <c r="AL56">
        <v>3.9158215040350108</v>
      </c>
      <c r="AM56">
        <v>-377.80686948870078</v>
      </c>
      <c r="AN56">
        <v>-94.486374195263849</v>
      </c>
      <c r="AO56">
        <v>0</v>
      </c>
      <c r="AP56">
        <v>-133.11381776291159</v>
      </c>
      <c r="AQ56">
        <v>154.125</v>
      </c>
      <c r="AR56">
        <v>100.77944367559419</v>
      </c>
      <c r="AS56">
        <v>203.03461962646429</v>
      </c>
      <c r="AT56">
        <v>14.57083995279087</v>
      </c>
      <c r="AU56">
        <v>-435.86989194028263</v>
      </c>
      <c r="AV56">
        <v>0</v>
      </c>
      <c r="AW56">
        <v>-1049.638453971203</v>
      </c>
      <c r="AX56">
        <v>111</v>
      </c>
      <c r="AY56">
        <v>0</v>
      </c>
      <c r="AZ56">
        <v>0</v>
      </c>
      <c r="BA56">
        <v>100.77944367559419</v>
      </c>
      <c r="BC56" s="1">
        <f t="shared" si="48"/>
        <v>82.5</v>
      </c>
      <c r="BD56" s="2">
        <f t="shared" si="0"/>
        <v>13.43069812722179</v>
      </c>
      <c r="BE56" s="7">
        <f t="shared" si="1"/>
        <v>-377.80686948870078</v>
      </c>
      <c r="BF56" s="1">
        <f t="shared" si="2"/>
        <v>28.5</v>
      </c>
      <c r="BG56" s="2">
        <f t="shared" si="3"/>
        <v>3.9158215040350108</v>
      </c>
      <c r="BH56" s="2">
        <f t="shared" si="67"/>
        <v>-94.486374195263849</v>
      </c>
      <c r="BI56" s="2">
        <f t="shared" si="67"/>
        <v>0</v>
      </c>
      <c r="BJ56" s="7">
        <f t="shared" si="67"/>
        <v>-133.11381776291159</v>
      </c>
      <c r="BK56" s="1">
        <f t="shared" si="68"/>
        <v>111</v>
      </c>
      <c r="BL56" s="2">
        <f t="shared" si="68"/>
        <v>17.3465196312568</v>
      </c>
      <c r="BM56" s="2">
        <f t="shared" si="6"/>
        <v>472.29324368396465</v>
      </c>
      <c r="BN56" s="2">
        <f t="shared" si="7"/>
        <v>0</v>
      </c>
      <c r="BO56" s="7">
        <f t="shared" si="8"/>
        <v>-133.11381776291159</v>
      </c>
      <c r="BP56" s="2"/>
      <c r="BQ56" s="1">
        <f t="shared" si="30"/>
        <v>111</v>
      </c>
      <c r="BR56" s="4">
        <v>0</v>
      </c>
      <c r="BS56" s="2">
        <f t="shared" si="32"/>
        <v>111</v>
      </c>
      <c r="BT56" s="2">
        <f t="shared" si="33"/>
        <v>100.77944367559419</v>
      </c>
      <c r="BU56" s="21">
        <f t="shared" si="34"/>
        <v>0.90792291599634412</v>
      </c>
      <c r="BV56" s="21" t="str">
        <f t="shared" si="35"/>
        <v/>
      </c>
      <c r="BW56" s="21" t="str">
        <f t="shared" si="36"/>
        <v/>
      </c>
      <c r="BX56" s="21" t="str">
        <f t="shared" si="37"/>
        <v/>
      </c>
      <c r="BY56" s="1">
        <f t="shared" si="38"/>
        <v>154.125</v>
      </c>
      <c r="BZ56" s="4">
        <v>0</v>
      </c>
      <c r="CA56" s="2">
        <f t="shared" si="40"/>
        <v>154.125</v>
      </c>
      <c r="CB56" s="2">
        <f t="shared" si="41"/>
        <v>203.03461962646429</v>
      </c>
      <c r="CC56" s="21">
        <f t="shared" si="42"/>
        <v>1.3173373536185842</v>
      </c>
      <c r="CD56" s="2" t="str">
        <f t="shared" si="43"/>
        <v/>
      </c>
      <c r="CE56" s="2" t="str">
        <f t="shared" si="44"/>
        <v/>
      </c>
      <c r="CF56" s="21" t="str">
        <f t="shared" si="45"/>
        <v/>
      </c>
      <c r="CG56" s="15"/>
      <c r="CH56" s="21" t="str">
        <f t="shared" si="47"/>
        <v/>
      </c>
      <c r="CI56" s="51" t="s">
        <v>126</v>
      </c>
    </row>
    <row r="57" spans="1:87" x14ac:dyDescent="0.25">
      <c r="A57" t="str">
        <f t="shared" si="27"/>
        <v>Travée</v>
      </c>
      <c r="B57" t="b">
        <f t="shared" si="28"/>
        <v>0</v>
      </c>
      <c r="C57">
        <f>IF(D57="",100000,IF(D57=D55,C55,C55+1))</f>
        <v>5</v>
      </c>
      <c r="D57" t="s">
        <v>92</v>
      </c>
      <c r="E57" t="s">
        <v>55</v>
      </c>
      <c r="F57">
        <v>25</v>
      </c>
      <c r="G57" t="s">
        <v>46</v>
      </c>
      <c r="H57">
        <v>500</v>
      </c>
      <c r="I57">
        <v>220000</v>
      </c>
      <c r="J57">
        <v>1576</v>
      </c>
      <c r="K57">
        <v>1870</v>
      </c>
      <c r="L57">
        <v>1</v>
      </c>
      <c r="M57">
        <v>0.23499999999999999</v>
      </c>
      <c r="N57">
        <v>2.2000000000000002</v>
      </c>
      <c r="O57">
        <v>5.6539999999999997E-4</v>
      </c>
      <c r="P57">
        <v>0.04</v>
      </c>
      <c r="Q57">
        <v>1</v>
      </c>
      <c r="R57">
        <v>0</v>
      </c>
      <c r="S57">
        <v>0</v>
      </c>
      <c r="T57">
        <v>1</v>
      </c>
      <c r="U57">
        <v>2.9099999999999999E-5</v>
      </c>
      <c r="V57">
        <v>0</v>
      </c>
      <c r="W57">
        <v>8</v>
      </c>
      <c r="X57">
        <v>43</v>
      </c>
      <c r="Y57">
        <v>15.4</v>
      </c>
      <c r="Z57">
        <v>0</v>
      </c>
      <c r="AA57">
        <v>43</v>
      </c>
      <c r="AB57">
        <v>15.4</v>
      </c>
      <c r="AC57">
        <v>0</v>
      </c>
      <c r="AD57">
        <v>43</v>
      </c>
      <c r="AE57">
        <v>15.4</v>
      </c>
      <c r="AF57">
        <v>81.150000000000006</v>
      </c>
      <c r="AH57">
        <v>58.4</v>
      </c>
      <c r="AI57">
        <v>43</v>
      </c>
      <c r="AJ57">
        <v>15.4</v>
      </c>
      <c r="AK57">
        <v>8.852651136774103</v>
      </c>
      <c r="AL57">
        <v>2.412525209355437</v>
      </c>
      <c r="AM57">
        <v>-406.7660559085578</v>
      </c>
      <c r="AN57">
        <v>-87.371370742025505</v>
      </c>
      <c r="AO57">
        <v>0</v>
      </c>
      <c r="AP57">
        <v>-119.2820137569895</v>
      </c>
      <c r="AQ57">
        <v>81.150000000000006</v>
      </c>
      <c r="AR57">
        <v>50.295035765929207</v>
      </c>
      <c r="AS57">
        <v>142.1882406676468</v>
      </c>
      <c r="AT57">
        <v>8.9831832386225852</v>
      </c>
      <c r="AU57">
        <v>-435.06418138114708</v>
      </c>
      <c r="AV57">
        <v>0</v>
      </c>
      <c r="AW57">
        <v>-707.98778096938315</v>
      </c>
      <c r="AX57">
        <v>58.4</v>
      </c>
      <c r="AY57">
        <v>0</v>
      </c>
      <c r="AZ57">
        <v>0</v>
      </c>
      <c r="BA57">
        <v>50.295035765929207</v>
      </c>
      <c r="BC57" s="1">
        <f t="shared" si="48"/>
        <v>43</v>
      </c>
      <c r="BD57" s="2">
        <f t="shared" si="0"/>
        <v>8.852651136774103</v>
      </c>
      <c r="BE57" s="7">
        <f t="shared" si="1"/>
        <v>-406.7660559085578</v>
      </c>
      <c r="BF57" s="1">
        <f t="shared" si="2"/>
        <v>15.4</v>
      </c>
      <c r="BG57" s="2">
        <f t="shared" si="3"/>
        <v>2.412525209355437</v>
      </c>
      <c r="BH57" s="2">
        <f t="shared" si="67"/>
        <v>-87.371370742025505</v>
      </c>
      <c r="BI57" s="2">
        <f t="shared" si="67"/>
        <v>0</v>
      </c>
      <c r="BJ57" s="7">
        <f t="shared" si="67"/>
        <v>-119.2820137569895</v>
      </c>
      <c r="BK57" s="1">
        <f t="shared" si="68"/>
        <v>58.4</v>
      </c>
      <c r="BL57" s="2">
        <f t="shared" si="68"/>
        <v>11.26517634612954</v>
      </c>
      <c r="BM57" s="2">
        <f t="shared" si="6"/>
        <v>494.13742665058328</v>
      </c>
      <c r="BN57" s="2">
        <f t="shared" si="7"/>
        <v>0</v>
      </c>
      <c r="BO57" s="7">
        <f t="shared" si="8"/>
        <v>-119.2820137569895</v>
      </c>
      <c r="BP57" s="2"/>
      <c r="BQ57" s="1">
        <f t="shared" si="30"/>
        <v>58.4</v>
      </c>
      <c r="BR57" s="4" t="str">
        <f t="shared" ref="BR57" si="121">IF(ISNUMBER(SEARCH("Appui",E57)),0,"0")</f>
        <v>0</v>
      </c>
      <c r="BS57" s="2">
        <f t="shared" si="32"/>
        <v>58.4</v>
      </c>
      <c r="BT57" s="2">
        <f t="shared" si="33"/>
        <v>50.295035765929207</v>
      </c>
      <c r="BU57" s="21">
        <f t="shared" si="34"/>
        <v>0.8612163658549522</v>
      </c>
      <c r="BV57" s="21">
        <f t="shared" si="35"/>
        <v>175.65</v>
      </c>
      <c r="BW57" s="21">
        <f t="shared" si="36"/>
        <v>175.35532335476955</v>
      </c>
      <c r="BX57" s="21">
        <f t="shared" si="37"/>
        <v>0.9983223646727557</v>
      </c>
      <c r="BY57" s="1">
        <f t="shared" si="38"/>
        <v>81.150000000000006</v>
      </c>
      <c r="BZ57" s="4" t="str">
        <f t="shared" ref="BZ57" si="122">IF(ISNUMBER(SEARCH("Appui",M57)),0,"0")</f>
        <v>0</v>
      </c>
      <c r="CA57" s="2">
        <f t="shared" si="40"/>
        <v>81.150000000000006</v>
      </c>
      <c r="CB57" s="2">
        <f t="shared" si="41"/>
        <v>142.1882406676468</v>
      </c>
      <c r="CC57" s="21">
        <f t="shared" si="42"/>
        <v>1.7521656274509769</v>
      </c>
      <c r="CD57" s="2">
        <f t="shared" si="43"/>
        <v>243.9</v>
      </c>
      <c r="CE57" s="2">
        <f t="shared" si="44"/>
        <v>352.22203989341949</v>
      </c>
      <c r="CF57" s="21">
        <f t="shared" si="45"/>
        <v>1.444124804811068</v>
      </c>
      <c r="CG57" s="10" t="str">
        <f t="shared" ref="CG57" si="123">IF(C55&lt;C57,"Rive",IF(C59&gt;C57,"Rive","Inter"))</f>
        <v>Inter</v>
      </c>
      <c r="CH57" s="21">
        <f t="shared" si="47"/>
        <v>0.71896401539470911</v>
      </c>
      <c r="CI57" s="51" t="s">
        <v>126</v>
      </c>
    </row>
    <row r="58" spans="1:87" x14ac:dyDescent="0.25">
      <c r="A58" t="str">
        <f t="shared" si="27"/>
        <v>Appui</v>
      </c>
      <c r="B58" t="b">
        <f t="shared" si="28"/>
        <v>0</v>
      </c>
      <c r="C58">
        <f>IF(D58="",100000,IF(D58=D56,C56,C56+1))</f>
        <v>5</v>
      </c>
      <c r="D58" t="s">
        <v>92</v>
      </c>
      <c r="E58" t="s">
        <v>56</v>
      </c>
      <c r="F58">
        <v>25</v>
      </c>
      <c r="G58" t="s">
        <v>46</v>
      </c>
      <c r="H58">
        <v>500</v>
      </c>
      <c r="I58">
        <v>220000</v>
      </c>
      <c r="J58">
        <v>1576</v>
      </c>
      <c r="K58">
        <v>1870</v>
      </c>
      <c r="L58">
        <v>1</v>
      </c>
      <c r="M58">
        <v>0.25</v>
      </c>
      <c r="N58">
        <v>2.2000000000000002</v>
      </c>
      <c r="O58">
        <v>2E-3</v>
      </c>
      <c r="P58">
        <v>6.9999999999999993E-2</v>
      </c>
      <c r="Q58">
        <v>1</v>
      </c>
      <c r="R58">
        <v>0</v>
      </c>
      <c r="S58">
        <v>0</v>
      </c>
      <c r="T58">
        <v>1</v>
      </c>
      <c r="U58">
        <v>2.9099999999999999E-5</v>
      </c>
      <c r="V58">
        <v>0</v>
      </c>
      <c r="W58">
        <v>6</v>
      </c>
      <c r="X58">
        <v>92.5</v>
      </c>
      <c r="Y58">
        <v>31</v>
      </c>
      <c r="Z58">
        <v>0</v>
      </c>
      <c r="AA58">
        <v>92.5</v>
      </c>
      <c r="AB58">
        <v>31</v>
      </c>
      <c r="AC58">
        <v>0</v>
      </c>
      <c r="AD58">
        <v>92.5</v>
      </c>
      <c r="AE58">
        <v>31</v>
      </c>
      <c r="AF58">
        <v>171.375</v>
      </c>
      <c r="AH58">
        <v>123.5</v>
      </c>
      <c r="AI58">
        <v>92.5</v>
      </c>
      <c r="AJ58">
        <v>31</v>
      </c>
      <c r="AK58">
        <v>12.566768684936729</v>
      </c>
      <c r="AL58">
        <v>3.7923140115715408</v>
      </c>
      <c r="AM58">
        <v>-277.77659009189102</v>
      </c>
      <c r="AN58">
        <v>-77.523669294196907</v>
      </c>
      <c r="AO58">
        <v>0</v>
      </c>
      <c r="AP58">
        <v>-128.74696848190229</v>
      </c>
      <c r="AQ58">
        <v>171.375</v>
      </c>
      <c r="AR58">
        <v>149.34113150208651</v>
      </c>
      <c r="AS58">
        <v>217.0329788250811</v>
      </c>
      <c r="AT58">
        <v>13.730626107175789</v>
      </c>
      <c r="AU58">
        <v>-434.92934813859648</v>
      </c>
      <c r="AV58">
        <v>0</v>
      </c>
      <c r="AW58">
        <v>-825.19500815484344</v>
      </c>
      <c r="AX58">
        <v>123.5</v>
      </c>
      <c r="AY58">
        <v>11.38810877634884</v>
      </c>
      <c r="AZ58">
        <v>-384.9544391317317</v>
      </c>
      <c r="BA58">
        <v>149.34113150208651</v>
      </c>
      <c r="BC58" s="1">
        <f t="shared" si="48"/>
        <v>92.5</v>
      </c>
      <c r="BD58" s="2">
        <f t="shared" si="0"/>
        <v>12.566768684936729</v>
      </c>
      <c r="BE58" s="7">
        <f t="shared" si="1"/>
        <v>-277.77659009189102</v>
      </c>
      <c r="BF58" s="1">
        <f t="shared" si="2"/>
        <v>31</v>
      </c>
      <c r="BG58" s="2">
        <f t="shared" si="3"/>
        <v>3.7923140115715408</v>
      </c>
      <c r="BH58" s="2">
        <f t="shared" si="67"/>
        <v>-77.523669294196907</v>
      </c>
      <c r="BI58" s="2">
        <f t="shared" si="67"/>
        <v>0</v>
      </c>
      <c r="BJ58" s="7">
        <f t="shared" si="67"/>
        <v>-128.74696848190229</v>
      </c>
      <c r="BK58" s="1">
        <f t="shared" si="68"/>
        <v>123.5</v>
      </c>
      <c r="BL58" s="2">
        <f t="shared" si="68"/>
        <v>16.359082696508271</v>
      </c>
      <c r="BM58" s="2">
        <f t="shared" si="6"/>
        <v>355.30025938608793</v>
      </c>
      <c r="BN58" s="2">
        <f t="shared" si="7"/>
        <v>0</v>
      </c>
      <c r="BO58" s="7">
        <f t="shared" si="8"/>
        <v>-128.74696848190229</v>
      </c>
      <c r="BP58" s="2"/>
      <c r="BQ58" s="1">
        <f t="shared" si="30"/>
        <v>123.5</v>
      </c>
      <c r="BR58" s="4">
        <v>0</v>
      </c>
      <c r="BS58" s="2">
        <f t="shared" si="32"/>
        <v>123.5</v>
      </c>
      <c r="BT58" s="2">
        <f t="shared" si="33"/>
        <v>149.34113150208651</v>
      </c>
      <c r="BU58" s="21">
        <f t="shared" si="34"/>
        <v>1.2092399311909838</v>
      </c>
      <c r="BV58" s="21" t="str">
        <f t="shared" si="35"/>
        <v/>
      </c>
      <c r="BW58" s="21" t="str">
        <f t="shared" si="36"/>
        <v/>
      </c>
      <c r="BX58" s="21" t="str">
        <f t="shared" si="37"/>
        <v/>
      </c>
      <c r="BY58" s="1">
        <f t="shared" si="38"/>
        <v>171.375</v>
      </c>
      <c r="BZ58" s="4">
        <v>0</v>
      </c>
      <c r="CA58" s="2">
        <f t="shared" si="40"/>
        <v>171.375</v>
      </c>
      <c r="CB58" s="2">
        <f t="shared" si="41"/>
        <v>217.0329788250811</v>
      </c>
      <c r="CC58" s="21">
        <f t="shared" si="42"/>
        <v>1.266421466521261</v>
      </c>
      <c r="CD58" s="2" t="str">
        <f t="shared" si="43"/>
        <v/>
      </c>
      <c r="CE58" s="2" t="str">
        <f t="shared" si="44"/>
        <v/>
      </c>
      <c r="CF58" s="21" t="str">
        <f t="shared" si="45"/>
        <v/>
      </c>
      <c r="CG58" s="15"/>
      <c r="CH58" s="21" t="str">
        <f t="shared" si="47"/>
        <v/>
      </c>
      <c r="CI58" s="51" t="s">
        <v>126</v>
      </c>
    </row>
    <row r="59" spans="1:87" x14ac:dyDescent="0.25">
      <c r="A59" t="str">
        <f t="shared" si="27"/>
        <v>Travée</v>
      </c>
      <c r="B59" t="b">
        <f t="shared" si="28"/>
        <v>0</v>
      </c>
      <c r="C59">
        <f t="shared" si="90"/>
        <v>5</v>
      </c>
      <c r="D59" t="s">
        <v>92</v>
      </c>
      <c r="E59" t="s">
        <v>57</v>
      </c>
      <c r="F59">
        <v>25</v>
      </c>
      <c r="G59" t="s">
        <v>46</v>
      </c>
      <c r="H59">
        <v>500</v>
      </c>
      <c r="I59">
        <v>220000</v>
      </c>
      <c r="J59">
        <v>1576</v>
      </c>
      <c r="K59">
        <v>1870</v>
      </c>
      <c r="L59">
        <v>1</v>
      </c>
      <c r="M59">
        <v>0.26</v>
      </c>
      <c r="N59">
        <v>2.2000000000000002</v>
      </c>
      <c r="O59">
        <v>5.6539999999999997E-4</v>
      </c>
      <c r="P59">
        <v>0.04</v>
      </c>
      <c r="Q59">
        <v>1</v>
      </c>
      <c r="R59">
        <v>0</v>
      </c>
      <c r="S59">
        <v>0</v>
      </c>
      <c r="T59">
        <v>1</v>
      </c>
      <c r="U59">
        <v>2.9099999999999999E-5</v>
      </c>
      <c r="V59">
        <v>0</v>
      </c>
      <c r="W59">
        <v>2</v>
      </c>
      <c r="X59">
        <v>16</v>
      </c>
      <c r="Y59">
        <v>8.1999999999999993</v>
      </c>
      <c r="Z59">
        <v>0</v>
      </c>
      <c r="AA59">
        <v>16</v>
      </c>
      <c r="AB59">
        <v>8.1999999999999993</v>
      </c>
      <c r="AC59">
        <v>0</v>
      </c>
      <c r="AD59">
        <v>16</v>
      </c>
      <c r="AE59">
        <v>8.1999999999999993</v>
      </c>
      <c r="AF59">
        <v>33.9</v>
      </c>
      <c r="AH59">
        <v>24.2</v>
      </c>
      <c r="AI59">
        <v>16</v>
      </c>
      <c r="AJ59">
        <v>8.1999999999999993</v>
      </c>
      <c r="AK59">
        <v>2.727725295191918</v>
      </c>
      <c r="AL59">
        <v>1.293059741740044</v>
      </c>
      <c r="AM59">
        <v>-133.84362648224331</v>
      </c>
      <c r="AN59">
        <v>-59.125820784864857</v>
      </c>
      <c r="AO59">
        <v>0</v>
      </c>
      <c r="AP59">
        <v>-78.506809748548307</v>
      </c>
      <c r="AQ59">
        <v>33.9</v>
      </c>
      <c r="AR59">
        <v>56.863742648834233</v>
      </c>
      <c r="AS59">
        <v>79.640655510273348</v>
      </c>
      <c r="AT59">
        <v>3.8781701077154711</v>
      </c>
      <c r="AU59">
        <v>-248.026684289271</v>
      </c>
      <c r="AV59">
        <v>0</v>
      </c>
      <c r="AW59">
        <v>-332.35771276742241</v>
      </c>
      <c r="AX59">
        <v>24.2</v>
      </c>
      <c r="AY59">
        <v>3.0210615899906892</v>
      </c>
      <c r="AZ59">
        <v>-205.45216504548591</v>
      </c>
      <c r="BA59">
        <v>56.863742648834233</v>
      </c>
      <c r="BC59" s="1">
        <f t="shared" si="48"/>
        <v>16</v>
      </c>
      <c r="BD59" s="2">
        <f t="shared" si="0"/>
        <v>2.727725295191918</v>
      </c>
      <c r="BE59" s="7">
        <f t="shared" si="1"/>
        <v>-133.84362648224331</v>
      </c>
      <c r="BF59" s="1">
        <f t="shared" si="2"/>
        <v>8.1999999999999993</v>
      </c>
      <c r="BG59" s="2">
        <f t="shared" si="3"/>
        <v>1.293059741740044</v>
      </c>
      <c r="BH59" s="2">
        <f t="shared" si="67"/>
        <v>-59.125820784864857</v>
      </c>
      <c r="BI59" s="2">
        <f t="shared" si="67"/>
        <v>0</v>
      </c>
      <c r="BJ59" s="7">
        <f t="shared" si="67"/>
        <v>-78.506809748548307</v>
      </c>
      <c r="BK59" s="1">
        <f t="shared" si="68"/>
        <v>24.2</v>
      </c>
      <c r="BL59" s="2">
        <f t="shared" si="68"/>
        <v>4.0207850369319615</v>
      </c>
      <c r="BM59" s="2">
        <f t="shared" si="6"/>
        <v>192.96944726710817</v>
      </c>
      <c r="BN59" s="2">
        <f t="shared" si="7"/>
        <v>0</v>
      </c>
      <c r="BO59" s="7">
        <f t="shared" si="8"/>
        <v>-78.506809748548307</v>
      </c>
      <c r="BP59" s="2"/>
      <c r="BQ59" s="1">
        <f t="shared" si="30"/>
        <v>24.2</v>
      </c>
      <c r="BR59" s="4" t="str">
        <f t="shared" ref="BR59" si="124">IF(ISNUMBER(SEARCH("Appui",E59)),0,"0")</f>
        <v>0</v>
      </c>
      <c r="BS59" s="2">
        <f t="shared" si="32"/>
        <v>24.2</v>
      </c>
      <c r="BT59" s="2">
        <f t="shared" si="33"/>
        <v>56.863742648834233</v>
      </c>
      <c r="BU59" s="21">
        <f t="shared" si="34"/>
        <v>2.3497414317700098</v>
      </c>
      <c r="BV59" s="21">
        <f t="shared" si="35"/>
        <v>85.95</v>
      </c>
      <c r="BW59" s="21">
        <f t="shared" si="36"/>
        <v>131.92452381479671</v>
      </c>
      <c r="BX59" s="21">
        <f t="shared" si="37"/>
        <v>1.5348984737032776</v>
      </c>
      <c r="BY59" s="1">
        <f t="shared" si="38"/>
        <v>33.9</v>
      </c>
      <c r="BZ59" s="4" t="str">
        <f t="shared" ref="BZ59" si="125">IF(ISNUMBER(SEARCH("Appui",M59)),0,"0")</f>
        <v>0</v>
      </c>
      <c r="CA59" s="2">
        <f t="shared" si="40"/>
        <v>33.9</v>
      </c>
      <c r="CB59" s="2">
        <f t="shared" si="41"/>
        <v>79.640655510273348</v>
      </c>
      <c r="CC59" s="21">
        <f t="shared" si="42"/>
        <v>2.349281873459391</v>
      </c>
      <c r="CD59" s="2">
        <f t="shared" si="43"/>
        <v>119.58750000000001</v>
      </c>
      <c r="CE59" s="2">
        <f t="shared" si="44"/>
        <v>188.54736033773312</v>
      </c>
      <c r="CF59" s="21">
        <f t="shared" si="45"/>
        <v>1.5766477293842007</v>
      </c>
      <c r="CG59" s="10" t="str">
        <f t="shared" ref="CG59" si="126">IF(C57&lt;C59,"Rive",IF(C61&gt;C59,"Rive","Inter"))</f>
        <v>Rive</v>
      </c>
      <c r="CH59" s="21">
        <f t="shared" si="47"/>
        <v>1.1031631551357517</v>
      </c>
      <c r="CI59" s="51" t="s">
        <v>126</v>
      </c>
    </row>
    <row r="60" spans="1:87" x14ac:dyDescent="0.25">
      <c r="A60" t="str">
        <f t="shared" si="27"/>
        <v/>
      </c>
      <c r="B60" t="b">
        <f t="shared" si="28"/>
        <v>0</v>
      </c>
      <c r="C60">
        <f t="shared" si="90"/>
        <v>5</v>
      </c>
      <c r="D60" t="s">
        <v>92</v>
      </c>
      <c r="F60">
        <v>25</v>
      </c>
      <c r="G60" t="s">
        <v>46</v>
      </c>
      <c r="H60">
        <v>500</v>
      </c>
      <c r="I60">
        <v>220000</v>
      </c>
      <c r="J60">
        <v>1576</v>
      </c>
      <c r="K60">
        <v>1870</v>
      </c>
      <c r="L60">
        <v>1</v>
      </c>
      <c r="M60">
        <v>0.2</v>
      </c>
      <c r="N60">
        <v>2.2000000000000002</v>
      </c>
      <c r="O60">
        <v>1.0000000000000001E-5</v>
      </c>
      <c r="P60">
        <v>0.03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0.78043082983844214</v>
      </c>
      <c r="AS60">
        <v>0.78043082983844214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0.78043082983844214</v>
      </c>
      <c r="BC60" s="1">
        <f t="shared" si="48"/>
        <v>0</v>
      </c>
      <c r="BD60" s="2">
        <f t="shared" si="0"/>
        <v>0</v>
      </c>
      <c r="BE60" s="7">
        <f t="shared" si="1"/>
        <v>0</v>
      </c>
      <c r="BF60" s="1">
        <f t="shared" si="2"/>
        <v>0</v>
      </c>
      <c r="BG60" s="2">
        <f t="shared" si="3"/>
        <v>0</v>
      </c>
      <c r="BH60" s="2">
        <f t="shared" si="67"/>
        <v>0</v>
      </c>
      <c r="BI60" s="2">
        <f t="shared" si="67"/>
        <v>0</v>
      </c>
      <c r="BJ60" s="7">
        <f t="shared" si="67"/>
        <v>0</v>
      </c>
      <c r="BK60" s="1">
        <f t="shared" si="68"/>
        <v>0</v>
      </c>
      <c r="BL60" s="2">
        <f t="shared" si="68"/>
        <v>0</v>
      </c>
      <c r="BM60" s="2">
        <f t="shared" si="6"/>
        <v>0</v>
      </c>
      <c r="BN60" s="2">
        <f t="shared" si="7"/>
        <v>0</v>
      </c>
      <c r="BO60" s="7">
        <f t="shared" si="8"/>
        <v>0</v>
      </c>
      <c r="BP60" s="2"/>
      <c r="BQ60" s="1">
        <f t="shared" si="30"/>
        <v>0</v>
      </c>
      <c r="BR60" s="4">
        <v>0</v>
      </c>
      <c r="BS60" s="2">
        <f t="shared" si="32"/>
        <v>0</v>
      </c>
      <c r="BT60" s="2">
        <f t="shared" si="33"/>
        <v>0.78043082983844214</v>
      </c>
      <c r="BU60" s="21">
        <f t="shared" si="34"/>
        <v>1</v>
      </c>
      <c r="BV60" s="21" t="str">
        <f t="shared" si="35"/>
        <v/>
      </c>
      <c r="BW60" s="21" t="str">
        <f t="shared" si="36"/>
        <v/>
      </c>
      <c r="BX60" s="21" t="str">
        <f t="shared" si="37"/>
        <v/>
      </c>
      <c r="BY60" s="1">
        <f t="shared" si="38"/>
        <v>0</v>
      </c>
      <c r="BZ60" s="4">
        <v>0</v>
      </c>
      <c r="CA60" s="2">
        <f t="shared" si="40"/>
        <v>0</v>
      </c>
      <c r="CB60" s="2">
        <f t="shared" si="41"/>
        <v>0.78043082983844214</v>
      </c>
      <c r="CC60" s="21">
        <f t="shared" si="42"/>
        <v>1</v>
      </c>
      <c r="CD60" s="2" t="str">
        <f t="shared" si="43"/>
        <v/>
      </c>
      <c r="CE60" s="2" t="str">
        <f t="shared" si="44"/>
        <v/>
      </c>
      <c r="CF60" s="21" t="str">
        <f t="shared" si="45"/>
        <v/>
      </c>
      <c r="CG60" s="15"/>
      <c r="CH60" s="21" t="str">
        <f t="shared" si="47"/>
        <v/>
      </c>
    </row>
    <row r="61" spans="1:87" x14ac:dyDescent="0.25">
      <c r="A61" t="str">
        <f t="shared" si="27"/>
        <v>Travée</v>
      </c>
      <c r="B61" t="b">
        <f t="shared" si="28"/>
        <v>1</v>
      </c>
      <c r="C61">
        <f t="shared" si="90"/>
        <v>6</v>
      </c>
      <c r="D61" t="s">
        <v>93</v>
      </c>
      <c r="E61" t="s">
        <v>45</v>
      </c>
      <c r="F61">
        <v>25</v>
      </c>
      <c r="G61" t="s">
        <v>46</v>
      </c>
      <c r="H61">
        <v>500</v>
      </c>
      <c r="I61">
        <v>220000</v>
      </c>
      <c r="J61">
        <v>1576</v>
      </c>
      <c r="K61">
        <v>1870</v>
      </c>
      <c r="L61">
        <v>1</v>
      </c>
      <c r="M61">
        <v>0.26</v>
      </c>
      <c r="N61">
        <v>2.2000000000000002</v>
      </c>
      <c r="O61">
        <v>5.6539999999999997E-4</v>
      </c>
      <c r="P61">
        <v>0.04</v>
      </c>
      <c r="Q61">
        <v>1</v>
      </c>
      <c r="R61">
        <v>0</v>
      </c>
      <c r="S61">
        <v>0</v>
      </c>
      <c r="T61">
        <v>1</v>
      </c>
      <c r="U61">
        <v>2.9099999999999999E-5</v>
      </c>
      <c r="V61">
        <v>0</v>
      </c>
      <c r="W61">
        <v>4</v>
      </c>
      <c r="X61">
        <v>22</v>
      </c>
      <c r="Y61">
        <v>10</v>
      </c>
      <c r="Z61">
        <v>0</v>
      </c>
      <c r="AA61">
        <v>22</v>
      </c>
      <c r="AB61">
        <v>10</v>
      </c>
      <c r="AC61">
        <v>0.5</v>
      </c>
      <c r="AD61">
        <v>11</v>
      </c>
      <c r="AE61">
        <v>21</v>
      </c>
      <c r="AF61">
        <v>44.7</v>
      </c>
      <c r="AH61">
        <v>32</v>
      </c>
      <c r="AI61">
        <v>11</v>
      </c>
      <c r="AJ61">
        <v>21</v>
      </c>
      <c r="AK61">
        <v>1.8753111404444429</v>
      </c>
      <c r="AL61">
        <v>3.0913629162531011</v>
      </c>
      <c r="AM61">
        <v>-92.017493206542255</v>
      </c>
      <c r="AN61">
        <v>-133.10275986427101</v>
      </c>
      <c r="AO61">
        <v>0</v>
      </c>
      <c r="AP61">
        <v>-176.96214539011791</v>
      </c>
      <c r="AQ61">
        <v>44.7</v>
      </c>
      <c r="AR61">
        <v>56.863742648834233</v>
      </c>
      <c r="AS61">
        <v>106.3249902119987</v>
      </c>
      <c r="AT61">
        <v>4.7336911238608028</v>
      </c>
      <c r="AU61">
        <v>-287.44373166446542</v>
      </c>
      <c r="AV61">
        <v>0</v>
      </c>
      <c r="AW61">
        <v>-385.9844394145</v>
      </c>
      <c r="AX61">
        <v>32</v>
      </c>
      <c r="AY61">
        <v>3.953370885669564</v>
      </c>
      <c r="AZ61">
        <v>-271.79123302569337</v>
      </c>
      <c r="BA61">
        <v>56.863742648834233</v>
      </c>
      <c r="BC61" s="1">
        <f t="shared" si="48"/>
        <v>11</v>
      </c>
      <c r="BD61" s="2">
        <f t="shared" si="0"/>
        <v>1.8753111404444429</v>
      </c>
      <c r="BE61" s="7">
        <f t="shared" si="1"/>
        <v>-92.017493206542255</v>
      </c>
      <c r="BF61" s="1">
        <f t="shared" si="2"/>
        <v>21</v>
      </c>
      <c r="BG61" s="2">
        <f t="shared" si="3"/>
        <v>3.0913629162531011</v>
      </c>
      <c r="BH61" s="2">
        <f t="shared" si="67"/>
        <v>-133.10275986427101</v>
      </c>
      <c r="BI61" s="2">
        <f t="shared" si="67"/>
        <v>0</v>
      </c>
      <c r="BJ61" s="7">
        <f t="shared" si="67"/>
        <v>-176.96214539011791</v>
      </c>
      <c r="BK61" s="1">
        <f t="shared" si="68"/>
        <v>32</v>
      </c>
      <c r="BL61" s="2">
        <f t="shared" si="68"/>
        <v>4.9666740566975438</v>
      </c>
      <c r="BM61" s="2">
        <f t="shared" si="6"/>
        <v>225.12025307081325</v>
      </c>
      <c r="BN61" s="2">
        <f t="shared" si="7"/>
        <v>0</v>
      </c>
      <c r="BO61" s="7">
        <f t="shared" si="8"/>
        <v>-176.96214539011791</v>
      </c>
      <c r="BP61" s="2"/>
      <c r="BQ61" s="1">
        <f t="shared" si="30"/>
        <v>32</v>
      </c>
      <c r="BR61" s="4" t="str">
        <f t="shared" ref="BR61" si="127">IF(ISNUMBER(SEARCH("Appui",E61)),0,"0")</f>
        <v>0</v>
      </c>
      <c r="BS61" s="2">
        <f t="shared" si="32"/>
        <v>32</v>
      </c>
      <c r="BT61" s="2">
        <f t="shared" si="33"/>
        <v>56.863742648834233</v>
      </c>
      <c r="BU61" s="21">
        <f t="shared" si="34"/>
        <v>1.7769919577760698</v>
      </c>
      <c r="BV61" s="21">
        <f t="shared" si="35"/>
        <v>92</v>
      </c>
      <c r="BW61" s="21">
        <f t="shared" si="36"/>
        <v>141.86327254342086</v>
      </c>
      <c r="BX61" s="21">
        <f t="shared" si="37"/>
        <v>1.5419920928632702</v>
      </c>
      <c r="BY61" s="1">
        <f t="shared" si="38"/>
        <v>44.7</v>
      </c>
      <c r="BZ61" s="4" t="str">
        <f t="shared" ref="BZ61" si="128">IF(ISNUMBER(SEARCH("Appui",M61)),0,"0")</f>
        <v>0</v>
      </c>
      <c r="CA61" s="2">
        <f t="shared" si="40"/>
        <v>44.7</v>
      </c>
      <c r="CB61" s="2">
        <f t="shared" si="41"/>
        <v>106.3249902119987</v>
      </c>
      <c r="CC61" s="21">
        <f t="shared" si="42"/>
        <v>2.3786351277852056</v>
      </c>
      <c r="CD61" s="2">
        <f t="shared" si="43"/>
        <v>127.95</v>
      </c>
      <c r="CE61" s="2">
        <f t="shared" si="44"/>
        <v>191.32452010658534</v>
      </c>
      <c r="CF61" s="21">
        <f t="shared" si="45"/>
        <v>1.4953069175973843</v>
      </c>
      <c r="CG61" s="10" t="str">
        <f t="shared" ref="CG61" si="129">IF(C59&lt;C61,"Rive",IF(C63&gt;C61,"Rive","Inter"))</f>
        <v>Rive</v>
      </c>
      <c r="CH61" s="21">
        <f t="shared" si="47"/>
        <v>1.108739918276052</v>
      </c>
      <c r="CI61" s="51" t="s">
        <v>126</v>
      </c>
    </row>
    <row r="62" spans="1:87" x14ac:dyDescent="0.25">
      <c r="A62" t="str">
        <f t="shared" si="27"/>
        <v>Appui</v>
      </c>
      <c r="B62" t="b">
        <f t="shared" si="28"/>
        <v>1</v>
      </c>
      <c r="C62">
        <f>IF(D62="",100000,IF(D62=D60,C60,C60+1))</f>
        <v>6</v>
      </c>
      <c r="D62" t="s">
        <v>93</v>
      </c>
      <c r="E62" t="s">
        <v>47</v>
      </c>
      <c r="F62">
        <v>25</v>
      </c>
      <c r="G62" t="s">
        <v>46</v>
      </c>
      <c r="H62">
        <v>500</v>
      </c>
      <c r="I62">
        <v>220000</v>
      </c>
      <c r="J62">
        <v>1576</v>
      </c>
      <c r="K62">
        <v>1870</v>
      </c>
      <c r="L62">
        <v>1</v>
      </c>
      <c r="M62">
        <v>0.25</v>
      </c>
      <c r="N62">
        <v>2.2000000000000002</v>
      </c>
      <c r="O62">
        <v>1.8979999999999999E-3</v>
      </c>
      <c r="P62">
        <v>9.5000000000000001E-2</v>
      </c>
      <c r="Q62">
        <v>1</v>
      </c>
      <c r="R62">
        <v>1.5393804002589981E-4</v>
      </c>
      <c r="S62">
        <v>0.04</v>
      </c>
      <c r="T62">
        <v>4</v>
      </c>
      <c r="U62">
        <v>0</v>
      </c>
      <c r="V62">
        <v>0</v>
      </c>
      <c r="W62">
        <v>0</v>
      </c>
      <c r="X62">
        <v>90</v>
      </c>
      <c r="Y62">
        <v>30</v>
      </c>
      <c r="Z62">
        <v>0</v>
      </c>
      <c r="AA62">
        <v>90</v>
      </c>
      <c r="AB62">
        <v>30</v>
      </c>
      <c r="AC62">
        <v>0.5</v>
      </c>
      <c r="AD62">
        <v>45</v>
      </c>
      <c r="AE62">
        <v>75</v>
      </c>
      <c r="AF62">
        <v>166.5</v>
      </c>
      <c r="AH62">
        <v>120</v>
      </c>
      <c r="AI62">
        <v>45</v>
      </c>
      <c r="AJ62">
        <v>75</v>
      </c>
      <c r="AK62">
        <v>7.9350892751837678</v>
      </c>
      <c r="AL62">
        <v>10.073691435170369</v>
      </c>
      <c r="AM62">
        <v>-165.94842383363689</v>
      </c>
      <c r="AN62">
        <v>-167.91196303050859</v>
      </c>
      <c r="AO62">
        <v>-250.20653671160139</v>
      </c>
      <c r="AP62">
        <v>0</v>
      </c>
      <c r="AQ62">
        <v>166.5</v>
      </c>
      <c r="AR62">
        <v>120.7579599379872</v>
      </c>
      <c r="AS62">
        <v>169.99905978917329</v>
      </c>
      <c r="AT62">
        <v>16.663757080579369</v>
      </c>
      <c r="AU62">
        <v>-436.68962405125109</v>
      </c>
      <c r="AV62">
        <v>-438.43662631662397</v>
      </c>
      <c r="AW62">
        <v>0</v>
      </c>
      <c r="AX62">
        <v>120</v>
      </c>
      <c r="AY62">
        <v>11.081648362592439</v>
      </c>
      <c r="AZ62">
        <v>-273.52512811502828</v>
      </c>
      <c r="BA62">
        <v>169.99905978917329</v>
      </c>
      <c r="BC62" s="1">
        <f t="shared" si="48"/>
        <v>45</v>
      </c>
      <c r="BD62" s="2">
        <f t="shared" si="0"/>
        <v>7.9350892751837678</v>
      </c>
      <c r="BE62" s="7">
        <f t="shared" si="1"/>
        <v>-165.94842383363689</v>
      </c>
      <c r="BF62" s="1">
        <f t="shared" si="2"/>
        <v>75</v>
      </c>
      <c r="BG62" s="2">
        <f t="shared" si="3"/>
        <v>10.073691435170369</v>
      </c>
      <c r="BH62" s="2">
        <f t="shared" si="67"/>
        <v>-167.91196303050859</v>
      </c>
      <c r="BI62" s="2">
        <f t="shared" si="67"/>
        <v>-250.20653671160139</v>
      </c>
      <c r="BJ62" s="7">
        <f t="shared" si="67"/>
        <v>0</v>
      </c>
      <c r="BK62" s="1">
        <f t="shared" si="68"/>
        <v>120</v>
      </c>
      <c r="BL62" s="2">
        <f t="shared" si="68"/>
        <v>18.008780710354138</v>
      </c>
      <c r="BM62" s="2">
        <f t="shared" si="6"/>
        <v>333.86038686414548</v>
      </c>
      <c r="BN62" s="2">
        <f t="shared" si="7"/>
        <v>250.20653671160139</v>
      </c>
      <c r="BO62" s="7">
        <f t="shared" si="8"/>
        <v>0</v>
      </c>
      <c r="BP62" s="2"/>
      <c r="BQ62" s="1">
        <f t="shared" si="30"/>
        <v>120</v>
      </c>
      <c r="BR62" s="4">
        <v>0</v>
      </c>
      <c r="BS62" s="2">
        <f t="shared" si="32"/>
        <v>120</v>
      </c>
      <c r="BT62" s="2">
        <f t="shared" si="33"/>
        <v>169.99905978917329</v>
      </c>
      <c r="BU62" s="21">
        <f t="shared" si="34"/>
        <v>1.4166588315764441</v>
      </c>
      <c r="BV62" s="21" t="str">
        <f t="shared" si="35"/>
        <v/>
      </c>
      <c r="BW62" s="21" t="str">
        <f t="shared" si="36"/>
        <v/>
      </c>
      <c r="BX62" s="21" t="str">
        <f t="shared" si="37"/>
        <v/>
      </c>
      <c r="BY62" s="1">
        <f t="shared" si="38"/>
        <v>166.5</v>
      </c>
      <c r="BZ62" s="4">
        <v>0</v>
      </c>
      <c r="CA62" s="2">
        <f t="shared" si="40"/>
        <v>166.5</v>
      </c>
      <c r="CB62" s="2">
        <f t="shared" si="41"/>
        <v>169.99905978917329</v>
      </c>
      <c r="CC62" s="21">
        <f t="shared" si="42"/>
        <v>1.0210153741091488</v>
      </c>
      <c r="CD62" s="2" t="str">
        <f t="shared" si="43"/>
        <v/>
      </c>
      <c r="CE62" s="2" t="str">
        <f t="shared" si="44"/>
        <v/>
      </c>
      <c r="CF62" s="21" t="str">
        <f t="shared" si="45"/>
        <v/>
      </c>
      <c r="CG62" s="15"/>
      <c r="CH62" s="21" t="str">
        <f t="shared" si="47"/>
        <v/>
      </c>
      <c r="CI62" s="51" t="s">
        <v>126</v>
      </c>
    </row>
    <row r="63" spans="1:87" x14ac:dyDescent="0.25">
      <c r="A63" t="str">
        <f t="shared" si="27"/>
        <v>Travée</v>
      </c>
      <c r="B63" t="b">
        <f t="shared" si="28"/>
        <v>1</v>
      </c>
      <c r="C63">
        <f t="shared" si="90"/>
        <v>6</v>
      </c>
      <c r="D63" t="s">
        <v>93</v>
      </c>
      <c r="E63" t="s">
        <v>48</v>
      </c>
      <c r="F63">
        <v>25</v>
      </c>
      <c r="G63" t="s">
        <v>46</v>
      </c>
      <c r="H63">
        <v>500</v>
      </c>
      <c r="I63">
        <v>220000</v>
      </c>
      <c r="J63">
        <v>1576</v>
      </c>
      <c r="K63">
        <v>1870</v>
      </c>
      <c r="L63">
        <v>1</v>
      </c>
      <c r="M63">
        <v>0.23499999999999999</v>
      </c>
      <c r="N63">
        <v>2.2000000000000002</v>
      </c>
      <c r="O63">
        <v>8.470000000000001E-4</v>
      </c>
      <c r="P63">
        <v>0.04</v>
      </c>
      <c r="Q63">
        <v>1</v>
      </c>
      <c r="R63">
        <v>0</v>
      </c>
      <c r="S63">
        <v>0</v>
      </c>
      <c r="T63">
        <v>1</v>
      </c>
      <c r="U63">
        <v>2.9099999999999999E-5</v>
      </c>
      <c r="V63">
        <v>0</v>
      </c>
      <c r="W63">
        <v>4</v>
      </c>
      <c r="X63">
        <v>39</v>
      </c>
      <c r="Y63">
        <v>14</v>
      </c>
      <c r="Z63">
        <v>0</v>
      </c>
      <c r="AA63">
        <v>39</v>
      </c>
      <c r="AB63">
        <v>14</v>
      </c>
      <c r="AC63">
        <v>0.5</v>
      </c>
      <c r="AD63">
        <v>19.5</v>
      </c>
      <c r="AE63">
        <v>33.5</v>
      </c>
      <c r="AF63">
        <v>73.650000000000006</v>
      </c>
      <c r="AH63">
        <v>53</v>
      </c>
      <c r="AI63">
        <v>19.5</v>
      </c>
      <c r="AJ63">
        <v>33.5</v>
      </c>
      <c r="AK63">
        <v>3.3554700449367298</v>
      </c>
      <c r="AL63">
        <v>5.1671369791742334</v>
      </c>
      <c r="AM63">
        <v>-124.19526508748621</v>
      </c>
      <c r="AN63">
        <v>-174.37901029845281</v>
      </c>
      <c r="AO63">
        <v>0</v>
      </c>
      <c r="AP63">
        <v>-238.5723146164018</v>
      </c>
      <c r="AQ63">
        <v>73.650000000000006</v>
      </c>
      <c r="AR63">
        <v>74.708892277634021</v>
      </c>
      <c r="AS63">
        <v>116.89340296647261</v>
      </c>
      <c r="AT63">
        <v>7.9388340368567256</v>
      </c>
      <c r="AU63">
        <v>-391.07204265535307</v>
      </c>
      <c r="AV63">
        <v>0</v>
      </c>
      <c r="AW63">
        <v>-543.36346308172608</v>
      </c>
      <c r="AX63">
        <v>53</v>
      </c>
      <c r="AY63">
        <v>6.4763147804146328</v>
      </c>
      <c r="AZ63">
        <v>-344.72408336380192</v>
      </c>
      <c r="BA63">
        <v>74.708892277634021</v>
      </c>
      <c r="BC63" s="1">
        <f t="shared" si="48"/>
        <v>19.5</v>
      </c>
      <c r="BD63" s="2">
        <f t="shared" si="0"/>
        <v>3.3554700449367298</v>
      </c>
      <c r="BE63" s="7">
        <f t="shared" si="1"/>
        <v>-124.19526508748621</v>
      </c>
      <c r="BF63" s="1">
        <f t="shared" si="2"/>
        <v>33.5</v>
      </c>
      <c r="BG63" s="2">
        <f t="shared" si="3"/>
        <v>5.1671369791742334</v>
      </c>
      <c r="BH63" s="2">
        <f t="shared" si="67"/>
        <v>-174.37901029845281</v>
      </c>
      <c r="BI63" s="2">
        <f t="shared" si="67"/>
        <v>0</v>
      </c>
      <c r="BJ63" s="7">
        <f t="shared" si="67"/>
        <v>-238.5723146164018</v>
      </c>
      <c r="BK63" s="1">
        <f t="shared" si="68"/>
        <v>53</v>
      </c>
      <c r="BL63" s="2">
        <f t="shared" si="68"/>
        <v>8.5226070241109628</v>
      </c>
      <c r="BM63" s="2">
        <f t="shared" si="6"/>
        <v>298.57427538593902</v>
      </c>
      <c r="BN63" s="2">
        <f t="shared" si="7"/>
        <v>0</v>
      </c>
      <c r="BO63" s="7">
        <f t="shared" si="8"/>
        <v>-238.5723146164018</v>
      </c>
      <c r="BP63" s="2"/>
      <c r="BQ63" s="1">
        <f t="shared" si="30"/>
        <v>53</v>
      </c>
      <c r="BR63" s="4" t="str">
        <f t="shared" ref="BR63" si="130">IF(ISNUMBER(SEARCH("Appui",E63)),0,"0")</f>
        <v>0</v>
      </c>
      <c r="BS63" s="2">
        <f t="shared" si="32"/>
        <v>53</v>
      </c>
      <c r="BT63" s="2">
        <f t="shared" si="33"/>
        <v>74.708892277634021</v>
      </c>
      <c r="BU63" s="21">
        <f t="shared" si="34"/>
        <v>1.4096017410874344</v>
      </c>
      <c r="BV63" s="21">
        <f t="shared" si="35"/>
        <v>113</v>
      </c>
      <c r="BW63" s="21">
        <f t="shared" si="36"/>
        <v>160.09863758713988</v>
      </c>
      <c r="BX63" s="21">
        <f t="shared" si="37"/>
        <v>1.4168021025410609</v>
      </c>
      <c r="BY63" s="1">
        <f t="shared" si="38"/>
        <v>73.650000000000006</v>
      </c>
      <c r="BZ63" s="4" t="str">
        <f t="shared" ref="BZ63" si="131">IF(ISNUMBER(SEARCH("Appui",M63)),0,"0")</f>
        <v>0</v>
      </c>
      <c r="CA63" s="2">
        <f t="shared" si="40"/>
        <v>73.650000000000006</v>
      </c>
      <c r="CB63" s="2">
        <f t="shared" si="41"/>
        <v>116.89340296647261</v>
      </c>
      <c r="CC63" s="21">
        <f t="shared" si="42"/>
        <v>1.5871473586757989</v>
      </c>
      <c r="CD63" s="2">
        <f t="shared" si="43"/>
        <v>156.9</v>
      </c>
      <c r="CE63" s="2">
        <f t="shared" si="44"/>
        <v>202.28314827597848</v>
      </c>
      <c r="CF63" s="21">
        <f t="shared" si="45"/>
        <v>1.2892488736518704</v>
      </c>
      <c r="CG63" s="10" t="str">
        <f t="shared" ref="CG63" si="132">IF(C61&lt;C63,"Rive",IF(C65&gt;C63,"Rive","Inter"))</f>
        <v>Inter</v>
      </c>
      <c r="CH63" s="21">
        <f t="shared" si="47"/>
        <v>1.0203864728307195</v>
      </c>
      <c r="CI63" s="51" t="s">
        <v>126</v>
      </c>
    </row>
    <row r="64" spans="1:87" x14ac:dyDescent="0.25">
      <c r="A64" t="str">
        <f t="shared" si="27"/>
        <v/>
      </c>
      <c r="B64" t="b">
        <f t="shared" si="28"/>
        <v>1</v>
      </c>
      <c r="C64">
        <f t="shared" si="90"/>
        <v>6</v>
      </c>
      <c r="D64" t="s">
        <v>93</v>
      </c>
      <c r="F64">
        <v>25</v>
      </c>
      <c r="G64" t="s">
        <v>46</v>
      </c>
      <c r="H64">
        <v>500</v>
      </c>
      <c r="I64">
        <v>220000</v>
      </c>
      <c r="J64">
        <v>1576</v>
      </c>
      <c r="K64">
        <v>1870</v>
      </c>
      <c r="L64">
        <v>1</v>
      </c>
      <c r="M64">
        <v>0.2</v>
      </c>
      <c r="N64">
        <v>2.2000000000000002</v>
      </c>
      <c r="O64">
        <v>1.0000000000000001E-5</v>
      </c>
      <c r="P64">
        <v>0.03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0.78043082983844214</v>
      </c>
      <c r="AS64">
        <v>0.78043082983844214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0.78043082983844214</v>
      </c>
      <c r="BC64" s="1">
        <f t="shared" si="48"/>
        <v>0</v>
      </c>
      <c r="BD64" s="2">
        <f t="shared" si="0"/>
        <v>0</v>
      </c>
      <c r="BE64" s="7">
        <f t="shared" si="1"/>
        <v>0</v>
      </c>
      <c r="BF64" s="1">
        <f t="shared" si="2"/>
        <v>0</v>
      </c>
      <c r="BG64" s="2">
        <f t="shared" si="3"/>
        <v>0</v>
      </c>
      <c r="BH64" s="2">
        <f t="shared" si="67"/>
        <v>0</v>
      </c>
      <c r="BI64" s="2">
        <f t="shared" si="67"/>
        <v>0</v>
      </c>
      <c r="BJ64" s="7">
        <f t="shared" si="67"/>
        <v>0</v>
      </c>
      <c r="BK64" s="1">
        <f t="shared" si="68"/>
        <v>0</v>
      </c>
      <c r="BL64" s="2">
        <f t="shared" si="68"/>
        <v>0</v>
      </c>
      <c r="BM64" s="2">
        <f t="shared" si="6"/>
        <v>0</v>
      </c>
      <c r="BN64" s="2">
        <f t="shared" si="7"/>
        <v>0</v>
      </c>
      <c r="BO64" s="7">
        <f t="shared" si="8"/>
        <v>0</v>
      </c>
      <c r="BP64" s="2"/>
      <c r="BQ64" s="1">
        <f t="shared" si="30"/>
        <v>0</v>
      </c>
      <c r="BR64" s="4">
        <v>0</v>
      </c>
      <c r="BS64" s="2">
        <f t="shared" si="32"/>
        <v>0</v>
      </c>
      <c r="BT64" s="2">
        <f t="shared" si="33"/>
        <v>0.78043082983844214</v>
      </c>
      <c r="BU64" s="21">
        <f t="shared" si="34"/>
        <v>1</v>
      </c>
      <c r="BV64" s="21" t="str">
        <f t="shared" si="35"/>
        <v/>
      </c>
      <c r="BW64" s="21" t="str">
        <f t="shared" si="36"/>
        <v/>
      </c>
      <c r="BX64" s="21" t="str">
        <f t="shared" si="37"/>
        <v/>
      </c>
      <c r="BY64" s="1">
        <f t="shared" si="38"/>
        <v>0</v>
      </c>
      <c r="BZ64" s="4">
        <v>0</v>
      </c>
      <c r="CA64" s="2">
        <f t="shared" si="40"/>
        <v>0</v>
      </c>
      <c r="CB64" s="2">
        <f t="shared" si="41"/>
        <v>0.78043082983844214</v>
      </c>
      <c r="CC64" s="21">
        <f t="shared" si="42"/>
        <v>1</v>
      </c>
      <c r="CD64" s="2" t="str">
        <f t="shared" si="43"/>
        <v/>
      </c>
      <c r="CE64" s="2" t="str">
        <f t="shared" si="44"/>
        <v/>
      </c>
      <c r="CF64" s="21" t="str">
        <f t="shared" si="45"/>
        <v/>
      </c>
      <c r="CG64" s="15"/>
      <c r="CH64" s="21" t="str">
        <f t="shared" si="47"/>
        <v/>
      </c>
    </row>
    <row r="65" spans="1:87" x14ac:dyDescent="0.25">
      <c r="A65" t="str">
        <f t="shared" si="27"/>
        <v>Travée</v>
      </c>
      <c r="B65" t="b">
        <f t="shared" si="28"/>
        <v>1</v>
      </c>
      <c r="C65">
        <f t="shared" si="90"/>
        <v>6</v>
      </c>
      <c r="D65" t="s">
        <v>93</v>
      </c>
      <c r="E65" t="s">
        <v>51</v>
      </c>
      <c r="F65">
        <v>25</v>
      </c>
      <c r="G65" t="s">
        <v>46</v>
      </c>
      <c r="H65">
        <v>500</v>
      </c>
      <c r="I65">
        <v>220000</v>
      </c>
      <c r="J65">
        <v>1576</v>
      </c>
      <c r="K65">
        <v>1870</v>
      </c>
      <c r="L65">
        <v>1</v>
      </c>
      <c r="M65">
        <v>0.23499999999999999</v>
      </c>
      <c r="N65">
        <v>2.2000000000000002</v>
      </c>
      <c r="O65">
        <v>2.8160000000000001E-4</v>
      </c>
      <c r="P65">
        <v>0.04</v>
      </c>
      <c r="Q65">
        <v>1</v>
      </c>
      <c r="R65">
        <v>0</v>
      </c>
      <c r="S65">
        <v>0</v>
      </c>
      <c r="T65">
        <v>1</v>
      </c>
      <c r="U65">
        <v>2.9099999999999999E-5</v>
      </c>
      <c r="V65">
        <v>0</v>
      </c>
      <c r="W65">
        <v>6</v>
      </c>
      <c r="X65">
        <v>26.3</v>
      </c>
      <c r="Y65">
        <v>9</v>
      </c>
      <c r="Z65">
        <v>0</v>
      </c>
      <c r="AA65">
        <v>21.4</v>
      </c>
      <c r="AB65">
        <v>7.45</v>
      </c>
      <c r="AC65">
        <v>0</v>
      </c>
      <c r="AD65">
        <v>21.4</v>
      </c>
      <c r="AE65">
        <v>7.45</v>
      </c>
      <c r="AF65">
        <v>40.064999999999998</v>
      </c>
      <c r="AH65">
        <v>28.85</v>
      </c>
      <c r="AI65">
        <v>21.4</v>
      </c>
      <c r="AJ65">
        <v>7.45</v>
      </c>
      <c r="AK65">
        <v>6.0922230466694014</v>
      </c>
      <c r="AL65">
        <v>1.457480797984509</v>
      </c>
      <c r="AM65">
        <v>-401.60132885801022</v>
      </c>
      <c r="AN65">
        <v>-69.909837803210124</v>
      </c>
      <c r="AO65">
        <v>0</v>
      </c>
      <c r="AP65">
        <v>-94.765001438066136</v>
      </c>
      <c r="AQ65">
        <v>40.064999999999998</v>
      </c>
      <c r="AR65">
        <v>25.257071304347789</v>
      </c>
      <c r="AS65">
        <v>96.476549090950158</v>
      </c>
      <c r="AT65">
        <v>5.5358244968066703</v>
      </c>
      <c r="AU65">
        <v>-379.78124900654439</v>
      </c>
      <c r="AV65">
        <v>0</v>
      </c>
      <c r="AW65">
        <v>-519.95056057685724</v>
      </c>
      <c r="AX65">
        <v>28.85</v>
      </c>
      <c r="AY65">
        <v>0</v>
      </c>
      <c r="AZ65">
        <v>0</v>
      </c>
      <c r="BA65">
        <v>25.257071304347789</v>
      </c>
      <c r="BC65" s="1">
        <f t="shared" si="48"/>
        <v>21.4</v>
      </c>
      <c r="BD65" s="2">
        <f t="shared" si="0"/>
        <v>6.0922230466694014</v>
      </c>
      <c r="BE65" s="7">
        <f t="shared" si="1"/>
        <v>-401.60132885801022</v>
      </c>
      <c r="BF65" s="1">
        <f t="shared" si="2"/>
        <v>7.45</v>
      </c>
      <c r="BG65" s="2">
        <f t="shared" si="3"/>
        <v>1.457480797984509</v>
      </c>
      <c r="BH65" s="2">
        <f t="shared" si="67"/>
        <v>-69.909837803210124</v>
      </c>
      <c r="BI65" s="2">
        <f t="shared" si="67"/>
        <v>0</v>
      </c>
      <c r="BJ65" s="7">
        <f t="shared" si="67"/>
        <v>-94.765001438066136</v>
      </c>
      <c r="BK65" s="1">
        <f t="shared" si="68"/>
        <v>28.849999999999998</v>
      </c>
      <c r="BL65" s="2">
        <f t="shared" si="68"/>
        <v>7.5497038446539104</v>
      </c>
      <c r="BM65" s="2">
        <f t="shared" si="6"/>
        <v>471.51116666122033</v>
      </c>
      <c r="BN65" s="2">
        <f t="shared" si="7"/>
        <v>0</v>
      </c>
      <c r="BO65" s="7">
        <f t="shared" si="8"/>
        <v>-94.765001438066136</v>
      </c>
      <c r="BP65" s="2"/>
      <c r="BQ65" s="1">
        <f t="shared" si="30"/>
        <v>28.85</v>
      </c>
      <c r="BR65" s="4" t="str">
        <f t="shared" ref="BR65" si="133">IF(ISNUMBER(SEARCH("Appui",E65)),0,"0")</f>
        <v>0</v>
      </c>
      <c r="BS65" s="2">
        <f t="shared" si="32"/>
        <v>28.85</v>
      </c>
      <c r="BT65" s="2">
        <f t="shared" si="33"/>
        <v>25.257071304347789</v>
      </c>
      <c r="BU65" s="21">
        <f t="shared" si="34"/>
        <v>0.87546174365156981</v>
      </c>
      <c r="BV65" s="21">
        <f t="shared" si="35"/>
        <v>67.550000000000011</v>
      </c>
      <c r="BW65" s="21">
        <f t="shared" si="36"/>
        <v>70.150584262356659</v>
      </c>
      <c r="BX65" s="21">
        <f t="shared" si="37"/>
        <v>1.0384986567336292</v>
      </c>
      <c r="BY65" s="1">
        <f t="shared" si="38"/>
        <v>40.064999999999998</v>
      </c>
      <c r="BZ65" s="4" t="str">
        <f t="shared" ref="BZ65" si="134">IF(ISNUMBER(SEARCH("Appui",M65)),0,"0")</f>
        <v>0</v>
      </c>
      <c r="CA65" s="2">
        <f t="shared" si="40"/>
        <v>40.064999999999998</v>
      </c>
      <c r="CB65" s="2">
        <f t="shared" si="41"/>
        <v>96.476549090950158</v>
      </c>
      <c r="CC65" s="21">
        <f t="shared" si="42"/>
        <v>2.4080007260938516</v>
      </c>
      <c r="CD65" s="2">
        <f t="shared" si="43"/>
        <v>93.704999999999998</v>
      </c>
      <c r="CE65" s="2">
        <f t="shared" si="44"/>
        <v>141.37006204895903</v>
      </c>
      <c r="CF65" s="21">
        <f t="shared" si="45"/>
        <v>1.5086714908378318</v>
      </c>
      <c r="CG65" s="10" t="str">
        <f t="shared" ref="CG65" si="135">IF(C63&lt;C65,"Rive",IF(C67&gt;C65,"Rive","Inter"))</f>
        <v>Inter</v>
      </c>
      <c r="CH65" s="21">
        <f t="shared" si="47"/>
        <v>0.74863224227476288</v>
      </c>
      <c r="CI65" s="51" t="s">
        <v>126</v>
      </c>
    </row>
    <row r="66" spans="1:87" x14ac:dyDescent="0.25">
      <c r="A66" t="str">
        <f t="shared" si="27"/>
        <v>Appui</v>
      </c>
      <c r="B66" t="b">
        <f t="shared" si="28"/>
        <v>1</v>
      </c>
      <c r="C66">
        <f t="shared" si="90"/>
        <v>6</v>
      </c>
      <c r="D66" t="s">
        <v>93</v>
      </c>
      <c r="E66" t="s">
        <v>49</v>
      </c>
      <c r="F66">
        <v>25</v>
      </c>
      <c r="G66" t="s">
        <v>46</v>
      </c>
      <c r="H66">
        <v>500</v>
      </c>
      <c r="I66">
        <v>220000</v>
      </c>
      <c r="J66">
        <v>1576</v>
      </c>
      <c r="K66">
        <v>1870</v>
      </c>
      <c r="L66">
        <v>1</v>
      </c>
      <c r="M66">
        <v>0.25</v>
      </c>
      <c r="N66">
        <v>2.2000000000000002</v>
      </c>
      <c r="O66">
        <v>1.1286E-3</v>
      </c>
      <c r="P66">
        <v>6.9999999999999993E-2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49</v>
      </c>
      <c r="Y66">
        <v>15.5</v>
      </c>
      <c r="Z66">
        <v>0.2</v>
      </c>
      <c r="AA66">
        <v>58.8</v>
      </c>
      <c r="AB66">
        <v>18.600000000000001</v>
      </c>
      <c r="AC66">
        <v>0</v>
      </c>
      <c r="AD66">
        <v>58.8</v>
      </c>
      <c r="AE66">
        <v>18.600000000000001</v>
      </c>
      <c r="AF66">
        <v>107.28</v>
      </c>
      <c r="AH66">
        <v>77.400000000000006</v>
      </c>
      <c r="AI66">
        <v>58.8</v>
      </c>
      <c r="AJ66">
        <v>18.600000000000001</v>
      </c>
      <c r="AK66">
        <v>10.131045308754</v>
      </c>
      <c r="AL66">
        <v>3.2047184139936098</v>
      </c>
      <c r="AM66">
        <v>-307.35781402895378</v>
      </c>
      <c r="AN66">
        <v>-97.225430968342593</v>
      </c>
      <c r="AO66">
        <v>0</v>
      </c>
      <c r="AP66">
        <v>0</v>
      </c>
      <c r="AQ66">
        <v>107.28</v>
      </c>
      <c r="AR66">
        <v>89.006595086179289</v>
      </c>
      <c r="AS66">
        <v>89.006595086179289</v>
      </c>
      <c r="AT66">
        <v>0</v>
      </c>
      <c r="AU66">
        <v>0</v>
      </c>
      <c r="AV66">
        <v>0</v>
      </c>
      <c r="AW66">
        <v>0</v>
      </c>
      <c r="AX66">
        <v>77.400000000000006</v>
      </c>
      <c r="AY66">
        <v>9.2072853223584428</v>
      </c>
      <c r="AZ66">
        <v>-415.64231368496309</v>
      </c>
      <c r="BA66">
        <v>89.006595086179289</v>
      </c>
      <c r="BC66" s="1">
        <f t="shared" si="48"/>
        <v>58.8</v>
      </c>
      <c r="BD66" s="2">
        <f t="shared" si="0"/>
        <v>10.131045308754</v>
      </c>
      <c r="BE66" s="7">
        <f t="shared" si="1"/>
        <v>-307.35781402895378</v>
      </c>
      <c r="BF66" s="1">
        <f t="shared" si="2"/>
        <v>18.600000000000001</v>
      </c>
      <c r="BG66" s="2">
        <f t="shared" si="3"/>
        <v>3.2047184139936098</v>
      </c>
      <c r="BH66" s="2">
        <f t="shared" si="67"/>
        <v>-97.225430968342593</v>
      </c>
      <c r="BI66" s="2">
        <f t="shared" si="67"/>
        <v>0</v>
      </c>
      <c r="BJ66" s="7">
        <f t="shared" si="67"/>
        <v>0</v>
      </c>
      <c r="BK66" s="1">
        <f t="shared" si="68"/>
        <v>77.400000000000006</v>
      </c>
      <c r="BL66" s="2">
        <f t="shared" si="68"/>
        <v>13.335763722747611</v>
      </c>
      <c r="BM66" s="2">
        <f t="shared" si="6"/>
        <v>404.58324499729639</v>
      </c>
      <c r="BN66" s="2">
        <f t="shared" si="7"/>
        <v>0</v>
      </c>
      <c r="BO66" s="7">
        <f t="shared" si="8"/>
        <v>0</v>
      </c>
      <c r="BP66" s="2"/>
      <c r="BQ66" s="1">
        <f t="shared" si="30"/>
        <v>77.400000000000006</v>
      </c>
      <c r="BR66" s="4">
        <v>0</v>
      </c>
      <c r="BS66" s="2">
        <f t="shared" si="32"/>
        <v>77.400000000000006</v>
      </c>
      <c r="BT66" s="2">
        <f t="shared" si="33"/>
        <v>89.006595086179289</v>
      </c>
      <c r="BU66" s="21">
        <f t="shared" si="34"/>
        <v>1.1499560088653653</v>
      </c>
      <c r="BV66" s="21" t="str">
        <f t="shared" si="35"/>
        <v/>
      </c>
      <c r="BW66" s="21" t="str">
        <f t="shared" si="36"/>
        <v/>
      </c>
      <c r="BX66" s="21" t="str">
        <f t="shared" si="37"/>
        <v/>
      </c>
      <c r="BY66" s="1">
        <f t="shared" si="38"/>
        <v>107.28</v>
      </c>
      <c r="BZ66" s="4">
        <v>0</v>
      </c>
      <c r="CA66" s="2">
        <f t="shared" si="40"/>
        <v>107.28</v>
      </c>
      <c r="CB66" s="2">
        <f t="shared" si="41"/>
        <v>89.006595086179289</v>
      </c>
      <c r="CC66" s="21">
        <f t="shared" si="42"/>
        <v>0.82966624800689115</v>
      </c>
      <c r="CD66" s="2" t="str">
        <f t="shared" si="43"/>
        <v/>
      </c>
      <c r="CE66" s="2" t="str">
        <f t="shared" si="44"/>
        <v/>
      </c>
      <c r="CF66" s="21" t="str">
        <f t="shared" si="45"/>
        <v/>
      </c>
      <c r="CG66" s="15"/>
      <c r="CH66" s="21" t="str">
        <f t="shared" si="47"/>
        <v/>
      </c>
      <c r="CI66" s="51" t="s">
        <v>126</v>
      </c>
    </row>
    <row r="67" spans="1:87" x14ac:dyDescent="0.25">
      <c r="A67" t="str">
        <f t="shared" si="27"/>
        <v/>
      </c>
      <c r="B67" t="b">
        <f t="shared" si="28"/>
        <v>1</v>
      </c>
      <c r="C67">
        <f t="shared" si="90"/>
        <v>6</v>
      </c>
      <c r="D67" t="s">
        <v>93</v>
      </c>
      <c r="F67">
        <v>25</v>
      </c>
      <c r="G67" t="s">
        <v>46</v>
      </c>
      <c r="H67">
        <v>500</v>
      </c>
      <c r="I67">
        <v>220000</v>
      </c>
      <c r="J67">
        <v>1576</v>
      </c>
      <c r="K67">
        <v>1870</v>
      </c>
      <c r="L67">
        <v>1</v>
      </c>
      <c r="M67">
        <v>0.2</v>
      </c>
      <c r="N67">
        <v>2.2000000000000002</v>
      </c>
      <c r="O67">
        <v>1.0000000000000001E-5</v>
      </c>
      <c r="P67">
        <v>0.03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0.78043082983844214</v>
      </c>
      <c r="AS67">
        <v>0.78043082983844214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0.78043082983844214</v>
      </c>
      <c r="BC67" s="1">
        <f t="shared" si="48"/>
        <v>0</v>
      </c>
      <c r="BD67" s="2">
        <f t="shared" si="0"/>
        <v>0</v>
      </c>
      <c r="BE67" s="7">
        <f t="shared" si="1"/>
        <v>0</v>
      </c>
      <c r="BF67" s="1">
        <f t="shared" si="2"/>
        <v>0</v>
      </c>
      <c r="BG67" s="2">
        <f t="shared" si="3"/>
        <v>0</v>
      </c>
      <c r="BH67" s="2">
        <f t="shared" si="67"/>
        <v>0</v>
      </c>
      <c r="BI67" s="2">
        <f t="shared" si="67"/>
        <v>0</v>
      </c>
      <c r="BJ67" s="7">
        <f t="shared" si="67"/>
        <v>0</v>
      </c>
      <c r="BK67" s="1">
        <f t="shared" si="68"/>
        <v>0</v>
      </c>
      <c r="BL67" s="2">
        <f t="shared" si="68"/>
        <v>0</v>
      </c>
      <c r="BM67" s="2">
        <f t="shared" si="6"/>
        <v>0</v>
      </c>
      <c r="BN67" s="2">
        <f t="shared" si="7"/>
        <v>0</v>
      </c>
      <c r="BO67" s="7">
        <f t="shared" si="8"/>
        <v>0</v>
      </c>
      <c r="BP67" s="2"/>
      <c r="BQ67" s="1">
        <f t="shared" si="30"/>
        <v>0</v>
      </c>
      <c r="BR67" s="4" t="str">
        <f t="shared" ref="BR67" si="136">IF(ISNUMBER(SEARCH("Appui",E67)),0,"0")</f>
        <v>0</v>
      </c>
      <c r="BS67" s="2">
        <f t="shared" si="32"/>
        <v>0</v>
      </c>
      <c r="BT67" s="2">
        <f t="shared" si="33"/>
        <v>0.78043082983844214</v>
      </c>
      <c r="BU67" s="21">
        <f t="shared" si="34"/>
        <v>1</v>
      </c>
      <c r="BV67" s="21" t="str">
        <f t="shared" si="35"/>
        <v/>
      </c>
      <c r="BW67" s="21" t="str">
        <f t="shared" si="36"/>
        <v/>
      </c>
      <c r="BX67" s="21" t="str">
        <f t="shared" si="37"/>
        <v/>
      </c>
      <c r="BY67" s="1">
        <f t="shared" si="38"/>
        <v>0</v>
      </c>
      <c r="BZ67" s="4" t="str">
        <f t="shared" ref="BZ67" si="137">IF(ISNUMBER(SEARCH("Appui",M67)),0,"0")</f>
        <v>0</v>
      </c>
      <c r="CA67" s="2">
        <f t="shared" si="40"/>
        <v>0</v>
      </c>
      <c r="CB67" s="2">
        <f t="shared" si="41"/>
        <v>0.78043082983844214</v>
      </c>
      <c r="CC67" s="21">
        <f t="shared" si="42"/>
        <v>1</v>
      </c>
      <c r="CD67" s="2" t="str">
        <f t="shared" si="43"/>
        <v/>
      </c>
      <c r="CE67" s="2" t="str">
        <f t="shared" si="44"/>
        <v/>
      </c>
      <c r="CF67" s="21" t="str">
        <f t="shared" si="45"/>
        <v/>
      </c>
      <c r="CG67" s="10" t="str">
        <f t="shared" ref="CG67" si="138">IF(C65&lt;C67,"Rive",IF(C69&gt;C67,"Rive","Inter"))</f>
        <v>Rive</v>
      </c>
      <c r="CH67" s="21" t="str">
        <f t="shared" si="47"/>
        <v/>
      </c>
    </row>
    <row r="68" spans="1:87" x14ac:dyDescent="0.25">
      <c r="A68" t="str">
        <f t="shared" si="27"/>
        <v/>
      </c>
      <c r="B68" t="b">
        <f t="shared" si="28"/>
        <v>1</v>
      </c>
      <c r="C68">
        <f t="shared" si="90"/>
        <v>6</v>
      </c>
      <c r="D68" t="s">
        <v>93</v>
      </c>
      <c r="F68">
        <v>25</v>
      </c>
      <c r="G68" t="s">
        <v>46</v>
      </c>
      <c r="H68">
        <v>500</v>
      </c>
      <c r="I68">
        <v>220000</v>
      </c>
      <c r="J68">
        <v>1576</v>
      </c>
      <c r="K68">
        <v>1870</v>
      </c>
      <c r="L68">
        <v>1</v>
      </c>
      <c r="M68">
        <v>0.2</v>
      </c>
      <c r="N68">
        <v>2.2000000000000002</v>
      </c>
      <c r="O68">
        <v>1.0000000000000001E-5</v>
      </c>
      <c r="P68">
        <v>0.03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0.78043082983844214</v>
      </c>
      <c r="AS68">
        <v>0.78043082983844214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0.78043082983844214</v>
      </c>
      <c r="BC68" s="1">
        <f t="shared" si="48"/>
        <v>0</v>
      </c>
      <c r="BD68" s="2">
        <f t="shared" si="0"/>
        <v>0</v>
      </c>
      <c r="BE68" s="7">
        <f t="shared" si="1"/>
        <v>0</v>
      </c>
      <c r="BF68" s="1">
        <f t="shared" si="2"/>
        <v>0</v>
      </c>
      <c r="BG68" s="2">
        <f t="shared" si="3"/>
        <v>0</v>
      </c>
      <c r="BH68" s="2">
        <f t="shared" si="67"/>
        <v>0</v>
      </c>
      <c r="BI68" s="2">
        <f t="shared" si="67"/>
        <v>0</v>
      </c>
      <c r="BJ68" s="7">
        <f t="shared" si="67"/>
        <v>0</v>
      </c>
      <c r="BK68" s="1">
        <f t="shared" si="68"/>
        <v>0</v>
      </c>
      <c r="BL68" s="2">
        <f t="shared" si="68"/>
        <v>0</v>
      </c>
      <c r="BM68" s="2">
        <f t="shared" si="6"/>
        <v>0</v>
      </c>
      <c r="BN68" s="2">
        <f t="shared" si="7"/>
        <v>0</v>
      </c>
      <c r="BO68" s="7">
        <f t="shared" si="8"/>
        <v>0</v>
      </c>
      <c r="BP68" s="2"/>
      <c r="BQ68" s="1">
        <f t="shared" si="30"/>
        <v>0</v>
      </c>
      <c r="BR68" s="4">
        <v>0</v>
      </c>
      <c r="BS68" s="2">
        <f t="shared" si="32"/>
        <v>0</v>
      </c>
      <c r="BT68" s="2">
        <f t="shared" si="33"/>
        <v>0.78043082983844214</v>
      </c>
      <c r="BU68" s="21">
        <f t="shared" si="34"/>
        <v>1</v>
      </c>
      <c r="BV68" s="21" t="str">
        <f t="shared" si="35"/>
        <v/>
      </c>
      <c r="BW68" s="21" t="str">
        <f t="shared" si="36"/>
        <v/>
      </c>
      <c r="BX68" s="21" t="str">
        <f t="shared" si="37"/>
        <v/>
      </c>
      <c r="BY68" s="1">
        <f t="shared" si="38"/>
        <v>0</v>
      </c>
      <c r="BZ68" s="4">
        <v>0</v>
      </c>
      <c r="CA68" s="2">
        <f t="shared" si="40"/>
        <v>0</v>
      </c>
      <c r="CB68" s="2">
        <f t="shared" si="41"/>
        <v>0.78043082983844214</v>
      </c>
      <c r="CC68" s="21">
        <f t="shared" si="42"/>
        <v>1</v>
      </c>
      <c r="CD68" s="2" t="str">
        <f t="shared" si="43"/>
        <v/>
      </c>
      <c r="CE68" s="2" t="str">
        <f t="shared" si="44"/>
        <v/>
      </c>
      <c r="CF68" s="21" t="str">
        <f t="shared" si="45"/>
        <v/>
      </c>
      <c r="CG68" s="15"/>
      <c r="CH68" s="21" t="str">
        <f t="shared" si="47"/>
        <v/>
      </c>
    </row>
    <row r="69" spans="1:87" x14ac:dyDescent="0.25">
      <c r="A69" t="str">
        <f t="shared" si="27"/>
        <v>Travée</v>
      </c>
      <c r="B69" t="b">
        <f t="shared" si="28"/>
        <v>0</v>
      </c>
      <c r="C69">
        <f t="shared" si="90"/>
        <v>7</v>
      </c>
      <c r="D69" t="s">
        <v>94</v>
      </c>
      <c r="E69" t="s">
        <v>45</v>
      </c>
      <c r="F69">
        <v>25</v>
      </c>
      <c r="G69" t="s">
        <v>46</v>
      </c>
      <c r="H69">
        <v>500</v>
      </c>
      <c r="I69">
        <v>220000</v>
      </c>
      <c r="J69">
        <v>1576</v>
      </c>
      <c r="K69">
        <v>1870</v>
      </c>
      <c r="L69">
        <v>1</v>
      </c>
      <c r="M69">
        <v>0.26</v>
      </c>
      <c r="N69">
        <v>2.2000000000000002</v>
      </c>
      <c r="O69">
        <v>5.6539999999999997E-4</v>
      </c>
      <c r="P69">
        <v>0.04</v>
      </c>
      <c r="Q69">
        <v>1</v>
      </c>
      <c r="R69">
        <v>0</v>
      </c>
      <c r="S69">
        <v>0</v>
      </c>
      <c r="T69">
        <v>1</v>
      </c>
      <c r="U69">
        <v>2.9099999999999999E-5</v>
      </c>
      <c r="V69">
        <v>0</v>
      </c>
      <c r="W69">
        <v>4</v>
      </c>
      <c r="X69">
        <v>24</v>
      </c>
      <c r="Y69">
        <v>10</v>
      </c>
      <c r="Z69">
        <v>0</v>
      </c>
      <c r="AA69">
        <v>28.875</v>
      </c>
      <c r="AB69">
        <v>11.3</v>
      </c>
      <c r="AC69">
        <v>0.5</v>
      </c>
      <c r="AD69">
        <v>14.4375</v>
      </c>
      <c r="AE69">
        <v>25.737500000000001</v>
      </c>
      <c r="AF69">
        <v>55.931250000000013</v>
      </c>
      <c r="AH69">
        <v>40.174999999999997</v>
      </c>
      <c r="AI69">
        <v>14.4375</v>
      </c>
      <c r="AJ69">
        <v>25.737500000000001</v>
      </c>
      <c r="AK69">
        <v>2.461345871833335</v>
      </c>
      <c r="AL69">
        <v>3.788759669384004</v>
      </c>
      <c r="AM69">
        <v>-120.7729598335867</v>
      </c>
      <c r="AN69">
        <v>-163.13010866698451</v>
      </c>
      <c r="AO69">
        <v>0</v>
      </c>
      <c r="AP69">
        <v>-216.88396271324561</v>
      </c>
      <c r="AQ69">
        <v>55.931250000000013</v>
      </c>
      <c r="AR69">
        <v>56.863742648834233</v>
      </c>
      <c r="AS69">
        <v>106.3249902119987</v>
      </c>
      <c r="AT69">
        <v>5.84162559022929</v>
      </c>
      <c r="AU69">
        <v>-359.8775647722336</v>
      </c>
      <c r="AV69">
        <v>0</v>
      </c>
      <c r="AW69">
        <v>-483.3674616121744</v>
      </c>
      <c r="AX69">
        <v>40.174999999999997</v>
      </c>
      <c r="AY69">
        <v>4.9076919637797332</v>
      </c>
      <c r="AZ69">
        <v>-341.38606635796151</v>
      </c>
      <c r="BA69">
        <v>56.863742648834233</v>
      </c>
      <c r="BC69" s="1">
        <f t="shared" si="48"/>
        <v>14.4375</v>
      </c>
      <c r="BD69" s="2">
        <f t="shared" si="0"/>
        <v>2.461345871833335</v>
      </c>
      <c r="BE69" s="7">
        <f t="shared" si="1"/>
        <v>-120.7729598335867</v>
      </c>
      <c r="BF69" s="1">
        <f t="shared" si="2"/>
        <v>25.737500000000001</v>
      </c>
      <c r="BG69" s="2">
        <f t="shared" si="3"/>
        <v>3.788759669384004</v>
      </c>
      <c r="BH69" s="2">
        <f t="shared" si="67"/>
        <v>-163.13010866698451</v>
      </c>
      <c r="BI69" s="2">
        <f t="shared" si="67"/>
        <v>0</v>
      </c>
      <c r="BJ69" s="7">
        <f t="shared" si="67"/>
        <v>-216.88396271324561</v>
      </c>
      <c r="BK69" s="1">
        <f t="shared" si="68"/>
        <v>40.174999999999997</v>
      </c>
      <c r="BL69" s="2">
        <f t="shared" si="68"/>
        <v>6.250105541217339</v>
      </c>
      <c r="BM69" s="2">
        <f t="shared" si="6"/>
        <v>283.90306850057118</v>
      </c>
      <c r="BN69" s="2">
        <f t="shared" si="7"/>
        <v>0</v>
      </c>
      <c r="BO69" s="7">
        <f t="shared" si="8"/>
        <v>-216.88396271324561</v>
      </c>
      <c r="BP69" s="2"/>
      <c r="BQ69" s="1">
        <f t="shared" si="30"/>
        <v>40.174999999999997</v>
      </c>
      <c r="BR69" s="4" t="str">
        <f t="shared" ref="BR69" si="139">IF(ISNUMBER(SEARCH("Appui",E69)),0,"0")</f>
        <v>0</v>
      </c>
      <c r="BS69" s="2">
        <f t="shared" si="32"/>
        <v>40.174999999999997</v>
      </c>
      <c r="BT69" s="2">
        <f t="shared" si="33"/>
        <v>56.863742648834233</v>
      </c>
      <c r="BU69" s="21">
        <f t="shared" si="34"/>
        <v>1.415401186031966</v>
      </c>
      <c r="BV69" s="21">
        <f t="shared" si="35"/>
        <v>95.75</v>
      </c>
      <c r="BW69" s="21">
        <f t="shared" si="36"/>
        <v>143.39006440983073</v>
      </c>
      <c r="BX69" s="21">
        <f t="shared" si="37"/>
        <v>1.4975463645935325</v>
      </c>
      <c r="BY69" s="1">
        <f t="shared" si="38"/>
        <v>55.931250000000013</v>
      </c>
      <c r="BZ69" s="4" t="str">
        <f t="shared" ref="BZ69" si="140">IF(ISNUMBER(SEARCH("Appui",M69)),0,"0")</f>
        <v>0</v>
      </c>
      <c r="CA69" s="2">
        <f t="shared" si="40"/>
        <v>55.931250000000013</v>
      </c>
      <c r="CB69" s="2">
        <f t="shared" si="41"/>
        <v>106.3249902119987</v>
      </c>
      <c r="CC69" s="21">
        <f t="shared" si="42"/>
        <v>1.9009943495272976</v>
      </c>
      <c r="CD69" s="2">
        <f t="shared" si="43"/>
        <v>132.71250000000001</v>
      </c>
      <c r="CE69" s="2">
        <f t="shared" si="44"/>
        <v>192.85131197299518</v>
      </c>
      <c r="CF69" s="21">
        <f t="shared" si="45"/>
        <v>1.4531510744880487</v>
      </c>
      <c r="CG69" s="10" t="str">
        <f t="shared" ref="CG69" si="141">IF(C67&lt;C69,"Rive",IF(C71&gt;C69,"Rive","Inter"))</f>
        <v>Rive</v>
      </c>
      <c r="CH69" s="21">
        <f t="shared" si="47"/>
        <v>1.0804563579906243</v>
      </c>
      <c r="CI69" s="51" t="s">
        <v>126</v>
      </c>
    </row>
    <row r="70" spans="1:87" x14ac:dyDescent="0.25">
      <c r="A70" t="str">
        <f t="shared" si="27"/>
        <v>Appui</v>
      </c>
      <c r="B70" t="b">
        <f t="shared" si="28"/>
        <v>0</v>
      </c>
      <c r="C70">
        <f t="shared" si="90"/>
        <v>7</v>
      </c>
      <c r="D70" t="s">
        <v>94</v>
      </c>
      <c r="E70" t="s">
        <v>47</v>
      </c>
      <c r="F70">
        <v>25</v>
      </c>
      <c r="G70" t="s">
        <v>46</v>
      </c>
      <c r="H70">
        <v>500</v>
      </c>
      <c r="I70">
        <v>220000</v>
      </c>
      <c r="J70">
        <v>1576</v>
      </c>
      <c r="K70">
        <v>1870</v>
      </c>
      <c r="L70">
        <v>1</v>
      </c>
      <c r="M70">
        <v>0.25</v>
      </c>
      <c r="N70">
        <v>2.2000000000000002</v>
      </c>
      <c r="O70">
        <v>9.0000000000000008E-4</v>
      </c>
      <c r="P70">
        <v>6.9999999999999993E-2</v>
      </c>
      <c r="Q70">
        <v>1</v>
      </c>
      <c r="R70">
        <v>2.0106192982974669E-4</v>
      </c>
      <c r="S70">
        <v>0.04</v>
      </c>
      <c r="T70">
        <v>6</v>
      </c>
      <c r="U70">
        <v>0</v>
      </c>
      <c r="V70">
        <v>0</v>
      </c>
      <c r="W70">
        <v>0</v>
      </c>
      <c r="X70">
        <v>97.5</v>
      </c>
      <c r="Y70">
        <v>26</v>
      </c>
      <c r="Z70">
        <v>-0.1</v>
      </c>
      <c r="AA70">
        <v>87.75</v>
      </c>
      <c r="AB70">
        <v>23.4</v>
      </c>
      <c r="AC70">
        <v>0.5</v>
      </c>
      <c r="AD70">
        <v>43.875</v>
      </c>
      <c r="AE70">
        <v>67.275000000000006</v>
      </c>
      <c r="AF70">
        <v>153.5625</v>
      </c>
      <c r="AH70">
        <v>111.15</v>
      </c>
      <c r="AI70">
        <v>43.875</v>
      </c>
      <c r="AJ70">
        <v>67.275000000000006</v>
      </c>
      <c r="AK70">
        <v>8.3421120992110485</v>
      </c>
      <c r="AL70">
        <v>7.6823871756612823</v>
      </c>
      <c r="AM70">
        <v>-285.85306066379718</v>
      </c>
      <c r="AN70">
        <v>-154.09452221309189</v>
      </c>
      <c r="AO70">
        <v>-187.91270154593261</v>
      </c>
      <c r="AP70">
        <v>0</v>
      </c>
      <c r="AQ70">
        <v>153.5625</v>
      </c>
      <c r="AR70">
        <v>72.617455274887632</v>
      </c>
      <c r="AS70">
        <v>173.05264352199299</v>
      </c>
      <c r="AT70">
        <v>11.977510769345921</v>
      </c>
      <c r="AU70">
        <v>-379.28620204024747</v>
      </c>
      <c r="AV70">
        <v>-434.92451067285288</v>
      </c>
      <c r="AW70">
        <v>0</v>
      </c>
      <c r="AX70">
        <v>111.15</v>
      </c>
      <c r="AY70">
        <v>8.9552196530676191</v>
      </c>
      <c r="AZ70">
        <v>-259.03411251464081</v>
      </c>
      <c r="BA70">
        <v>173.05264352199299</v>
      </c>
      <c r="BC70" s="1">
        <f t="shared" si="48"/>
        <v>43.875</v>
      </c>
      <c r="BD70" s="2">
        <f t="shared" ref="BD70:BD71" si="142">AK70</f>
        <v>8.3421120992110485</v>
      </c>
      <c r="BE70" s="7">
        <f t="shared" ref="BE70:BE71" si="143">AM70</f>
        <v>-285.85306066379718</v>
      </c>
      <c r="BF70" s="1">
        <f t="shared" ref="BF70:BF71" si="144">AJ70</f>
        <v>67.275000000000006</v>
      </c>
      <c r="BG70" s="2">
        <f t="shared" ref="BG70:BG71" si="145">AL70</f>
        <v>7.6823871756612823</v>
      </c>
      <c r="BH70" s="2">
        <f t="shared" si="67"/>
        <v>-154.09452221309189</v>
      </c>
      <c r="BI70" s="2">
        <f t="shared" si="67"/>
        <v>-187.91270154593261</v>
      </c>
      <c r="BJ70" s="7">
        <f t="shared" si="67"/>
        <v>0</v>
      </c>
      <c r="BK70" s="1">
        <f t="shared" si="68"/>
        <v>111.15</v>
      </c>
      <c r="BL70" s="2">
        <f t="shared" si="68"/>
        <v>16.02449927487233</v>
      </c>
      <c r="BM70" s="2">
        <f t="shared" ref="BM70:BM71" si="146">ABS(BE70+BH70)</f>
        <v>439.9475828768891</v>
      </c>
      <c r="BN70" s="2">
        <f t="shared" ref="BN70:BN71" si="147">ABS(BI70)</f>
        <v>187.91270154593261</v>
      </c>
      <c r="BO70" s="7">
        <f t="shared" ref="BO70:BO71" si="148">BJ70</f>
        <v>0</v>
      </c>
      <c r="BP70" s="2"/>
      <c r="BQ70" s="1">
        <f t="shared" si="30"/>
        <v>111.15</v>
      </c>
      <c r="BR70" s="4">
        <v>0</v>
      </c>
      <c r="BS70" s="2">
        <f t="shared" si="32"/>
        <v>111.15</v>
      </c>
      <c r="BT70" s="2">
        <f t="shared" si="33"/>
        <v>173.05264352199299</v>
      </c>
      <c r="BU70" s="21">
        <f t="shared" si="34"/>
        <v>1.5569288665946288</v>
      </c>
      <c r="BV70" s="21" t="str">
        <f t="shared" si="35"/>
        <v/>
      </c>
      <c r="BW70" s="21" t="str">
        <f t="shared" si="36"/>
        <v/>
      </c>
      <c r="BX70" s="21" t="str">
        <f t="shared" si="37"/>
        <v/>
      </c>
      <c r="BY70" s="1">
        <f t="shared" si="38"/>
        <v>153.5625</v>
      </c>
      <c r="BZ70" s="4">
        <v>0</v>
      </c>
      <c r="CA70" s="2">
        <f t="shared" si="40"/>
        <v>153.5625</v>
      </c>
      <c r="CB70" s="2">
        <f t="shared" si="41"/>
        <v>173.05264352199299</v>
      </c>
      <c r="CC70" s="21">
        <f t="shared" si="42"/>
        <v>1.1269199415351598</v>
      </c>
      <c r="CD70" s="2" t="str">
        <f t="shared" si="43"/>
        <v/>
      </c>
      <c r="CE70" s="2" t="str">
        <f t="shared" si="44"/>
        <v/>
      </c>
      <c r="CF70" s="21" t="str">
        <f t="shared" si="45"/>
        <v/>
      </c>
      <c r="CG70" s="15"/>
      <c r="CH70" s="21" t="str">
        <f t="shared" si="47"/>
        <v/>
      </c>
      <c r="CI70" s="51" t="s">
        <v>126</v>
      </c>
    </row>
    <row r="71" spans="1:87" x14ac:dyDescent="0.25">
      <c r="A71" t="str">
        <f t="shared" si="27"/>
        <v>Travée</v>
      </c>
      <c r="B71" t="b">
        <f t="shared" si="28"/>
        <v>0</v>
      </c>
      <c r="C71">
        <f t="shared" si="90"/>
        <v>7</v>
      </c>
      <c r="D71" t="s">
        <v>94</v>
      </c>
      <c r="E71" t="s">
        <v>48</v>
      </c>
      <c r="F71">
        <v>25</v>
      </c>
      <c r="G71" t="s">
        <v>46</v>
      </c>
      <c r="H71">
        <v>500</v>
      </c>
      <c r="I71">
        <v>220000</v>
      </c>
      <c r="J71">
        <v>1576</v>
      </c>
      <c r="K71">
        <v>1870</v>
      </c>
      <c r="L71">
        <v>1</v>
      </c>
      <c r="M71">
        <v>0.23499999999999999</v>
      </c>
      <c r="N71">
        <v>2.2000000000000002</v>
      </c>
      <c r="O71">
        <v>8.470000000000001E-4</v>
      </c>
      <c r="P71">
        <v>0.04</v>
      </c>
      <c r="Q71">
        <v>1</v>
      </c>
      <c r="R71">
        <v>0</v>
      </c>
      <c r="S71">
        <v>0</v>
      </c>
      <c r="T71">
        <v>1</v>
      </c>
      <c r="U71">
        <v>2.9099999999999999E-5</v>
      </c>
      <c r="V71">
        <v>0</v>
      </c>
      <c r="W71">
        <v>2</v>
      </c>
      <c r="X71">
        <v>35</v>
      </c>
      <c r="Y71">
        <v>13</v>
      </c>
      <c r="Z71">
        <v>0</v>
      </c>
      <c r="AA71">
        <v>39.875</v>
      </c>
      <c r="AB71">
        <v>14.3</v>
      </c>
      <c r="AC71">
        <v>0.5</v>
      </c>
      <c r="AD71">
        <v>19.9375</v>
      </c>
      <c r="AE71">
        <v>34.237499999999997</v>
      </c>
      <c r="AF71">
        <v>75.28125</v>
      </c>
      <c r="AH71">
        <v>54.174999999999997</v>
      </c>
      <c r="AI71">
        <v>19.9375</v>
      </c>
      <c r="AJ71">
        <v>34.237499999999997</v>
      </c>
      <c r="AK71">
        <v>3.4307530267141542</v>
      </c>
      <c r="AL71">
        <v>5.5558847849937028</v>
      </c>
      <c r="AM71">
        <v>-126.9816973170131</v>
      </c>
      <c r="AN71">
        <v>-196.16243334551939</v>
      </c>
      <c r="AO71">
        <v>0</v>
      </c>
      <c r="AP71">
        <v>-268.00667818740823</v>
      </c>
      <c r="AQ71">
        <v>75.28125</v>
      </c>
      <c r="AR71">
        <v>74.708892277634021</v>
      </c>
      <c r="AS71">
        <v>93.155538358901808</v>
      </c>
      <c r="AT71">
        <v>8.7127018120998976</v>
      </c>
      <c r="AU71">
        <v>-434.94378886796318</v>
      </c>
      <c r="AV71">
        <v>0</v>
      </c>
      <c r="AW71">
        <v>-663.02921164746579</v>
      </c>
      <c r="AX71">
        <v>54.174999999999997</v>
      </c>
      <c r="AY71">
        <v>6.608255006501798</v>
      </c>
      <c r="AZ71">
        <v>-352.40071505745311</v>
      </c>
      <c r="BA71">
        <v>74.708892277634021</v>
      </c>
      <c r="BC71" s="1">
        <f t="shared" si="48"/>
        <v>19.9375</v>
      </c>
      <c r="BD71" s="2">
        <f t="shared" si="142"/>
        <v>3.4307530267141542</v>
      </c>
      <c r="BE71" s="7">
        <f t="shared" si="143"/>
        <v>-126.9816973170131</v>
      </c>
      <c r="BF71" s="1">
        <f t="shared" si="144"/>
        <v>34.237499999999997</v>
      </c>
      <c r="BG71" s="2">
        <f t="shared" si="145"/>
        <v>5.5558847849937028</v>
      </c>
      <c r="BH71" s="2">
        <f t="shared" si="67"/>
        <v>-196.16243334551939</v>
      </c>
      <c r="BI71" s="2">
        <f t="shared" si="67"/>
        <v>0</v>
      </c>
      <c r="BJ71" s="7">
        <f t="shared" si="67"/>
        <v>-268.00667818740823</v>
      </c>
      <c r="BK71" s="1">
        <f t="shared" si="68"/>
        <v>54.174999999999997</v>
      </c>
      <c r="BL71" s="2">
        <f t="shared" si="68"/>
        <v>8.9866378117078565</v>
      </c>
      <c r="BM71" s="2">
        <f t="shared" si="146"/>
        <v>323.14413066253246</v>
      </c>
      <c r="BN71" s="2">
        <f t="shared" si="147"/>
        <v>0</v>
      </c>
      <c r="BO71" s="7">
        <f t="shared" si="148"/>
        <v>-268.00667818740823</v>
      </c>
      <c r="BP71" s="2"/>
      <c r="BQ71" s="1">
        <f t="shared" si="30"/>
        <v>54.174999999999997</v>
      </c>
      <c r="BR71" s="4" t="str">
        <f t="shared" ref="BR71" si="149">IF(ISNUMBER(SEARCH("Appui",E71)),0,"0")</f>
        <v>0</v>
      </c>
      <c r="BS71" s="2">
        <f t="shared" si="32"/>
        <v>54.174999999999997</v>
      </c>
      <c r="BT71" s="2">
        <f t="shared" si="33"/>
        <v>74.708892277634021</v>
      </c>
      <c r="BU71" s="21">
        <f t="shared" si="34"/>
        <v>1.3790289299055658</v>
      </c>
      <c r="BV71" s="21">
        <f t="shared" si="35"/>
        <v>109.75</v>
      </c>
      <c r="BW71" s="21">
        <f t="shared" si="36"/>
        <v>161.23521403863052</v>
      </c>
      <c r="BX71" s="21">
        <f t="shared" si="37"/>
        <v>1.4691135675501641</v>
      </c>
      <c r="BY71" s="1">
        <f t="shared" si="38"/>
        <v>75.28125</v>
      </c>
      <c r="BZ71" s="4" t="str">
        <f t="shared" ref="BZ71" si="150">IF(ISNUMBER(SEARCH("Appui",M71)),0,"0")</f>
        <v>0</v>
      </c>
      <c r="CA71" s="2">
        <f t="shared" si="40"/>
        <v>75.28125</v>
      </c>
      <c r="CB71" s="2">
        <f t="shared" si="41"/>
        <v>93.155538358901808</v>
      </c>
      <c r="CC71" s="21">
        <f t="shared" si="42"/>
        <v>1.237433469275574</v>
      </c>
      <c r="CD71" s="2">
        <f t="shared" si="43"/>
        <v>152.0625</v>
      </c>
      <c r="CE71" s="2">
        <f t="shared" si="44"/>
        <v>179.68186011989832</v>
      </c>
      <c r="CF71" s="21">
        <f t="shared" si="45"/>
        <v>1.1816316325188545</v>
      </c>
      <c r="CG71" s="10" t="str">
        <f t="shared" ref="CG71" si="151">IF(C69&lt;C71,"Rive",IF(C73&gt;C71,"Rive","Inter"))</f>
        <v>Inter</v>
      </c>
      <c r="CH71" s="21">
        <f t="shared" si="47"/>
        <v>1.0603219994320132</v>
      </c>
      <c r="CI71" s="51" t="s">
        <v>126</v>
      </c>
    </row>
    <row r="72" spans="1:87" x14ac:dyDescent="0.25">
      <c r="CI72" s="51" t="s">
        <v>126</v>
      </c>
    </row>
    <row r="73" spans="1:87" x14ac:dyDescent="0.25">
      <c r="CI73" s="51" t="s">
        <v>126</v>
      </c>
    </row>
  </sheetData>
  <mergeCells count="19">
    <mergeCell ref="CF5:CG5"/>
    <mergeCell ref="BF3:BJ4"/>
    <mergeCell ref="BK3:BO3"/>
    <mergeCell ref="BQ3:BU4"/>
    <mergeCell ref="BY3:CG4"/>
    <mergeCell ref="G4:H4"/>
    <mergeCell ref="I4:K4"/>
    <mergeCell ref="R4:T4"/>
    <mergeCell ref="U4:W4"/>
    <mergeCell ref="BC1:CG1"/>
    <mergeCell ref="BC2:BO2"/>
    <mergeCell ref="BQ2:CG2"/>
    <mergeCell ref="F3:K3"/>
    <mergeCell ref="M3:N4"/>
    <mergeCell ref="O3:Q4"/>
    <mergeCell ref="R3:W3"/>
    <mergeCell ref="AA3:AH4"/>
    <mergeCell ref="AI3:BA4"/>
    <mergeCell ref="BC3:BE4"/>
  </mergeCells>
  <conditionalFormatting sqref="D6:D67">
    <cfRule type="expression" dxfId="130" priority="15">
      <formula>$B6=FALSE</formula>
    </cfRule>
  </conditionalFormatting>
  <conditionalFormatting sqref="BL6:BL71">
    <cfRule type="cellIs" dxfId="129" priority="12" operator="greaterThan">
      <formula>$BL$4</formula>
    </cfRule>
  </conditionalFormatting>
  <conditionalFormatting sqref="BM6:BN71">
    <cfRule type="cellIs" dxfId="128" priority="13" operator="greaterThan">
      <formula>$BM$4</formula>
    </cfRule>
  </conditionalFormatting>
  <conditionalFormatting sqref="BO6:BP71">
    <cfRule type="expression" dxfId="127" priority="14">
      <formula>ABS($BO6)&gt;$BO$4</formula>
    </cfRule>
  </conditionalFormatting>
  <conditionalFormatting sqref="BR6:BR71">
    <cfRule type="expression" dxfId="126" priority="11">
      <formula>$A6="Travée"</formula>
    </cfRule>
  </conditionalFormatting>
  <conditionalFormatting sqref="BU6:BU71">
    <cfRule type="cellIs" dxfId="125" priority="5" operator="lessThan">
      <formula>1</formula>
    </cfRule>
  </conditionalFormatting>
  <conditionalFormatting sqref="BU6:BX71">
    <cfRule type="cellIs" dxfId="124" priority="4" operator="equal">
      <formula>""</formula>
    </cfRule>
  </conditionalFormatting>
  <conditionalFormatting sqref="BV6:BX6 BX7 BV8:BX8 BX9 BV10:BX10 BX11 BV12:BX12 BX13 BV14:BX14 BX15 BV16:BX16 BX17 BV18:BX18 BX19 BV20:BX20 BX21 BV22:BX22 BX23 BV24:BX24 BX25 BV26:BX26 BX27 BV28:BX28 BX29 BV30:BX30 BX31 BV32:BX32 BX33 BV34:BX34 BX35 BV36:BX36 BX37 BV38:BX38 BX39 BV40:BX40 BX41 BV42:BX42 BX43 BV44:BX44 BX45 BV46:BX46 BX47 BV48:BX48 BX49 BV50:BX50 BX51 BV52:BX52 BX53 BV54:BX54 BX55 BV56:BX56 BX57 BV58:BX58 BX59 BV60:BX60 BX61 BV62:BX62 BX63 BV64:BX64 BX65 BV66:BX66 BX67 BV68:BX68 BX69 BV70:BX70 BX71">
    <cfRule type="cellIs" dxfId="123" priority="9" operator="equal">
      <formula>""</formula>
    </cfRule>
  </conditionalFormatting>
  <conditionalFormatting sqref="BX6:BX71">
    <cfRule type="cellIs" dxfId="122" priority="8" operator="lessThan">
      <formula>1</formula>
    </cfRule>
  </conditionalFormatting>
  <conditionalFormatting sqref="BZ6:BZ71">
    <cfRule type="expression" dxfId="121" priority="3">
      <formula>$A6="Travée"</formula>
    </cfRule>
  </conditionalFormatting>
  <conditionalFormatting sqref="CC6:CC71">
    <cfRule type="cellIs" dxfId="120" priority="2" operator="lessThan">
      <formula>1</formula>
    </cfRule>
  </conditionalFormatting>
  <conditionalFormatting sqref="CC6:CF71">
    <cfRule type="cellIs" dxfId="119" priority="1" operator="equal">
      <formula>""</formula>
    </cfRule>
  </conditionalFormatting>
  <conditionalFormatting sqref="CF6:CF71">
    <cfRule type="cellIs" dxfId="118" priority="10" operator="lessThan">
      <formula>IF($CG6="Rive",1.15,IF($CG6="Inter",1.1,0))</formula>
    </cfRule>
  </conditionalFormatting>
  <conditionalFormatting sqref="CF6:CH47 CF49:CH71 CF48:CG48">
    <cfRule type="cellIs" dxfId="117" priority="7" operator="equal">
      <formula>""</formula>
    </cfRule>
  </conditionalFormatting>
  <conditionalFormatting sqref="CH6:CH47 CH49:CH71">
    <cfRule type="cellIs" dxfId="116" priority="6" operator="lessThan">
      <formula>0.63</formula>
    </cfRule>
  </conditionalFormatting>
  <pageMargins left="0.7" right="0.7" top="0.75" bottom="0.75" header="0.3" footer="0.3"/>
  <pageSetup paperSize="8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611D-86DE-4117-8CDC-D10B5AE357F4}">
  <sheetPr>
    <pageSetUpPr fitToPage="1"/>
  </sheetPr>
  <dimension ref="A1:BZ70"/>
  <sheetViews>
    <sheetView topLeftCell="A3" zoomScale="85" zoomScaleNormal="85" workbookViewId="0">
      <pane xSplit="5" topLeftCell="F1" activePane="topRight" state="frozen"/>
      <selection activeCell="AM48" sqref="AM48"/>
      <selection pane="topRight" activeCell="D6" sqref="D6:K19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8.7109375" bestFit="1" customWidth="1"/>
    <col min="6" max="6" width="6.28515625" bestFit="1" customWidth="1"/>
    <col min="7" max="7" width="3.42578125" bestFit="1" customWidth="1"/>
    <col min="8" max="8" width="3.85546875" bestFit="1" customWidth="1"/>
    <col min="9" max="9" width="6.85546875" bestFit="1" customWidth="1"/>
    <col min="10" max="11" width="4.8554687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4" width="4.140625" bestFit="1" customWidth="1"/>
    <col min="25" max="25" width="3.85546875" bestFit="1" customWidth="1"/>
    <col min="26" max="26" width="4.5703125" bestFit="1" customWidth="1"/>
    <col min="27" max="27" width="4.14062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5" width="3.85546875" customWidth="1" outlineLevel="1"/>
    <col min="36" max="36" width="8" customWidth="1" outlineLevel="1"/>
    <col min="37" max="39" width="4.85546875" customWidth="1" outlineLevel="1"/>
    <col min="40" max="42" width="4.140625" customWidth="1" outlineLevel="1"/>
    <col min="43" max="43" width="3.85546875" customWidth="1" outlineLevel="1"/>
    <col min="44" max="44" width="4.85546875" customWidth="1" outlineLevel="1"/>
    <col min="45" max="45" width="5.28515625" customWidth="1" outlineLevel="1"/>
    <col min="46" max="46" width="5.85546875" customWidth="1" outlineLevel="1"/>
    <col min="47" max="48" width="4.140625" customWidth="1" outlineLevel="1"/>
    <col min="49" max="50" width="4.85546875" customWidth="1" outlineLevel="1"/>
    <col min="51" max="51" width="2.85546875" customWidth="1"/>
    <col min="52" max="53" width="4.28515625" bestFit="1" customWidth="1"/>
    <col min="54" max="54" width="4.85546875" bestFit="1" customWidth="1"/>
    <col min="55" max="56" width="4.28515625" bestFit="1" customWidth="1"/>
    <col min="57" max="59" width="4.85546875" bestFit="1" customWidth="1"/>
    <col min="60" max="60" width="4.28515625" bestFit="1" customWidth="1"/>
    <col min="61" max="61" width="4.7109375" bestFit="1" customWidth="1"/>
    <col min="62" max="62" width="5.7109375" bestFit="1" customWidth="1"/>
    <col min="63" max="64" width="5.28515625" bestFit="1" customWidth="1"/>
    <col min="66" max="66" width="4.140625" bestFit="1" customWidth="1"/>
    <col min="67" max="67" width="8.85546875" bestFit="1" customWidth="1"/>
    <col min="68" max="69" width="4.140625" bestFit="1" customWidth="1"/>
    <col min="70" max="70" width="7.85546875" customWidth="1"/>
    <col min="71" max="72" width="4.140625" bestFit="1" customWidth="1"/>
    <col min="73" max="73" width="7.42578125" bestFit="1" customWidth="1"/>
    <col min="74" max="75" width="4.140625" bestFit="1" customWidth="1"/>
    <col min="76" max="76" width="4.7109375" bestFit="1" customWidth="1"/>
    <col min="77" max="77" width="5" bestFit="1" customWidth="1"/>
    <col min="79" max="79" width="9.140625" bestFit="1" customWidth="1"/>
  </cols>
  <sheetData>
    <row r="1" spans="1:78" ht="15.75" thickBot="1" x14ac:dyDescent="0.3">
      <c r="AZ1" s="80" t="s">
        <v>67</v>
      </c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2"/>
    </row>
    <row r="2" spans="1:78" ht="15.75" thickBot="1" x14ac:dyDescent="0.3">
      <c r="AZ2" s="67" t="s">
        <v>78</v>
      </c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79"/>
      <c r="BM2" s="6"/>
      <c r="BN2" s="67" t="s">
        <v>79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9"/>
    </row>
    <row r="3" spans="1:78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61" t="s">
        <v>68</v>
      </c>
      <c r="Y3" s="62"/>
      <c r="Z3" s="62"/>
      <c r="AA3" s="62"/>
      <c r="AB3" s="62"/>
      <c r="AC3" s="62"/>
      <c r="AD3" s="62"/>
      <c r="AE3" s="63"/>
      <c r="AF3" s="67" t="s">
        <v>67</v>
      </c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Z3" s="83" t="s">
        <v>87</v>
      </c>
      <c r="BA3" s="62"/>
      <c r="BB3" s="63"/>
      <c r="BC3" s="83" t="s">
        <v>88</v>
      </c>
      <c r="BD3" s="62"/>
      <c r="BE3" s="62"/>
      <c r="BF3" s="62"/>
      <c r="BG3" s="63"/>
      <c r="BH3" s="71" t="s">
        <v>77</v>
      </c>
      <c r="BI3" s="72"/>
      <c r="BJ3" s="72"/>
      <c r="BK3" s="72"/>
      <c r="BL3" s="73"/>
      <c r="BN3" s="83" t="s">
        <v>89</v>
      </c>
      <c r="BO3" s="62"/>
      <c r="BP3" s="62"/>
      <c r="BQ3" s="62"/>
      <c r="BR3" s="63"/>
      <c r="BS3" s="83" t="s">
        <v>90</v>
      </c>
      <c r="BT3" s="62"/>
      <c r="BU3" s="62"/>
      <c r="BV3" s="62"/>
      <c r="BW3" s="62"/>
      <c r="BX3" s="62"/>
      <c r="BY3" s="63"/>
    </row>
    <row r="4" spans="1:78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64"/>
      <c r="Y4" s="65"/>
      <c r="Z4" s="65"/>
      <c r="AA4" s="65"/>
      <c r="AB4" s="65"/>
      <c r="AC4" s="65"/>
      <c r="AD4" s="65"/>
      <c r="AE4" s="66"/>
      <c r="AF4" s="67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Z4" s="64"/>
      <c r="BA4" s="65"/>
      <c r="BB4" s="66"/>
      <c r="BC4" s="64"/>
      <c r="BD4" s="65"/>
      <c r="BE4" s="65"/>
      <c r="BF4" s="65"/>
      <c r="BG4" s="66"/>
      <c r="BH4" s="23"/>
      <c r="BI4" s="24">
        <f>0.6*F7</f>
        <v>15</v>
      </c>
      <c r="BJ4" s="24">
        <f>0.8*H7</f>
        <v>400</v>
      </c>
      <c r="BK4" s="24">
        <f>0.8*H7</f>
        <v>400</v>
      </c>
      <c r="BL4" s="25">
        <f>MIN(J7,0.9*0.8*H7)</f>
        <v>360.00000000000006</v>
      </c>
      <c r="BM4" s="14"/>
      <c r="BN4" s="64"/>
      <c r="BO4" s="65"/>
      <c r="BP4" s="65"/>
      <c r="BQ4" s="65"/>
      <c r="BR4" s="66"/>
      <c r="BS4" s="64"/>
      <c r="BT4" s="65"/>
      <c r="BU4" s="65"/>
      <c r="BV4" s="65"/>
      <c r="BW4" s="65"/>
      <c r="BX4" s="65"/>
      <c r="BY4" s="66"/>
    </row>
    <row r="5" spans="1:78" ht="81.75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31" t="s">
        <v>69</v>
      </c>
      <c r="Y5" s="32" t="s">
        <v>70</v>
      </c>
      <c r="Z5" s="32" t="s">
        <v>71</v>
      </c>
      <c r="AA5" s="32" t="s">
        <v>20</v>
      </c>
      <c r="AB5" s="32" t="s">
        <v>21</v>
      </c>
      <c r="AC5" s="32" t="s">
        <v>22</v>
      </c>
      <c r="AD5" s="32" t="s">
        <v>23</v>
      </c>
      <c r="AE5" s="33" t="s">
        <v>24</v>
      </c>
      <c r="AF5" s="34" t="s">
        <v>25</v>
      </c>
      <c r="AG5" s="35" t="s">
        <v>26</v>
      </c>
      <c r="AH5" s="35" t="s">
        <v>27</v>
      </c>
      <c r="AI5" s="35" t="s">
        <v>28</v>
      </c>
      <c r="AJ5" s="35" t="s">
        <v>29</v>
      </c>
      <c r="AK5" s="35" t="s">
        <v>30</v>
      </c>
      <c r="AL5" s="35" t="s">
        <v>31</v>
      </c>
      <c r="AM5" s="35" t="s">
        <v>32</v>
      </c>
      <c r="AN5" s="35" t="s">
        <v>33</v>
      </c>
      <c r="AO5" s="35" t="s">
        <v>34</v>
      </c>
      <c r="AP5" s="35" t="s">
        <v>35</v>
      </c>
      <c r="AQ5" s="35" t="s">
        <v>36</v>
      </c>
      <c r="AR5" s="35" t="s">
        <v>37</v>
      </c>
      <c r="AS5" s="35" t="s">
        <v>38</v>
      </c>
      <c r="AT5" s="36" t="s">
        <v>39</v>
      </c>
      <c r="AU5" s="37" t="s">
        <v>40</v>
      </c>
      <c r="AV5" s="35" t="s">
        <v>42</v>
      </c>
      <c r="AW5" s="35" t="s">
        <v>43</v>
      </c>
      <c r="AX5" s="35" t="s">
        <v>41</v>
      </c>
      <c r="AY5" s="20"/>
      <c r="AZ5" s="16" t="s">
        <v>72</v>
      </c>
      <c r="BA5" s="18" t="s">
        <v>73</v>
      </c>
      <c r="BB5" s="17" t="s">
        <v>74</v>
      </c>
      <c r="BC5" s="18" t="s">
        <v>72</v>
      </c>
      <c r="BD5" s="18" t="s">
        <v>73</v>
      </c>
      <c r="BE5" s="18" t="s">
        <v>74</v>
      </c>
      <c r="BF5" s="18" t="s">
        <v>75</v>
      </c>
      <c r="BG5" s="17" t="s">
        <v>76</v>
      </c>
      <c r="BH5" s="16" t="s">
        <v>72</v>
      </c>
      <c r="BI5" s="18" t="s">
        <v>73</v>
      </c>
      <c r="BJ5" s="18" t="s">
        <v>74</v>
      </c>
      <c r="BK5" s="18" t="s">
        <v>75</v>
      </c>
      <c r="BL5" s="17" t="s">
        <v>76</v>
      </c>
      <c r="BM5" s="18"/>
      <c r="BN5" s="16" t="s">
        <v>80</v>
      </c>
      <c r="BO5" s="19" t="s">
        <v>66</v>
      </c>
      <c r="BP5" s="18" t="s">
        <v>82</v>
      </c>
      <c r="BQ5" s="18" t="s">
        <v>81</v>
      </c>
      <c r="BR5" s="17" t="s">
        <v>83</v>
      </c>
      <c r="BS5" s="16" t="s">
        <v>80</v>
      </c>
      <c r="BT5" s="18" t="s">
        <v>81</v>
      </c>
      <c r="BU5" s="20"/>
      <c r="BV5" s="18" t="s">
        <v>84</v>
      </c>
      <c r="BW5" s="18" t="s">
        <v>85</v>
      </c>
      <c r="BX5" s="77" t="s">
        <v>86</v>
      </c>
      <c r="BY5" s="78"/>
    </row>
    <row r="6" spans="1:78" x14ac:dyDescent="0.25">
      <c r="A6" t="str">
        <f>IF(ISNUMBER(SEARCH("Appui",E6)),"Appui",IF(ISNUMBER(SEARCH("Travée",E6)),"Travée",""))</f>
        <v>Travée</v>
      </c>
      <c r="B6" t="b">
        <f t="shared" ref="B6:B30" si="0">MOD(C6,2)=0</f>
        <v>0</v>
      </c>
      <c r="C6">
        <f t="shared" ref="C6:C30" si="1">IF(D6="",100000,IF(D6=D4,C4,C4+1))</f>
        <v>1</v>
      </c>
      <c r="D6" s="5" t="s">
        <v>95</v>
      </c>
      <c r="E6" t="s">
        <v>45</v>
      </c>
      <c r="F6" s="5">
        <v>25</v>
      </c>
      <c r="G6" t="s">
        <v>46</v>
      </c>
      <c r="H6">
        <v>500</v>
      </c>
      <c r="I6">
        <v>170000</v>
      </c>
      <c r="J6">
        <v>1300</v>
      </c>
      <c r="K6" s="10">
        <v>1445</v>
      </c>
      <c r="L6" s="12">
        <v>1</v>
      </c>
      <c r="M6" s="5">
        <v>0.25</v>
      </c>
      <c r="N6" s="10">
        <v>2.6</v>
      </c>
      <c r="O6" s="5">
        <v>3.3280000000000001E-4</v>
      </c>
      <c r="P6">
        <v>0.04</v>
      </c>
      <c r="Q6" s="10">
        <v>1</v>
      </c>
      <c r="R6" s="8">
        <v>0</v>
      </c>
      <c r="S6">
        <v>0</v>
      </c>
      <c r="T6">
        <v>1</v>
      </c>
      <c r="U6" s="9">
        <v>2.8800000000000001E-4</v>
      </c>
      <c r="V6">
        <v>0</v>
      </c>
      <c r="W6" s="10">
        <v>1</v>
      </c>
      <c r="X6" s="1">
        <v>34.503680000000003</v>
      </c>
      <c r="Y6" s="2">
        <v>10.480639999999999</v>
      </c>
      <c r="Z6" s="13">
        <v>0.5</v>
      </c>
      <c r="AA6" s="2">
        <v>17.251840000000001</v>
      </c>
      <c r="AB6" s="2">
        <v>27.732479999999999</v>
      </c>
      <c r="AC6" s="2">
        <v>58.88</v>
      </c>
      <c r="AD6" s="2"/>
      <c r="AE6" s="7">
        <v>44.984319999999997</v>
      </c>
      <c r="AF6" s="2">
        <v>17.251840000000001</v>
      </c>
      <c r="AG6" s="2">
        <v>27.732479999999999</v>
      </c>
      <c r="AH6" s="2">
        <v>3.707227069350878</v>
      </c>
      <c r="AI6" s="2">
        <v>4.0407790645788264</v>
      </c>
      <c r="AJ6" s="2">
        <v>-254.11195972574001</v>
      </c>
      <c r="AK6" s="2">
        <v>-199.34504781334221</v>
      </c>
      <c r="AL6" s="2">
        <v>0</v>
      </c>
      <c r="AM6" s="2">
        <v>-205.87518243194259</v>
      </c>
      <c r="AN6" s="2">
        <v>58.88</v>
      </c>
      <c r="AO6" s="2">
        <v>32.175182924605153</v>
      </c>
      <c r="AP6" s="2">
        <v>128.91759625515499</v>
      </c>
      <c r="AQ6" s="2">
        <v>6.0384260948165593</v>
      </c>
      <c r="AR6" s="2">
        <v>-427.45260839504448</v>
      </c>
      <c r="AS6" s="2">
        <v>0</v>
      </c>
      <c r="AT6" s="2">
        <v>-445.58711558918651</v>
      </c>
      <c r="AU6" s="1">
        <v>44.984319999999997</v>
      </c>
      <c r="AV6" s="2">
        <v>0</v>
      </c>
      <c r="AW6" s="2">
        <v>0</v>
      </c>
      <c r="AX6" s="2">
        <v>32.175182924605153</v>
      </c>
      <c r="AZ6" s="1">
        <f>AF6</f>
        <v>17.251840000000001</v>
      </c>
      <c r="BA6" s="2">
        <f>AH6</f>
        <v>3.707227069350878</v>
      </c>
      <c r="BB6" s="7">
        <f>AJ6</f>
        <v>-254.11195972574001</v>
      </c>
      <c r="BC6" s="1">
        <f>AG6</f>
        <v>27.732479999999999</v>
      </c>
      <c r="BD6" s="2">
        <f>AI6</f>
        <v>4.0407790645788264</v>
      </c>
      <c r="BE6" s="2">
        <f t="shared" ref="BE6" si="2">AK6</f>
        <v>-199.34504781334221</v>
      </c>
      <c r="BF6" s="2">
        <f t="shared" ref="BF6" si="3">AL6</f>
        <v>0</v>
      </c>
      <c r="BG6" s="7">
        <f t="shared" ref="BG6" si="4">AM6</f>
        <v>-205.87518243194259</v>
      </c>
      <c r="BH6" s="1">
        <f t="shared" ref="BH6" si="5">AZ6+BC6</f>
        <v>44.984319999999997</v>
      </c>
      <c r="BI6" s="2">
        <f t="shared" ref="BI6" si="6">BA6+BD6</f>
        <v>7.7480061339297048</v>
      </c>
      <c r="BJ6" s="2">
        <f t="shared" ref="BJ6" si="7">ABS(BB6+BE6)</f>
        <v>453.45700753908221</v>
      </c>
      <c r="BK6" s="2">
        <f>ABS(BF6)</f>
        <v>0</v>
      </c>
      <c r="BL6" s="7">
        <f>BG6</f>
        <v>-205.87518243194259</v>
      </c>
      <c r="BM6" s="2"/>
      <c r="BN6" s="1">
        <f t="shared" ref="BN6:BN8" si="8">AU6</f>
        <v>44.984319999999997</v>
      </c>
      <c r="BO6" s="4" t="str">
        <f t="shared" ref="BO6" si="9">IF(ISNUMBER(SEARCH("Appui",E6)),0,"0")</f>
        <v>0</v>
      </c>
      <c r="BP6" s="2">
        <f>IF(ISNUMBER(SEARCH("Appui",E6)),BN6+BO6*BN6,IF(C5&lt;C6,BN6-BO7*BN7/2,IF(C6&lt;C7,BN6-(BO5*BN5)/2,BN6-(BO7*BN7+BO5*BN5)/2)))</f>
        <v>44.984319999999997</v>
      </c>
      <c r="BQ6" s="2">
        <f t="shared" ref="BQ6:BQ9" si="10">AX6</f>
        <v>32.175182924605153</v>
      </c>
      <c r="BR6" s="3">
        <f t="shared" ref="BR6:BR9" si="11">BP6/BQ6</f>
        <v>1.3981061150579934</v>
      </c>
      <c r="BS6" s="1">
        <f t="shared" ref="BS6:BS9" si="12">AN6</f>
        <v>58.88</v>
      </c>
      <c r="BT6" s="2">
        <f t="shared" ref="BT6:BT9" si="13">AP6</f>
        <v>128.91759625515499</v>
      </c>
      <c r="BU6" s="21">
        <f t="shared" ref="BU6:BU9" si="14">BS6/BT6</f>
        <v>0.45672585985441522</v>
      </c>
      <c r="BV6" s="2">
        <f t="shared" ref="BV6:BV9" si="15">IF(ISNUMBER(SEARCH("Travée",E6)),BS6+(IF(C5&lt;C6,0,BS5)+IF(C7&gt;C6,0,BS7))/2,"")</f>
        <v>141.38</v>
      </c>
      <c r="BW6" s="2">
        <f t="shared" ref="BW6:BW9" si="16">IF(ISNUMBER(SEARCH("Travée",E6)),BT6+(IF(C5&lt;C6,0,BT5)+IF(C7&gt;C6,0,BT7))/2,"")</f>
        <v>198.22756032874048</v>
      </c>
      <c r="BX6" s="21">
        <f t="shared" ref="BX6:BX9" si="17">IF(ISNUMBER(SEARCH("Travée",E6)),BW6/BV6,"")</f>
        <v>1.4020905384689524</v>
      </c>
      <c r="BY6" s="10" t="str">
        <f>IF(C4&lt;C6,"Rive",IF(C8&gt;C6,"Rive","Inter"))</f>
        <v>Rive</v>
      </c>
    </row>
    <row r="7" spans="1:78" x14ac:dyDescent="0.25">
      <c r="A7" t="str">
        <f>IF(ISNUMBER(SEARCH("Appui",E7)),"Appui",IF(ISNUMBER(SEARCH("Travée",E7)),"Travée",""))</f>
        <v>Appui</v>
      </c>
      <c r="B7" t="b">
        <f t="shared" si="0"/>
        <v>0</v>
      </c>
      <c r="C7">
        <f t="shared" si="1"/>
        <v>1</v>
      </c>
      <c r="D7" s="5" t="s">
        <v>95</v>
      </c>
      <c r="E7" t="s">
        <v>47</v>
      </c>
      <c r="F7" s="5">
        <v>25</v>
      </c>
      <c r="G7" t="s">
        <v>46</v>
      </c>
      <c r="H7">
        <v>500</v>
      </c>
      <c r="I7">
        <v>170000</v>
      </c>
      <c r="J7">
        <v>1300</v>
      </c>
      <c r="K7" s="10">
        <v>1445</v>
      </c>
      <c r="L7" s="12">
        <v>1</v>
      </c>
      <c r="M7" s="5">
        <v>0.25</v>
      </c>
      <c r="N7" s="10">
        <v>2.6</v>
      </c>
      <c r="O7" s="5">
        <v>1.3338E-3</v>
      </c>
      <c r="P7">
        <v>9.9999999999999992E-2</v>
      </c>
      <c r="Q7" s="10">
        <v>1</v>
      </c>
      <c r="R7" s="8">
        <v>6.1578924137931036E-4</v>
      </c>
      <c r="S7">
        <v>0.04</v>
      </c>
      <c r="T7">
        <v>1</v>
      </c>
      <c r="U7" s="9">
        <v>0</v>
      </c>
      <c r="V7">
        <v>0</v>
      </c>
      <c r="W7" s="10">
        <v>1</v>
      </c>
      <c r="X7" s="1">
        <v>96.69</v>
      </c>
      <c r="Y7" s="2">
        <v>29.37</v>
      </c>
      <c r="Z7" s="13">
        <v>0.5</v>
      </c>
      <c r="AA7" s="2">
        <v>48.344999999999999</v>
      </c>
      <c r="AB7" s="2">
        <v>77.715000000000003</v>
      </c>
      <c r="AC7" s="2">
        <v>165</v>
      </c>
      <c r="AD7" s="2"/>
      <c r="AE7" s="7">
        <v>126.06</v>
      </c>
      <c r="AF7" s="2">
        <v>48.344999999999999</v>
      </c>
      <c r="AG7" s="2">
        <v>77.715000000000003</v>
      </c>
      <c r="AH7" s="2">
        <v>9.4120245600546522</v>
      </c>
      <c r="AI7" s="2">
        <v>10.304711181104199</v>
      </c>
      <c r="AJ7" s="2">
        <v>-257.95867893759919</v>
      </c>
      <c r="AK7" s="2">
        <v>-210.04717853313909</v>
      </c>
      <c r="AL7" s="2">
        <v>-320.25686104072412</v>
      </c>
      <c r="AM7" s="2">
        <v>0</v>
      </c>
      <c r="AN7" s="2">
        <v>165</v>
      </c>
      <c r="AO7" s="2">
        <v>86.175907671083166</v>
      </c>
      <c r="AP7" s="2">
        <v>138.61992814717101</v>
      </c>
      <c r="AQ7" s="2">
        <v>0</v>
      </c>
      <c r="AR7" s="2">
        <v>0</v>
      </c>
      <c r="AS7" s="2">
        <v>0</v>
      </c>
      <c r="AT7" s="2">
        <v>0</v>
      </c>
      <c r="AU7" s="1">
        <v>126.06</v>
      </c>
      <c r="AV7" s="2">
        <v>12.151495469610159</v>
      </c>
      <c r="AW7" s="2">
        <v>-416.51243155039572</v>
      </c>
      <c r="AX7" s="2">
        <v>138.61992814717101</v>
      </c>
      <c r="AZ7" s="1">
        <f>AF7</f>
        <v>48.344999999999999</v>
      </c>
      <c r="BA7" s="2">
        <f>AH7</f>
        <v>9.4120245600546522</v>
      </c>
      <c r="BB7" s="7">
        <f>AJ7</f>
        <v>-257.95867893759919</v>
      </c>
      <c r="BC7" s="1">
        <f>AG7</f>
        <v>77.715000000000003</v>
      </c>
      <c r="BD7" s="2">
        <f>AI7</f>
        <v>10.304711181104199</v>
      </c>
      <c r="BE7" s="2">
        <f t="shared" ref="BE7:BG7" si="18">AK7</f>
        <v>-210.04717853313909</v>
      </c>
      <c r="BF7" s="2">
        <f t="shared" si="18"/>
        <v>-320.25686104072412</v>
      </c>
      <c r="BG7" s="7">
        <f t="shared" si="18"/>
        <v>0</v>
      </c>
      <c r="BH7" s="1">
        <f t="shared" ref="BH7:BI7" si="19">AZ7+BC7</f>
        <v>126.06</v>
      </c>
      <c r="BI7" s="2">
        <f t="shared" si="19"/>
        <v>19.71673574115885</v>
      </c>
      <c r="BJ7" s="2">
        <f t="shared" ref="BJ7" si="20">ABS(BB7+BE7)</f>
        <v>468.00585747073831</v>
      </c>
      <c r="BK7" s="2">
        <f>ABS(BF7)</f>
        <v>320.25686104072412</v>
      </c>
      <c r="BL7" s="7">
        <f>BG7</f>
        <v>0</v>
      </c>
      <c r="BM7" s="2"/>
      <c r="BN7" s="1">
        <f t="shared" si="8"/>
        <v>126.06</v>
      </c>
      <c r="BO7" s="4">
        <v>0</v>
      </c>
      <c r="BP7" s="2">
        <f t="shared" ref="BP7:BP67" si="21">IF(ISNUMBER(SEARCH("Appui",E7)),BN7+BO7*BN7,IF(C6&lt;C7,BN7-BO8*BN8/2,IF(C7&lt;C8,BN7-(BO6*BN6)/2,BN7-(BO8*BN8+BO6*BN6)/2)))</f>
        <v>126.06</v>
      </c>
      <c r="BQ7" s="2">
        <f t="shared" si="10"/>
        <v>138.61992814717101</v>
      </c>
      <c r="BR7" s="3">
        <f t="shared" si="11"/>
        <v>0.90939305542103377</v>
      </c>
      <c r="BS7" s="1">
        <f t="shared" si="12"/>
        <v>165</v>
      </c>
      <c r="BT7" s="2">
        <f t="shared" si="13"/>
        <v>138.61992814717101</v>
      </c>
      <c r="BU7" s="21">
        <f t="shared" si="14"/>
        <v>1.1903050463626097</v>
      </c>
      <c r="BV7" s="2" t="str">
        <f t="shared" si="15"/>
        <v/>
      </c>
      <c r="BW7" s="2" t="str">
        <f t="shared" si="16"/>
        <v/>
      </c>
      <c r="BX7" s="21" t="str">
        <f t="shared" si="17"/>
        <v/>
      </c>
      <c r="BY7" s="15"/>
    </row>
    <row r="8" spans="1:78" x14ac:dyDescent="0.25">
      <c r="A8" t="str">
        <f t="shared" ref="A8:A64" si="22">IF(ISNUMBER(SEARCH("Appui",E8)),"Appui",IF(ISNUMBER(SEARCH("Travée",E8)),"Travée",""))</f>
        <v>Travée</v>
      </c>
      <c r="B8" t="b">
        <f t="shared" si="0"/>
        <v>0</v>
      </c>
      <c r="C8">
        <f t="shared" si="1"/>
        <v>1</v>
      </c>
      <c r="D8" s="5" t="s">
        <v>95</v>
      </c>
      <c r="E8" t="s">
        <v>48</v>
      </c>
      <c r="F8" s="5">
        <v>25</v>
      </c>
      <c r="G8" t="s">
        <v>46</v>
      </c>
      <c r="H8">
        <v>500</v>
      </c>
      <c r="I8">
        <v>170000</v>
      </c>
      <c r="J8">
        <v>1300</v>
      </c>
      <c r="K8" s="10">
        <v>1445</v>
      </c>
      <c r="L8" s="12">
        <v>1</v>
      </c>
      <c r="M8" s="5">
        <v>0.25</v>
      </c>
      <c r="N8" s="10">
        <v>2.6</v>
      </c>
      <c r="O8" s="5">
        <v>3.3280000000000001E-4</v>
      </c>
      <c r="P8">
        <v>0.04</v>
      </c>
      <c r="Q8" s="10">
        <v>1</v>
      </c>
      <c r="R8" s="8">
        <v>0</v>
      </c>
      <c r="S8">
        <v>0</v>
      </c>
      <c r="T8">
        <v>1</v>
      </c>
      <c r="U8" s="9">
        <v>5.7600000000000001E-4</v>
      </c>
      <c r="V8">
        <v>0</v>
      </c>
      <c r="W8" s="10">
        <v>1</v>
      </c>
      <c r="X8" s="1">
        <v>48.005119999999998</v>
      </c>
      <c r="Y8" s="2">
        <v>14.581759999999999</v>
      </c>
      <c r="Z8" s="13">
        <v>0.5</v>
      </c>
      <c r="AA8" s="2">
        <v>24.002559999999999</v>
      </c>
      <c r="AB8" s="2">
        <v>38.584319999999998</v>
      </c>
      <c r="AC8" s="2">
        <v>81.92</v>
      </c>
      <c r="AD8" s="2"/>
      <c r="AE8" s="7">
        <v>62.586879999999987</v>
      </c>
      <c r="AF8" s="2">
        <v>24.002559999999999</v>
      </c>
      <c r="AG8" s="2">
        <v>38.584319999999998</v>
      </c>
      <c r="AH8" s="2">
        <v>5.1578811399664399</v>
      </c>
      <c r="AI8" s="2">
        <v>4.5785213327538878</v>
      </c>
      <c r="AJ8" s="2">
        <v>-353.54707440102948</v>
      </c>
      <c r="AK8" s="2">
        <v>-183.4899750140776</v>
      </c>
      <c r="AL8" s="2">
        <v>0</v>
      </c>
      <c r="AM8" s="2">
        <v>-190.38456482729839</v>
      </c>
      <c r="AN8" s="2">
        <v>81.92</v>
      </c>
      <c r="AO8" s="2">
        <v>32.175182924605153</v>
      </c>
      <c r="AP8" s="2">
        <v>224.80894309617941</v>
      </c>
      <c r="AQ8" s="2">
        <v>6.8074542888009368</v>
      </c>
      <c r="AR8" s="2">
        <v>-393.38833551557929</v>
      </c>
      <c r="AS8" s="2">
        <v>0</v>
      </c>
      <c r="AT8" s="2">
        <v>-413.0234567647733</v>
      </c>
      <c r="AU8" s="1">
        <v>62.586879999999987</v>
      </c>
      <c r="AV8" s="2">
        <v>0</v>
      </c>
      <c r="AW8" s="2">
        <v>0</v>
      </c>
      <c r="AX8" s="2">
        <v>32.175182924605153</v>
      </c>
      <c r="AZ8" s="1">
        <f t="shared" ref="AZ8" si="23">AF8</f>
        <v>24.002559999999999</v>
      </c>
      <c r="BA8" s="2">
        <f t="shared" ref="BA8" si="24">AH8</f>
        <v>5.1578811399664399</v>
      </c>
      <c r="BB8" s="7">
        <f t="shared" ref="BB8" si="25">AJ8</f>
        <v>-353.54707440102948</v>
      </c>
      <c r="BC8" s="1">
        <f t="shared" ref="BC8" si="26">AG8</f>
        <v>38.584319999999998</v>
      </c>
      <c r="BD8" s="2">
        <f t="shared" ref="BD8" si="27">AI8</f>
        <v>4.5785213327538878</v>
      </c>
      <c r="BE8" s="2">
        <f t="shared" ref="BE8" si="28">AK8</f>
        <v>-183.4899750140776</v>
      </c>
      <c r="BF8" s="2">
        <f t="shared" ref="BF8" si="29">AL8</f>
        <v>0</v>
      </c>
      <c r="BG8" s="7">
        <f t="shared" ref="BG8" si="30">AM8</f>
        <v>-190.38456482729839</v>
      </c>
      <c r="BH8" s="1">
        <f t="shared" ref="BH8" si="31">AZ8+BC8</f>
        <v>62.586879999999994</v>
      </c>
      <c r="BI8" s="2">
        <f t="shared" ref="BI8" si="32">BA8+BD8</f>
        <v>9.7364024727203287</v>
      </c>
      <c r="BJ8" s="2">
        <f t="shared" ref="BJ8" si="33">ABS(BB8+BE8)</f>
        <v>537.03704941510705</v>
      </c>
      <c r="BK8" s="2">
        <f t="shared" ref="BK8" si="34">ABS(BF8)</f>
        <v>0</v>
      </c>
      <c r="BL8" s="7">
        <f t="shared" ref="BL8" si="35">BG8</f>
        <v>-190.38456482729839</v>
      </c>
      <c r="BM8" s="2"/>
      <c r="BN8" s="1">
        <f t="shared" si="8"/>
        <v>62.586879999999987</v>
      </c>
      <c r="BO8" s="4" t="str">
        <f t="shared" ref="BO8" si="36">IF(ISNUMBER(SEARCH("Appui",E8)),0,"0")</f>
        <v>0</v>
      </c>
      <c r="BP8" s="2">
        <f t="shared" si="21"/>
        <v>62.586879999999987</v>
      </c>
      <c r="BQ8" s="2">
        <f t="shared" si="10"/>
        <v>32.175182924605153</v>
      </c>
      <c r="BR8" s="3">
        <f t="shared" si="11"/>
        <v>1.9451911166024254</v>
      </c>
      <c r="BS8" s="1">
        <f t="shared" si="12"/>
        <v>81.92</v>
      </c>
      <c r="BT8" s="2">
        <f t="shared" si="13"/>
        <v>224.80894309617941</v>
      </c>
      <c r="BU8" s="21">
        <f t="shared" si="14"/>
        <v>0.36439831472786377</v>
      </c>
      <c r="BV8" s="2">
        <f t="shared" si="15"/>
        <v>271.67</v>
      </c>
      <c r="BW8" s="2">
        <f t="shared" si="16"/>
        <v>372.66848262645385</v>
      </c>
      <c r="BX8" s="21">
        <f t="shared" si="17"/>
        <v>1.3717689940974485</v>
      </c>
      <c r="BY8" s="10" t="str">
        <f>IF(C6&lt;C8,"Rive",IF(C10&gt;C8,"Rive","Inter"))</f>
        <v>Inter</v>
      </c>
    </row>
    <row r="9" spans="1:78" x14ac:dyDescent="0.25">
      <c r="A9" t="str">
        <f t="shared" si="22"/>
        <v>Appui</v>
      </c>
      <c r="B9" t="b">
        <f t="shared" si="0"/>
        <v>0</v>
      </c>
      <c r="C9">
        <f t="shared" si="1"/>
        <v>1</v>
      </c>
      <c r="D9" s="5" t="s">
        <v>95</v>
      </c>
      <c r="E9" t="s">
        <v>49</v>
      </c>
      <c r="F9" s="5">
        <v>25</v>
      </c>
      <c r="G9" t="s">
        <v>46</v>
      </c>
      <c r="H9">
        <v>500</v>
      </c>
      <c r="I9">
        <v>170000</v>
      </c>
      <c r="J9">
        <v>1300</v>
      </c>
      <c r="K9" s="10">
        <v>1445</v>
      </c>
      <c r="L9" s="12">
        <v>1</v>
      </c>
      <c r="M9" s="5">
        <v>0.25</v>
      </c>
      <c r="N9" s="10">
        <v>2.6</v>
      </c>
      <c r="O9" s="5">
        <v>1.3338E-3</v>
      </c>
      <c r="P9">
        <v>6.9999999999999993E-2</v>
      </c>
      <c r="Q9" s="10">
        <v>1</v>
      </c>
      <c r="R9" s="8">
        <v>6.1578924137931036E-4</v>
      </c>
      <c r="S9">
        <v>0.04</v>
      </c>
      <c r="T9">
        <v>1</v>
      </c>
      <c r="U9" s="9">
        <v>0</v>
      </c>
      <c r="V9">
        <v>0</v>
      </c>
      <c r="W9" s="10">
        <v>1</v>
      </c>
      <c r="X9" s="1">
        <v>125.697</v>
      </c>
      <c r="Y9" s="2">
        <v>38.180999999999997</v>
      </c>
      <c r="Z9" s="13">
        <v>0.5</v>
      </c>
      <c r="AA9" s="2">
        <v>62.848500000000001</v>
      </c>
      <c r="AB9" s="2">
        <v>101.0295</v>
      </c>
      <c r="AC9" s="2">
        <v>214.5</v>
      </c>
      <c r="AD9" s="2"/>
      <c r="AE9" s="7">
        <v>163.87799999999999</v>
      </c>
      <c r="AF9" s="2">
        <v>62.848500000000001</v>
      </c>
      <c r="AG9" s="2">
        <v>101.0295</v>
      </c>
      <c r="AH9" s="2">
        <v>9.1626517686544755</v>
      </c>
      <c r="AI9" s="2">
        <v>11.50620525763784</v>
      </c>
      <c r="AJ9" s="2">
        <v>-277.97848420327819</v>
      </c>
      <c r="AK9" s="2">
        <v>-272.85702209884562</v>
      </c>
      <c r="AL9" s="2">
        <v>-330.51842998301402</v>
      </c>
      <c r="AM9" s="2">
        <v>0</v>
      </c>
      <c r="AN9" s="2">
        <v>214.5</v>
      </c>
      <c r="AO9" s="2">
        <v>105.1896123745755</v>
      </c>
      <c r="AP9" s="2">
        <v>157.09915091337791</v>
      </c>
      <c r="AQ9" s="2">
        <v>0</v>
      </c>
      <c r="AR9" s="2">
        <v>0</v>
      </c>
      <c r="AS9" s="2">
        <v>0</v>
      </c>
      <c r="AT9" s="2">
        <v>0</v>
      </c>
      <c r="AU9" s="1">
        <v>163.87799999999999</v>
      </c>
      <c r="AV9" s="2">
        <v>0</v>
      </c>
      <c r="AW9" s="2">
        <v>0</v>
      </c>
      <c r="AX9" s="2">
        <v>157.09915091337791</v>
      </c>
      <c r="AZ9" s="1">
        <f t="shared" ref="AZ9:AZ59" si="37">AF9</f>
        <v>62.848500000000001</v>
      </c>
      <c r="BA9" s="2">
        <f t="shared" ref="BA9:BA59" si="38">AH9</f>
        <v>9.1626517686544755</v>
      </c>
      <c r="BB9" s="7">
        <f t="shared" ref="BB9:BB59" si="39">AJ9</f>
        <v>-277.97848420327819</v>
      </c>
      <c r="BC9" s="1">
        <f t="shared" ref="BC9:BC59" si="40">AG9</f>
        <v>101.0295</v>
      </c>
      <c r="BD9" s="2">
        <f t="shared" ref="BD9:BD59" si="41">AI9</f>
        <v>11.50620525763784</v>
      </c>
      <c r="BE9" s="2">
        <f t="shared" ref="BE9:BE59" si="42">AK9</f>
        <v>-272.85702209884562</v>
      </c>
      <c r="BF9" s="2">
        <f t="shared" ref="BF9:BF59" si="43">AL9</f>
        <v>-330.51842998301402</v>
      </c>
      <c r="BG9" s="7">
        <f t="shared" ref="BG9:BG59" si="44">AM9</f>
        <v>0</v>
      </c>
      <c r="BH9" s="1">
        <f t="shared" ref="BH9:BH59" si="45">AZ9+BC9</f>
        <v>163.87799999999999</v>
      </c>
      <c r="BI9" s="2">
        <f t="shared" ref="BI9:BI59" si="46">BA9+BD9</f>
        <v>20.668857026292315</v>
      </c>
      <c r="BJ9" s="2">
        <f t="shared" ref="BJ9:BJ59" si="47">ABS(BB9+BE9)</f>
        <v>550.8355063021238</v>
      </c>
      <c r="BK9" s="2">
        <f t="shared" ref="BK9:BK59" si="48">ABS(BF9)</f>
        <v>330.51842998301402</v>
      </c>
      <c r="BL9" s="7">
        <f t="shared" ref="BL9:BL59" si="49">BG9</f>
        <v>0</v>
      </c>
      <c r="BM9" s="2"/>
      <c r="BN9" s="1">
        <f t="shared" ref="BN9:BN10" si="50">AU9</f>
        <v>163.87799999999999</v>
      </c>
      <c r="BO9" s="4">
        <v>0</v>
      </c>
      <c r="BP9" s="2">
        <f t="shared" si="21"/>
        <v>163.87799999999999</v>
      </c>
      <c r="BQ9" s="2">
        <f t="shared" si="10"/>
        <v>157.09915091337791</v>
      </c>
      <c r="BR9" s="3">
        <f t="shared" si="11"/>
        <v>1.0431501319212084</v>
      </c>
      <c r="BS9" s="1">
        <f t="shared" si="12"/>
        <v>214.5</v>
      </c>
      <c r="BT9" s="2">
        <f t="shared" si="13"/>
        <v>157.09915091337791</v>
      </c>
      <c r="BU9" s="21">
        <f t="shared" si="14"/>
        <v>1.3653797538235712</v>
      </c>
      <c r="BV9" s="2" t="str">
        <f t="shared" si="15"/>
        <v/>
      </c>
      <c r="BW9" s="2" t="str">
        <f t="shared" si="16"/>
        <v/>
      </c>
      <c r="BX9" s="21" t="str">
        <f t="shared" si="17"/>
        <v/>
      </c>
      <c r="BY9" s="15"/>
    </row>
    <row r="10" spans="1:78" x14ac:dyDescent="0.25">
      <c r="A10" t="str">
        <f t="shared" si="22"/>
        <v>Travée</v>
      </c>
      <c r="B10" t="b">
        <f t="shared" si="0"/>
        <v>0</v>
      </c>
      <c r="C10">
        <f t="shared" si="1"/>
        <v>1</v>
      </c>
      <c r="D10" s="5" t="s">
        <v>95</v>
      </c>
      <c r="E10" t="s">
        <v>51</v>
      </c>
      <c r="F10" s="5">
        <v>25</v>
      </c>
      <c r="G10" t="s">
        <v>46</v>
      </c>
      <c r="H10">
        <v>500</v>
      </c>
      <c r="I10">
        <v>170000</v>
      </c>
      <c r="J10">
        <v>1300</v>
      </c>
      <c r="K10" s="10">
        <v>1445</v>
      </c>
      <c r="L10" s="12">
        <v>1</v>
      </c>
      <c r="M10" s="5">
        <v>0.25</v>
      </c>
      <c r="N10" s="10">
        <v>2.6</v>
      </c>
      <c r="O10" s="5">
        <v>3.3280000000000001E-4</v>
      </c>
      <c r="P10">
        <v>0.04</v>
      </c>
      <c r="Q10" s="10">
        <v>1</v>
      </c>
      <c r="R10" s="8">
        <v>0</v>
      </c>
      <c r="S10">
        <v>0</v>
      </c>
      <c r="T10">
        <v>1</v>
      </c>
      <c r="U10" s="9">
        <v>5.7600000000000001E-4</v>
      </c>
      <c r="V10">
        <v>0</v>
      </c>
      <c r="W10" s="10">
        <v>1</v>
      </c>
      <c r="X10" s="1">
        <v>48.005119999999998</v>
      </c>
      <c r="Y10" s="2">
        <v>14.581759999999999</v>
      </c>
      <c r="Z10" s="13">
        <v>0.5</v>
      </c>
      <c r="AA10" s="2">
        <v>24.002559999999999</v>
      </c>
      <c r="AB10" s="2">
        <v>38.584319999999998</v>
      </c>
      <c r="AC10" s="2">
        <v>81.92</v>
      </c>
      <c r="AD10" s="2"/>
      <c r="AE10" s="7">
        <v>62.586879999999987</v>
      </c>
      <c r="AF10" s="2">
        <v>24.002559999999999</v>
      </c>
      <c r="AG10" s="2">
        <v>38.584319999999998</v>
      </c>
      <c r="AH10" s="2">
        <v>5.1578811399664399</v>
      </c>
      <c r="AI10" s="2">
        <v>4.5785213327538878</v>
      </c>
      <c r="AJ10" s="2">
        <v>-353.54707440102948</v>
      </c>
      <c r="AK10" s="2">
        <v>-183.4899750140776</v>
      </c>
      <c r="AL10" s="2">
        <v>0</v>
      </c>
      <c r="AM10" s="2">
        <v>-190.38456482729839</v>
      </c>
      <c r="AN10" s="2">
        <v>81.92</v>
      </c>
      <c r="AO10" s="2">
        <v>32.175182924605153</v>
      </c>
      <c r="AP10" s="2">
        <v>224.80894309617941</v>
      </c>
      <c r="AQ10" s="2">
        <v>6.8074542888009368</v>
      </c>
      <c r="AR10" s="2">
        <v>-393.38833551557929</v>
      </c>
      <c r="AS10" s="2">
        <v>0</v>
      </c>
      <c r="AT10" s="2">
        <v>-413.0234567647733</v>
      </c>
      <c r="AU10" s="1">
        <v>62.586879999999987</v>
      </c>
      <c r="AV10" s="2">
        <v>0</v>
      </c>
      <c r="AW10" s="2">
        <v>0</v>
      </c>
      <c r="AX10" s="2">
        <v>32.175182924605153</v>
      </c>
      <c r="AZ10" s="1">
        <f t="shared" si="37"/>
        <v>24.002559999999999</v>
      </c>
      <c r="BA10" s="2">
        <f t="shared" si="38"/>
        <v>5.1578811399664399</v>
      </c>
      <c r="BB10" s="7">
        <f t="shared" si="39"/>
        <v>-353.54707440102948</v>
      </c>
      <c r="BC10" s="1">
        <f t="shared" si="40"/>
        <v>38.584319999999998</v>
      </c>
      <c r="BD10" s="2">
        <f t="shared" si="41"/>
        <v>4.5785213327538878</v>
      </c>
      <c r="BE10" s="2">
        <f t="shared" si="42"/>
        <v>-183.4899750140776</v>
      </c>
      <c r="BF10" s="2">
        <f t="shared" si="43"/>
        <v>0</v>
      </c>
      <c r="BG10" s="7">
        <f t="shared" si="44"/>
        <v>-190.38456482729839</v>
      </c>
      <c r="BH10" s="1">
        <f t="shared" si="45"/>
        <v>62.586879999999994</v>
      </c>
      <c r="BI10" s="2">
        <f t="shared" si="46"/>
        <v>9.7364024727203287</v>
      </c>
      <c r="BJ10" s="2">
        <f t="shared" si="47"/>
        <v>537.03704941510705</v>
      </c>
      <c r="BK10" s="2">
        <f t="shared" si="48"/>
        <v>0</v>
      </c>
      <c r="BL10" s="7">
        <f t="shared" si="49"/>
        <v>-190.38456482729839</v>
      </c>
      <c r="BM10" s="2"/>
      <c r="BN10" s="1">
        <f t="shared" si="50"/>
        <v>62.586879999999987</v>
      </c>
      <c r="BO10" s="4" t="str">
        <f t="shared" ref="BO10" si="51">IF(ISNUMBER(SEARCH("Appui",E10)),0,"0")</f>
        <v>0</v>
      </c>
      <c r="BP10" s="2">
        <f t="shared" si="21"/>
        <v>62.586879999999987</v>
      </c>
      <c r="BQ10" s="2">
        <f t="shared" ref="BQ10:BQ63" si="52">AX10</f>
        <v>32.175182924605153</v>
      </c>
      <c r="BR10" s="3">
        <f t="shared" ref="BR10:BR63" si="53">BP10/BQ10</f>
        <v>1.9451911166024254</v>
      </c>
      <c r="BS10" s="1">
        <f t="shared" ref="BS10:BS63" si="54">AN10</f>
        <v>81.92</v>
      </c>
      <c r="BT10" s="2">
        <f t="shared" ref="BT10:BT63" si="55">AP10</f>
        <v>224.80894309617941</v>
      </c>
      <c r="BU10" s="21">
        <f t="shared" ref="BU10:BU63" si="56">BS10/BT10</f>
        <v>0.36439831472786377</v>
      </c>
      <c r="BV10" s="2">
        <f t="shared" ref="BV10:BV63" si="57">IF(ISNUMBER(SEARCH("Travée",E10)),BS10+(IF(C9&lt;C10,0,BS9)+IF(C11&gt;C10,0,BS11))/2,"")</f>
        <v>299.17</v>
      </c>
      <c r="BW10" s="2">
        <f t="shared" ref="BW10:BW63" si="58">IF(ISNUMBER(SEARCH("Travée",E10)),BT10+(IF(C9&lt;C10,0,BT9)+IF(C11&gt;C10,0,BT11))/2,"")</f>
        <v>383.21661349880372</v>
      </c>
      <c r="BX10" s="21">
        <f t="shared" ref="BX10:BX63" si="59">IF(ISNUMBER(SEARCH("Travée",E10)),BW10/BV10,"")</f>
        <v>1.2809326252592295</v>
      </c>
      <c r="BY10" s="10" t="str">
        <f t="shared" ref="BY10" si="60">IF(C8&lt;C10,"Rive",IF(C12&gt;C10,"Rive","Inter"))</f>
        <v>Inter</v>
      </c>
      <c r="BZ10" t="b">
        <f>SUM(BN7:BN10)&lt;=SUM(BP7:BP10)</f>
        <v>1</v>
      </c>
    </row>
    <row r="11" spans="1:78" x14ac:dyDescent="0.25">
      <c r="A11" t="str">
        <f t="shared" si="22"/>
        <v>Appui</v>
      </c>
      <c r="B11" t="b">
        <f t="shared" si="0"/>
        <v>0</v>
      </c>
      <c r="C11">
        <f t="shared" si="1"/>
        <v>1</v>
      </c>
      <c r="D11" s="5" t="s">
        <v>95</v>
      </c>
      <c r="E11" t="s">
        <v>52</v>
      </c>
      <c r="F11" s="5">
        <v>25</v>
      </c>
      <c r="G11" t="s">
        <v>46</v>
      </c>
      <c r="H11">
        <v>500</v>
      </c>
      <c r="I11">
        <v>170000</v>
      </c>
      <c r="J11">
        <v>1300</v>
      </c>
      <c r="K11" s="10">
        <v>1445</v>
      </c>
      <c r="L11" s="12">
        <v>1</v>
      </c>
      <c r="M11" s="5">
        <v>0.25</v>
      </c>
      <c r="N11" s="10">
        <v>2.6</v>
      </c>
      <c r="O11" s="5">
        <v>1.0009999999999999E-3</v>
      </c>
      <c r="P11">
        <v>6.9999999999999993E-2</v>
      </c>
      <c r="Q11" s="10">
        <v>1</v>
      </c>
      <c r="R11" s="8">
        <v>9.2368386206896549E-4</v>
      </c>
      <c r="S11">
        <v>0.04</v>
      </c>
      <c r="T11">
        <v>1</v>
      </c>
      <c r="U11" s="9">
        <v>0</v>
      </c>
      <c r="V11">
        <v>0</v>
      </c>
      <c r="W11" s="10">
        <v>1</v>
      </c>
      <c r="X11" s="1">
        <v>128.91999999999999</v>
      </c>
      <c r="Y11" s="2">
        <v>39.159999999999997</v>
      </c>
      <c r="Z11" s="13">
        <v>0.5</v>
      </c>
      <c r="AA11" s="2">
        <v>64.460000000000008</v>
      </c>
      <c r="AB11" s="2">
        <v>103.62</v>
      </c>
      <c r="AC11" s="2">
        <v>220</v>
      </c>
      <c r="AD11" s="2"/>
      <c r="AE11" s="7">
        <v>168.08</v>
      </c>
      <c r="AF11" s="2">
        <v>64.460000000000008</v>
      </c>
      <c r="AG11" s="2">
        <v>103.62</v>
      </c>
      <c r="AH11" s="2">
        <v>10.664422080107951</v>
      </c>
      <c r="AI11" s="2">
        <v>11.379241477252011</v>
      </c>
      <c r="AJ11" s="2">
        <v>-376.91512966895982</v>
      </c>
      <c r="AK11" s="2">
        <v>-267.06549545649938</v>
      </c>
      <c r="AL11" s="2">
        <v>-323.62719242330451</v>
      </c>
      <c r="AM11" s="2">
        <v>0</v>
      </c>
      <c r="AN11" s="2">
        <v>220</v>
      </c>
      <c r="AO11" s="2">
        <v>81.164330980542971</v>
      </c>
      <c r="AP11" s="2">
        <v>159.7161898918707</v>
      </c>
      <c r="AQ11" s="2">
        <v>0</v>
      </c>
      <c r="AR11" s="2">
        <v>0</v>
      </c>
      <c r="AS11" s="2">
        <v>0</v>
      </c>
      <c r="AT11" s="2">
        <v>0</v>
      </c>
      <c r="AU11" s="1">
        <v>168.08</v>
      </c>
      <c r="AV11" s="2">
        <v>0</v>
      </c>
      <c r="AW11" s="2">
        <v>0</v>
      </c>
      <c r="AX11" s="2">
        <v>159.7161898918707</v>
      </c>
      <c r="AZ11" s="1">
        <f t="shared" si="37"/>
        <v>64.460000000000008</v>
      </c>
      <c r="BA11" s="2">
        <f t="shared" si="38"/>
        <v>10.664422080107951</v>
      </c>
      <c r="BB11" s="7">
        <f t="shared" si="39"/>
        <v>-376.91512966895982</v>
      </c>
      <c r="BC11" s="1">
        <f t="shared" si="40"/>
        <v>103.62</v>
      </c>
      <c r="BD11" s="2">
        <f t="shared" si="41"/>
        <v>11.379241477252011</v>
      </c>
      <c r="BE11" s="2">
        <f t="shared" si="42"/>
        <v>-267.06549545649938</v>
      </c>
      <c r="BF11" s="2">
        <f t="shared" si="43"/>
        <v>-323.62719242330451</v>
      </c>
      <c r="BG11" s="7">
        <f t="shared" si="44"/>
        <v>0</v>
      </c>
      <c r="BH11" s="1">
        <f t="shared" si="45"/>
        <v>168.08</v>
      </c>
      <c r="BI11" s="2">
        <f t="shared" si="46"/>
        <v>22.043663557359963</v>
      </c>
      <c r="BJ11" s="2">
        <f t="shared" si="47"/>
        <v>643.98062512545926</v>
      </c>
      <c r="BK11" s="2">
        <f t="shared" si="48"/>
        <v>323.62719242330451</v>
      </c>
      <c r="BL11" s="7">
        <f t="shared" si="49"/>
        <v>0</v>
      </c>
      <c r="BM11" s="2"/>
      <c r="BN11" s="1">
        <f t="shared" ref="BN11:BN63" si="61">AU11</f>
        <v>168.08</v>
      </c>
      <c r="BO11" s="4">
        <v>0</v>
      </c>
      <c r="BP11" s="2">
        <f t="shared" si="21"/>
        <v>168.08</v>
      </c>
      <c r="BQ11" s="2">
        <f t="shared" si="52"/>
        <v>159.7161898918707</v>
      </c>
      <c r="BR11" s="3">
        <f t="shared" si="53"/>
        <v>1.0523667019216505</v>
      </c>
      <c r="BS11" s="1">
        <f t="shared" si="54"/>
        <v>220</v>
      </c>
      <c r="BT11" s="2">
        <f t="shared" si="55"/>
        <v>159.7161898918707</v>
      </c>
      <c r="BU11" s="21">
        <f t="shared" si="56"/>
        <v>1.377443327122579</v>
      </c>
      <c r="BV11" s="2" t="str">
        <f t="shared" si="57"/>
        <v/>
      </c>
      <c r="BW11" s="2" t="str">
        <f t="shared" si="58"/>
        <v/>
      </c>
      <c r="BX11" s="21" t="str">
        <f t="shared" si="59"/>
        <v/>
      </c>
      <c r="BY11" s="15"/>
    </row>
    <row r="12" spans="1:78" x14ac:dyDescent="0.25">
      <c r="A12" t="str">
        <f t="shared" si="22"/>
        <v>Travée</v>
      </c>
      <c r="B12" t="b">
        <f t="shared" si="0"/>
        <v>0</v>
      </c>
      <c r="C12">
        <f t="shared" si="1"/>
        <v>1</v>
      </c>
      <c r="D12" s="5" t="s">
        <v>95</v>
      </c>
      <c r="E12" t="s">
        <v>53</v>
      </c>
      <c r="F12" s="5">
        <v>25</v>
      </c>
      <c r="G12" t="s">
        <v>46</v>
      </c>
      <c r="H12">
        <v>500</v>
      </c>
      <c r="I12">
        <v>170000</v>
      </c>
      <c r="J12">
        <v>1300</v>
      </c>
      <c r="K12" s="10">
        <v>1445</v>
      </c>
      <c r="L12" s="12">
        <v>1</v>
      </c>
      <c r="M12" s="5">
        <v>0.25</v>
      </c>
      <c r="N12" s="10">
        <v>2.6</v>
      </c>
      <c r="O12" s="5">
        <v>3.3280000000000001E-4</v>
      </c>
      <c r="P12">
        <v>0.04</v>
      </c>
      <c r="Q12" s="10">
        <v>1</v>
      </c>
      <c r="R12" s="8">
        <v>0</v>
      </c>
      <c r="S12">
        <v>0</v>
      </c>
      <c r="T12">
        <v>1</v>
      </c>
      <c r="U12" s="9">
        <v>5.7600000000000001E-4</v>
      </c>
      <c r="V12">
        <v>0</v>
      </c>
      <c r="W12" s="10">
        <v>1</v>
      </c>
      <c r="X12" s="1">
        <v>53.255679999999991</v>
      </c>
      <c r="Y12" s="2">
        <v>16.176639999999999</v>
      </c>
      <c r="Z12" s="13">
        <v>0.5</v>
      </c>
      <c r="AA12" s="2">
        <v>26.627839999999999</v>
      </c>
      <c r="AB12" s="2">
        <v>42.804479999999998</v>
      </c>
      <c r="AC12" s="2">
        <v>90.88</v>
      </c>
      <c r="AD12" s="2"/>
      <c r="AE12" s="7">
        <v>69.43231999999999</v>
      </c>
      <c r="AF12" s="2">
        <v>26.627839999999999</v>
      </c>
      <c r="AG12" s="2">
        <v>42.804479999999998</v>
      </c>
      <c r="AH12" s="2">
        <v>5.7220243896502758</v>
      </c>
      <c r="AI12" s="2">
        <v>5.0792971035238432</v>
      </c>
      <c r="AJ12" s="2">
        <v>-392.21628566364211</v>
      </c>
      <c r="AK12" s="2">
        <v>-203.55919103124239</v>
      </c>
      <c r="AL12" s="2">
        <v>0</v>
      </c>
      <c r="AM12" s="2">
        <v>-211.20787660528421</v>
      </c>
      <c r="AN12" s="2">
        <v>90.88</v>
      </c>
      <c r="AO12" s="2">
        <v>32.175182924605153</v>
      </c>
      <c r="AP12" s="2">
        <v>224.80894309617941</v>
      </c>
      <c r="AQ12" s="2">
        <v>7.4847512173078021</v>
      </c>
      <c r="AR12" s="2">
        <v>-434.79184686317762</v>
      </c>
      <c r="AS12" s="2">
        <v>0</v>
      </c>
      <c r="AT12" s="2">
        <v>-459.22259158413277</v>
      </c>
      <c r="AU12" s="1">
        <v>69.43231999999999</v>
      </c>
      <c r="AV12" s="2">
        <v>0</v>
      </c>
      <c r="AW12" s="2">
        <v>0</v>
      </c>
      <c r="AX12" s="2">
        <v>32.175182924605153</v>
      </c>
      <c r="AZ12" s="1">
        <f t="shared" si="37"/>
        <v>26.627839999999999</v>
      </c>
      <c r="BA12" s="2">
        <f t="shared" si="38"/>
        <v>5.7220243896502758</v>
      </c>
      <c r="BB12" s="7">
        <f t="shared" si="39"/>
        <v>-392.21628566364211</v>
      </c>
      <c r="BC12" s="1">
        <f t="shared" si="40"/>
        <v>42.804479999999998</v>
      </c>
      <c r="BD12" s="2">
        <f t="shared" si="41"/>
        <v>5.0792971035238432</v>
      </c>
      <c r="BE12" s="2">
        <f t="shared" si="42"/>
        <v>-203.55919103124239</v>
      </c>
      <c r="BF12" s="2">
        <f t="shared" si="43"/>
        <v>0</v>
      </c>
      <c r="BG12" s="7">
        <f t="shared" si="44"/>
        <v>-211.20787660528421</v>
      </c>
      <c r="BH12" s="1">
        <f t="shared" si="45"/>
        <v>69.432320000000004</v>
      </c>
      <c r="BI12" s="2">
        <f t="shared" si="46"/>
        <v>10.801321493174118</v>
      </c>
      <c r="BJ12" s="2">
        <f t="shared" si="47"/>
        <v>595.77547669488445</v>
      </c>
      <c r="BK12" s="2">
        <f t="shared" si="48"/>
        <v>0</v>
      </c>
      <c r="BL12" s="7">
        <f t="shared" si="49"/>
        <v>-211.20787660528421</v>
      </c>
      <c r="BM12" s="2"/>
      <c r="BN12" s="1">
        <f t="shared" si="61"/>
        <v>69.43231999999999</v>
      </c>
      <c r="BO12" s="4" t="str">
        <f t="shared" ref="BO12" si="62">IF(ISNUMBER(SEARCH("Appui",E12)),0,"0")</f>
        <v>0</v>
      </c>
      <c r="BP12" s="2">
        <f t="shared" si="21"/>
        <v>69.43231999999999</v>
      </c>
      <c r="BQ12" s="2">
        <f t="shared" si="52"/>
        <v>32.175182924605153</v>
      </c>
      <c r="BR12" s="3">
        <f t="shared" si="53"/>
        <v>2.157946394980816</v>
      </c>
      <c r="BS12" s="1">
        <f t="shared" si="54"/>
        <v>90.88</v>
      </c>
      <c r="BT12" s="2">
        <f t="shared" si="55"/>
        <v>224.80894309617941</v>
      </c>
      <c r="BU12" s="21">
        <f t="shared" si="56"/>
        <v>0.40425438040122386</v>
      </c>
      <c r="BV12" s="2">
        <f t="shared" si="57"/>
        <v>316.38</v>
      </c>
      <c r="BW12" s="2">
        <f t="shared" si="58"/>
        <v>395.76087566691109</v>
      </c>
      <c r="BX12" s="21">
        <f t="shared" si="59"/>
        <v>1.2509035832445512</v>
      </c>
      <c r="BY12" s="10" t="str">
        <f t="shared" ref="BY12" si="63">IF(C10&lt;C12,"Rive",IF(C14&gt;C12,"Rive","Inter"))</f>
        <v>Inter</v>
      </c>
    </row>
    <row r="13" spans="1:78" x14ac:dyDescent="0.25">
      <c r="A13" t="str">
        <f t="shared" si="22"/>
        <v>Appui</v>
      </c>
      <c r="B13" t="b">
        <f t="shared" si="0"/>
        <v>0</v>
      </c>
      <c r="C13">
        <f t="shared" si="1"/>
        <v>1</v>
      </c>
      <c r="D13" s="5" t="s">
        <v>95</v>
      </c>
      <c r="E13" t="s">
        <v>54</v>
      </c>
      <c r="F13" s="5">
        <v>25</v>
      </c>
      <c r="G13" t="s">
        <v>46</v>
      </c>
      <c r="H13">
        <v>500</v>
      </c>
      <c r="I13">
        <v>170000</v>
      </c>
      <c r="J13">
        <v>1300</v>
      </c>
      <c r="K13" s="10">
        <v>1445</v>
      </c>
      <c r="L13" s="12">
        <v>1</v>
      </c>
      <c r="M13" s="5">
        <v>0.25</v>
      </c>
      <c r="N13" s="10">
        <v>2.6</v>
      </c>
      <c r="O13" s="5">
        <v>1.3338E-3</v>
      </c>
      <c r="P13">
        <v>6.9999999999999993E-2</v>
      </c>
      <c r="Q13" s="10">
        <v>1</v>
      </c>
      <c r="R13" s="8">
        <v>9.2368386206896549E-4</v>
      </c>
      <c r="S13">
        <v>0.04</v>
      </c>
      <c r="T13">
        <v>1</v>
      </c>
      <c r="U13" s="9">
        <v>0</v>
      </c>
      <c r="V13">
        <v>0</v>
      </c>
      <c r="W13" s="10">
        <v>1</v>
      </c>
      <c r="X13" s="1">
        <v>135.36600000000001</v>
      </c>
      <c r="Y13" s="2">
        <v>41.118000000000002</v>
      </c>
      <c r="Z13" s="13">
        <v>0.5</v>
      </c>
      <c r="AA13" s="2">
        <v>67.683000000000007</v>
      </c>
      <c r="AB13" s="2">
        <v>108.801</v>
      </c>
      <c r="AC13" s="2">
        <v>231</v>
      </c>
      <c r="AD13" s="2"/>
      <c r="AE13" s="7">
        <v>176.48400000000001</v>
      </c>
      <c r="AF13" s="2">
        <v>67.683000000000007</v>
      </c>
      <c r="AG13" s="2">
        <v>108.801</v>
      </c>
      <c r="AH13" s="2">
        <v>9.8674711354740428</v>
      </c>
      <c r="AI13" s="2">
        <v>11.378947628600381</v>
      </c>
      <c r="AJ13" s="2">
        <v>-299.36144452660727</v>
      </c>
      <c r="AK13" s="2">
        <v>-246.04762925362181</v>
      </c>
      <c r="AL13" s="2">
        <v>-299.10603732998169</v>
      </c>
      <c r="AM13" s="2">
        <v>0</v>
      </c>
      <c r="AN13" s="2">
        <v>231</v>
      </c>
      <c r="AO13" s="2">
        <v>105.1896123745755</v>
      </c>
      <c r="AP13" s="2">
        <v>182.1876752495927</v>
      </c>
      <c r="AQ13" s="2">
        <v>0</v>
      </c>
      <c r="AR13" s="2">
        <v>0</v>
      </c>
      <c r="AS13" s="2">
        <v>0</v>
      </c>
      <c r="AT13" s="2">
        <v>0</v>
      </c>
      <c r="AU13" s="1">
        <v>176.48400000000001</v>
      </c>
      <c r="AV13" s="2">
        <v>16.221342220024489</v>
      </c>
      <c r="AW13" s="2">
        <v>-437.75932676562343</v>
      </c>
      <c r="AX13" s="2">
        <v>182.1876752495927</v>
      </c>
      <c r="AZ13" s="1">
        <f t="shared" si="37"/>
        <v>67.683000000000007</v>
      </c>
      <c r="BA13" s="2">
        <f t="shared" si="38"/>
        <v>9.8674711354740428</v>
      </c>
      <c r="BB13" s="7">
        <f t="shared" si="39"/>
        <v>-299.36144452660727</v>
      </c>
      <c r="BC13" s="1">
        <f t="shared" si="40"/>
        <v>108.801</v>
      </c>
      <c r="BD13" s="2">
        <f t="shared" si="41"/>
        <v>11.378947628600381</v>
      </c>
      <c r="BE13" s="2">
        <f t="shared" si="42"/>
        <v>-246.04762925362181</v>
      </c>
      <c r="BF13" s="2">
        <f t="shared" si="43"/>
        <v>-299.10603732998169</v>
      </c>
      <c r="BG13" s="7">
        <f t="shared" si="44"/>
        <v>0</v>
      </c>
      <c r="BH13" s="1">
        <f t="shared" si="45"/>
        <v>176.48400000000001</v>
      </c>
      <c r="BI13" s="2">
        <f t="shared" si="46"/>
        <v>21.246418764074424</v>
      </c>
      <c r="BJ13" s="2">
        <f t="shared" si="47"/>
        <v>545.40907378022905</v>
      </c>
      <c r="BK13" s="2">
        <f t="shared" si="48"/>
        <v>299.10603732998169</v>
      </c>
      <c r="BL13" s="7">
        <f t="shared" si="49"/>
        <v>0</v>
      </c>
      <c r="BM13" s="2"/>
      <c r="BN13" s="1">
        <f t="shared" si="61"/>
        <v>176.48400000000001</v>
      </c>
      <c r="BO13" s="4">
        <v>0</v>
      </c>
      <c r="BP13" s="2">
        <f t="shared" si="21"/>
        <v>176.48400000000001</v>
      </c>
      <c r="BQ13" s="2">
        <f t="shared" si="52"/>
        <v>182.1876752495927</v>
      </c>
      <c r="BR13" s="3">
        <f t="shared" si="53"/>
        <v>0.96869340781818092</v>
      </c>
      <c r="BS13" s="1">
        <f t="shared" si="54"/>
        <v>231</v>
      </c>
      <c r="BT13" s="2">
        <f t="shared" si="55"/>
        <v>182.1876752495927</v>
      </c>
      <c r="BU13" s="21">
        <f t="shared" si="56"/>
        <v>1.2679233086625403</v>
      </c>
      <c r="BV13" s="2" t="str">
        <f t="shared" si="57"/>
        <v/>
      </c>
      <c r="BW13" s="2" t="str">
        <f t="shared" si="58"/>
        <v/>
      </c>
      <c r="BX13" s="21" t="str">
        <f t="shared" si="59"/>
        <v/>
      </c>
      <c r="BY13" s="15"/>
    </row>
    <row r="14" spans="1:78" x14ac:dyDescent="0.25">
      <c r="A14" t="str">
        <f t="shared" si="22"/>
        <v>Travée</v>
      </c>
      <c r="B14" t="b">
        <f t="shared" si="0"/>
        <v>0</v>
      </c>
      <c r="C14">
        <f t="shared" si="1"/>
        <v>1</v>
      </c>
      <c r="D14" s="5" t="s">
        <v>95</v>
      </c>
      <c r="E14" t="s">
        <v>55</v>
      </c>
      <c r="F14" s="5">
        <v>25</v>
      </c>
      <c r="G14" t="s">
        <v>46</v>
      </c>
      <c r="H14">
        <v>500</v>
      </c>
      <c r="I14">
        <v>170000</v>
      </c>
      <c r="J14">
        <v>1300</v>
      </c>
      <c r="K14" s="10">
        <v>1445</v>
      </c>
      <c r="L14" s="12">
        <v>1</v>
      </c>
      <c r="M14" s="5">
        <v>0.25</v>
      </c>
      <c r="N14" s="10">
        <v>2.6</v>
      </c>
      <c r="O14" s="5">
        <v>3.3280000000000001E-4</v>
      </c>
      <c r="P14">
        <v>0.04</v>
      </c>
      <c r="Q14" s="10">
        <v>1</v>
      </c>
      <c r="R14" s="8">
        <v>0</v>
      </c>
      <c r="S14">
        <v>0</v>
      </c>
      <c r="T14">
        <v>1</v>
      </c>
      <c r="U14" s="9">
        <v>5.7600000000000001E-4</v>
      </c>
      <c r="V14">
        <v>0</v>
      </c>
      <c r="W14" s="10">
        <v>1</v>
      </c>
      <c r="X14" s="1">
        <v>53.255679999999991</v>
      </c>
      <c r="Y14" s="2">
        <v>16.176639999999999</v>
      </c>
      <c r="Z14" s="13">
        <v>0.5</v>
      </c>
      <c r="AA14" s="2">
        <v>26.627839999999999</v>
      </c>
      <c r="AB14" s="2">
        <v>42.804479999999998</v>
      </c>
      <c r="AC14" s="2">
        <v>90.88</v>
      </c>
      <c r="AD14" s="2"/>
      <c r="AE14" s="7">
        <v>69.43231999999999</v>
      </c>
      <c r="AF14" s="2">
        <v>26.627839999999999</v>
      </c>
      <c r="AG14" s="2">
        <v>42.804479999999998</v>
      </c>
      <c r="AH14" s="2">
        <v>5.7220243896502758</v>
      </c>
      <c r="AI14" s="2">
        <v>5.0792971035238432</v>
      </c>
      <c r="AJ14" s="2">
        <v>-392.21628566364211</v>
      </c>
      <c r="AK14" s="2">
        <v>-203.55919103124239</v>
      </c>
      <c r="AL14" s="2">
        <v>0</v>
      </c>
      <c r="AM14" s="2">
        <v>-211.20787660528421</v>
      </c>
      <c r="AN14" s="2">
        <v>90.88</v>
      </c>
      <c r="AO14" s="2">
        <v>32.175182924605153</v>
      </c>
      <c r="AP14" s="2">
        <v>224.80894309617941</v>
      </c>
      <c r="AQ14" s="2">
        <v>7.4847512173078021</v>
      </c>
      <c r="AR14" s="2">
        <v>-434.79184686317762</v>
      </c>
      <c r="AS14" s="2">
        <v>0</v>
      </c>
      <c r="AT14" s="2">
        <v>-459.22259158413277</v>
      </c>
      <c r="AU14" s="1">
        <v>69.43231999999999</v>
      </c>
      <c r="AV14" s="2">
        <v>0</v>
      </c>
      <c r="AW14" s="2">
        <v>0</v>
      </c>
      <c r="AX14" s="2">
        <v>32.175182924605153</v>
      </c>
      <c r="AZ14" s="1">
        <f t="shared" si="37"/>
        <v>26.627839999999999</v>
      </c>
      <c r="BA14" s="2">
        <f t="shared" si="38"/>
        <v>5.7220243896502758</v>
      </c>
      <c r="BB14" s="7">
        <f t="shared" si="39"/>
        <v>-392.21628566364211</v>
      </c>
      <c r="BC14" s="1">
        <f t="shared" si="40"/>
        <v>42.804479999999998</v>
      </c>
      <c r="BD14" s="2">
        <f t="shared" si="41"/>
        <v>5.0792971035238432</v>
      </c>
      <c r="BE14" s="2">
        <f t="shared" si="42"/>
        <v>-203.55919103124239</v>
      </c>
      <c r="BF14" s="2">
        <f t="shared" si="43"/>
        <v>0</v>
      </c>
      <c r="BG14" s="7">
        <f t="shared" si="44"/>
        <v>-211.20787660528421</v>
      </c>
      <c r="BH14" s="1">
        <f t="shared" si="45"/>
        <v>69.432320000000004</v>
      </c>
      <c r="BI14" s="2">
        <f t="shared" si="46"/>
        <v>10.801321493174118</v>
      </c>
      <c r="BJ14" s="2">
        <f t="shared" si="47"/>
        <v>595.77547669488445</v>
      </c>
      <c r="BK14" s="2">
        <f t="shared" si="48"/>
        <v>0</v>
      </c>
      <c r="BL14" s="7">
        <f t="shared" si="49"/>
        <v>-211.20787660528421</v>
      </c>
      <c r="BM14" s="2"/>
      <c r="BN14" s="1">
        <f t="shared" si="61"/>
        <v>69.43231999999999</v>
      </c>
      <c r="BO14" s="4" t="str">
        <f t="shared" ref="BO14" si="64">IF(ISNUMBER(SEARCH("Appui",E14)),0,"0")</f>
        <v>0</v>
      </c>
      <c r="BP14" s="2">
        <f t="shared" si="21"/>
        <v>69.43231999999999</v>
      </c>
      <c r="BQ14" s="2">
        <f t="shared" si="52"/>
        <v>32.175182924605153</v>
      </c>
      <c r="BR14" s="3">
        <f t="shared" si="53"/>
        <v>2.157946394980816</v>
      </c>
      <c r="BS14" s="1">
        <f t="shared" si="54"/>
        <v>90.88</v>
      </c>
      <c r="BT14" s="2">
        <f t="shared" si="55"/>
        <v>224.80894309617941</v>
      </c>
      <c r="BU14" s="21">
        <f t="shared" si="56"/>
        <v>0.40425438040122386</v>
      </c>
      <c r="BV14" s="2">
        <f t="shared" si="57"/>
        <v>324.63</v>
      </c>
      <c r="BW14" s="2">
        <f t="shared" si="58"/>
        <v>406.99661834577211</v>
      </c>
      <c r="BX14" s="21">
        <f t="shared" si="59"/>
        <v>1.2537246044597607</v>
      </c>
      <c r="BY14" s="10" t="str">
        <f t="shared" ref="BY14" si="65">IF(C12&lt;C14,"Rive",IF(C16&gt;C14,"Rive","Inter"))</f>
        <v>Inter</v>
      </c>
    </row>
    <row r="15" spans="1:78" x14ac:dyDescent="0.25">
      <c r="A15" t="str">
        <f t="shared" si="22"/>
        <v>Appui</v>
      </c>
      <c r="B15" t="b">
        <f t="shared" si="0"/>
        <v>0</v>
      </c>
      <c r="C15">
        <f t="shared" si="1"/>
        <v>1</v>
      </c>
      <c r="D15" s="5" t="s">
        <v>95</v>
      </c>
      <c r="E15" t="s">
        <v>56</v>
      </c>
      <c r="F15" s="5">
        <v>25</v>
      </c>
      <c r="G15" t="s">
        <v>46</v>
      </c>
      <c r="H15">
        <v>500</v>
      </c>
      <c r="I15">
        <v>170000</v>
      </c>
      <c r="J15">
        <v>1300</v>
      </c>
      <c r="K15" s="10">
        <v>1445</v>
      </c>
      <c r="L15" s="12">
        <v>1</v>
      </c>
      <c r="M15" s="5">
        <v>0.25</v>
      </c>
      <c r="N15" s="10">
        <v>2.6</v>
      </c>
      <c r="O15" s="5">
        <v>1.3338E-3</v>
      </c>
      <c r="P15">
        <v>6.9999999999999993E-2</v>
      </c>
      <c r="Q15" s="10">
        <v>1</v>
      </c>
      <c r="R15" s="8">
        <v>9.2368386206896549E-4</v>
      </c>
      <c r="S15">
        <v>0.04</v>
      </c>
      <c r="T15">
        <v>1</v>
      </c>
      <c r="U15" s="9">
        <v>0</v>
      </c>
      <c r="V15">
        <v>0</v>
      </c>
      <c r="W15" s="10">
        <v>1</v>
      </c>
      <c r="X15" s="1">
        <v>138.589</v>
      </c>
      <c r="Y15" s="2">
        <v>42.097000000000001</v>
      </c>
      <c r="Z15" s="13">
        <v>0.5</v>
      </c>
      <c r="AA15" s="2">
        <v>69.294499999999999</v>
      </c>
      <c r="AB15" s="2">
        <v>111.39149999999999</v>
      </c>
      <c r="AC15" s="2">
        <v>236.5</v>
      </c>
      <c r="AD15" s="2"/>
      <c r="AE15" s="7">
        <v>180.68600000000001</v>
      </c>
      <c r="AF15" s="2">
        <v>69.294499999999999</v>
      </c>
      <c r="AG15" s="2">
        <v>111.39149999999999</v>
      </c>
      <c r="AH15" s="2">
        <v>10.102410924413901</v>
      </c>
      <c r="AI15" s="2">
        <v>11.649874953090871</v>
      </c>
      <c r="AJ15" s="2">
        <v>-306.48909796771687</v>
      </c>
      <c r="AK15" s="2">
        <v>-251.9059061406129</v>
      </c>
      <c r="AL15" s="2">
        <v>-306.22760964736233</v>
      </c>
      <c r="AM15" s="2">
        <v>0</v>
      </c>
      <c r="AN15" s="2">
        <v>236.5</v>
      </c>
      <c r="AO15" s="2">
        <v>105.1896123745755</v>
      </c>
      <c r="AP15" s="2">
        <v>182.1876752495927</v>
      </c>
      <c r="AQ15" s="2">
        <v>0</v>
      </c>
      <c r="AR15" s="2">
        <v>0</v>
      </c>
      <c r="AS15" s="2">
        <v>0</v>
      </c>
      <c r="AT15" s="2">
        <v>0</v>
      </c>
      <c r="AU15" s="1">
        <v>180.68600000000001</v>
      </c>
      <c r="AV15" s="2">
        <v>16.666666666666671</v>
      </c>
      <c r="AW15" s="2">
        <v>-443.51393227564648</v>
      </c>
      <c r="AX15" s="2">
        <v>182.1876752495927</v>
      </c>
      <c r="AZ15" s="1">
        <f t="shared" si="37"/>
        <v>69.294499999999999</v>
      </c>
      <c r="BA15" s="2">
        <f t="shared" si="38"/>
        <v>10.102410924413901</v>
      </c>
      <c r="BB15" s="7">
        <f t="shared" si="39"/>
        <v>-306.48909796771687</v>
      </c>
      <c r="BC15" s="1">
        <f t="shared" si="40"/>
        <v>111.39149999999999</v>
      </c>
      <c r="BD15" s="2">
        <f t="shared" si="41"/>
        <v>11.649874953090871</v>
      </c>
      <c r="BE15" s="2">
        <f t="shared" si="42"/>
        <v>-251.9059061406129</v>
      </c>
      <c r="BF15" s="2">
        <f t="shared" si="43"/>
        <v>-306.22760964736233</v>
      </c>
      <c r="BG15" s="7">
        <f t="shared" si="44"/>
        <v>0</v>
      </c>
      <c r="BH15" s="1">
        <f t="shared" si="45"/>
        <v>180.68599999999998</v>
      </c>
      <c r="BI15" s="2">
        <f t="shared" si="46"/>
        <v>21.752285877504772</v>
      </c>
      <c r="BJ15" s="2">
        <f t="shared" si="47"/>
        <v>558.39500410832977</v>
      </c>
      <c r="BK15" s="2">
        <f t="shared" si="48"/>
        <v>306.22760964736233</v>
      </c>
      <c r="BL15" s="7">
        <f t="shared" si="49"/>
        <v>0</v>
      </c>
      <c r="BM15" s="2"/>
      <c r="BN15" s="1">
        <f t="shared" si="61"/>
        <v>180.68600000000001</v>
      </c>
      <c r="BO15" s="4">
        <v>0</v>
      </c>
      <c r="BP15" s="2">
        <f t="shared" si="21"/>
        <v>180.68600000000001</v>
      </c>
      <c r="BQ15" s="2">
        <f t="shared" si="52"/>
        <v>182.1876752495927</v>
      </c>
      <c r="BR15" s="3">
        <f t="shared" si="53"/>
        <v>0.9917575365757566</v>
      </c>
      <c r="BS15" s="1">
        <f t="shared" si="54"/>
        <v>236.5</v>
      </c>
      <c r="BT15" s="2">
        <f t="shared" si="55"/>
        <v>182.1876752495927</v>
      </c>
      <c r="BU15" s="21">
        <f t="shared" si="56"/>
        <v>1.2981119588687913</v>
      </c>
      <c r="BV15" s="2" t="str">
        <f t="shared" si="57"/>
        <v/>
      </c>
      <c r="BW15" s="2" t="str">
        <f t="shared" si="58"/>
        <v/>
      </c>
      <c r="BX15" s="21" t="str">
        <f t="shared" si="59"/>
        <v/>
      </c>
      <c r="BY15" s="15"/>
    </row>
    <row r="16" spans="1:78" x14ac:dyDescent="0.25">
      <c r="A16" t="str">
        <f t="shared" si="22"/>
        <v>Travée</v>
      </c>
      <c r="B16" t="b">
        <f t="shared" si="0"/>
        <v>0</v>
      </c>
      <c r="C16">
        <f t="shared" si="1"/>
        <v>1</v>
      </c>
      <c r="D16" s="5" t="s">
        <v>95</v>
      </c>
      <c r="E16" t="s">
        <v>57</v>
      </c>
      <c r="F16" s="5">
        <v>25</v>
      </c>
      <c r="G16" t="s">
        <v>46</v>
      </c>
      <c r="H16">
        <v>500</v>
      </c>
      <c r="I16">
        <v>170000</v>
      </c>
      <c r="J16">
        <v>1300</v>
      </c>
      <c r="K16" s="10">
        <v>1445</v>
      </c>
      <c r="L16" s="12">
        <v>1</v>
      </c>
      <c r="M16" s="5">
        <v>0.25</v>
      </c>
      <c r="N16" s="10">
        <v>2.6</v>
      </c>
      <c r="O16" s="5">
        <v>3.3280000000000001E-4</v>
      </c>
      <c r="P16">
        <v>0.04</v>
      </c>
      <c r="Q16" s="10">
        <v>1</v>
      </c>
      <c r="R16" s="8">
        <v>0</v>
      </c>
      <c r="S16">
        <v>0</v>
      </c>
      <c r="T16">
        <v>1</v>
      </c>
      <c r="U16" s="9">
        <v>5.7600000000000001E-4</v>
      </c>
      <c r="V16">
        <v>0</v>
      </c>
      <c r="W16" s="10">
        <v>1</v>
      </c>
      <c r="X16" s="1">
        <v>55.505920000000003</v>
      </c>
      <c r="Y16" s="2">
        <v>16.86016</v>
      </c>
      <c r="Z16" s="13">
        <v>0.5</v>
      </c>
      <c r="AA16" s="2">
        <v>27.752960000000002</v>
      </c>
      <c r="AB16" s="2">
        <v>44.613120000000002</v>
      </c>
      <c r="AC16" s="2">
        <v>94.72</v>
      </c>
      <c r="AD16" s="2"/>
      <c r="AE16" s="7">
        <v>72.366079999999997</v>
      </c>
      <c r="AF16" s="2">
        <v>27.752960000000002</v>
      </c>
      <c r="AG16" s="2">
        <v>44.613120000000002</v>
      </c>
      <c r="AH16" s="2">
        <v>5.9638000680862024</v>
      </c>
      <c r="AI16" s="2">
        <v>5.2939152909966802</v>
      </c>
      <c r="AJ16" s="2">
        <v>-408.78880477619032</v>
      </c>
      <c r="AK16" s="2">
        <v>-212.16028361002719</v>
      </c>
      <c r="AL16" s="2">
        <v>0</v>
      </c>
      <c r="AM16" s="2">
        <v>-220.13215308156381</v>
      </c>
      <c r="AN16" s="2">
        <v>94.72</v>
      </c>
      <c r="AO16" s="2">
        <v>32.175182924605153</v>
      </c>
      <c r="AP16" s="2">
        <v>224.80894309617941</v>
      </c>
      <c r="AQ16" s="2">
        <v>7.8128588359581572</v>
      </c>
      <c r="AR16" s="2">
        <v>-434.88910292222101</v>
      </c>
      <c r="AS16" s="2">
        <v>0</v>
      </c>
      <c r="AT16" s="2">
        <v>-487.153063618293</v>
      </c>
      <c r="AU16" s="1">
        <v>72.366079999999997</v>
      </c>
      <c r="AV16" s="2">
        <v>0</v>
      </c>
      <c r="AW16" s="2">
        <v>0</v>
      </c>
      <c r="AX16" s="2">
        <v>32.175182924605153</v>
      </c>
      <c r="AZ16" s="1">
        <f t="shared" si="37"/>
        <v>27.752960000000002</v>
      </c>
      <c r="BA16" s="2">
        <f t="shared" si="38"/>
        <v>5.9638000680862024</v>
      </c>
      <c r="BB16" s="7">
        <f t="shared" si="39"/>
        <v>-408.78880477619032</v>
      </c>
      <c r="BC16" s="1">
        <f t="shared" si="40"/>
        <v>44.613120000000002</v>
      </c>
      <c r="BD16" s="2">
        <f t="shared" si="41"/>
        <v>5.2939152909966802</v>
      </c>
      <c r="BE16" s="2">
        <f t="shared" si="42"/>
        <v>-212.16028361002719</v>
      </c>
      <c r="BF16" s="2">
        <f t="shared" si="43"/>
        <v>0</v>
      </c>
      <c r="BG16" s="7">
        <f t="shared" si="44"/>
        <v>-220.13215308156381</v>
      </c>
      <c r="BH16" s="1">
        <f t="shared" si="45"/>
        <v>72.366080000000011</v>
      </c>
      <c r="BI16" s="2">
        <f t="shared" si="46"/>
        <v>11.257715359082884</v>
      </c>
      <c r="BJ16" s="2">
        <f t="shared" si="47"/>
        <v>620.94908838621745</v>
      </c>
      <c r="BK16" s="2">
        <f t="shared" si="48"/>
        <v>0</v>
      </c>
      <c r="BL16" s="7">
        <f t="shared" si="49"/>
        <v>-220.13215308156381</v>
      </c>
      <c r="BM16" s="2"/>
      <c r="BN16" s="1">
        <f t="shared" si="61"/>
        <v>72.366079999999997</v>
      </c>
      <c r="BO16" s="4" t="str">
        <f t="shared" ref="BO16" si="66">IF(ISNUMBER(SEARCH("Appui",E16)),0,"0")</f>
        <v>0</v>
      </c>
      <c r="BP16" s="2">
        <f t="shared" si="21"/>
        <v>72.366079999999997</v>
      </c>
      <c r="BQ16" s="2">
        <f t="shared" si="52"/>
        <v>32.175182924605153</v>
      </c>
      <c r="BR16" s="3">
        <f t="shared" si="53"/>
        <v>2.2491272285715547</v>
      </c>
      <c r="BS16" s="1">
        <f t="shared" si="54"/>
        <v>94.72</v>
      </c>
      <c r="BT16" s="2">
        <f t="shared" si="55"/>
        <v>224.80894309617941</v>
      </c>
      <c r="BU16" s="21">
        <f t="shared" si="56"/>
        <v>0.42133555140409246</v>
      </c>
      <c r="BV16" s="2">
        <f t="shared" si="57"/>
        <v>319.12</v>
      </c>
      <c r="BW16" s="2">
        <f t="shared" si="58"/>
        <v>431.05574489717037</v>
      </c>
      <c r="BX16" s="21">
        <f t="shared" si="59"/>
        <v>1.3507638032626297</v>
      </c>
      <c r="BY16" s="10" t="str">
        <f t="shared" ref="BY16" si="67">IF(C14&lt;C16,"Rive",IF(C18&gt;C16,"Rive","Inter"))</f>
        <v>Inter</v>
      </c>
    </row>
    <row r="17" spans="1:77" x14ac:dyDescent="0.25">
      <c r="A17" t="str">
        <f t="shared" si="22"/>
        <v>Appui</v>
      </c>
      <c r="B17" t="b">
        <f t="shared" si="0"/>
        <v>0</v>
      </c>
      <c r="C17">
        <f t="shared" si="1"/>
        <v>1</v>
      </c>
      <c r="D17" s="5" t="s">
        <v>95</v>
      </c>
      <c r="E17" t="s">
        <v>97</v>
      </c>
      <c r="F17" s="5">
        <v>25</v>
      </c>
      <c r="G17" t="s">
        <v>46</v>
      </c>
      <c r="H17">
        <v>500</v>
      </c>
      <c r="I17">
        <v>170000</v>
      </c>
      <c r="J17">
        <v>1300</v>
      </c>
      <c r="K17" s="10">
        <v>1445</v>
      </c>
      <c r="L17" s="12">
        <v>1</v>
      </c>
      <c r="M17" s="5">
        <v>0.25</v>
      </c>
      <c r="N17" s="10">
        <v>2.6</v>
      </c>
      <c r="O17" s="5">
        <v>2.0999999999999999E-3</v>
      </c>
      <c r="P17">
        <v>9.5000000000000001E-2</v>
      </c>
      <c r="Q17" s="10">
        <v>1</v>
      </c>
      <c r="R17" s="8">
        <v>1.206E-3</v>
      </c>
      <c r="S17">
        <v>0.04</v>
      </c>
      <c r="T17">
        <v>1</v>
      </c>
      <c r="U17" s="9">
        <v>0</v>
      </c>
      <c r="V17">
        <v>0</v>
      </c>
      <c r="W17" s="10">
        <v>1</v>
      </c>
      <c r="X17" s="1">
        <v>124.40779999999999</v>
      </c>
      <c r="Y17" s="2">
        <v>37.789400000000001</v>
      </c>
      <c r="Z17" s="13">
        <v>0.5</v>
      </c>
      <c r="AA17" s="2">
        <v>62.203899999999997</v>
      </c>
      <c r="AB17" s="2">
        <v>99.993300000000005</v>
      </c>
      <c r="AC17" s="2">
        <v>212.3</v>
      </c>
      <c r="AD17" s="2"/>
      <c r="AE17" s="7">
        <v>162.19720000000001</v>
      </c>
      <c r="AF17" s="2">
        <v>62.203899999999997</v>
      </c>
      <c r="AG17" s="2">
        <v>99.993300000000005</v>
      </c>
      <c r="AH17" s="2">
        <v>9.5250639785978457</v>
      </c>
      <c r="AI17" s="2">
        <v>10.18831905722889</v>
      </c>
      <c r="AJ17" s="2">
        <v>-206.86853380715121</v>
      </c>
      <c r="AK17" s="2">
        <v>-154.72411941307499</v>
      </c>
      <c r="AL17" s="2">
        <v>-232.59758381933619</v>
      </c>
      <c r="AM17" s="2">
        <v>0</v>
      </c>
      <c r="AN17" s="2">
        <v>212.3</v>
      </c>
      <c r="AO17" s="2">
        <v>134.58966031498949</v>
      </c>
      <c r="AP17" s="2">
        <v>230.30592835238929</v>
      </c>
      <c r="AQ17" s="2">
        <v>14.81046731881241</v>
      </c>
      <c r="AR17" s="2">
        <v>-406.35000505402598</v>
      </c>
      <c r="AS17" s="2">
        <v>-435.54742418853999</v>
      </c>
      <c r="AT17" s="2">
        <v>0</v>
      </c>
      <c r="AU17" s="1">
        <v>162.19720000000001</v>
      </c>
      <c r="AV17" s="2">
        <v>11.345442646926831</v>
      </c>
      <c r="AW17" s="2">
        <v>-252.67194204761429</v>
      </c>
      <c r="AX17" s="2">
        <v>230.30592835238929</v>
      </c>
      <c r="AZ17" s="1">
        <f t="shared" si="37"/>
        <v>62.203899999999997</v>
      </c>
      <c r="BA17" s="2">
        <f t="shared" si="38"/>
        <v>9.5250639785978457</v>
      </c>
      <c r="BB17" s="7">
        <f t="shared" si="39"/>
        <v>-206.86853380715121</v>
      </c>
      <c r="BC17" s="1">
        <f t="shared" si="40"/>
        <v>99.993300000000005</v>
      </c>
      <c r="BD17" s="2">
        <f t="shared" si="41"/>
        <v>10.18831905722889</v>
      </c>
      <c r="BE17" s="2">
        <f t="shared" si="42"/>
        <v>-154.72411941307499</v>
      </c>
      <c r="BF17" s="2">
        <f t="shared" si="43"/>
        <v>-232.59758381933619</v>
      </c>
      <c r="BG17" s="7">
        <f t="shared" si="44"/>
        <v>0</v>
      </c>
      <c r="BH17" s="1">
        <f t="shared" si="45"/>
        <v>162.19720000000001</v>
      </c>
      <c r="BI17" s="2">
        <f t="shared" si="46"/>
        <v>19.713383035826737</v>
      </c>
      <c r="BJ17" s="2">
        <f t="shared" si="47"/>
        <v>361.59265322022623</v>
      </c>
      <c r="BK17" s="2">
        <f t="shared" si="48"/>
        <v>232.59758381933619</v>
      </c>
      <c r="BL17" s="7">
        <f t="shared" si="49"/>
        <v>0</v>
      </c>
      <c r="BM17" s="2"/>
      <c r="BN17" s="1">
        <f t="shared" si="61"/>
        <v>162.19720000000001</v>
      </c>
      <c r="BO17" s="4">
        <v>0</v>
      </c>
      <c r="BP17" s="2">
        <f t="shared" si="21"/>
        <v>162.19720000000001</v>
      </c>
      <c r="BQ17" s="2">
        <f t="shared" si="52"/>
        <v>230.30592835238929</v>
      </c>
      <c r="BR17" s="3">
        <f t="shared" si="53"/>
        <v>0.7042684535320487</v>
      </c>
      <c r="BS17" s="1">
        <f t="shared" si="54"/>
        <v>212.3</v>
      </c>
      <c r="BT17" s="2">
        <f t="shared" si="55"/>
        <v>230.30592835238929</v>
      </c>
      <c r="BU17" s="21">
        <f t="shared" si="56"/>
        <v>0.92181734755503753</v>
      </c>
      <c r="BV17" s="2" t="str">
        <f t="shared" si="57"/>
        <v/>
      </c>
      <c r="BW17" s="2" t="str">
        <f t="shared" si="58"/>
        <v/>
      </c>
      <c r="BX17" s="21" t="str">
        <f t="shared" si="59"/>
        <v/>
      </c>
      <c r="BY17" s="15"/>
    </row>
    <row r="18" spans="1:77" x14ac:dyDescent="0.25">
      <c r="A18" t="str">
        <f t="shared" si="22"/>
        <v>Travée</v>
      </c>
      <c r="B18" t="b">
        <f t="shared" si="0"/>
        <v>0</v>
      </c>
      <c r="C18">
        <f t="shared" si="1"/>
        <v>1</v>
      </c>
      <c r="D18" s="5" t="s">
        <v>95</v>
      </c>
      <c r="E18" t="s">
        <v>98</v>
      </c>
      <c r="F18" s="5">
        <v>25</v>
      </c>
      <c r="G18" t="s">
        <v>46</v>
      </c>
      <c r="H18">
        <v>500</v>
      </c>
      <c r="I18">
        <v>170000</v>
      </c>
      <c r="J18">
        <v>1300</v>
      </c>
      <c r="K18" s="10">
        <v>1445</v>
      </c>
      <c r="L18" s="12">
        <v>1</v>
      </c>
      <c r="M18" s="5">
        <v>0.25</v>
      </c>
      <c r="N18" s="10">
        <v>2.6</v>
      </c>
      <c r="O18" s="5">
        <v>1E-3</v>
      </c>
      <c r="P18">
        <v>0.04</v>
      </c>
      <c r="Q18" s="10">
        <v>1</v>
      </c>
      <c r="R18" s="8">
        <v>0</v>
      </c>
      <c r="S18">
        <v>0</v>
      </c>
      <c r="T18">
        <v>1</v>
      </c>
      <c r="U18" s="9">
        <v>3.8400000000000001E-4</v>
      </c>
      <c r="V18">
        <v>0</v>
      </c>
      <c r="W18" s="10">
        <v>1</v>
      </c>
      <c r="X18" s="1">
        <v>48.755200000000002</v>
      </c>
      <c r="Y18" s="2">
        <v>14.8096</v>
      </c>
      <c r="Z18" s="13">
        <v>0.5</v>
      </c>
      <c r="AA18" s="2">
        <v>24.377600000000001</v>
      </c>
      <c r="AB18" s="2">
        <v>39.187199999999997</v>
      </c>
      <c r="AC18" s="2">
        <v>83.2</v>
      </c>
      <c r="AD18" s="2"/>
      <c r="AE18" s="7">
        <v>63.564800000000012</v>
      </c>
      <c r="AF18" s="2">
        <v>24.377600000000001</v>
      </c>
      <c r="AG18" s="2">
        <v>39.187199999999997</v>
      </c>
      <c r="AH18" s="2">
        <v>3.1590237918949078</v>
      </c>
      <c r="AI18" s="2">
        <v>4.1472820511297712</v>
      </c>
      <c r="AJ18" s="2">
        <v>-121.9098502908159</v>
      </c>
      <c r="AK18" s="2">
        <v>-133.35019877870579</v>
      </c>
      <c r="AL18" s="2">
        <v>0</v>
      </c>
      <c r="AM18" s="2">
        <v>-139.20424611340209</v>
      </c>
      <c r="AN18" s="2">
        <v>83.2</v>
      </c>
      <c r="AO18" s="2">
        <v>95.174094445131004</v>
      </c>
      <c r="AP18" s="2">
        <v>216.49184973899051</v>
      </c>
      <c r="AQ18" s="2">
        <v>6.3033159996125638</v>
      </c>
      <c r="AR18" s="2">
        <v>-287.97113576684131</v>
      </c>
      <c r="AS18" s="2">
        <v>0</v>
      </c>
      <c r="AT18" s="2">
        <v>-305.09368154188411</v>
      </c>
      <c r="AU18" s="1">
        <v>63.564800000000012</v>
      </c>
      <c r="AV18" s="2">
        <v>5.890084890658863</v>
      </c>
      <c r="AW18" s="2">
        <v>-324.22269241022019</v>
      </c>
      <c r="AX18" s="2">
        <v>95.174094445131004</v>
      </c>
      <c r="AZ18" s="1">
        <f t="shared" si="37"/>
        <v>24.377600000000001</v>
      </c>
      <c r="BA18" s="2">
        <f t="shared" si="38"/>
        <v>3.1590237918949078</v>
      </c>
      <c r="BB18" s="7">
        <f t="shared" si="39"/>
        <v>-121.9098502908159</v>
      </c>
      <c r="BC18" s="1">
        <f t="shared" si="40"/>
        <v>39.187199999999997</v>
      </c>
      <c r="BD18" s="2">
        <f t="shared" si="41"/>
        <v>4.1472820511297712</v>
      </c>
      <c r="BE18" s="2">
        <f t="shared" si="42"/>
        <v>-133.35019877870579</v>
      </c>
      <c r="BF18" s="2">
        <f t="shared" si="43"/>
        <v>0</v>
      </c>
      <c r="BG18" s="7">
        <f t="shared" si="44"/>
        <v>-139.20424611340209</v>
      </c>
      <c r="BH18" s="1">
        <f t="shared" si="45"/>
        <v>63.564799999999998</v>
      </c>
      <c r="BI18" s="2">
        <f t="shared" si="46"/>
        <v>7.3063058430246794</v>
      </c>
      <c r="BJ18" s="2">
        <f t="shared" si="47"/>
        <v>255.2600490695217</v>
      </c>
      <c r="BK18" s="2">
        <f t="shared" si="48"/>
        <v>0</v>
      </c>
      <c r="BL18" s="7">
        <f t="shared" si="49"/>
        <v>-139.20424611340209</v>
      </c>
      <c r="BM18" s="2"/>
      <c r="BN18" s="1">
        <f t="shared" si="61"/>
        <v>63.564800000000012</v>
      </c>
      <c r="BO18" s="4" t="str">
        <f t="shared" ref="BO18" si="68">IF(ISNUMBER(SEARCH("Appui",E18)),0,"0")</f>
        <v>0</v>
      </c>
      <c r="BP18" s="2">
        <f t="shared" si="21"/>
        <v>63.564800000000012</v>
      </c>
      <c r="BQ18" s="2">
        <f t="shared" si="52"/>
        <v>95.174094445131004</v>
      </c>
      <c r="BR18" s="3">
        <f t="shared" si="53"/>
        <v>0.66787922039695236</v>
      </c>
      <c r="BS18" s="1">
        <f t="shared" si="54"/>
        <v>83.2</v>
      </c>
      <c r="BT18" s="2">
        <f t="shared" si="55"/>
        <v>216.49184973899051</v>
      </c>
      <c r="BU18" s="21">
        <f t="shared" si="56"/>
        <v>0.38431007957255009</v>
      </c>
      <c r="BV18" s="2">
        <f t="shared" si="57"/>
        <v>293.3</v>
      </c>
      <c r="BW18" s="2">
        <f t="shared" si="58"/>
        <v>389.13235272864802</v>
      </c>
      <c r="BX18" s="21">
        <f t="shared" si="59"/>
        <v>1.3267383318399182</v>
      </c>
      <c r="BY18" s="10" t="str">
        <f t="shared" ref="BY18" si="69">IF(C16&lt;C18,"Rive",IF(C20&gt;C18,"Rive","Inter"))</f>
        <v>Inter</v>
      </c>
    </row>
    <row r="19" spans="1:77" x14ac:dyDescent="0.25">
      <c r="A19" t="str">
        <f t="shared" si="22"/>
        <v>Appui</v>
      </c>
      <c r="B19" t="b">
        <f t="shared" si="0"/>
        <v>0</v>
      </c>
      <c r="C19">
        <f t="shared" si="1"/>
        <v>1</v>
      </c>
      <c r="D19" s="5" t="s">
        <v>95</v>
      </c>
      <c r="E19" t="s">
        <v>99</v>
      </c>
      <c r="F19" s="5">
        <v>25</v>
      </c>
      <c r="G19" t="s">
        <v>46</v>
      </c>
      <c r="H19">
        <v>500</v>
      </c>
      <c r="I19">
        <v>170000</v>
      </c>
      <c r="J19">
        <v>1300</v>
      </c>
      <c r="K19" s="10">
        <v>1445</v>
      </c>
      <c r="L19" s="12">
        <v>1</v>
      </c>
      <c r="M19" s="5">
        <v>0.25</v>
      </c>
      <c r="N19" s="10">
        <v>2.6</v>
      </c>
      <c r="O19" s="5">
        <v>1.1000000000000001E-3</v>
      </c>
      <c r="P19">
        <v>6.9999999999999993E-2</v>
      </c>
      <c r="Q19" s="10">
        <v>1</v>
      </c>
      <c r="R19" s="8">
        <v>3.0789462068965518E-4</v>
      </c>
      <c r="S19">
        <v>0.04</v>
      </c>
      <c r="T19">
        <v>1</v>
      </c>
      <c r="U19" s="9">
        <v>0</v>
      </c>
      <c r="V19">
        <v>0</v>
      </c>
      <c r="W19" s="10">
        <v>1</v>
      </c>
      <c r="X19" s="1">
        <v>121.82940000000001</v>
      </c>
      <c r="Y19" s="2">
        <v>37.0062</v>
      </c>
      <c r="Z19" s="13">
        <v>0.5</v>
      </c>
      <c r="AA19" s="2">
        <v>60.914700000000003</v>
      </c>
      <c r="AB19" s="2">
        <v>97.920899999999989</v>
      </c>
      <c r="AC19" s="2">
        <v>207.9</v>
      </c>
      <c r="AD19" s="2"/>
      <c r="AE19" s="7">
        <v>158.8356</v>
      </c>
      <c r="AF19" s="2">
        <v>60.914700000000003</v>
      </c>
      <c r="AG19" s="2">
        <v>97.920899999999989</v>
      </c>
      <c r="AH19" s="2">
        <v>9.6508095917026573</v>
      </c>
      <c r="AI19" s="2">
        <v>13.13470632671633</v>
      </c>
      <c r="AJ19" s="2">
        <v>-325.03282331834077</v>
      </c>
      <c r="AK19" s="2">
        <v>-376.90358646848478</v>
      </c>
      <c r="AL19" s="2">
        <v>-453.63069456436392</v>
      </c>
      <c r="AM19" s="2">
        <v>0</v>
      </c>
      <c r="AN19" s="2">
        <v>207.9</v>
      </c>
      <c r="AO19" s="2">
        <v>88.500029698973648</v>
      </c>
      <c r="AP19" s="2">
        <v>114.9750776269257</v>
      </c>
      <c r="AQ19" s="2">
        <v>0</v>
      </c>
      <c r="AR19" s="2">
        <v>0</v>
      </c>
      <c r="AS19" s="2">
        <v>0</v>
      </c>
      <c r="AT19" s="2">
        <v>0</v>
      </c>
      <c r="AU19" s="1">
        <v>158.8356</v>
      </c>
      <c r="AV19" s="2">
        <v>0</v>
      </c>
      <c r="AW19" s="2">
        <v>0</v>
      </c>
      <c r="AX19" s="2">
        <v>114.9750776269257</v>
      </c>
      <c r="AZ19" s="1">
        <f t="shared" si="37"/>
        <v>60.914700000000003</v>
      </c>
      <c r="BA19" s="2">
        <f t="shared" si="38"/>
        <v>9.6508095917026573</v>
      </c>
      <c r="BB19" s="7">
        <f t="shared" si="39"/>
        <v>-325.03282331834077</v>
      </c>
      <c r="BC19" s="1">
        <f t="shared" si="40"/>
        <v>97.920899999999989</v>
      </c>
      <c r="BD19" s="2">
        <f t="shared" si="41"/>
        <v>13.13470632671633</v>
      </c>
      <c r="BE19" s="2">
        <f t="shared" si="42"/>
        <v>-376.90358646848478</v>
      </c>
      <c r="BF19" s="2">
        <f t="shared" si="43"/>
        <v>-453.63069456436392</v>
      </c>
      <c r="BG19" s="7">
        <f t="shared" si="44"/>
        <v>0</v>
      </c>
      <c r="BH19" s="1">
        <f t="shared" si="45"/>
        <v>158.8356</v>
      </c>
      <c r="BI19" s="2">
        <f t="shared" si="46"/>
        <v>22.785515918418987</v>
      </c>
      <c r="BJ19" s="2">
        <f t="shared" si="47"/>
        <v>701.93640978682561</v>
      </c>
      <c r="BK19" s="2">
        <f t="shared" si="48"/>
        <v>453.63069456436392</v>
      </c>
      <c r="BL19" s="7">
        <f t="shared" si="49"/>
        <v>0</v>
      </c>
      <c r="BM19" s="2"/>
      <c r="BN19" s="1">
        <f t="shared" si="61"/>
        <v>158.8356</v>
      </c>
      <c r="BO19" s="4">
        <v>0</v>
      </c>
      <c r="BP19" s="2">
        <f t="shared" si="21"/>
        <v>158.8356</v>
      </c>
      <c r="BQ19" s="2">
        <f t="shared" si="52"/>
        <v>114.9750776269257</v>
      </c>
      <c r="BR19" s="3">
        <f t="shared" si="53"/>
        <v>1.3814785193308947</v>
      </c>
      <c r="BS19" s="1">
        <f t="shared" si="54"/>
        <v>207.9</v>
      </c>
      <c r="BT19" s="2">
        <f t="shared" si="55"/>
        <v>114.9750776269257</v>
      </c>
      <c r="BU19" s="21">
        <f t="shared" si="56"/>
        <v>1.808217957239391</v>
      </c>
      <c r="BV19" s="2" t="str">
        <f t="shared" si="57"/>
        <v/>
      </c>
      <c r="BW19" s="2" t="str">
        <f t="shared" si="58"/>
        <v/>
      </c>
      <c r="BX19" s="21" t="str">
        <f t="shared" si="59"/>
        <v/>
      </c>
      <c r="BY19" s="15"/>
    </row>
    <row r="20" spans="1:77" x14ac:dyDescent="0.25">
      <c r="A20" t="str">
        <f t="shared" si="22"/>
        <v>Travée</v>
      </c>
      <c r="B20" t="b">
        <f t="shared" si="0"/>
        <v>0</v>
      </c>
      <c r="C20">
        <f t="shared" si="1"/>
        <v>1</v>
      </c>
      <c r="D20" s="5" t="s">
        <v>95</v>
      </c>
      <c r="E20" t="s">
        <v>100</v>
      </c>
      <c r="F20" s="5">
        <v>25</v>
      </c>
      <c r="G20" t="s">
        <v>46</v>
      </c>
      <c r="H20">
        <v>500</v>
      </c>
      <c r="I20">
        <v>170000</v>
      </c>
      <c r="J20">
        <v>1300</v>
      </c>
      <c r="K20" s="10">
        <v>1445</v>
      </c>
      <c r="L20" s="12">
        <v>1</v>
      </c>
      <c r="M20" s="5">
        <v>0.25</v>
      </c>
      <c r="N20" s="10">
        <v>2.6</v>
      </c>
      <c r="O20" s="5">
        <v>1E-3</v>
      </c>
      <c r="P20">
        <v>0.04</v>
      </c>
      <c r="Q20" s="10">
        <v>1</v>
      </c>
      <c r="R20" s="8">
        <v>0</v>
      </c>
      <c r="S20">
        <v>0</v>
      </c>
      <c r="T20">
        <v>1</v>
      </c>
      <c r="U20" s="9">
        <v>1.92E-4</v>
      </c>
      <c r="V20">
        <v>0</v>
      </c>
      <c r="W20" s="10">
        <v>1</v>
      </c>
      <c r="X20" s="1">
        <v>57.756160000000001</v>
      </c>
      <c r="Y20" s="2">
        <v>17.543679999999998</v>
      </c>
      <c r="Z20" s="13">
        <v>0.5</v>
      </c>
      <c r="AA20" s="2">
        <v>28.878080000000001</v>
      </c>
      <c r="AB20" s="2">
        <v>46.421759999999999</v>
      </c>
      <c r="AC20" s="2">
        <v>98.56</v>
      </c>
      <c r="AD20" s="2"/>
      <c r="AE20" s="7">
        <v>75.299840000000003</v>
      </c>
      <c r="AF20" s="2">
        <v>28.878080000000001</v>
      </c>
      <c r="AG20" s="2">
        <v>46.421759999999999</v>
      </c>
      <c r="AH20" s="2">
        <v>3.742228184244738</v>
      </c>
      <c r="AI20" s="2">
        <v>5.3883637061180396</v>
      </c>
      <c r="AJ20" s="2">
        <v>-144.41628419065881</v>
      </c>
      <c r="AK20" s="2">
        <v>-187.9217849920299</v>
      </c>
      <c r="AL20" s="2">
        <v>0</v>
      </c>
      <c r="AM20" s="2">
        <v>-195.7022653660182</v>
      </c>
      <c r="AN20" s="2">
        <v>98.56</v>
      </c>
      <c r="AO20" s="2">
        <v>95.174094445131004</v>
      </c>
      <c r="AP20" s="2">
        <v>153.02160890137071</v>
      </c>
      <c r="AQ20" s="2">
        <v>7.9543499083012534</v>
      </c>
      <c r="AR20" s="2">
        <v>-407.09147431379921</v>
      </c>
      <c r="AS20" s="2">
        <v>0</v>
      </c>
      <c r="AT20" s="2">
        <v>-429.87640089441362</v>
      </c>
      <c r="AU20" s="1">
        <v>75.299840000000003</v>
      </c>
      <c r="AV20" s="2">
        <v>6.8875738813694269</v>
      </c>
      <c r="AW20" s="2">
        <v>-384.32767746241842</v>
      </c>
      <c r="AX20" s="2">
        <v>95.174094445131004</v>
      </c>
      <c r="AZ20" s="1">
        <f t="shared" si="37"/>
        <v>28.878080000000001</v>
      </c>
      <c r="BA20" s="2">
        <f t="shared" si="38"/>
        <v>3.742228184244738</v>
      </c>
      <c r="BB20" s="7">
        <f t="shared" si="39"/>
        <v>-144.41628419065881</v>
      </c>
      <c r="BC20" s="1">
        <f t="shared" si="40"/>
        <v>46.421759999999999</v>
      </c>
      <c r="BD20" s="2">
        <f t="shared" si="41"/>
        <v>5.3883637061180396</v>
      </c>
      <c r="BE20" s="2">
        <f t="shared" si="42"/>
        <v>-187.9217849920299</v>
      </c>
      <c r="BF20" s="2">
        <f t="shared" si="43"/>
        <v>0</v>
      </c>
      <c r="BG20" s="7">
        <f t="shared" si="44"/>
        <v>-195.7022653660182</v>
      </c>
      <c r="BH20" s="1">
        <f t="shared" si="45"/>
        <v>75.299840000000003</v>
      </c>
      <c r="BI20" s="2">
        <f t="shared" si="46"/>
        <v>9.1305918903627781</v>
      </c>
      <c r="BJ20" s="2">
        <f t="shared" si="47"/>
        <v>332.33806918268874</v>
      </c>
      <c r="BK20" s="2">
        <f t="shared" si="48"/>
        <v>0</v>
      </c>
      <c r="BL20" s="7">
        <f t="shared" si="49"/>
        <v>-195.7022653660182</v>
      </c>
      <c r="BM20" s="2"/>
      <c r="BN20" s="1">
        <f t="shared" si="61"/>
        <v>75.299840000000003</v>
      </c>
      <c r="BO20" s="4" t="str">
        <f t="shared" ref="BO20" si="70">IF(ISNUMBER(SEARCH("Appui",E20)),0,"0")</f>
        <v>0</v>
      </c>
      <c r="BP20" s="2">
        <f t="shared" si="21"/>
        <v>75.299840000000003</v>
      </c>
      <c r="BQ20" s="2">
        <f t="shared" si="52"/>
        <v>95.174094445131004</v>
      </c>
      <c r="BR20" s="3">
        <f t="shared" si="53"/>
        <v>0.7911799995471589</v>
      </c>
      <c r="BS20" s="1">
        <f t="shared" si="54"/>
        <v>98.56</v>
      </c>
      <c r="BT20" s="2">
        <f t="shared" si="55"/>
        <v>153.02160890137071</v>
      </c>
      <c r="BU20" s="21">
        <f t="shared" si="56"/>
        <v>0.64409203842266705</v>
      </c>
      <c r="BV20" s="2">
        <f t="shared" si="57"/>
        <v>202.51</v>
      </c>
      <c r="BW20" s="2">
        <f t="shared" si="58"/>
        <v>210.50914771483355</v>
      </c>
      <c r="BX20" s="21">
        <f t="shared" si="59"/>
        <v>1.0395000134059234</v>
      </c>
      <c r="BY20" s="10" t="str">
        <f t="shared" ref="BY20" si="71">IF(C18&lt;C20,"Rive",IF(C22&gt;C20,"Rive","Inter"))</f>
        <v>Rive</v>
      </c>
    </row>
    <row r="21" spans="1:77" x14ac:dyDescent="0.25">
      <c r="A21" t="str">
        <f t="shared" si="22"/>
        <v/>
      </c>
      <c r="B21" t="b">
        <f t="shared" si="0"/>
        <v>0</v>
      </c>
      <c r="C21">
        <f t="shared" si="1"/>
        <v>1</v>
      </c>
      <c r="D21" s="5" t="s">
        <v>95</v>
      </c>
      <c r="F21" s="5"/>
      <c r="K21" s="10"/>
      <c r="L21" s="12"/>
      <c r="M21" s="5"/>
      <c r="N21" s="10"/>
      <c r="O21" s="5"/>
      <c r="Q21" s="10"/>
      <c r="R21" s="8"/>
      <c r="U21" s="9"/>
      <c r="W21" s="10"/>
      <c r="X21" s="1"/>
      <c r="Y21" s="2"/>
      <c r="Z21" s="13"/>
      <c r="AA21" s="2"/>
      <c r="AB21" s="2"/>
      <c r="AC21" s="2"/>
      <c r="AD21" s="2"/>
      <c r="AE21" s="7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"/>
      <c r="AV21" s="2"/>
      <c r="AW21" s="2"/>
      <c r="AX21" s="2"/>
      <c r="AZ21" s="1"/>
      <c r="BA21" s="2"/>
      <c r="BB21" s="7"/>
      <c r="BC21" s="1"/>
      <c r="BD21" s="2"/>
      <c r="BE21" s="2"/>
      <c r="BF21" s="2"/>
      <c r="BG21" s="7"/>
      <c r="BH21" s="1"/>
      <c r="BI21" s="2"/>
      <c r="BJ21" s="2"/>
      <c r="BK21" s="2"/>
      <c r="BL21" s="7"/>
      <c r="BM21" s="2"/>
      <c r="BN21" s="1">
        <f t="shared" si="61"/>
        <v>0</v>
      </c>
      <c r="BO21" s="4">
        <v>0</v>
      </c>
      <c r="BP21" s="2">
        <f t="shared" si="21"/>
        <v>0</v>
      </c>
      <c r="BQ21" s="2">
        <f t="shared" si="52"/>
        <v>0</v>
      </c>
      <c r="BR21" s="3" t="e">
        <f t="shared" si="53"/>
        <v>#DIV/0!</v>
      </c>
      <c r="BS21" s="1">
        <f t="shared" si="54"/>
        <v>0</v>
      </c>
      <c r="BT21" s="2">
        <f t="shared" si="55"/>
        <v>0</v>
      </c>
      <c r="BU21" s="21" t="e">
        <f t="shared" si="56"/>
        <v>#DIV/0!</v>
      </c>
      <c r="BV21" s="2" t="str">
        <f t="shared" si="57"/>
        <v/>
      </c>
      <c r="BW21" s="2" t="str">
        <f t="shared" si="58"/>
        <v/>
      </c>
      <c r="BX21" s="21" t="str">
        <f t="shared" si="59"/>
        <v/>
      </c>
      <c r="BY21" s="15"/>
    </row>
    <row r="22" spans="1:77" x14ac:dyDescent="0.25">
      <c r="A22" t="str">
        <f t="shared" si="22"/>
        <v>Travée</v>
      </c>
      <c r="B22" t="b">
        <f t="shared" si="0"/>
        <v>1</v>
      </c>
      <c r="C22">
        <f t="shared" si="1"/>
        <v>2</v>
      </c>
      <c r="D22" s="5" t="s">
        <v>96</v>
      </c>
      <c r="E22" t="s">
        <v>45</v>
      </c>
      <c r="F22" s="5">
        <v>25</v>
      </c>
      <c r="G22" t="s">
        <v>46</v>
      </c>
      <c r="H22">
        <v>500</v>
      </c>
      <c r="I22">
        <v>170000</v>
      </c>
      <c r="J22">
        <v>1300</v>
      </c>
      <c r="K22" s="10">
        <v>1445</v>
      </c>
      <c r="L22" s="12">
        <v>1</v>
      </c>
      <c r="M22" s="5">
        <v>0.22</v>
      </c>
      <c r="N22" s="10">
        <v>2.33</v>
      </c>
      <c r="O22" s="5">
        <v>7.4800000000000008E-4</v>
      </c>
      <c r="P22">
        <v>0.04</v>
      </c>
      <c r="Q22" s="10">
        <v>1</v>
      </c>
      <c r="R22" s="8">
        <v>0</v>
      </c>
      <c r="S22">
        <v>0</v>
      </c>
      <c r="T22">
        <v>1</v>
      </c>
      <c r="U22" s="9">
        <v>1.92E-4</v>
      </c>
      <c r="V22">
        <v>0</v>
      </c>
      <c r="W22" s="10">
        <v>1</v>
      </c>
      <c r="X22" s="1">
        <v>51.755519999999997</v>
      </c>
      <c r="Y22" s="2">
        <v>15.72096</v>
      </c>
      <c r="Z22" s="13">
        <v>0</v>
      </c>
      <c r="AA22" s="2">
        <v>51.755519999999997</v>
      </c>
      <c r="AB22" s="2">
        <v>15.72096</v>
      </c>
      <c r="AC22" s="2">
        <v>88.320000000000007</v>
      </c>
      <c r="AD22" s="2"/>
      <c r="AE22" s="7">
        <v>67.476480000000009</v>
      </c>
      <c r="AF22" s="2">
        <v>51.755519999999997</v>
      </c>
      <c r="AG22" s="2">
        <v>15.72096</v>
      </c>
      <c r="AH22" s="2">
        <v>10.308426007891789</v>
      </c>
      <c r="AI22" s="2">
        <v>2.684847167980704</v>
      </c>
      <c r="AJ22" s="2">
        <v>-403.55244354086909</v>
      </c>
      <c r="AK22" s="2">
        <v>-91.949858313846846</v>
      </c>
      <c r="AL22" s="2">
        <v>0</v>
      </c>
      <c r="AM22" s="2">
        <v>-98.748083651066494</v>
      </c>
      <c r="AN22" s="2">
        <v>88.320000000000007</v>
      </c>
      <c r="AO22" s="2">
        <v>61.089633333539979</v>
      </c>
      <c r="AP22" s="2">
        <v>113.4748924134211</v>
      </c>
      <c r="AQ22" s="2">
        <v>11.443701286024909</v>
      </c>
      <c r="AR22" s="2">
        <v>-436.01038081800073</v>
      </c>
      <c r="AS22" s="2">
        <v>0</v>
      </c>
      <c r="AT22" s="2">
        <v>-835.71792414826473</v>
      </c>
      <c r="AU22" s="1">
        <v>67.476480000000009</v>
      </c>
      <c r="AV22" s="2">
        <v>0</v>
      </c>
      <c r="AW22" s="2">
        <v>0</v>
      </c>
      <c r="AX22" s="2">
        <v>61.089633333539979</v>
      </c>
      <c r="AZ22" s="1">
        <f t="shared" si="37"/>
        <v>51.755519999999997</v>
      </c>
      <c r="BA22" s="2">
        <f t="shared" si="38"/>
        <v>10.308426007891789</v>
      </c>
      <c r="BB22" s="7">
        <f t="shared" si="39"/>
        <v>-403.55244354086909</v>
      </c>
      <c r="BC22" s="1">
        <f t="shared" si="40"/>
        <v>15.72096</v>
      </c>
      <c r="BD22" s="2">
        <f t="shared" si="41"/>
        <v>2.684847167980704</v>
      </c>
      <c r="BE22" s="2">
        <f t="shared" si="42"/>
        <v>-91.949858313846846</v>
      </c>
      <c r="BF22" s="2">
        <f t="shared" si="43"/>
        <v>0</v>
      </c>
      <c r="BG22" s="7">
        <f t="shared" si="44"/>
        <v>-98.748083651066494</v>
      </c>
      <c r="BH22" s="1">
        <f t="shared" si="45"/>
        <v>67.476479999999995</v>
      </c>
      <c r="BI22" s="2">
        <f t="shared" si="46"/>
        <v>12.993273175872494</v>
      </c>
      <c r="BJ22" s="2">
        <f t="shared" si="47"/>
        <v>495.50230185471594</v>
      </c>
      <c r="BK22" s="2">
        <f t="shared" si="48"/>
        <v>0</v>
      </c>
      <c r="BL22" s="7">
        <f t="shared" si="49"/>
        <v>-98.748083651066494</v>
      </c>
      <c r="BM22" s="2"/>
      <c r="BN22" s="1">
        <f t="shared" si="61"/>
        <v>67.476480000000009</v>
      </c>
      <c r="BO22" s="4" t="str">
        <f t="shared" ref="BO22" si="72">IF(ISNUMBER(SEARCH("Appui",E22)),0,"0")</f>
        <v>0</v>
      </c>
      <c r="BP22" s="2">
        <f t="shared" si="21"/>
        <v>67.476480000000009</v>
      </c>
      <c r="BQ22" s="2">
        <f t="shared" si="52"/>
        <v>61.089633333539979</v>
      </c>
      <c r="BR22" s="3">
        <f t="shared" si="53"/>
        <v>1.1045487805040315</v>
      </c>
      <c r="BS22" s="1">
        <f t="shared" si="54"/>
        <v>88.320000000000007</v>
      </c>
      <c r="BT22" s="2">
        <f t="shared" si="55"/>
        <v>113.4748924134211</v>
      </c>
      <c r="BU22" s="21">
        <f t="shared" si="56"/>
        <v>0.77832195406033333</v>
      </c>
      <c r="BV22" s="2">
        <f t="shared" si="57"/>
        <v>162.57</v>
      </c>
      <c r="BW22" s="2">
        <f t="shared" si="58"/>
        <v>190.90983966245096</v>
      </c>
      <c r="BX22" s="21">
        <f t="shared" si="59"/>
        <v>1.1743239199264992</v>
      </c>
      <c r="BY22" s="10" t="str">
        <f t="shared" ref="BY22" si="73">IF(C20&lt;C22,"Rive",IF(C24&gt;C22,"Rive","Inter"))</f>
        <v>Rive</v>
      </c>
    </row>
    <row r="23" spans="1:77" x14ac:dyDescent="0.25">
      <c r="A23" t="str">
        <f t="shared" si="22"/>
        <v>Appui</v>
      </c>
      <c r="B23" t="b">
        <f t="shared" si="0"/>
        <v>1</v>
      </c>
      <c r="C23">
        <f t="shared" si="1"/>
        <v>2</v>
      </c>
      <c r="D23" s="5" t="s">
        <v>96</v>
      </c>
      <c r="E23" t="s">
        <v>47</v>
      </c>
      <c r="F23" s="5">
        <v>25</v>
      </c>
      <c r="G23" t="s">
        <v>46</v>
      </c>
      <c r="H23">
        <v>500</v>
      </c>
      <c r="I23">
        <v>170000</v>
      </c>
      <c r="J23">
        <v>1300</v>
      </c>
      <c r="K23" s="10">
        <v>1445</v>
      </c>
      <c r="L23" s="12">
        <v>1</v>
      </c>
      <c r="M23" s="5">
        <v>0.22</v>
      </c>
      <c r="N23" s="10">
        <v>2.33</v>
      </c>
      <c r="O23" s="5">
        <v>2.0690000000000001E-3</v>
      </c>
      <c r="P23">
        <v>0.04</v>
      </c>
      <c r="Q23" s="10">
        <v>1</v>
      </c>
      <c r="R23" s="8">
        <v>0</v>
      </c>
      <c r="S23">
        <v>0</v>
      </c>
      <c r="T23">
        <v>1</v>
      </c>
      <c r="U23" s="9">
        <v>0</v>
      </c>
      <c r="V23">
        <v>0</v>
      </c>
      <c r="W23" s="10">
        <v>1</v>
      </c>
      <c r="X23" s="1">
        <v>87.021000000000001</v>
      </c>
      <c r="Y23" s="2">
        <v>26.433</v>
      </c>
      <c r="Z23" s="13">
        <v>0</v>
      </c>
      <c r="AA23" s="2">
        <v>87.021000000000001</v>
      </c>
      <c r="AB23" s="2">
        <v>26.433</v>
      </c>
      <c r="AC23" s="2">
        <v>148.5</v>
      </c>
      <c r="AD23" s="2"/>
      <c r="AE23" s="7">
        <v>113.45399999999999</v>
      </c>
      <c r="AF23" s="2">
        <v>87.021000000000001</v>
      </c>
      <c r="AG23" s="2">
        <v>26.433</v>
      </c>
      <c r="AH23" s="2">
        <v>11.269034193617809</v>
      </c>
      <c r="AI23" s="2">
        <v>3.423017212395854</v>
      </c>
      <c r="AJ23" s="2">
        <v>-252.40353061363729</v>
      </c>
      <c r="AK23" s="2">
        <v>-76.668649230763506</v>
      </c>
      <c r="AL23" s="2">
        <v>0</v>
      </c>
      <c r="AM23" s="2">
        <v>0</v>
      </c>
      <c r="AN23" s="2">
        <v>148.5</v>
      </c>
      <c r="AO23" s="2">
        <v>154.86989449805969</v>
      </c>
      <c r="AP23" s="2">
        <v>154.86989449805969</v>
      </c>
      <c r="AQ23" s="2">
        <v>15.19946922604232</v>
      </c>
      <c r="AR23" s="2">
        <v>-436.43746506424628</v>
      </c>
      <c r="AS23" s="2">
        <v>0</v>
      </c>
      <c r="AT23" s="2">
        <v>0</v>
      </c>
      <c r="AU23" s="1">
        <v>113.45399999999999</v>
      </c>
      <c r="AV23" s="2">
        <v>10.18535863498753</v>
      </c>
      <c r="AW23" s="2">
        <v>-340.8345968968589</v>
      </c>
      <c r="AX23" s="2">
        <v>154.86989449805969</v>
      </c>
      <c r="AZ23" s="1">
        <f t="shared" si="37"/>
        <v>87.021000000000001</v>
      </c>
      <c r="BA23" s="2">
        <f t="shared" si="38"/>
        <v>11.269034193617809</v>
      </c>
      <c r="BB23" s="7">
        <f t="shared" si="39"/>
        <v>-252.40353061363729</v>
      </c>
      <c r="BC23" s="1">
        <f t="shared" si="40"/>
        <v>26.433</v>
      </c>
      <c r="BD23" s="2">
        <f t="shared" si="41"/>
        <v>3.423017212395854</v>
      </c>
      <c r="BE23" s="2">
        <f t="shared" si="42"/>
        <v>-76.668649230763506</v>
      </c>
      <c r="BF23" s="2">
        <f t="shared" si="43"/>
        <v>0</v>
      </c>
      <c r="BG23" s="7">
        <f t="shared" si="44"/>
        <v>0</v>
      </c>
      <c r="BH23" s="1">
        <f t="shared" si="45"/>
        <v>113.45400000000001</v>
      </c>
      <c r="BI23" s="2">
        <f t="shared" si="46"/>
        <v>14.692051406013663</v>
      </c>
      <c r="BJ23" s="2">
        <f t="shared" si="47"/>
        <v>329.07217984440081</v>
      </c>
      <c r="BK23" s="2">
        <f t="shared" si="48"/>
        <v>0</v>
      </c>
      <c r="BL23" s="7">
        <f t="shared" si="49"/>
        <v>0</v>
      </c>
      <c r="BM23" s="2"/>
      <c r="BN23" s="1">
        <f t="shared" si="61"/>
        <v>113.45399999999999</v>
      </c>
      <c r="BO23" s="4">
        <v>0</v>
      </c>
      <c r="BP23" s="2">
        <f t="shared" si="21"/>
        <v>113.45399999999999</v>
      </c>
      <c r="BQ23" s="2">
        <f t="shared" si="52"/>
        <v>154.86989449805969</v>
      </c>
      <c r="BR23" s="3">
        <f t="shared" si="53"/>
        <v>0.73257620771105658</v>
      </c>
      <c r="BS23" s="1">
        <f t="shared" si="54"/>
        <v>148.5</v>
      </c>
      <c r="BT23" s="2">
        <f t="shared" si="55"/>
        <v>154.86989449805969</v>
      </c>
      <c r="BU23" s="21">
        <f t="shared" si="56"/>
        <v>0.95886938182075476</v>
      </c>
      <c r="BV23" s="2" t="str">
        <f t="shared" si="57"/>
        <v/>
      </c>
      <c r="BW23" s="2" t="str">
        <f t="shared" si="58"/>
        <v/>
      </c>
      <c r="BX23" s="21" t="str">
        <f t="shared" si="59"/>
        <v/>
      </c>
      <c r="BY23" s="15"/>
    </row>
    <row r="24" spans="1:77" x14ac:dyDescent="0.25">
      <c r="A24" t="str">
        <f t="shared" si="22"/>
        <v>Travée</v>
      </c>
      <c r="B24" t="b">
        <f t="shared" si="0"/>
        <v>1</v>
      </c>
      <c r="C24">
        <f t="shared" si="1"/>
        <v>2</v>
      </c>
      <c r="D24" s="5" t="s">
        <v>96</v>
      </c>
      <c r="E24" t="s">
        <v>48</v>
      </c>
      <c r="F24" s="5">
        <v>25</v>
      </c>
      <c r="G24" t="s">
        <v>46</v>
      </c>
      <c r="H24">
        <v>500</v>
      </c>
      <c r="I24">
        <v>170000</v>
      </c>
      <c r="J24">
        <v>1300</v>
      </c>
      <c r="K24" s="10">
        <v>1445</v>
      </c>
      <c r="L24" s="12">
        <v>1</v>
      </c>
      <c r="M24" s="5">
        <v>0.22</v>
      </c>
      <c r="N24" s="10">
        <v>2.33</v>
      </c>
      <c r="O24" s="5">
        <v>7.4800000000000008E-4</v>
      </c>
      <c r="P24">
        <v>0.04</v>
      </c>
      <c r="Q24" s="10">
        <v>1</v>
      </c>
      <c r="R24" s="8">
        <v>0</v>
      </c>
      <c r="S24">
        <v>0</v>
      </c>
      <c r="T24">
        <v>1</v>
      </c>
      <c r="U24" s="9">
        <v>1.92E-4</v>
      </c>
      <c r="V24">
        <v>0</v>
      </c>
      <c r="W24" s="10">
        <v>1</v>
      </c>
      <c r="X24" s="1">
        <v>11.251200000000001</v>
      </c>
      <c r="Y24" s="2">
        <v>3.4176000000000002</v>
      </c>
      <c r="Z24" s="13">
        <v>0</v>
      </c>
      <c r="AA24" s="2">
        <v>11.251200000000001</v>
      </c>
      <c r="AB24" s="2">
        <v>3.4176000000000002</v>
      </c>
      <c r="AC24" s="2">
        <v>19.2</v>
      </c>
      <c r="AD24" s="2"/>
      <c r="AE24" s="7">
        <v>14.668799999999999</v>
      </c>
      <c r="AF24" s="2">
        <v>11.251200000000001</v>
      </c>
      <c r="AG24" s="2">
        <v>3.4176000000000002</v>
      </c>
      <c r="AH24" s="2">
        <v>2.24096217562865</v>
      </c>
      <c r="AI24" s="2">
        <v>0.58366200600192741</v>
      </c>
      <c r="AJ24" s="2">
        <v>-87.728792074101975</v>
      </c>
      <c r="AK24" s="2">
        <v>-19.989102166761139</v>
      </c>
      <c r="AL24" s="2">
        <v>0</v>
      </c>
      <c r="AM24" s="2">
        <v>-21.46697683231239</v>
      </c>
      <c r="AN24" s="2">
        <v>19.2</v>
      </c>
      <c r="AO24" s="2">
        <v>61.089633333539979</v>
      </c>
      <c r="AP24" s="2">
        <v>113.4748924134211</v>
      </c>
      <c r="AQ24" s="2">
        <v>2.4420649108738179</v>
      </c>
      <c r="AR24" s="2">
        <v>-113.99403836141229</v>
      </c>
      <c r="AS24" s="2">
        <v>0</v>
      </c>
      <c r="AT24" s="2">
        <v>-124.18162435749009</v>
      </c>
      <c r="AU24" s="1">
        <v>14.668799999999999</v>
      </c>
      <c r="AV24" s="2">
        <v>2.1776563651847289</v>
      </c>
      <c r="AW24" s="2">
        <v>-116.37239942291831</v>
      </c>
      <c r="AX24" s="2">
        <v>61.089633333539979</v>
      </c>
      <c r="AZ24" s="1">
        <f t="shared" si="37"/>
        <v>11.251200000000001</v>
      </c>
      <c r="BA24" s="2">
        <f t="shared" si="38"/>
        <v>2.24096217562865</v>
      </c>
      <c r="BB24" s="7">
        <f t="shared" si="39"/>
        <v>-87.728792074101975</v>
      </c>
      <c r="BC24" s="1">
        <f t="shared" si="40"/>
        <v>3.4176000000000002</v>
      </c>
      <c r="BD24" s="2">
        <f t="shared" si="41"/>
        <v>0.58366200600192741</v>
      </c>
      <c r="BE24" s="2">
        <f t="shared" si="42"/>
        <v>-19.989102166761139</v>
      </c>
      <c r="BF24" s="2">
        <f t="shared" si="43"/>
        <v>0</v>
      </c>
      <c r="BG24" s="7">
        <f t="shared" si="44"/>
        <v>-21.46697683231239</v>
      </c>
      <c r="BH24" s="1">
        <f t="shared" si="45"/>
        <v>14.668800000000001</v>
      </c>
      <c r="BI24" s="2">
        <f t="shared" si="46"/>
        <v>2.8246241816305773</v>
      </c>
      <c r="BJ24" s="2">
        <f t="shared" si="47"/>
        <v>107.71789424086312</v>
      </c>
      <c r="BK24" s="2">
        <f t="shared" si="48"/>
        <v>0</v>
      </c>
      <c r="BL24" s="7">
        <f t="shared" si="49"/>
        <v>-21.46697683231239</v>
      </c>
      <c r="BM24" s="2"/>
      <c r="BN24" s="1">
        <f t="shared" si="61"/>
        <v>14.668799999999999</v>
      </c>
      <c r="BO24" s="4" t="str">
        <f t="shared" ref="BO24" si="74">IF(ISNUMBER(SEARCH("Appui",E24)),0,"0")</f>
        <v>0</v>
      </c>
      <c r="BP24" s="2">
        <f t="shared" si="21"/>
        <v>14.668799999999999</v>
      </c>
      <c r="BQ24" s="2">
        <f t="shared" si="52"/>
        <v>61.089633333539979</v>
      </c>
      <c r="BR24" s="3">
        <f t="shared" si="53"/>
        <v>0.240119300109572</v>
      </c>
      <c r="BS24" s="1">
        <f t="shared" si="54"/>
        <v>19.2</v>
      </c>
      <c r="BT24" s="2">
        <f t="shared" si="55"/>
        <v>113.4748924134211</v>
      </c>
      <c r="BU24" s="21">
        <f t="shared" si="56"/>
        <v>0.16920042479572461</v>
      </c>
      <c r="BV24" s="2">
        <f t="shared" si="57"/>
        <v>169.35</v>
      </c>
      <c r="BW24" s="2">
        <f t="shared" si="58"/>
        <v>244.04591017151847</v>
      </c>
      <c r="BX24" s="21">
        <f t="shared" si="59"/>
        <v>1.4410741669413552</v>
      </c>
      <c r="BY24" s="10" t="str">
        <f t="shared" ref="BY24" si="75">IF(C22&lt;C24,"Rive",IF(C26&gt;C24,"Rive","Inter"))</f>
        <v>Inter</v>
      </c>
    </row>
    <row r="25" spans="1:77" x14ac:dyDescent="0.25">
      <c r="A25" t="str">
        <f t="shared" si="22"/>
        <v>Appui</v>
      </c>
      <c r="B25" t="b">
        <f t="shared" si="0"/>
        <v>1</v>
      </c>
      <c r="C25">
        <f t="shared" si="1"/>
        <v>2</v>
      </c>
      <c r="D25" s="5" t="s">
        <v>96</v>
      </c>
      <c r="E25" t="s">
        <v>49</v>
      </c>
      <c r="F25" s="5">
        <v>25</v>
      </c>
      <c r="G25" t="s">
        <v>46</v>
      </c>
      <c r="H25">
        <v>500</v>
      </c>
      <c r="I25">
        <v>170000</v>
      </c>
      <c r="J25">
        <v>1300</v>
      </c>
      <c r="K25" s="10">
        <v>1445</v>
      </c>
      <c r="L25" s="12">
        <v>1</v>
      </c>
      <c r="M25" s="5">
        <v>0.22</v>
      </c>
      <c r="N25" s="10">
        <v>2.33</v>
      </c>
      <c r="O25" s="5">
        <v>1.9400000000000001E-3</v>
      </c>
      <c r="P25">
        <v>8.4999999999999992E-2</v>
      </c>
      <c r="Q25" s="10">
        <v>1</v>
      </c>
      <c r="R25" s="8">
        <v>0</v>
      </c>
      <c r="S25">
        <v>0</v>
      </c>
      <c r="T25">
        <v>1</v>
      </c>
      <c r="U25" s="9">
        <v>0</v>
      </c>
      <c r="V25">
        <v>0</v>
      </c>
      <c r="W25" s="10">
        <v>1</v>
      </c>
      <c r="X25" s="1">
        <v>88.954800000000006</v>
      </c>
      <c r="Y25" s="2">
        <v>27.020399999999999</v>
      </c>
      <c r="Z25" s="13">
        <v>0</v>
      </c>
      <c r="AA25" s="2">
        <v>88.954800000000006</v>
      </c>
      <c r="AB25" s="2">
        <v>27.020399999999999</v>
      </c>
      <c r="AC25" s="2">
        <v>151.80000000000001</v>
      </c>
      <c r="AD25" s="2"/>
      <c r="AE25" s="7">
        <v>115.9752</v>
      </c>
      <c r="AF25" s="2">
        <v>88.954800000000006</v>
      </c>
      <c r="AG25" s="2">
        <v>27.020399999999999</v>
      </c>
      <c r="AH25" s="2">
        <v>18.777244984612128</v>
      </c>
      <c r="AI25" s="2">
        <v>5.7036682717763796</v>
      </c>
      <c r="AJ25" s="2">
        <v>-369.83777007357821</v>
      </c>
      <c r="AK25" s="2">
        <v>-112.3398004660357</v>
      </c>
      <c r="AL25" s="2">
        <v>0</v>
      </c>
      <c r="AM25" s="2">
        <v>0</v>
      </c>
      <c r="AN25" s="2">
        <v>151.80000000000001</v>
      </c>
      <c r="AO25" s="2">
        <v>106.272141018135</v>
      </c>
      <c r="AP25" s="2">
        <v>106.272141018135</v>
      </c>
      <c r="AQ25" s="2">
        <v>0</v>
      </c>
      <c r="AR25" s="2">
        <v>0</v>
      </c>
      <c r="AS25" s="2">
        <v>0</v>
      </c>
      <c r="AT25" s="2">
        <v>0</v>
      </c>
      <c r="AU25" s="1">
        <v>115.9752</v>
      </c>
      <c r="AV25" s="2">
        <v>0</v>
      </c>
      <c r="AW25" s="2">
        <v>0</v>
      </c>
      <c r="AX25" s="2">
        <v>106.272141018135</v>
      </c>
      <c r="AZ25" s="1">
        <f t="shared" si="37"/>
        <v>88.954800000000006</v>
      </c>
      <c r="BA25" s="2">
        <f t="shared" si="38"/>
        <v>18.777244984612128</v>
      </c>
      <c r="BB25" s="7">
        <f t="shared" si="39"/>
        <v>-369.83777007357821</v>
      </c>
      <c r="BC25" s="1">
        <f t="shared" si="40"/>
        <v>27.020399999999999</v>
      </c>
      <c r="BD25" s="2">
        <f t="shared" si="41"/>
        <v>5.7036682717763796</v>
      </c>
      <c r="BE25" s="2">
        <f t="shared" si="42"/>
        <v>-112.3398004660357</v>
      </c>
      <c r="BF25" s="2">
        <f t="shared" si="43"/>
        <v>0</v>
      </c>
      <c r="BG25" s="7">
        <f t="shared" si="44"/>
        <v>0</v>
      </c>
      <c r="BH25" s="1">
        <f t="shared" si="45"/>
        <v>115.9752</v>
      </c>
      <c r="BI25" s="2">
        <f t="shared" si="46"/>
        <v>24.480913256388508</v>
      </c>
      <c r="BJ25" s="2">
        <f t="shared" si="47"/>
        <v>482.1775705396139</v>
      </c>
      <c r="BK25" s="2">
        <f t="shared" si="48"/>
        <v>0</v>
      </c>
      <c r="BL25" s="7">
        <f t="shared" si="49"/>
        <v>0</v>
      </c>
      <c r="BM25" s="2"/>
      <c r="BN25" s="1">
        <f t="shared" si="61"/>
        <v>115.9752</v>
      </c>
      <c r="BO25" s="4">
        <v>0</v>
      </c>
      <c r="BP25" s="2">
        <f t="shared" si="21"/>
        <v>115.9752</v>
      </c>
      <c r="BQ25" s="2">
        <f t="shared" si="52"/>
        <v>106.272141018135</v>
      </c>
      <c r="BR25" s="3">
        <f t="shared" si="53"/>
        <v>1.0913038816090965</v>
      </c>
      <c r="BS25" s="1">
        <f t="shared" si="54"/>
        <v>151.80000000000001</v>
      </c>
      <c r="BT25" s="2">
        <f t="shared" si="55"/>
        <v>106.272141018135</v>
      </c>
      <c r="BU25" s="21">
        <f t="shared" si="56"/>
        <v>1.4284082220014351</v>
      </c>
      <c r="BV25" s="2" t="str">
        <f t="shared" si="57"/>
        <v/>
      </c>
      <c r="BW25" s="2" t="str">
        <f t="shared" si="58"/>
        <v/>
      </c>
      <c r="BX25" s="21" t="str">
        <f t="shared" si="59"/>
        <v/>
      </c>
      <c r="BY25" s="15"/>
    </row>
    <row r="26" spans="1:77" x14ac:dyDescent="0.25">
      <c r="A26" t="str">
        <f t="shared" si="22"/>
        <v>Travée</v>
      </c>
      <c r="B26" t="b">
        <f t="shared" si="0"/>
        <v>1</v>
      </c>
      <c r="C26">
        <f t="shared" si="1"/>
        <v>2</v>
      </c>
      <c r="D26" s="5" t="s">
        <v>96</v>
      </c>
      <c r="E26" t="s">
        <v>51</v>
      </c>
      <c r="F26" s="5">
        <v>25</v>
      </c>
      <c r="G26" t="s">
        <v>46</v>
      </c>
      <c r="H26">
        <v>500</v>
      </c>
      <c r="I26">
        <v>170000</v>
      </c>
      <c r="J26">
        <v>1300</v>
      </c>
      <c r="K26" s="10">
        <v>1445</v>
      </c>
      <c r="L26" s="12">
        <v>1</v>
      </c>
      <c r="M26" s="5">
        <v>0.22</v>
      </c>
      <c r="N26" s="10">
        <v>2.33</v>
      </c>
      <c r="O26" s="5">
        <v>1.0460000000000001E-3</v>
      </c>
      <c r="P26">
        <v>0.04</v>
      </c>
      <c r="Q26" s="10">
        <v>1</v>
      </c>
      <c r="R26" s="8">
        <v>0</v>
      </c>
      <c r="S26">
        <v>0</v>
      </c>
      <c r="T26">
        <v>1</v>
      </c>
      <c r="U26" s="9">
        <v>1.92E-4</v>
      </c>
      <c r="V26">
        <v>0</v>
      </c>
      <c r="W26" s="10">
        <v>1</v>
      </c>
      <c r="X26" s="1">
        <v>53.255679999999991</v>
      </c>
      <c r="Y26" s="2">
        <v>16.176639999999999</v>
      </c>
      <c r="Z26" s="13">
        <v>0</v>
      </c>
      <c r="AA26" s="2">
        <v>53.255679999999991</v>
      </c>
      <c r="AB26" s="2">
        <v>16.176639999999999</v>
      </c>
      <c r="AC26" s="2">
        <v>90.88</v>
      </c>
      <c r="AD26" s="2"/>
      <c r="AE26" s="7">
        <v>69.43231999999999</v>
      </c>
      <c r="AF26" s="2">
        <v>53.255679999999991</v>
      </c>
      <c r="AG26" s="2">
        <v>16.176639999999999</v>
      </c>
      <c r="AH26" s="2">
        <v>9.1691504129761778</v>
      </c>
      <c r="AI26" s="2">
        <v>2.4846188751507281</v>
      </c>
      <c r="AJ26" s="2">
        <v>-299.33432405500798</v>
      </c>
      <c r="AK26" s="2">
        <v>-73.364827512953056</v>
      </c>
      <c r="AL26" s="2">
        <v>0</v>
      </c>
      <c r="AM26" s="2">
        <v>-79.199984378169219</v>
      </c>
      <c r="AN26" s="2">
        <v>90.88</v>
      </c>
      <c r="AO26" s="2">
        <v>83.698138794433987</v>
      </c>
      <c r="AP26" s="2">
        <v>134.58976142120721</v>
      </c>
      <c r="AQ26" s="2">
        <v>9.5544234586976771</v>
      </c>
      <c r="AR26" s="2">
        <v>-421.91275846897111</v>
      </c>
      <c r="AS26" s="2">
        <v>0</v>
      </c>
      <c r="AT26" s="2">
        <v>-464.51942183965087</v>
      </c>
      <c r="AU26" s="1">
        <v>69.43231999999999</v>
      </c>
      <c r="AV26" s="2">
        <v>8.3317616838261692</v>
      </c>
      <c r="AW26" s="2">
        <v>-399.98032562972338</v>
      </c>
      <c r="AX26" s="2">
        <v>83.698138794433987</v>
      </c>
      <c r="AZ26" s="1">
        <f t="shared" si="37"/>
        <v>53.255679999999991</v>
      </c>
      <c r="BA26" s="2">
        <f t="shared" si="38"/>
        <v>9.1691504129761778</v>
      </c>
      <c r="BB26" s="7">
        <f t="shared" si="39"/>
        <v>-299.33432405500798</v>
      </c>
      <c r="BC26" s="1">
        <f t="shared" si="40"/>
        <v>16.176639999999999</v>
      </c>
      <c r="BD26" s="2">
        <f t="shared" si="41"/>
        <v>2.4846188751507281</v>
      </c>
      <c r="BE26" s="2">
        <f t="shared" si="42"/>
        <v>-73.364827512953056</v>
      </c>
      <c r="BF26" s="2">
        <f t="shared" si="43"/>
        <v>0</v>
      </c>
      <c r="BG26" s="7">
        <f t="shared" si="44"/>
        <v>-79.199984378169219</v>
      </c>
      <c r="BH26" s="1">
        <f t="shared" si="45"/>
        <v>69.43231999999999</v>
      </c>
      <c r="BI26" s="2">
        <f t="shared" si="46"/>
        <v>11.653769288126906</v>
      </c>
      <c r="BJ26" s="2">
        <f t="shared" si="47"/>
        <v>372.69915156796105</v>
      </c>
      <c r="BK26" s="2">
        <f t="shared" si="48"/>
        <v>0</v>
      </c>
      <c r="BL26" s="7">
        <f t="shared" si="49"/>
        <v>-79.199984378169219</v>
      </c>
      <c r="BM26" s="2"/>
      <c r="BN26" s="1">
        <f t="shared" si="61"/>
        <v>69.43231999999999</v>
      </c>
      <c r="BO26" s="4" t="str">
        <f t="shared" ref="BO26" si="76">IF(ISNUMBER(SEARCH("Appui",E26)),0,"0")</f>
        <v>0</v>
      </c>
      <c r="BP26" s="2">
        <f t="shared" si="21"/>
        <v>69.43231999999999</v>
      </c>
      <c r="BQ26" s="2">
        <f t="shared" si="52"/>
        <v>83.698138794433987</v>
      </c>
      <c r="BR26" s="3">
        <f t="shared" si="53"/>
        <v>0.82955631989056022</v>
      </c>
      <c r="BS26" s="1">
        <f t="shared" si="54"/>
        <v>90.88</v>
      </c>
      <c r="BT26" s="2">
        <f t="shared" si="55"/>
        <v>134.58976142120721</v>
      </c>
      <c r="BU26" s="21">
        <f t="shared" si="56"/>
        <v>0.67523709857531633</v>
      </c>
      <c r="BV26" s="2">
        <f t="shared" si="57"/>
        <v>271.27999999999997</v>
      </c>
      <c r="BW26" s="2">
        <f t="shared" si="58"/>
        <v>311.62535779958876</v>
      </c>
      <c r="BX26" s="21">
        <f t="shared" si="59"/>
        <v>1.1487221977277675</v>
      </c>
      <c r="BY26" s="10" t="str">
        <f t="shared" ref="BY26" si="77">IF(C24&lt;C26,"Rive",IF(C28&gt;C26,"Rive","Inter"))</f>
        <v>Inter</v>
      </c>
    </row>
    <row r="27" spans="1:77" x14ac:dyDescent="0.25">
      <c r="A27" t="str">
        <f t="shared" si="22"/>
        <v>Appui</v>
      </c>
      <c r="B27" t="b">
        <f t="shared" si="0"/>
        <v>1</v>
      </c>
      <c r="C27">
        <f t="shared" si="1"/>
        <v>2</v>
      </c>
      <c r="D27" s="5" t="s">
        <v>96</v>
      </c>
      <c r="E27" t="s">
        <v>52</v>
      </c>
      <c r="F27" s="5">
        <v>25</v>
      </c>
      <c r="G27" t="s">
        <v>46</v>
      </c>
      <c r="H27">
        <v>500</v>
      </c>
      <c r="I27">
        <v>170000</v>
      </c>
      <c r="J27">
        <v>1300</v>
      </c>
      <c r="K27" s="10">
        <v>1445</v>
      </c>
      <c r="L27" s="12">
        <v>1</v>
      </c>
      <c r="M27" s="5">
        <v>0.22</v>
      </c>
      <c r="N27" s="10">
        <v>2.33</v>
      </c>
      <c r="O27" s="5">
        <v>1.9400000000000001E-3</v>
      </c>
      <c r="P27">
        <v>0.04</v>
      </c>
      <c r="Q27" s="10">
        <v>1</v>
      </c>
      <c r="R27" s="8">
        <v>0</v>
      </c>
      <c r="S27">
        <v>0</v>
      </c>
      <c r="T27">
        <v>1</v>
      </c>
      <c r="U27" s="9">
        <v>3.8400000000000001E-4</v>
      </c>
      <c r="V27">
        <v>0</v>
      </c>
      <c r="W27" s="10">
        <v>1</v>
      </c>
      <c r="X27" s="1">
        <v>122.474</v>
      </c>
      <c r="Y27" s="2">
        <v>37.202000000000012</v>
      </c>
      <c r="Z27" s="13">
        <v>0</v>
      </c>
      <c r="AA27" s="2">
        <v>122.474</v>
      </c>
      <c r="AB27" s="2">
        <v>37.202000000000012</v>
      </c>
      <c r="AC27" s="2">
        <v>209</v>
      </c>
      <c r="AD27" s="2"/>
      <c r="AE27" s="7">
        <v>159.67599999999999</v>
      </c>
      <c r="AF27" s="2">
        <v>122.474</v>
      </c>
      <c r="AG27" s="2">
        <v>37.202000000000012</v>
      </c>
      <c r="AH27" s="2">
        <v>16.287013022559488</v>
      </c>
      <c r="AI27" s="2">
        <v>4.386091255421384</v>
      </c>
      <c r="AJ27" s="2">
        <v>-377.97872857018768</v>
      </c>
      <c r="AK27" s="2">
        <v>-91.048348687099107</v>
      </c>
      <c r="AL27" s="2">
        <v>0</v>
      </c>
      <c r="AM27" s="2">
        <v>-99.853376314619766</v>
      </c>
      <c r="AN27" s="2">
        <v>209</v>
      </c>
      <c r="AO27" s="2">
        <v>146.17319553807769</v>
      </c>
      <c r="AP27" s="2">
        <v>247.79905173862801</v>
      </c>
      <c r="AQ27" s="2">
        <v>16.24742116894749</v>
      </c>
      <c r="AR27" s="2">
        <v>-436.26785602909462</v>
      </c>
      <c r="AS27" s="2">
        <v>0</v>
      </c>
      <c r="AT27" s="2">
        <v>-939.58999411450998</v>
      </c>
      <c r="AU27" s="1">
        <v>159.67599999999999</v>
      </c>
      <c r="AV27" s="2">
        <v>0</v>
      </c>
      <c r="AW27" s="2">
        <v>0</v>
      </c>
      <c r="AX27" s="2">
        <v>146.17319553807769</v>
      </c>
      <c r="AZ27" s="1">
        <f t="shared" si="37"/>
        <v>122.474</v>
      </c>
      <c r="BA27" s="2">
        <f t="shared" si="38"/>
        <v>16.287013022559488</v>
      </c>
      <c r="BB27" s="7">
        <f t="shared" si="39"/>
        <v>-377.97872857018768</v>
      </c>
      <c r="BC27" s="1">
        <f t="shared" si="40"/>
        <v>37.202000000000012</v>
      </c>
      <c r="BD27" s="2">
        <f t="shared" si="41"/>
        <v>4.386091255421384</v>
      </c>
      <c r="BE27" s="2">
        <f t="shared" si="42"/>
        <v>-91.048348687099107</v>
      </c>
      <c r="BF27" s="2">
        <f t="shared" si="43"/>
        <v>0</v>
      </c>
      <c r="BG27" s="7">
        <f t="shared" si="44"/>
        <v>-99.853376314619766</v>
      </c>
      <c r="BH27" s="1">
        <f t="shared" si="45"/>
        <v>159.67600000000002</v>
      </c>
      <c r="BI27" s="2">
        <f t="shared" si="46"/>
        <v>20.673104277980872</v>
      </c>
      <c r="BJ27" s="2">
        <f t="shared" si="47"/>
        <v>469.02707725728681</v>
      </c>
      <c r="BK27" s="2">
        <f t="shared" si="48"/>
        <v>0</v>
      </c>
      <c r="BL27" s="7">
        <f t="shared" si="49"/>
        <v>-99.853376314619766</v>
      </c>
      <c r="BM27" s="2"/>
      <c r="BN27" s="1">
        <f t="shared" si="61"/>
        <v>159.67599999999999</v>
      </c>
      <c r="BO27" s="4">
        <v>0</v>
      </c>
      <c r="BP27" s="2">
        <f t="shared" si="21"/>
        <v>159.67599999999999</v>
      </c>
      <c r="BQ27" s="2">
        <f t="shared" si="52"/>
        <v>146.17319553807769</v>
      </c>
      <c r="BR27" s="3">
        <f t="shared" si="53"/>
        <v>1.092375379851396</v>
      </c>
      <c r="BS27" s="1">
        <f t="shared" si="54"/>
        <v>209</v>
      </c>
      <c r="BT27" s="2">
        <f t="shared" si="55"/>
        <v>247.79905173862801</v>
      </c>
      <c r="BU27" s="21">
        <f t="shared" si="56"/>
        <v>0.84342534216171161</v>
      </c>
      <c r="BV27" s="2" t="str">
        <f t="shared" si="57"/>
        <v/>
      </c>
      <c r="BW27" s="2" t="str">
        <f t="shared" si="58"/>
        <v/>
      </c>
      <c r="BX27" s="21" t="str">
        <f t="shared" si="59"/>
        <v/>
      </c>
      <c r="BY27" s="15"/>
    </row>
    <row r="28" spans="1:77" x14ac:dyDescent="0.25">
      <c r="A28" t="str">
        <f t="shared" si="22"/>
        <v>Travée</v>
      </c>
      <c r="B28" t="b">
        <f t="shared" si="0"/>
        <v>1</v>
      </c>
      <c r="C28">
        <f t="shared" si="1"/>
        <v>2</v>
      </c>
      <c r="D28" s="5" t="s">
        <v>96</v>
      </c>
      <c r="E28" t="s">
        <v>53</v>
      </c>
      <c r="F28" s="5">
        <v>25</v>
      </c>
      <c r="G28" t="s">
        <v>46</v>
      </c>
      <c r="H28">
        <v>500</v>
      </c>
      <c r="I28">
        <v>170000</v>
      </c>
      <c r="J28">
        <v>1300</v>
      </c>
      <c r="K28" s="10">
        <v>1445</v>
      </c>
      <c r="L28" s="12">
        <v>1</v>
      </c>
      <c r="M28" s="5">
        <v>0.22</v>
      </c>
      <c r="N28" s="10">
        <v>2.33</v>
      </c>
      <c r="O28" s="5">
        <v>7.4800000000000008E-4</v>
      </c>
      <c r="P28">
        <v>0.04</v>
      </c>
      <c r="Q28" s="10">
        <v>1</v>
      </c>
      <c r="R28" s="8">
        <v>0</v>
      </c>
      <c r="S28">
        <v>0</v>
      </c>
      <c r="T28">
        <v>1</v>
      </c>
      <c r="U28" s="9">
        <v>1.92E-4</v>
      </c>
      <c r="V28">
        <v>0</v>
      </c>
      <c r="W28" s="10">
        <v>1</v>
      </c>
      <c r="X28" s="1">
        <v>46.504959999999997</v>
      </c>
      <c r="Y28" s="2">
        <v>14.12608</v>
      </c>
      <c r="Z28" s="13">
        <v>0</v>
      </c>
      <c r="AA28" s="2">
        <v>46.504959999999997</v>
      </c>
      <c r="AB28" s="2">
        <v>14.12608</v>
      </c>
      <c r="AC28" s="2">
        <v>79.36</v>
      </c>
      <c r="AD28" s="2"/>
      <c r="AE28" s="7">
        <v>60.631039999999999</v>
      </c>
      <c r="AF28" s="2">
        <v>46.504959999999997</v>
      </c>
      <c r="AG28" s="2">
        <v>14.12608</v>
      </c>
      <c r="AH28" s="2">
        <v>9.2626436592650769</v>
      </c>
      <c r="AI28" s="2">
        <v>2.4124713683304941</v>
      </c>
      <c r="AJ28" s="2">
        <v>-362.61234057295479</v>
      </c>
      <c r="AK28" s="2">
        <v>-82.621611818239174</v>
      </c>
      <c r="AL28" s="2">
        <v>0</v>
      </c>
      <c r="AM28" s="2">
        <v>-88.730162121248142</v>
      </c>
      <c r="AN28" s="2">
        <v>79.36</v>
      </c>
      <c r="AO28" s="2">
        <v>61.089633333539979</v>
      </c>
      <c r="AP28" s="2">
        <v>113.4748924134211</v>
      </c>
      <c r="AQ28" s="2">
        <v>9.8547226026368229</v>
      </c>
      <c r="AR28" s="2">
        <v>-435.28876715033277</v>
      </c>
      <c r="AS28" s="2">
        <v>0</v>
      </c>
      <c r="AT28" s="2">
        <v>-623.54965046129234</v>
      </c>
      <c r="AU28" s="1">
        <v>60.631039999999999</v>
      </c>
      <c r="AV28" s="2">
        <v>16.666666666666671</v>
      </c>
      <c r="AW28" s="2">
        <v>-462.37469322379809</v>
      </c>
      <c r="AX28" s="2">
        <v>61.089633333539979</v>
      </c>
      <c r="AZ28" s="1">
        <f t="shared" si="37"/>
        <v>46.504959999999997</v>
      </c>
      <c r="BA28" s="2">
        <f t="shared" si="38"/>
        <v>9.2626436592650769</v>
      </c>
      <c r="BB28" s="7">
        <f t="shared" si="39"/>
        <v>-362.61234057295479</v>
      </c>
      <c r="BC28" s="1">
        <f t="shared" si="40"/>
        <v>14.12608</v>
      </c>
      <c r="BD28" s="2">
        <f t="shared" si="41"/>
        <v>2.4124713683304941</v>
      </c>
      <c r="BE28" s="2">
        <f t="shared" si="42"/>
        <v>-82.621611818239174</v>
      </c>
      <c r="BF28" s="2">
        <f t="shared" si="43"/>
        <v>0</v>
      </c>
      <c r="BG28" s="7">
        <f t="shared" si="44"/>
        <v>-88.730162121248142</v>
      </c>
      <c r="BH28" s="1">
        <f t="shared" si="45"/>
        <v>60.631039999999999</v>
      </c>
      <c r="BI28" s="2">
        <f t="shared" si="46"/>
        <v>11.67511502759557</v>
      </c>
      <c r="BJ28" s="2">
        <f t="shared" si="47"/>
        <v>445.23395239119395</v>
      </c>
      <c r="BK28" s="2">
        <f t="shared" si="48"/>
        <v>0</v>
      </c>
      <c r="BL28" s="7">
        <f t="shared" si="49"/>
        <v>-88.730162121248142</v>
      </c>
      <c r="BM28" s="2"/>
      <c r="BN28" s="1">
        <f t="shared" si="61"/>
        <v>60.631039999999999</v>
      </c>
      <c r="BO28" s="4" t="str">
        <f t="shared" ref="BO28" si="78">IF(ISNUMBER(SEARCH("Appui",E28)),0,"0")</f>
        <v>0</v>
      </c>
      <c r="BP28" s="2">
        <f t="shared" si="21"/>
        <v>60.631039999999999</v>
      </c>
      <c r="BQ28" s="2">
        <f t="shared" si="52"/>
        <v>61.089633333539979</v>
      </c>
      <c r="BR28" s="3">
        <f t="shared" si="53"/>
        <v>0.99249310711956429</v>
      </c>
      <c r="BS28" s="1">
        <f t="shared" si="54"/>
        <v>79.36</v>
      </c>
      <c r="BT28" s="2">
        <f t="shared" si="55"/>
        <v>113.4748924134211</v>
      </c>
      <c r="BU28" s="21">
        <f t="shared" si="56"/>
        <v>0.6993617558223284</v>
      </c>
      <c r="BV28" s="2">
        <f t="shared" si="57"/>
        <v>277.36</v>
      </c>
      <c r="BW28" s="2">
        <f t="shared" si="58"/>
        <v>361.27394415204913</v>
      </c>
      <c r="BX28" s="21">
        <f t="shared" si="59"/>
        <v>1.3025452269687379</v>
      </c>
      <c r="BY28" s="10" t="str">
        <f t="shared" ref="BY28" si="79">IF(C26&lt;C28,"Rive",IF(C30&gt;C28,"Rive","Inter"))</f>
        <v>Inter</v>
      </c>
    </row>
    <row r="29" spans="1:77" x14ac:dyDescent="0.25">
      <c r="A29" t="str">
        <f t="shared" si="22"/>
        <v>Appui</v>
      </c>
      <c r="B29" t="b">
        <f t="shared" si="0"/>
        <v>1</v>
      </c>
      <c r="C29">
        <f t="shared" si="1"/>
        <v>2</v>
      </c>
      <c r="D29" s="5" t="s">
        <v>96</v>
      </c>
      <c r="E29" t="s">
        <v>54</v>
      </c>
      <c r="F29" s="5">
        <v>25</v>
      </c>
      <c r="G29" t="s">
        <v>46</v>
      </c>
      <c r="H29">
        <v>500</v>
      </c>
      <c r="I29">
        <v>170000</v>
      </c>
      <c r="J29">
        <v>1300</v>
      </c>
      <c r="K29" s="10">
        <v>1445</v>
      </c>
      <c r="L29" s="12">
        <v>1</v>
      </c>
      <c r="M29" s="5">
        <v>0.22</v>
      </c>
      <c r="N29" s="10">
        <v>2.33</v>
      </c>
      <c r="O29" s="5">
        <v>1.9400000000000001E-3</v>
      </c>
      <c r="P29">
        <v>0.04</v>
      </c>
      <c r="Q29" s="10">
        <v>1</v>
      </c>
      <c r="R29" s="8">
        <v>0</v>
      </c>
      <c r="S29">
        <v>0</v>
      </c>
      <c r="T29">
        <v>1</v>
      </c>
      <c r="U29" s="9">
        <v>3.8400000000000001E-4</v>
      </c>
      <c r="V29">
        <v>0</v>
      </c>
      <c r="W29" s="10">
        <v>1</v>
      </c>
      <c r="X29" s="1">
        <v>109.58199999999999</v>
      </c>
      <c r="Y29" s="2">
        <v>33.286000000000001</v>
      </c>
      <c r="Z29" s="13">
        <v>0</v>
      </c>
      <c r="AA29" s="2">
        <v>109.58199999999999</v>
      </c>
      <c r="AB29" s="2">
        <v>33.286000000000001</v>
      </c>
      <c r="AC29" s="2">
        <v>187</v>
      </c>
      <c r="AD29" s="2"/>
      <c r="AE29" s="7">
        <v>142.86799999999999</v>
      </c>
      <c r="AF29" s="2">
        <v>109.58199999999999</v>
      </c>
      <c r="AG29" s="2">
        <v>33.286000000000001</v>
      </c>
      <c r="AH29" s="2">
        <v>14.57259059913217</v>
      </c>
      <c r="AI29" s="2">
        <v>3.9243975331892682</v>
      </c>
      <c r="AJ29" s="2">
        <v>-338.19149398385218</v>
      </c>
      <c r="AK29" s="2">
        <v>-81.46431137485024</v>
      </c>
      <c r="AL29" s="2">
        <v>0</v>
      </c>
      <c r="AM29" s="2">
        <v>-89.342494078263854</v>
      </c>
      <c r="AN29" s="2">
        <v>187</v>
      </c>
      <c r="AO29" s="2">
        <v>146.17319553807769</v>
      </c>
      <c r="AP29" s="2">
        <v>247.79905173862801</v>
      </c>
      <c r="AQ29" s="2">
        <v>14.740701368051051</v>
      </c>
      <c r="AR29" s="2">
        <v>-435.37723640855398</v>
      </c>
      <c r="AS29" s="2">
        <v>0</v>
      </c>
      <c r="AT29" s="2">
        <v>-671.44399822407092</v>
      </c>
      <c r="AU29" s="1">
        <v>142.86799999999999</v>
      </c>
      <c r="AV29" s="2">
        <v>16.663387001369841</v>
      </c>
      <c r="AW29" s="2">
        <v>-439.53811711049627</v>
      </c>
      <c r="AX29" s="2">
        <v>146.17319553807769</v>
      </c>
      <c r="AZ29" s="1">
        <f t="shared" si="37"/>
        <v>109.58199999999999</v>
      </c>
      <c r="BA29" s="2">
        <f t="shared" si="38"/>
        <v>14.57259059913217</v>
      </c>
      <c r="BB29" s="7">
        <f t="shared" si="39"/>
        <v>-338.19149398385218</v>
      </c>
      <c r="BC29" s="1">
        <f t="shared" si="40"/>
        <v>33.286000000000001</v>
      </c>
      <c r="BD29" s="2">
        <f t="shared" si="41"/>
        <v>3.9243975331892682</v>
      </c>
      <c r="BE29" s="2">
        <f t="shared" si="42"/>
        <v>-81.46431137485024</v>
      </c>
      <c r="BF29" s="2">
        <f t="shared" si="43"/>
        <v>0</v>
      </c>
      <c r="BG29" s="7">
        <f t="shared" si="44"/>
        <v>-89.342494078263854</v>
      </c>
      <c r="BH29" s="1">
        <f t="shared" si="45"/>
        <v>142.86799999999999</v>
      </c>
      <c r="BI29" s="2">
        <f t="shared" si="46"/>
        <v>18.496988132321437</v>
      </c>
      <c r="BJ29" s="2">
        <f t="shared" si="47"/>
        <v>419.65580535870242</v>
      </c>
      <c r="BK29" s="2">
        <f t="shared" si="48"/>
        <v>0</v>
      </c>
      <c r="BL29" s="7">
        <f t="shared" si="49"/>
        <v>-89.342494078263854</v>
      </c>
      <c r="BM29" s="2"/>
      <c r="BN29" s="1">
        <f t="shared" si="61"/>
        <v>142.86799999999999</v>
      </c>
      <c r="BO29" s="4">
        <v>0</v>
      </c>
      <c r="BP29" s="2">
        <f t="shared" si="21"/>
        <v>142.86799999999999</v>
      </c>
      <c r="BQ29" s="2">
        <f t="shared" si="52"/>
        <v>146.17319553807769</v>
      </c>
      <c r="BR29" s="3">
        <f t="shared" si="53"/>
        <v>0.97738849776177528</v>
      </c>
      <c r="BS29" s="1">
        <f t="shared" si="54"/>
        <v>187</v>
      </c>
      <c r="BT29" s="2">
        <f t="shared" si="55"/>
        <v>247.79905173862801</v>
      </c>
      <c r="BU29" s="21">
        <f t="shared" si="56"/>
        <v>0.75464372719732087</v>
      </c>
      <c r="BV29" s="2" t="str">
        <f t="shared" si="57"/>
        <v/>
      </c>
      <c r="BW29" s="2" t="str">
        <f t="shared" si="58"/>
        <v/>
      </c>
      <c r="BX29" s="21" t="str">
        <f t="shared" si="59"/>
        <v/>
      </c>
      <c r="BY29" s="15"/>
    </row>
    <row r="30" spans="1:77" x14ac:dyDescent="0.25">
      <c r="A30" t="str">
        <f t="shared" si="22"/>
        <v>Travée</v>
      </c>
      <c r="B30" t="b">
        <f t="shared" si="0"/>
        <v>1</v>
      </c>
      <c r="C30">
        <f t="shared" si="1"/>
        <v>2</v>
      </c>
      <c r="D30" s="5" t="s">
        <v>96</v>
      </c>
      <c r="E30" t="s">
        <v>55</v>
      </c>
      <c r="F30" s="5">
        <v>25</v>
      </c>
      <c r="G30" t="s">
        <v>46</v>
      </c>
      <c r="H30">
        <v>500</v>
      </c>
      <c r="I30">
        <v>170000</v>
      </c>
      <c r="J30">
        <v>1300</v>
      </c>
      <c r="K30" s="10">
        <v>1445</v>
      </c>
      <c r="L30" s="12">
        <v>1</v>
      </c>
      <c r="M30" s="5">
        <v>0.22</v>
      </c>
      <c r="N30" s="10">
        <v>2.33</v>
      </c>
      <c r="O30" s="5">
        <v>1.0460000000000001E-3</v>
      </c>
      <c r="P30">
        <v>0.04</v>
      </c>
      <c r="Q30" s="10">
        <v>1</v>
      </c>
      <c r="R30" s="8">
        <v>0</v>
      </c>
      <c r="S30">
        <v>0</v>
      </c>
      <c r="T30">
        <v>1</v>
      </c>
      <c r="U30" s="9">
        <v>1.92E-4</v>
      </c>
      <c r="V30">
        <v>0</v>
      </c>
      <c r="W30" s="10">
        <v>1</v>
      </c>
      <c r="X30" s="1">
        <v>40.50432</v>
      </c>
      <c r="Y30" s="2">
        <v>12.30336</v>
      </c>
      <c r="Z30" s="13">
        <v>0</v>
      </c>
      <c r="AA30" s="2">
        <v>40.50432</v>
      </c>
      <c r="AB30" s="2">
        <v>12.30336</v>
      </c>
      <c r="AC30" s="2">
        <v>69.12</v>
      </c>
      <c r="AD30" s="2"/>
      <c r="AE30" s="7">
        <v>52.807679999999998</v>
      </c>
      <c r="AF30" s="2">
        <v>40.50432</v>
      </c>
      <c r="AG30" s="2">
        <v>12.30336</v>
      </c>
      <c r="AH30" s="2">
        <v>6.9737200324044144</v>
      </c>
      <c r="AI30" s="2">
        <v>1.88971013039633</v>
      </c>
      <c r="AJ30" s="2">
        <v>-227.66272533761179</v>
      </c>
      <c r="AK30" s="2">
        <v>-55.798601207034721</v>
      </c>
      <c r="AL30" s="2">
        <v>0</v>
      </c>
      <c r="AM30" s="2">
        <v>-60.236607836917443</v>
      </c>
      <c r="AN30" s="2">
        <v>69.12</v>
      </c>
      <c r="AO30" s="2">
        <v>83.698138794433987</v>
      </c>
      <c r="AP30" s="2">
        <v>134.58976142120721</v>
      </c>
      <c r="AQ30" s="2">
        <v>7.5013209838534491</v>
      </c>
      <c r="AR30" s="2">
        <v>-320.29059641141669</v>
      </c>
      <c r="AS30" s="2">
        <v>0</v>
      </c>
      <c r="AT30" s="2">
        <v>-352.27243526715921</v>
      </c>
      <c r="AU30" s="1">
        <v>52.807679999999998</v>
      </c>
      <c r="AV30" s="2">
        <v>6.5006909861975641</v>
      </c>
      <c r="AW30" s="2">
        <v>-303.75131334281542</v>
      </c>
      <c r="AX30" s="2">
        <v>83.698138794433987</v>
      </c>
      <c r="AZ30" s="1">
        <f t="shared" si="37"/>
        <v>40.50432</v>
      </c>
      <c r="BA30" s="2">
        <f t="shared" si="38"/>
        <v>6.9737200324044144</v>
      </c>
      <c r="BB30" s="7">
        <f t="shared" si="39"/>
        <v>-227.66272533761179</v>
      </c>
      <c r="BC30" s="1">
        <f t="shared" si="40"/>
        <v>12.30336</v>
      </c>
      <c r="BD30" s="2">
        <f t="shared" si="41"/>
        <v>1.88971013039633</v>
      </c>
      <c r="BE30" s="2">
        <f t="shared" si="42"/>
        <v>-55.798601207034721</v>
      </c>
      <c r="BF30" s="2">
        <f t="shared" si="43"/>
        <v>0</v>
      </c>
      <c r="BG30" s="7">
        <f t="shared" si="44"/>
        <v>-60.236607836917443</v>
      </c>
      <c r="BH30" s="1">
        <f t="shared" si="45"/>
        <v>52.807679999999998</v>
      </c>
      <c r="BI30" s="2">
        <f t="shared" si="46"/>
        <v>8.8634301628007446</v>
      </c>
      <c r="BJ30" s="2">
        <f t="shared" si="47"/>
        <v>283.46132654464651</v>
      </c>
      <c r="BK30" s="2">
        <f t="shared" si="48"/>
        <v>0</v>
      </c>
      <c r="BL30" s="7">
        <f t="shared" si="49"/>
        <v>-60.236607836917443</v>
      </c>
      <c r="BM30" s="2"/>
      <c r="BN30" s="1">
        <f t="shared" si="61"/>
        <v>52.807679999999998</v>
      </c>
      <c r="BO30" s="4" t="str">
        <f t="shared" ref="BO30" si="80">IF(ISNUMBER(SEARCH("Appui",E30)),0,"0")</f>
        <v>0</v>
      </c>
      <c r="BP30" s="2">
        <f t="shared" si="21"/>
        <v>52.807679999999998</v>
      </c>
      <c r="BQ30" s="2">
        <f t="shared" si="52"/>
        <v>83.698138794433987</v>
      </c>
      <c r="BR30" s="3">
        <f t="shared" si="53"/>
        <v>0.63093015879000358</v>
      </c>
      <c r="BS30" s="1">
        <f t="shared" si="54"/>
        <v>69.12</v>
      </c>
      <c r="BT30" s="2">
        <f t="shared" si="55"/>
        <v>134.58976142120721</v>
      </c>
      <c r="BU30" s="21">
        <f t="shared" si="56"/>
        <v>0.51356061018404342</v>
      </c>
      <c r="BV30" s="2">
        <f t="shared" si="57"/>
        <v>162.62</v>
      </c>
      <c r="BW30" s="2">
        <f t="shared" si="58"/>
        <v>258.48928729052125</v>
      </c>
      <c r="BX30" s="21">
        <f t="shared" si="59"/>
        <v>1.5895295000032053</v>
      </c>
      <c r="BY30" s="10" t="str">
        <f t="shared" ref="BY30" si="81">IF(C28&lt;C30,"Rive",IF(C32&gt;C30,"Rive","Inter"))</f>
        <v>Rive</v>
      </c>
    </row>
    <row r="31" spans="1:77" x14ac:dyDescent="0.25">
      <c r="A31" t="str">
        <f t="shared" si="22"/>
        <v/>
      </c>
      <c r="B31" t="b">
        <f>MOD(C31,2)=0</f>
        <v>1</v>
      </c>
      <c r="C31">
        <f>IF(D31="",100000,IF(D31=D29,C29,C29+1))</f>
        <v>2</v>
      </c>
      <c r="D31" s="5" t="s">
        <v>96</v>
      </c>
      <c r="F31" s="5"/>
      <c r="K31" s="10"/>
      <c r="L31" s="12"/>
      <c r="M31" s="5"/>
      <c r="N31" s="10"/>
      <c r="O31" s="5"/>
      <c r="Q31" s="10"/>
      <c r="R31" s="8"/>
      <c r="U31" s="9"/>
      <c r="W31" s="10"/>
      <c r="X31" s="1"/>
      <c r="Y31" s="2"/>
      <c r="Z31" s="13"/>
      <c r="AA31" s="2"/>
      <c r="AB31" s="2"/>
      <c r="AC31" s="2"/>
      <c r="AD31" s="2"/>
      <c r="AE31" s="7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1"/>
      <c r="AV31" s="2"/>
      <c r="AW31" s="2"/>
      <c r="AX31" s="2"/>
      <c r="AZ31" s="1">
        <f t="shared" si="37"/>
        <v>0</v>
      </c>
      <c r="BA31" s="2">
        <f t="shared" si="38"/>
        <v>0</v>
      </c>
      <c r="BB31" s="7">
        <f t="shared" si="39"/>
        <v>0</v>
      </c>
      <c r="BC31" s="1">
        <f t="shared" si="40"/>
        <v>0</v>
      </c>
      <c r="BD31" s="2">
        <f t="shared" si="41"/>
        <v>0</v>
      </c>
      <c r="BE31" s="2">
        <f t="shared" si="42"/>
        <v>0</v>
      </c>
      <c r="BF31" s="2">
        <f t="shared" si="43"/>
        <v>0</v>
      </c>
      <c r="BG31" s="7">
        <f t="shared" si="44"/>
        <v>0</v>
      </c>
      <c r="BH31" s="1">
        <f t="shared" si="45"/>
        <v>0</v>
      </c>
      <c r="BI31" s="2">
        <f t="shared" si="46"/>
        <v>0</v>
      </c>
      <c r="BJ31" s="2">
        <f t="shared" si="47"/>
        <v>0</v>
      </c>
      <c r="BK31" s="2">
        <f t="shared" si="48"/>
        <v>0</v>
      </c>
      <c r="BL31" s="7">
        <f t="shared" si="49"/>
        <v>0</v>
      </c>
      <c r="BM31" s="2"/>
      <c r="BN31" s="1">
        <f t="shared" si="61"/>
        <v>0</v>
      </c>
      <c r="BO31" s="4">
        <v>0</v>
      </c>
      <c r="BP31" s="2">
        <f t="shared" si="21"/>
        <v>0</v>
      </c>
      <c r="BQ31" s="2">
        <f t="shared" si="52"/>
        <v>0</v>
      </c>
      <c r="BR31" s="3" t="e">
        <f t="shared" si="53"/>
        <v>#DIV/0!</v>
      </c>
      <c r="BS31" s="1">
        <f t="shared" si="54"/>
        <v>0</v>
      </c>
      <c r="BT31" s="2">
        <f t="shared" si="55"/>
        <v>0</v>
      </c>
      <c r="BU31" s="21" t="e">
        <f t="shared" si="56"/>
        <v>#DIV/0!</v>
      </c>
      <c r="BV31" s="2" t="str">
        <f t="shared" si="57"/>
        <v/>
      </c>
      <c r="BW31" s="2" t="str">
        <f t="shared" si="58"/>
        <v/>
      </c>
      <c r="BX31" s="21" t="str">
        <f t="shared" si="59"/>
        <v/>
      </c>
      <c r="BY31" s="15"/>
    </row>
    <row r="32" spans="1:77" x14ac:dyDescent="0.25">
      <c r="A32" t="str">
        <f t="shared" si="22"/>
        <v>Travée</v>
      </c>
      <c r="B32" t="b">
        <f t="shared" ref="B32:B66" si="82">MOD(C32,2)=0</f>
        <v>0</v>
      </c>
      <c r="C32">
        <f t="shared" ref="C32:C66" si="83">IF(D32="",100000,IF(D32=D30,C30,C30+1))</f>
        <v>3</v>
      </c>
      <c r="D32" s="5" t="s">
        <v>101</v>
      </c>
      <c r="E32" t="s">
        <v>45</v>
      </c>
      <c r="F32" s="5">
        <v>25</v>
      </c>
      <c r="G32" t="s">
        <v>46</v>
      </c>
      <c r="H32">
        <v>500</v>
      </c>
      <c r="I32">
        <v>170000</v>
      </c>
      <c r="J32">
        <v>1300</v>
      </c>
      <c r="K32" s="10">
        <v>1445</v>
      </c>
      <c r="L32" s="12">
        <v>1</v>
      </c>
      <c r="M32" s="5">
        <v>0.25</v>
      </c>
      <c r="N32" s="10">
        <v>2.33</v>
      </c>
      <c r="O32" s="5">
        <v>5.9000000000000003E-4</v>
      </c>
      <c r="P32">
        <v>0.04</v>
      </c>
      <c r="Q32" s="10">
        <v>1</v>
      </c>
      <c r="R32" s="8">
        <v>0</v>
      </c>
      <c r="S32">
        <v>0</v>
      </c>
      <c r="T32">
        <v>1</v>
      </c>
      <c r="U32" s="9">
        <v>0</v>
      </c>
      <c r="V32">
        <v>0</v>
      </c>
      <c r="W32" s="10">
        <v>1</v>
      </c>
      <c r="X32" s="1">
        <v>31.503360000000001</v>
      </c>
      <c r="Y32" s="2">
        <v>9.5692799999999991</v>
      </c>
      <c r="Z32" s="13">
        <v>0</v>
      </c>
      <c r="AA32" s="2">
        <v>31.503360000000001</v>
      </c>
      <c r="AB32" s="2">
        <v>9.5692799999999991</v>
      </c>
      <c r="AC32" s="2">
        <v>53.76</v>
      </c>
      <c r="AD32" s="2"/>
      <c r="AE32" s="7">
        <v>41.072639999999993</v>
      </c>
      <c r="AF32" s="2">
        <v>31.503360000000001</v>
      </c>
      <c r="AG32" s="2">
        <v>9.5692799999999991</v>
      </c>
      <c r="AH32" s="2">
        <v>5.4882952582108064</v>
      </c>
      <c r="AI32" s="2">
        <v>1.66709309891045</v>
      </c>
      <c r="AJ32" s="2">
        <v>-264.74477471061078</v>
      </c>
      <c r="AK32" s="2">
        <v>-80.417354775578019</v>
      </c>
      <c r="AL32" s="2">
        <v>0</v>
      </c>
      <c r="AM32" s="2">
        <v>0</v>
      </c>
      <c r="AN32" s="2">
        <v>53.76</v>
      </c>
      <c r="AO32" s="2">
        <v>56.605965021685293</v>
      </c>
      <c r="AP32" s="2">
        <v>56.605965021685293</v>
      </c>
      <c r="AQ32" s="2">
        <v>13.88598595308452</v>
      </c>
      <c r="AR32" s="2">
        <v>-445.08015694910472</v>
      </c>
      <c r="AS32" s="2">
        <v>0</v>
      </c>
      <c r="AT32" s="2">
        <v>0</v>
      </c>
      <c r="AU32" s="1">
        <v>41.072639999999993</v>
      </c>
      <c r="AV32" s="2">
        <v>5.1193449442340961</v>
      </c>
      <c r="AW32" s="2">
        <v>-350.69106288229523</v>
      </c>
      <c r="AX32" s="2">
        <v>56.605965021685293</v>
      </c>
      <c r="AZ32" s="1">
        <f t="shared" si="37"/>
        <v>31.503360000000001</v>
      </c>
      <c r="BA32" s="2">
        <f t="shared" si="38"/>
        <v>5.4882952582108064</v>
      </c>
      <c r="BB32" s="7">
        <f t="shared" si="39"/>
        <v>-264.74477471061078</v>
      </c>
      <c r="BC32" s="1">
        <f t="shared" si="40"/>
        <v>9.5692799999999991</v>
      </c>
      <c r="BD32" s="2">
        <f t="shared" si="41"/>
        <v>1.66709309891045</v>
      </c>
      <c r="BE32" s="2">
        <f t="shared" si="42"/>
        <v>-80.417354775578019</v>
      </c>
      <c r="BF32" s="2">
        <f t="shared" si="43"/>
        <v>0</v>
      </c>
      <c r="BG32" s="7">
        <f t="shared" si="44"/>
        <v>0</v>
      </c>
      <c r="BH32" s="1">
        <f t="shared" si="45"/>
        <v>41.07264</v>
      </c>
      <c r="BI32" s="2">
        <f t="shared" si="46"/>
        <v>7.1553883571212564</v>
      </c>
      <c r="BJ32" s="2">
        <f t="shared" si="47"/>
        <v>345.1621294861888</v>
      </c>
      <c r="BK32" s="2">
        <f t="shared" si="48"/>
        <v>0</v>
      </c>
      <c r="BL32" s="7">
        <f t="shared" si="49"/>
        <v>0</v>
      </c>
      <c r="BM32" s="2"/>
      <c r="BN32" s="1">
        <f t="shared" si="61"/>
        <v>41.072639999999993</v>
      </c>
      <c r="BO32" s="4" t="str">
        <f t="shared" ref="BO32" si="84">IF(ISNUMBER(SEARCH("Appui",E32)),0,"0")</f>
        <v>0</v>
      </c>
      <c r="BP32" s="2">
        <f t="shared" si="21"/>
        <v>41.072639999999993</v>
      </c>
      <c r="BQ32" s="2">
        <f t="shared" si="52"/>
        <v>56.605965021685293</v>
      </c>
      <c r="BR32" s="3">
        <f t="shared" si="53"/>
        <v>0.72558854856136434</v>
      </c>
      <c r="BS32" s="1">
        <f t="shared" si="54"/>
        <v>53.76</v>
      </c>
      <c r="BT32" s="2">
        <f t="shared" si="55"/>
        <v>56.605965021685293</v>
      </c>
      <c r="BU32" s="21">
        <f t="shared" si="56"/>
        <v>0.94972323110126244</v>
      </c>
      <c r="BV32" s="2">
        <f t="shared" si="57"/>
        <v>84.01</v>
      </c>
      <c r="BW32" s="2">
        <f t="shared" si="58"/>
        <v>134.0409122707151</v>
      </c>
      <c r="BX32" s="21">
        <f t="shared" si="59"/>
        <v>1.5955352014131066</v>
      </c>
      <c r="BY32" s="10" t="str">
        <f t="shared" ref="BY32" si="85">IF(C30&lt;C32,"Rive",IF(C34&gt;C32,"Rive","Inter"))</f>
        <v>Rive</v>
      </c>
    </row>
    <row r="33" spans="1:77" x14ac:dyDescent="0.25">
      <c r="A33" t="str">
        <f t="shared" si="22"/>
        <v>Appui</v>
      </c>
      <c r="B33" t="b">
        <f t="shared" si="82"/>
        <v>0</v>
      </c>
      <c r="C33">
        <f t="shared" si="83"/>
        <v>3</v>
      </c>
      <c r="D33" s="5" t="s">
        <v>101</v>
      </c>
      <c r="E33" t="s">
        <v>47</v>
      </c>
      <c r="F33" s="5">
        <v>25</v>
      </c>
      <c r="G33" t="s">
        <v>46</v>
      </c>
      <c r="H33">
        <v>500</v>
      </c>
      <c r="I33">
        <v>170000</v>
      </c>
      <c r="J33">
        <v>1300</v>
      </c>
      <c r="K33" s="10">
        <v>1445</v>
      </c>
      <c r="L33" s="12">
        <v>1</v>
      </c>
      <c r="M33" s="5">
        <v>0.25</v>
      </c>
      <c r="N33" s="10">
        <v>2.33</v>
      </c>
      <c r="O33" s="5">
        <v>2.0690000000000001E-3</v>
      </c>
      <c r="P33">
        <v>6.9999999999999993E-2</v>
      </c>
      <c r="Q33" s="10">
        <v>1</v>
      </c>
      <c r="R33" s="8">
        <v>0</v>
      </c>
      <c r="S33">
        <v>0</v>
      </c>
      <c r="T33">
        <v>1</v>
      </c>
      <c r="U33" s="9">
        <v>0</v>
      </c>
      <c r="V33">
        <v>0</v>
      </c>
      <c r="W33" s="10">
        <v>1</v>
      </c>
      <c r="X33" s="1">
        <v>35.453000000000003</v>
      </c>
      <c r="Y33" s="2">
        <v>10.769</v>
      </c>
      <c r="Z33" s="13">
        <v>0</v>
      </c>
      <c r="AA33" s="2">
        <v>35.453000000000003</v>
      </c>
      <c r="AB33" s="2">
        <v>10.769</v>
      </c>
      <c r="AC33" s="2">
        <v>60.500000000000007</v>
      </c>
      <c r="AD33" s="2"/>
      <c r="AE33" s="7">
        <v>46.222000000000001</v>
      </c>
      <c r="AF33" s="2">
        <v>35.453000000000003</v>
      </c>
      <c r="AG33" s="2">
        <v>10.769</v>
      </c>
      <c r="AH33" s="2">
        <v>4.5910880048072578</v>
      </c>
      <c r="AI33" s="2">
        <v>1.3945625680131251</v>
      </c>
      <c r="AJ33" s="2">
        <v>-102.8310680277782</v>
      </c>
      <c r="AK33" s="2">
        <v>-31.2353756125333</v>
      </c>
      <c r="AL33" s="2">
        <v>0</v>
      </c>
      <c r="AM33" s="2">
        <v>0</v>
      </c>
      <c r="AN33" s="2">
        <v>60.500000000000007</v>
      </c>
      <c r="AO33" s="2">
        <v>154.86989449805961</v>
      </c>
      <c r="AP33" s="2">
        <v>154.86989449805961</v>
      </c>
      <c r="AQ33" s="2">
        <v>5.7827015028128113</v>
      </c>
      <c r="AR33" s="2">
        <v>-180.7717342886601</v>
      </c>
      <c r="AS33" s="2">
        <v>0</v>
      </c>
      <c r="AT33" s="2">
        <v>0</v>
      </c>
      <c r="AU33" s="1">
        <v>46.222000000000001</v>
      </c>
      <c r="AV33" s="2">
        <v>4.4839299624572604</v>
      </c>
      <c r="AW33" s="2">
        <v>-137.92912489003649</v>
      </c>
      <c r="AX33" s="2">
        <v>154.86989449805961</v>
      </c>
      <c r="AZ33" s="1">
        <f t="shared" si="37"/>
        <v>35.453000000000003</v>
      </c>
      <c r="BA33" s="2">
        <f t="shared" si="38"/>
        <v>4.5910880048072578</v>
      </c>
      <c r="BB33" s="7">
        <f t="shared" si="39"/>
        <v>-102.8310680277782</v>
      </c>
      <c r="BC33" s="1">
        <f t="shared" si="40"/>
        <v>10.769</v>
      </c>
      <c r="BD33" s="2">
        <f t="shared" si="41"/>
        <v>1.3945625680131251</v>
      </c>
      <c r="BE33" s="2">
        <f t="shared" si="42"/>
        <v>-31.2353756125333</v>
      </c>
      <c r="BF33" s="2">
        <f t="shared" si="43"/>
        <v>0</v>
      </c>
      <c r="BG33" s="7">
        <f t="shared" si="44"/>
        <v>0</v>
      </c>
      <c r="BH33" s="1">
        <f t="shared" si="45"/>
        <v>46.222000000000001</v>
      </c>
      <c r="BI33" s="2">
        <f t="shared" si="46"/>
        <v>5.9856505728203828</v>
      </c>
      <c r="BJ33" s="2">
        <f t="shared" si="47"/>
        <v>134.06644364031149</v>
      </c>
      <c r="BK33" s="2">
        <f t="shared" si="48"/>
        <v>0</v>
      </c>
      <c r="BL33" s="7">
        <f t="shared" si="49"/>
        <v>0</v>
      </c>
      <c r="BM33" s="2"/>
      <c r="BN33" s="1">
        <f t="shared" si="61"/>
        <v>46.222000000000001</v>
      </c>
      <c r="BO33" s="4">
        <v>0</v>
      </c>
      <c r="BP33" s="2">
        <f t="shared" si="21"/>
        <v>46.222000000000001</v>
      </c>
      <c r="BQ33" s="2">
        <f t="shared" si="52"/>
        <v>154.86989449805961</v>
      </c>
      <c r="BR33" s="3">
        <f t="shared" si="53"/>
        <v>0.29845697351191214</v>
      </c>
      <c r="BS33" s="1">
        <f t="shared" si="54"/>
        <v>60.500000000000007</v>
      </c>
      <c r="BT33" s="2">
        <f t="shared" si="55"/>
        <v>154.86989449805961</v>
      </c>
      <c r="BU33" s="21">
        <f t="shared" si="56"/>
        <v>0.39065048888993736</v>
      </c>
      <c r="BV33" s="2" t="str">
        <f t="shared" si="57"/>
        <v/>
      </c>
      <c r="BW33" s="2" t="str">
        <f t="shared" si="58"/>
        <v/>
      </c>
      <c r="BX33" s="21" t="str">
        <f t="shared" si="59"/>
        <v/>
      </c>
      <c r="BY33" s="15"/>
    </row>
    <row r="34" spans="1:77" x14ac:dyDescent="0.25">
      <c r="A34" t="str">
        <f t="shared" si="22"/>
        <v>Travée</v>
      </c>
      <c r="B34" t="b">
        <f t="shared" si="82"/>
        <v>0</v>
      </c>
      <c r="C34">
        <f t="shared" si="83"/>
        <v>3</v>
      </c>
      <c r="D34" s="5" t="s">
        <v>101</v>
      </c>
      <c r="E34" t="s">
        <v>48</v>
      </c>
      <c r="F34" s="5">
        <v>25</v>
      </c>
      <c r="G34" t="s">
        <v>46</v>
      </c>
      <c r="H34">
        <v>500</v>
      </c>
      <c r="I34">
        <v>170000</v>
      </c>
      <c r="J34">
        <v>1300</v>
      </c>
      <c r="K34" s="10">
        <v>1445</v>
      </c>
      <c r="L34" s="12">
        <v>1</v>
      </c>
      <c r="M34" s="5">
        <v>0.25</v>
      </c>
      <c r="N34" s="10">
        <v>2.33</v>
      </c>
      <c r="O34" s="5">
        <v>5.9000000000000003E-4</v>
      </c>
      <c r="P34">
        <v>0.04</v>
      </c>
      <c r="Q34" s="10">
        <v>1</v>
      </c>
      <c r="R34" s="8">
        <v>0</v>
      </c>
      <c r="S34">
        <v>0</v>
      </c>
      <c r="T34">
        <v>1</v>
      </c>
      <c r="U34" s="9">
        <v>0</v>
      </c>
      <c r="V34">
        <v>0</v>
      </c>
      <c r="W34" s="10">
        <v>1</v>
      </c>
      <c r="X34" s="1">
        <v>3.7504</v>
      </c>
      <c r="Y34" s="2">
        <v>1.1392</v>
      </c>
      <c r="Z34" s="13">
        <v>0</v>
      </c>
      <c r="AA34" s="2">
        <v>3.7504</v>
      </c>
      <c r="AB34" s="2">
        <v>1.1392</v>
      </c>
      <c r="AC34" s="2">
        <v>6.4</v>
      </c>
      <c r="AD34" s="2"/>
      <c r="AE34" s="7">
        <v>4.8895999999999997</v>
      </c>
      <c r="AF34" s="2">
        <v>3.7504</v>
      </c>
      <c r="AG34" s="2">
        <v>1.1392</v>
      </c>
      <c r="AH34" s="2">
        <v>0.65336848312033413</v>
      </c>
      <c r="AI34" s="2">
        <v>0.19846325481590091</v>
      </c>
      <c r="AJ34" s="2">
        <v>-31.517235084596528</v>
      </c>
      <c r="AK34" s="2">
        <v>-9.5734952989367237</v>
      </c>
      <c r="AL34" s="2">
        <v>0</v>
      </c>
      <c r="AM34" s="2">
        <v>0</v>
      </c>
      <c r="AN34" s="2">
        <v>6.4</v>
      </c>
      <c r="AO34" s="2">
        <v>56.605965021685293</v>
      </c>
      <c r="AP34" s="2">
        <v>56.605965021685293</v>
      </c>
      <c r="AQ34" s="2">
        <v>0.83637591958384838</v>
      </c>
      <c r="AR34" s="2">
        <v>-54.529073452733719</v>
      </c>
      <c r="AS34" s="2">
        <v>0</v>
      </c>
      <c r="AT34" s="2">
        <v>0</v>
      </c>
      <c r="AU34" s="1">
        <v>4.8895999999999997</v>
      </c>
      <c r="AV34" s="2">
        <v>0.64022161012592216</v>
      </c>
      <c r="AW34" s="2">
        <v>-41.656566420926701</v>
      </c>
      <c r="AX34" s="2">
        <v>56.605965021685293</v>
      </c>
      <c r="AZ34" s="1">
        <f t="shared" si="37"/>
        <v>3.7504</v>
      </c>
      <c r="BA34" s="2">
        <f t="shared" si="38"/>
        <v>0.65336848312033413</v>
      </c>
      <c r="BB34" s="7">
        <f t="shared" si="39"/>
        <v>-31.517235084596528</v>
      </c>
      <c r="BC34" s="1">
        <f t="shared" si="40"/>
        <v>1.1392</v>
      </c>
      <c r="BD34" s="2">
        <f t="shared" si="41"/>
        <v>0.19846325481590091</v>
      </c>
      <c r="BE34" s="2">
        <f t="shared" si="42"/>
        <v>-9.5734952989367237</v>
      </c>
      <c r="BF34" s="2">
        <f t="shared" si="43"/>
        <v>0</v>
      </c>
      <c r="BG34" s="7">
        <f t="shared" si="44"/>
        <v>0</v>
      </c>
      <c r="BH34" s="1">
        <f t="shared" si="45"/>
        <v>4.8895999999999997</v>
      </c>
      <c r="BI34" s="2">
        <f t="shared" si="46"/>
        <v>0.85183173793623501</v>
      </c>
      <c r="BJ34" s="2">
        <f t="shared" si="47"/>
        <v>41.090730383533256</v>
      </c>
      <c r="BK34" s="2">
        <f t="shared" si="48"/>
        <v>0</v>
      </c>
      <c r="BL34" s="7">
        <f t="shared" si="49"/>
        <v>0</v>
      </c>
      <c r="BM34" s="2"/>
      <c r="BN34" s="1">
        <f t="shared" si="61"/>
        <v>4.8895999999999997</v>
      </c>
      <c r="BO34" s="4" t="str">
        <f t="shared" ref="BO34" si="86">IF(ISNUMBER(SEARCH("Appui",E34)),0,"0")</f>
        <v>0</v>
      </c>
      <c r="BP34" s="2">
        <f t="shared" si="21"/>
        <v>4.8895999999999997</v>
      </c>
      <c r="BQ34" s="2">
        <f t="shared" si="52"/>
        <v>56.605965021685293</v>
      </c>
      <c r="BR34" s="3">
        <f t="shared" si="53"/>
        <v>8.6379589114448152E-2</v>
      </c>
      <c r="BS34" s="1">
        <f t="shared" si="54"/>
        <v>6.4</v>
      </c>
      <c r="BT34" s="2">
        <f t="shared" si="55"/>
        <v>56.605965021685293</v>
      </c>
      <c r="BU34" s="21">
        <f t="shared" si="56"/>
        <v>0.11306228941681697</v>
      </c>
      <c r="BV34" s="2">
        <f t="shared" si="57"/>
        <v>66.900000000000006</v>
      </c>
      <c r="BW34" s="2">
        <f t="shared" si="58"/>
        <v>193.78871258691146</v>
      </c>
      <c r="BX34" s="21">
        <f t="shared" si="59"/>
        <v>2.8966922658731158</v>
      </c>
      <c r="BY34" s="10" t="str">
        <f t="shared" ref="BY34" si="87">IF(C32&lt;C34,"Rive",IF(C36&gt;C34,"Rive","Inter"))</f>
        <v>Inter</v>
      </c>
    </row>
    <row r="35" spans="1:77" x14ac:dyDescent="0.25">
      <c r="A35" t="str">
        <f t="shared" si="22"/>
        <v>Appui</v>
      </c>
      <c r="B35" t="b">
        <f t="shared" si="82"/>
        <v>0</v>
      </c>
      <c r="C35">
        <f t="shared" si="83"/>
        <v>3</v>
      </c>
      <c r="D35" s="5" t="s">
        <v>101</v>
      </c>
      <c r="E35" t="s">
        <v>49</v>
      </c>
      <c r="F35" s="5">
        <v>25</v>
      </c>
      <c r="G35" t="s">
        <v>46</v>
      </c>
      <c r="H35">
        <v>500</v>
      </c>
      <c r="I35">
        <v>170000</v>
      </c>
      <c r="J35">
        <v>1300</v>
      </c>
      <c r="K35" s="10">
        <v>1445</v>
      </c>
      <c r="L35" s="12">
        <v>1</v>
      </c>
      <c r="M35" s="5">
        <v>0.25</v>
      </c>
      <c r="N35" s="10">
        <v>2.33</v>
      </c>
      <c r="O35" s="5">
        <v>1.9400000000000001E-3</v>
      </c>
      <c r="P35">
        <v>9.9999999999999992E-2</v>
      </c>
      <c r="Q35" s="10">
        <v>1</v>
      </c>
      <c r="R35" s="8">
        <v>0</v>
      </c>
      <c r="S35">
        <v>0</v>
      </c>
      <c r="T35">
        <v>1</v>
      </c>
      <c r="U35" s="9">
        <v>0</v>
      </c>
      <c r="V35">
        <v>0</v>
      </c>
      <c r="W35" s="10">
        <v>1</v>
      </c>
      <c r="X35" s="1">
        <v>35.453000000000003</v>
      </c>
      <c r="Y35" s="2">
        <v>10.769</v>
      </c>
      <c r="Z35" s="13">
        <v>0</v>
      </c>
      <c r="AA35" s="2">
        <v>35.453000000000003</v>
      </c>
      <c r="AB35" s="2">
        <v>10.769</v>
      </c>
      <c r="AC35" s="2">
        <v>60.500000000000007</v>
      </c>
      <c r="AD35" s="2"/>
      <c r="AE35" s="7">
        <v>46.222000000000001</v>
      </c>
      <c r="AF35" s="2">
        <v>35.453000000000003</v>
      </c>
      <c r="AG35" s="2">
        <v>10.769</v>
      </c>
      <c r="AH35" s="2">
        <v>6.3076310102531572</v>
      </c>
      <c r="AI35" s="2">
        <v>1.9159698290530069</v>
      </c>
      <c r="AJ35" s="2">
        <v>-132.18847547237061</v>
      </c>
      <c r="AK35" s="2">
        <v>-40.152813368740567</v>
      </c>
      <c r="AL35" s="2">
        <v>0</v>
      </c>
      <c r="AM35" s="2">
        <v>0</v>
      </c>
      <c r="AN35" s="2">
        <v>60.500000000000007</v>
      </c>
      <c r="AO35" s="2">
        <v>119.49560063239269</v>
      </c>
      <c r="AP35" s="2">
        <v>119.49560063239269</v>
      </c>
      <c r="AQ35" s="2">
        <v>7.7880805431842433</v>
      </c>
      <c r="AR35" s="2">
        <v>-233.10807452638059</v>
      </c>
      <c r="AS35" s="2">
        <v>0</v>
      </c>
      <c r="AT35" s="2">
        <v>0</v>
      </c>
      <c r="AU35" s="1">
        <v>46.222000000000001</v>
      </c>
      <c r="AV35" s="2">
        <v>6.0783727134549919</v>
      </c>
      <c r="AW35" s="2">
        <v>-177.78055901995469</v>
      </c>
      <c r="AX35" s="2">
        <v>119.49560063239269</v>
      </c>
      <c r="AZ35" s="1">
        <f t="shared" si="37"/>
        <v>35.453000000000003</v>
      </c>
      <c r="BA35" s="2">
        <f t="shared" si="38"/>
        <v>6.3076310102531572</v>
      </c>
      <c r="BB35" s="7">
        <f t="shared" si="39"/>
        <v>-132.18847547237061</v>
      </c>
      <c r="BC35" s="1">
        <f t="shared" si="40"/>
        <v>10.769</v>
      </c>
      <c r="BD35" s="2">
        <f t="shared" si="41"/>
        <v>1.9159698290530069</v>
      </c>
      <c r="BE35" s="2">
        <f t="shared" si="42"/>
        <v>-40.152813368740567</v>
      </c>
      <c r="BF35" s="2">
        <f t="shared" si="43"/>
        <v>0</v>
      </c>
      <c r="BG35" s="7">
        <f t="shared" si="44"/>
        <v>0</v>
      </c>
      <c r="BH35" s="1">
        <f t="shared" si="45"/>
        <v>46.222000000000001</v>
      </c>
      <c r="BI35" s="2">
        <f t="shared" si="46"/>
        <v>8.2236008393061635</v>
      </c>
      <c r="BJ35" s="2">
        <f t="shared" si="47"/>
        <v>172.34128884111118</v>
      </c>
      <c r="BK35" s="2">
        <f t="shared" si="48"/>
        <v>0</v>
      </c>
      <c r="BL35" s="7">
        <f t="shared" si="49"/>
        <v>0</v>
      </c>
      <c r="BM35" s="2"/>
      <c r="BN35" s="1">
        <f t="shared" si="61"/>
        <v>46.222000000000001</v>
      </c>
      <c r="BO35" s="4">
        <v>0</v>
      </c>
      <c r="BP35" s="2">
        <f t="shared" si="21"/>
        <v>46.222000000000001</v>
      </c>
      <c r="BQ35" s="2">
        <f t="shared" si="52"/>
        <v>119.49560063239269</v>
      </c>
      <c r="BR35" s="3">
        <f t="shared" si="53"/>
        <v>0.3868092193803343</v>
      </c>
      <c r="BS35" s="1">
        <f t="shared" si="54"/>
        <v>60.500000000000007</v>
      </c>
      <c r="BT35" s="2">
        <f t="shared" si="55"/>
        <v>119.49560063239269</v>
      </c>
      <c r="BU35" s="21">
        <f t="shared" si="56"/>
        <v>0.50629478976483555</v>
      </c>
      <c r="BV35" s="2" t="str">
        <f t="shared" si="57"/>
        <v/>
      </c>
      <c r="BW35" s="2" t="str">
        <f t="shared" si="58"/>
        <v/>
      </c>
      <c r="BX35" s="21" t="str">
        <f t="shared" si="59"/>
        <v/>
      </c>
      <c r="BY35" s="15"/>
    </row>
    <row r="36" spans="1:77" x14ac:dyDescent="0.25">
      <c r="A36" t="str">
        <f t="shared" si="22"/>
        <v>Travée</v>
      </c>
      <c r="B36" t="b">
        <f t="shared" si="82"/>
        <v>0</v>
      </c>
      <c r="C36">
        <f t="shared" si="83"/>
        <v>3</v>
      </c>
      <c r="D36" s="5" t="s">
        <v>101</v>
      </c>
      <c r="E36" t="s">
        <v>51</v>
      </c>
      <c r="F36" s="5">
        <v>25</v>
      </c>
      <c r="G36" t="s">
        <v>46</v>
      </c>
      <c r="H36">
        <v>500</v>
      </c>
      <c r="I36">
        <v>170000</v>
      </c>
      <c r="J36">
        <v>1300</v>
      </c>
      <c r="K36" s="10">
        <v>1445</v>
      </c>
      <c r="L36" s="12">
        <v>1</v>
      </c>
      <c r="M36" s="5">
        <v>0.25</v>
      </c>
      <c r="N36" s="10">
        <v>2.33</v>
      </c>
      <c r="O36" s="5">
        <v>9.0000000000000008E-4</v>
      </c>
      <c r="P36">
        <v>0.04</v>
      </c>
      <c r="Q36" s="10">
        <v>1</v>
      </c>
      <c r="R36" s="8">
        <v>0</v>
      </c>
      <c r="S36">
        <v>0</v>
      </c>
      <c r="T36">
        <v>1</v>
      </c>
      <c r="U36" s="9">
        <v>0</v>
      </c>
      <c r="V36">
        <v>0</v>
      </c>
      <c r="W36" s="10">
        <v>1</v>
      </c>
      <c r="X36" s="1">
        <v>36.003839999999997</v>
      </c>
      <c r="Y36" s="2">
        <v>10.93632</v>
      </c>
      <c r="Z36" s="13">
        <v>0</v>
      </c>
      <c r="AA36" s="2">
        <v>36.003839999999997</v>
      </c>
      <c r="AB36" s="2">
        <v>10.93632</v>
      </c>
      <c r="AC36" s="2">
        <v>61.44</v>
      </c>
      <c r="AD36" s="2"/>
      <c r="AE36" s="7">
        <v>46.940159999999992</v>
      </c>
      <c r="AF36" s="2">
        <v>36.003839999999997</v>
      </c>
      <c r="AG36" s="2">
        <v>10.93632</v>
      </c>
      <c r="AH36" s="2">
        <v>5.196403445119266</v>
      </c>
      <c r="AI36" s="2">
        <v>1.5784297154116509</v>
      </c>
      <c r="AJ36" s="2">
        <v>-200.0768176053208</v>
      </c>
      <c r="AK36" s="2">
        <v>-60.774186917657161</v>
      </c>
      <c r="AL36" s="2">
        <v>0</v>
      </c>
      <c r="AM36" s="2">
        <v>0</v>
      </c>
      <c r="AN36" s="2">
        <v>61.44</v>
      </c>
      <c r="AO36" s="2">
        <v>85.646880764689726</v>
      </c>
      <c r="AP36" s="2">
        <v>85.646880764689726</v>
      </c>
      <c r="AQ36" s="2">
        <v>6.3082577649504117</v>
      </c>
      <c r="AR36" s="2">
        <v>-348.34097343906268</v>
      </c>
      <c r="AS36" s="2">
        <v>0</v>
      </c>
      <c r="AT36" s="2">
        <v>0</v>
      </c>
      <c r="AU36" s="1">
        <v>46.940159999999992</v>
      </c>
      <c r="AV36" s="2">
        <v>4.9035986448128197</v>
      </c>
      <c r="AW36" s="2">
        <v>-265.9019568681635</v>
      </c>
      <c r="AX36" s="2">
        <v>85.646880764689726</v>
      </c>
      <c r="AZ36" s="1">
        <f t="shared" si="37"/>
        <v>36.003839999999997</v>
      </c>
      <c r="BA36" s="2">
        <f t="shared" si="38"/>
        <v>5.196403445119266</v>
      </c>
      <c r="BB36" s="7">
        <f t="shared" si="39"/>
        <v>-200.0768176053208</v>
      </c>
      <c r="BC36" s="1">
        <f t="shared" si="40"/>
        <v>10.93632</v>
      </c>
      <c r="BD36" s="2">
        <f t="shared" si="41"/>
        <v>1.5784297154116509</v>
      </c>
      <c r="BE36" s="2">
        <f t="shared" si="42"/>
        <v>-60.774186917657161</v>
      </c>
      <c r="BF36" s="2">
        <f t="shared" si="43"/>
        <v>0</v>
      </c>
      <c r="BG36" s="7">
        <f t="shared" si="44"/>
        <v>0</v>
      </c>
      <c r="BH36" s="1">
        <f t="shared" si="45"/>
        <v>46.940159999999999</v>
      </c>
      <c r="BI36" s="2">
        <f t="shared" si="46"/>
        <v>6.7748331605309167</v>
      </c>
      <c r="BJ36" s="2">
        <f t="shared" si="47"/>
        <v>260.85100452297797</v>
      </c>
      <c r="BK36" s="2">
        <f t="shared" si="48"/>
        <v>0</v>
      </c>
      <c r="BL36" s="7">
        <f t="shared" si="49"/>
        <v>0</v>
      </c>
      <c r="BM36" s="2"/>
      <c r="BN36" s="1">
        <f t="shared" si="61"/>
        <v>46.940159999999992</v>
      </c>
      <c r="BO36" s="4" t="str">
        <f t="shared" ref="BO36" si="88">IF(ISNUMBER(SEARCH("Appui",E36)),0,"0")</f>
        <v>0</v>
      </c>
      <c r="BP36" s="2">
        <f t="shared" si="21"/>
        <v>46.940159999999992</v>
      </c>
      <c r="BQ36" s="2">
        <f t="shared" si="52"/>
        <v>85.646880764689726</v>
      </c>
      <c r="BR36" s="3">
        <f t="shared" si="53"/>
        <v>0.54806619436574222</v>
      </c>
      <c r="BS36" s="1">
        <f t="shared" si="54"/>
        <v>61.44</v>
      </c>
      <c r="BT36" s="2">
        <f t="shared" si="55"/>
        <v>85.646880764689726</v>
      </c>
      <c r="BU36" s="21">
        <f t="shared" si="56"/>
        <v>0.71736412875097166</v>
      </c>
      <c r="BV36" s="2">
        <f t="shared" si="57"/>
        <v>141.19</v>
      </c>
      <c r="BW36" s="2">
        <f t="shared" si="58"/>
        <v>218.48127884992488</v>
      </c>
      <c r="BX36" s="21">
        <f t="shared" si="59"/>
        <v>1.547427430058254</v>
      </c>
      <c r="BY36" s="10" t="str">
        <f t="shared" ref="BY36" si="89">IF(C34&lt;C36,"Rive",IF(C38&gt;C36,"Rive","Inter"))</f>
        <v>Inter</v>
      </c>
    </row>
    <row r="37" spans="1:77" x14ac:dyDescent="0.25">
      <c r="A37" t="str">
        <f t="shared" si="22"/>
        <v>Appui</v>
      </c>
      <c r="B37" t="b">
        <f t="shared" si="82"/>
        <v>0</v>
      </c>
      <c r="C37">
        <f t="shared" si="83"/>
        <v>3</v>
      </c>
      <c r="D37" s="5" t="s">
        <v>101</v>
      </c>
      <c r="E37" t="s">
        <v>52</v>
      </c>
      <c r="F37" s="5">
        <v>25</v>
      </c>
      <c r="G37" t="s">
        <v>46</v>
      </c>
      <c r="H37">
        <v>500</v>
      </c>
      <c r="I37">
        <v>170000</v>
      </c>
      <c r="J37">
        <v>1300</v>
      </c>
      <c r="K37" s="10">
        <v>1445</v>
      </c>
      <c r="L37" s="12">
        <v>1</v>
      </c>
      <c r="M37" s="5">
        <v>0.25</v>
      </c>
      <c r="N37" s="10">
        <v>2.33</v>
      </c>
      <c r="O37" s="5">
        <v>1.9400000000000001E-3</v>
      </c>
      <c r="P37">
        <v>6.9999999999999993E-2</v>
      </c>
      <c r="Q37" s="10">
        <v>1</v>
      </c>
      <c r="R37" s="8">
        <v>0</v>
      </c>
      <c r="S37">
        <v>0</v>
      </c>
      <c r="T37">
        <v>1</v>
      </c>
      <c r="U37" s="9">
        <v>0</v>
      </c>
      <c r="V37">
        <v>0</v>
      </c>
      <c r="W37" s="10">
        <v>1</v>
      </c>
      <c r="X37" s="1">
        <v>58.014000000000003</v>
      </c>
      <c r="Y37" s="2">
        <v>17.622</v>
      </c>
      <c r="Z37" s="13">
        <v>0</v>
      </c>
      <c r="AA37" s="2">
        <v>58.014000000000003</v>
      </c>
      <c r="AB37" s="2">
        <v>17.622</v>
      </c>
      <c r="AC37" s="2">
        <v>99.000000000000014</v>
      </c>
      <c r="AD37" s="2"/>
      <c r="AE37" s="7">
        <v>75.63600000000001</v>
      </c>
      <c r="AF37" s="2">
        <v>58.014000000000003</v>
      </c>
      <c r="AG37" s="2">
        <v>17.622</v>
      </c>
      <c r="AH37" s="2">
        <v>7.714900905422919</v>
      </c>
      <c r="AI37" s="2">
        <v>2.343434063421979</v>
      </c>
      <c r="AJ37" s="2">
        <v>-179.04255563851001</v>
      </c>
      <c r="AK37" s="2">
        <v>-54.384940108625891</v>
      </c>
      <c r="AL37" s="2">
        <v>0</v>
      </c>
      <c r="AM37" s="2">
        <v>0</v>
      </c>
      <c r="AN37" s="2">
        <v>99.000000000000014</v>
      </c>
      <c r="AO37" s="2">
        <v>146.17319553807761</v>
      </c>
      <c r="AP37" s="2">
        <v>146.17319553807761</v>
      </c>
      <c r="AQ37" s="2">
        <v>9.2449924756670807</v>
      </c>
      <c r="AR37" s="2">
        <v>-315.75591488569933</v>
      </c>
      <c r="AS37" s="2">
        <v>0</v>
      </c>
      <c r="AT37" s="2">
        <v>0</v>
      </c>
      <c r="AU37" s="1">
        <v>75.63600000000001</v>
      </c>
      <c r="AV37" s="2">
        <v>7.270366831290854</v>
      </c>
      <c r="AW37" s="2">
        <v>-240.6296638951238</v>
      </c>
      <c r="AX37" s="2">
        <v>146.17319553807761</v>
      </c>
      <c r="AZ37" s="1">
        <f t="shared" si="37"/>
        <v>58.014000000000003</v>
      </c>
      <c r="BA37" s="2">
        <f t="shared" si="38"/>
        <v>7.714900905422919</v>
      </c>
      <c r="BB37" s="7">
        <f t="shared" si="39"/>
        <v>-179.04255563851001</v>
      </c>
      <c r="BC37" s="1">
        <f t="shared" si="40"/>
        <v>17.622</v>
      </c>
      <c r="BD37" s="2">
        <f t="shared" si="41"/>
        <v>2.343434063421979</v>
      </c>
      <c r="BE37" s="2">
        <f t="shared" si="42"/>
        <v>-54.384940108625891</v>
      </c>
      <c r="BF37" s="2">
        <f t="shared" si="43"/>
        <v>0</v>
      </c>
      <c r="BG37" s="7">
        <f t="shared" si="44"/>
        <v>0</v>
      </c>
      <c r="BH37" s="1">
        <f t="shared" si="45"/>
        <v>75.635999999999996</v>
      </c>
      <c r="BI37" s="2">
        <f t="shared" si="46"/>
        <v>10.058334968844898</v>
      </c>
      <c r="BJ37" s="2">
        <f t="shared" si="47"/>
        <v>233.42749574713591</v>
      </c>
      <c r="BK37" s="2">
        <f t="shared" si="48"/>
        <v>0</v>
      </c>
      <c r="BL37" s="7">
        <f t="shared" si="49"/>
        <v>0</v>
      </c>
      <c r="BM37" s="2"/>
      <c r="BN37" s="1">
        <f t="shared" si="61"/>
        <v>75.63600000000001</v>
      </c>
      <c r="BO37" s="4">
        <v>0</v>
      </c>
      <c r="BP37" s="2">
        <f t="shared" si="21"/>
        <v>75.63600000000001</v>
      </c>
      <c r="BQ37" s="2">
        <f t="shared" si="52"/>
        <v>146.17319553807761</v>
      </c>
      <c r="BR37" s="3">
        <f t="shared" si="53"/>
        <v>0.5174409694032932</v>
      </c>
      <c r="BS37" s="1">
        <f t="shared" si="54"/>
        <v>99.000000000000014</v>
      </c>
      <c r="BT37" s="2">
        <f t="shared" si="55"/>
        <v>146.17319553807761</v>
      </c>
      <c r="BU37" s="21">
        <f t="shared" si="56"/>
        <v>0.67727875576347274</v>
      </c>
      <c r="BV37" s="2" t="str">
        <f t="shared" si="57"/>
        <v/>
      </c>
      <c r="BW37" s="2" t="str">
        <f t="shared" si="58"/>
        <v/>
      </c>
      <c r="BX37" s="21" t="str">
        <f t="shared" si="59"/>
        <v/>
      </c>
      <c r="BY37" s="15"/>
    </row>
    <row r="38" spans="1:77" x14ac:dyDescent="0.25">
      <c r="A38" t="str">
        <f t="shared" si="22"/>
        <v>Travée</v>
      </c>
      <c r="B38" t="b">
        <f t="shared" si="82"/>
        <v>0</v>
      </c>
      <c r="C38">
        <f t="shared" si="83"/>
        <v>3</v>
      </c>
      <c r="D38" s="5" t="s">
        <v>101</v>
      </c>
      <c r="E38" t="s">
        <v>53</v>
      </c>
      <c r="F38" s="5">
        <v>25</v>
      </c>
      <c r="G38" t="s">
        <v>46</v>
      </c>
      <c r="H38">
        <v>500</v>
      </c>
      <c r="I38">
        <v>170000</v>
      </c>
      <c r="J38">
        <v>1300</v>
      </c>
      <c r="K38" s="10">
        <v>1445</v>
      </c>
      <c r="L38" s="12">
        <v>1</v>
      </c>
      <c r="M38" s="5">
        <v>0.25</v>
      </c>
      <c r="N38" s="10">
        <v>2.33</v>
      </c>
      <c r="O38" s="5">
        <v>5.9900000000000003E-4</v>
      </c>
      <c r="P38">
        <v>0.04</v>
      </c>
      <c r="Q38" s="10">
        <v>1</v>
      </c>
      <c r="R38" s="8">
        <v>0</v>
      </c>
      <c r="S38">
        <v>0</v>
      </c>
      <c r="T38">
        <v>1</v>
      </c>
      <c r="U38" s="9">
        <v>0</v>
      </c>
      <c r="V38">
        <v>0</v>
      </c>
      <c r="W38" s="10">
        <v>1</v>
      </c>
      <c r="X38" s="1">
        <v>31.503360000000001</v>
      </c>
      <c r="Y38" s="2">
        <v>9.5692799999999991</v>
      </c>
      <c r="Z38" s="13">
        <v>0</v>
      </c>
      <c r="AA38" s="2">
        <v>31.503360000000001</v>
      </c>
      <c r="AB38" s="2">
        <v>9.5692799999999991</v>
      </c>
      <c r="AC38" s="2">
        <v>53.76</v>
      </c>
      <c r="AD38" s="2"/>
      <c r="AE38" s="7">
        <v>41.072639999999993</v>
      </c>
      <c r="AF38" s="2">
        <v>31.503360000000001</v>
      </c>
      <c r="AG38" s="2">
        <v>9.5692799999999991</v>
      </c>
      <c r="AH38" s="2">
        <v>5.4502707459360229</v>
      </c>
      <c r="AI38" s="2">
        <v>1.655542991086371</v>
      </c>
      <c r="AJ38" s="2">
        <v>-260.84341185521868</v>
      </c>
      <c r="AK38" s="2">
        <v>-79.232299164213188</v>
      </c>
      <c r="AL38" s="2">
        <v>0</v>
      </c>
      <c r="AM38" s="2">
        <v>0</v>
      </c>
      <c r="AN38" s="2">
        <v>53.76</v>
      </c>
      <c r="AO38" s="2">
        <v>57.459219071377731</v>
      </c>
      <c r="AP38" s="2">
        <v>57.459219071377731</v>
      </c>
      <c r="AQ38" s="2">
        <v>11.766583170812609</v>
      </c>
      <c r="AR38" s="2">
        <v>-440.40231592837239</v>
      </c>
      <c r="AS38" s="2">
        <v>0</v>
      </c>
      <c r="AT38" s="2">
        <v>0</v>
      </c>
      <c r="AU38" s="1">
        <v>41.072639999999993</v>
      </c>
      <c r="AV38" s="2">
        <v>5.0869696152364776</v>
      </c>
      <c r="AW38" s="2">
        <v>-345.56617374683799</v>
      </c>
      <c r="AX38" s="2">
        <v>57.459219071377731</v>
      </c>
      <c r="AZ38" s="1">
        <f t="shared" si="37"/>
        <v>31.503360000000001</v>
      </c>
      <c r="BA38" s="2">
        <f t="shared" si="38"/>
        <v>5.4502707459360229</v>
      </c>
      <c r="BB38" s="7">
        <f t="shared" si="39"/>
        <v>-260.84341185521868</v>
      </c>
      <c r="BC38" s="1">
        <f t="shared" si="40"/>
        <v>9.5692799999999991</v>
      </c>
      <c r="BD38" s="2">
        <f t="shared" si="41"/>
        <v>1.655542991086371</v>
      </c>
      <c r="BE38" s="2">
        <f t="shared" si="42"/>
        <v>-79.232299164213188</v>
      </c>
      <c r="BF38" s="2">
        <f t="shared" si="43"/>
        <v>0</v>
      </c>
      <c r="BG38" s="7">
        <f t="shared" si="44"/>
        <v>0</v>
      </c>
      <c r="BH38" s="1">
        <f t="shared" si="45"/>
        <v>41.07264</v>
      </c>
      <c r="BI38" s="2">
        <f t="shared" si="46"/>
        <v>7.1058137370223937</v>
      </c>
      <c r="BJ38" s="2">
        <f t="shared" si="47"/>
        <v>340.07571101943188</v>
      </c>
      <c r="BK38" s="2">
        <f t="shared" si="48"/>
        <v>0</v>
      </c>
      <c r="BL38" s="7">
        <f t="shared" si="49"/>
        <v>0</v>
      </c>
      <c r="BN38" s="1">
        <f t="shared" si="61"/>
        <v>41.072639999999993</v>
      </c>
      <c r="BO38" s="4" t="str">
        <f t="shared" ref="BO38" si="90">IF(ISNUMBER(SEARCH("Appui",E38)),0,"0")</f>
        <v>0</v>
      </c>
      <c r="BP38" s="2">
        <f t="shared" si="21"/>
        <v>41.072639999999993</v>
      </c>
      <c r="BQ38" s="2">
        <f t="shared" si="52"/>
        <v>57.459219071377731</v>
      </c>
      <c r="BR38" s="3">
        <f t="shared" si="53"/>
        <v>0.71481375249771861</v>
      </c>
      <c r="BS38" s="1">
        <f t="shared" si="54"/>
        <v>53.76</v>
      </c>
      <c r="BT38" s="2">
        <f t="shared" si="55"/>
        <v>57.459219071377731</v>
      </c>
      <c r="BU38" s="21">
        <f t="shared" si="56"/>
        <v>0.93562009489230191</v>
      </c>
      <c r="BV38" s="2">
        <f t="shared" si="57"/>
        <v>137.91</v>
      </c>
      <c r="BW38" s="2">
        <f t="shared" si="58"/>
        <v>203.63241460945534</v>
      </c>
      <c r="BX38" s="21">
        <f t="shared" si="59"/>
        <v>1.4765601813462066</v>
      </c>
      <c r="BY38" s="10" t="str">
        <f t="shared" ref="BY38" si="91">IF(C36&lt;C38,"Rive",IF(C40&gt;C38,"Rive","Inter"))</f>
        <v>Inter</v>
      </c>
    </row>
    <row r="39" spans="1:77" x14ac:dyDescent="0.25">
      <c r="A39" t="str">
        <f t="shared" si="22"/>
        <v>Appui</v>
      </c>
      <c r="B39" t="b">
        <f t="shared" si="82"/>
        <v>0</v>
      </c>
      <c r="C39">
        <f t="shared" si="83"/>
        <v>3</v>
      </c>
      <c r="D39" s="5" t="s">
        <v>101</v>
      </c>
      <c r="E39" t="s">
        <v>54</v>
      </c>
      <c r="F39" s="5">
        <v>25</v>
      </c>
      <c r="G39" t="s">
        <v>46</v>
      </c>
      <c r="H39">
        <v>500</v>
      </c>
      <c r="I39">
        <v>170000</v>
      </c>
      <c r="J39">
        <v>1300</v>
      </c>
      <c r="K39" s="10">
        <v>1445</v>
      </c>
      <c r="L39" s="12">
        <v>1</v>
      </c>
      <c r="M39" s="5">
        <v>0.25</v>
      </c>
      <c r="N39" s="10">
        <v>2.33</v>
      </c>
      <c r="O39" s="5">
        <v>1.9400000000000001E-3</v>
      </c>
      <c r="P39">
        <v>6.9999999999999993E-2</v>
      </c>
      <c r="Q39" s="10">
        <v>1</v>
      </c>
      <c r="R39" s="8">
        <v>0</v>
      </c>
      <c r="S39">
        <v>0</v>
      </c>
      <c r="T39">
        <v>1</v>
      </c>
      <c r="U39" s="9">
        <v>0</v>
      </c>
      <c r="V39">
        <v>0</v>
      </c>
      <c r="W39" s="10">
        <v>1</v>
      </c>
      <c r="X39" s="1">
        <v>40.609800000000007</v>
      </c>
      <c r="Y39" s="2">
        <v>12.3354</v>
      </c>
      <c r="Z39" s="13">
        <v>0</v>
      </c>
      <c r="AA39" s="2">
        <v>40.609800000000007</v>
      </c>
      <c r="AB39" s="2">
        <v>12.3354</v>
      </c>
      <c r="AC39" s="2">
        <v>69.300000000000011</v>
      </c>
      <c r="AD39" s="2"/>
      <c r="AE39" s="7">
        <v>52.945200000000007</v>
      </c>
      <c r="AF39" s="2">
        <v>40.609800000000007</v>
      </c>
      <c r="AG39" s="2">
        <v>12.3354</v>
      </c>
      <c r="AH39" s="2">
        <v>5.4004306337960424</v>
      </c>
      <c r="AI39" s="2">
        <v>1.640403844395385</v>
      </c>
      <c r="AJ39" s="2">
        <v>-125.329788946957</v>
      </c>
      <c r="AK39" s="2">
        <v>-38.069458076038131</v>
      </c>
      <c r="AL39" s="2">
        <v>0</v>
      </c>
      <c r="AM39" s="2">
        <v>0</v>
      </c>
      <c r="AN39" s="2">
        <v>69.300000000000011</v>
      </c>
      <c r="AO39" s="2">
        <v>146.17319553807761</v>
      </c>
      <c r="AP39" s="2">
        <v>146.17319553807761</v>
      </c>
      <c r="AQ39" s="2">
        <v>6.7106527328195256</v>
      </c>
      <c r="AR39" s="2">
        <v>-220.32883596408391</v>
      </c>
      <c r="AS39" s="2">
        <v>0</v>
      </c>
      <c r="AT39" s="2">
        <v>0</v>
      </c>
      <c r="AU39" s="1">
        <v>52.945200000000007</v>
      </c>
      <c r="AV39" s="2">
        <v>5.2182751593662964</v>
      </c>
      <c r="AW39" s="2">
        <v>-168.10046351019889</v>
      </c>
      <c r="AX39" s="2">
        <v>146.17319553807761</v>
      </c>
      <c r="AZ39" s="1">
        <f t="shared" si="37"/>
        <v>40.609800000000007</v>
      </c>
      <c r="BA39" s="2">
        <f t="shared" si="38"/>
        <v>5.4004306337960424</v>
      </c>
      <c r="BB39" s="7">
        <f t="shared" si="39"/>
        <v>-125.329788946957</v>
      </c>
      <c r="BC39" s="1">
        <f t="shared" si="40"/>
        <v>12.3354</v>
      </c>
      <c r="BD39" s="2">
        <f t="shared" si="41"/>
        <v>1.640403844395385</v>
      </c>
      <c r="BE39" s="2">
        <f t="shared" si="42"/>
        <v>-38.069458076038131</v>
      </c>
      <c r="BF39" s="2">
        <f t="shared" si="43"/>
        <v>0</v>
      </c>
      <c r="BG39" s="7">
        <f t="shared" si="44"/>
        <v>0</v>
      </c>
      <c r="BH39" s="1">
        <f t="shared" si="45"/>
        <v>52.945200000000007</v>
      </c>
      <c r="BI39" s="2">
        <f t="shared" si="46"/>
        <v>7.0408344781914272</v>
      </c>
      <c r="BJ39" s="2">
        <f t="shared" si="47"/>
        <v>163.39924702299513</v>
      </c>
      <c r="BK39" s="2">
        <f t="shared" si="48"/>
        <v>0</v>
      </c>
      <c r="BL39" s="7">
        <f t="shared" si="49"/>
        <v>0</v>
      </c>
      <c r="BN39" s="1">
        <f t="shared" si="61"/>
        <v>52.945200000000007</v>
      </c>
      <c r="BO39" s="4">
        <v>0</v>
      </c>
      <c r="BP39" s="2">
        <f t="shared" si="21"/>
        <v>52.945200000000007</v>
      </c>
      <c r="BQ39" s="2">
        <f t="shared" si="52"/>
        <v>146.17319553807761</v>
      </c>
      <c r="BR39" s="3">
        <f t="shared" si="53"/>
        <v>0.36220867858230527</v>
      </c>
      <c r="BS39" s="1">
        <f t="shared" si="54"/>
        <v>69.300000000000011</v>
      </c>
      <c r="BT39" s="2">
        <f t="shared" si="55"/>
        <v>146.17319553807761</v>
      </c>
      <c r="BU39" s="21">
        <f t="shared" si="56"/>
        <v>0.47409512903443096</v>
      </c>
      <c r="BV39" s="2" t="str">
        <f t="shared" si="57"/>
        <v/>
      </c>
      <c r="BW39" s="2" t="str">
        <f t="shared" si="58"/>
        <v/>
      </c>
      <c r="BX39" s="21" t="str">
        <f t="shared" si="59"/>
        <v/>
      </c>
      <c r="BY39" s="15"/>
    </row>
    <row r="40" spans="1:77" x14ac:dyDescent="0.25">
      <c r="A40" t="str">
        <f t="shared" si="22"/>
        <v/>
      </c>
      <c r="B40" t="b">
        <f t="shared" si="82"/>
        <v>0</v>
      </c>
      <c r="C40">
        <f t="shared" si="83"/>
        <v>3</v>
      </c>
      <c r="D40" s="5" t="s">
        <v>101</v>
      </c>
      <c r="F40" s="5"/>
      <c r="K40" s="10"/>
      <c r="L40" s="12"/>
      <c r="M40" s="5"/>
      <c r="N40" s="10"/>
      <c r="O40" s="5"/>
      <c r="Q40" s="10"/>
      <c r="R40" s="8"/>
      <c r="U40" s="9"/>
      <c r="W40" s="10"/>
      <c r="X40" s="1"/>
      <c r="Y40" s="2"/>
      <c r="Z40" s="13"/>
      <c r="AA40" s="2"/>
      <c r="AB40" s="2"/>
      <c r="AC40" s="2"/>
      <c r="AD40" s="2"/>
      <c r="AE40" s="7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1"/>
      <c r="AV40" s="2"/>
      <c r="AW40" s="2"/>
      <c r="AX40" s="2"/>
      <c r="AZ40" s="1">
        <f t="shared" si="37"/>
        <v>0</v>
      </c>
      <c r="BA40" s="2">
        <f t="shared" si="38"/>
        <v>0</v>
      </c>
      <c r="BB40" s="7">
        <f t="shared" si="39"/>
        <v>0</v>
      </c>
      <c r="BC40" s="1">
        <f t="shared" si="40"/>
        <v>0</v>
      </c>
      <c r="BD40" s="2">
        <f t="shared" si="41"/>
        <v>0</v>
      </c>
      <c r="BE40" s="2">
        <f t="shared" si="42"/>
        <v>0</v>
      </c>
      <c r="BF40" s="2">
        <f t="shared" si="43"/>
        <v>0</v>
      </c>
      <c r="BG40" s="7">
        <f t="shared" si="44"/>
        <v>0</v>
      </c>
      <c r="BH40" s="1">
        <f t="shared" si="45"/>
        <v>0</v>
      </c>
      <c r="BI40" s="2">
        <f t="shared" si="46"/>
        <v>0</v>
      </c>
      <c r="BJ40" s="2">
        <f t="shared" si="47"/>
        <v>0</v>
      </c>
      <c r="BK40" s="2">
        <f t="shared" si="48"/>
        <v>0</v>
      </c>
      <c r="BL40" s="7">
        <f t="shared" si="49"/>
        <v>0</v>
      </c>
      <c r="BN40" s="1">
        <f t="shared" si="61"/>
        <v>0</v>
      </c>
      <c r="BO40" s="4" t="str">
        <f t="shared" ref="BO40" si="92">IF(ISNUMBER(SEARCH("Appui",E40)),0,"0")</f>
        <v>0</v>
      </c>
      <c r="BP40" s="2">
        <f t="shared" si="21"/>
        <v>0</v>
      </c>
      <c r="BQ40" s="2">
        <f t="shared" si="52"/>
        <v>0</v>
      </c>
      <c r="BR40" s="3" t="e">
        <f t="shared" si="53"/>
        <v>#DIV/0!</v>
      </c>
      <c r="BS40" s="1">
        <f t="shared" si="54"/>
        <v>0</v>
      </c>
      <c r="BT40" s="2">
        <f t="shared" si="55"/>
        <v>0</v>
      </c>
      <c r="BU40" s="21" t="e">
        <f t="shared" si="56"/>
        <v>#DIV/0!</v>
      </c>
      <c r="BV40" s="2" t="str">
        <f t="shared" si="57"/>
        <v/>
      </c>
      <c r="BW40" s="2" t="str">
        <f t="shared" si="58"/>
        <v/>
      </c>
      <c r="BX40" s="21" t="str">
        <f t="shared" si="59"/>
        <v/>
      </c>
      <c r="BY40" s="10" t="str">
        <f t="shared" ref="BY40" si="93">IF(C38&lt;C40,"Rive",IF(C42&gt;C40,"Rive","Inter"))</f>
        <v>Rive</v>
      </c>
    </row>
    <row r="41" spans="1:77" x14ac:dyDescent="0.25">
      <c r="A41" t="str">
        <f t="shared" si="22"/>
        <v>Travée</v>
      </c>
      <c r="B41" t="b">
        <f t="shared" si="82"/>
        <v>0</v>
      </c>
      <c r="C41">
        <f t="shared" si="83"/>
        <v>3</v>
      </c>
      <c r="D41" s="5" t="s">
        <v>101</v>
      </c>
      <c r="E41" t="s">
        <v>55</v>
      </c>
      <c r="F41" s="5">
        <v>25</v>
      </c>
      <c r="G41" t="s">
        <v>46</v>
      </c>
      <c r="H41">
        <v>500</v>
      </c>
      <c r="I41">
        <v>170000</v>
      </c>
      <c r="J41">
        <v>1300</v>
      </c>
      <c r="K41" s="10">
        <v>1445</v>
      </c>
      <c r="L41" s="12">
        <v>1</v>
      </c>
      <c r="M41" s="5">
        <v>0.25</v>
      </c>
      <c r="N41" s="10">
        <v>2.33</v>
      </c>
      <c r="O41" s="5">
        <v>9.0000000000000008E-4</v>
      </c>
      <c r="P41">
        <v>0.04</v>
      </c>
      <c r="Q41" s="10">
        <v>1</v>
      </c>
      <c r="R41" s="8">
        <v>0</v>
      </c>
      <c r="S41">
        <v>0</v>
      </c>
      <c r="T41">
        <v>1</v>
      </c>
      <c r="U41" s="9">
        <v>0</v>
      </c>
      <c r="V41">
        <v>0</v>
      </c>
      <c r="W41" s="10">
        <v>1</v>
      </c>
      <c r="X41" s="1">
        <v>21.00224</v>
      </c>
      <c r="Y41" s="2">
        <v>6.3795200000000003</v>
      </c>
      <c r="Z41" s="13">
        <v>0</v>
      </c>
      <c r="AA41" s="2">
        <v>21.00224</v>
      </c>
      <c r="AB41" s="2">
        <v>6.3795200000000003</v>
      </c>
      <c r="AC41" s="2">
        <v>35.840000000000003</v>
      </c>
      <c r="AD41" s="2"/>
      <c r="AE41" s="7">
        <v>27.38176</v>
      </c>
      <c r="AF41" s="2">
        <v>21.00224</v>
      </c>
      <c r="AG41" s="2">
        <v>6.3795200000000003</v>
      </c>
      <c r="AH41" s="2">
        <v>3.0312353429862369</v>
      </c>
      <c r="AI41" s="2">
        <v>0.92075066732346389</v>
      </c>
      <c r="AJ41" s="2">
        <v>-116.71147693643709</v>
      </c>
      <c r="AK41" s="2">
        <v>-35.45160903530001</v>
      </c>
      <c r="AL41" s="2">
        <v>0</v>
      </c>
      <c r="AM41" s="2">
        <v>0</v>
      </c>
      <c r="AN41" s="2">
        <v>35.840000000000003</v>
      </c>
      <c r="AO41" s="2">
        <v>85.646880764689726</v>
      </c>
      <c r="AP41" s="2">
        <v>85.646880764689726</v>
      </c>
      <c r="AQ41" s="2">
        <v>3.7916634332063439</v>
      </c>
      <c r="AR41" s="2">
        <v>-202.89320208839811</v>
      </c>
      <c r="AS41" s="2">
        <v>0</v>
      </c>
      <c r="AT41" s="2">
        <v>0</v>
      </c>
      <c r="AU41" s="1">
        <v>27.38176</v>
      </c>
      <c r="AV41" s="2">
        <v>2.9239436071220388</v>
      </c>
      <c r="AW41" s="2">
        <v>-154.93701351819871</v>
      </c>
      <c r="AX41" s="2">
        <v>85.646880764689726</v>
      </c>
      <c r="AZ41" s="1">
        <f t="shared" si="37"/>
        <v>21.00224</v>
      </c>
      <c r="BA41" s="2">
        <f t="shared" si="38"/>
        <v>3.0312353429862369</v>
      </c>
      <c r="BB41" s="7">
        <f t="shared" si="39"/>
        <v>-116.71147693643709</v>
      </c>
      <c r="BC41" s="1">
        <f t="shared" si="40"/>
        <v>6.3795200000000003</v>
      </c>
      <c r="BD41" s="2">
        <f t="shared" si="41"/>
        <v>0.92075066732346389</v>
      </c>
      <c r="BE41" s="2">
        <f t="shared" si="42"/>
        <v>-35.45160903530001</v>
      </c>
      <c r="BF41" s="2">
        <f t="shared" si="43"/>
        <v>0</v>
      </c>
      <c r="BG41" s="7">
        <f t="shared" si="44"/>
        <v>0</v>
      </c>
      <c r="BH41" s="1">
        <f t="shared" si="45"/>
        <v>27.38176</v>
      </c>
      <c r="BI41" s="2">
        <f t="shared" si="46"/>
        <v>3.9519860103097009</v>
      </c>
      <c r="BJ41" s="2">
        <f t="shared" si="47"/>
        <v>152.1630859717371</v>
      </c>
      <c r="BK41" s="2">
        <f t="shared" si="48"/>
        <v>0</v>
      </c>
      <c r="BL41" s="7">
        <f t="shared" si="49"/>
        <v>0</v>
      </c>
      <c r="BN41" s="1">
        <f t="shared" si="61"/>
        <v>27.38176</v>
      </c>
      <c r="BO41" s="4">
        <v>0</v>
      </c>
      <c r="BP41" s="2">
        <f t="shared" si="21"/>
        <v>27.38176</v>
      </c>
      <c r="BQ41" s="2">
        <f t="shared" si="52"/>
        <v>85.646880764689726</v>
      </c>
      <c r="BR41" s="3">
        <f t="shared" si="53"/>
        <v>0.31970528004668303</v>
      </c>
      <c r="BS41" s="1">
        <f t="shared" si="54"/>
        <v>35.840000000000003</v>
      </c>
      <c r="BT41" s="2">
        <f t="shared" si="55"/>
        <v>85.646880764689726</v>
      </c>
      <c r="BU41" s="21">
        <f t="shared" si="56"/>
        <v>0.41846240843806687</v>
      </c>
      <c r="BV41" s="2">
        <f t="shared" si="57"/>
        <v>35.840000000000003</v>
      </c>
      <c r="BW41" s="2">
        <f t="shared" si="58"/>
        <v>85.646880764689726</v>
      </c>
      <c r="BX41" s="21">
        <f t="shared" si="59"/>
        <v>2.3897009141933516</v>
      </c>
      <c r="BY41" s="15"/>
    </row>
    <row r="42" spans="1:77" x14ac:dyDescent="0.25">
      <c r="A42" t="str">
        <f t="shared" si="22"/>
        <v>Travée</v>
      </c>
      <c r="B42" t="b">
        <f t="shared" si="82"/>
        <v>1</v>
      </c>
      <c r="C42">
        <f t="shared" si="83"/>
        <v>4</v>
      </c>
      <c r="D42" s="5" t="s">
        <v>102</v>
      </c>
      <c r="E42" t="s">
        <v>45</v>
      </c>
      <c r="F42" s="5">
        <v>25</v>
      </c>
      <c r="G42" t="s">
        <v>46</v>
      </c>
      <c r="H42">
        <v>500</v>
      </c>
      <c r="I42">
        <v>170000</v>
      </c>
      <c r="J42">
        <v>1300</v>
      </c>
      <c r="K42" s="10">
        <v>1445</v>
      </c>
      <c r="L42" s="12">
        <v>1</v>
      </c>
      <c r="M42" s="5">
        <v>0.22</v>
      </c>
      <c r="N42" s="10">
        <v>2.33</v>
      </c>
      <c r="O42" s="5">
        <v>5.9000000000000003E-4</v>
      </c>
      <c r="P42">
        <v>0.04</v>
      </c>
      <c r="Q42" s="10">
        <v>1</v>
      </c>
      <c r="R42" s="8">
        <v>0</v>
      </c>
      <c r="S42">
        <v>0</v>
      </c>
      <c r="T42">
        <v>1</v>
      </c>
      <c r="U42" s="9">
        <v>1.92E-4</v>
      </c>
      <c r="V42">
        <v>0</v>
      </c>
      <c r="W42" s="10">
        <v>1</v>
      </c>
      <c r="X42" s="1">
        <v>31.503360000000001</v>
      </c>
      <c r="Y42" s="2">
        <v>9.5692799999999991</v>
      </c>
      <c r="Z42" s="13">
        <v>0</v>
      </c>
      <c r="AA42" s="2">
        <v>31.503360000000001</v>
      </c>
      <c r="AB42" s="2">
        <v>9.5692799999999991</v>
      </c>
      <c r="AC42" s="2">
        <v>53.76</v>
      </c>
      <c r="AD42" s="2"/>
      <c r="AE42" s="7">
        <v>41.072639999999993</v>
      </c>
      <c r="AF42" s="2">
        <v>31.503360000000001</v>
      </c>
      <c r="AG42" s="2">
        <v>9.5692799999999991</v>
      </c>
      <c r="AH42" s="2">
        <v>7.0072410245262562</v>
      </c>
      <c r="AI42" s="2">
        <v>1.750308110891089</v>
      </c>
      <c r="AJ42" s="2">
        <v>-309.65296056896682</v>
      </c>
      <c r="AK42" s="2">
        <v>-66.245526299164126</v>
      </c>
      <c r="AL42" s="2">
        <v>0</v>
      </c>
      <c r="AM42" s="2">
        <v>-70.922489652782204</v>
      </c>
      <c r="AN42" s="2">
        <v>53.76</v>
      </c>
      <c r="AO42" s="2">
        <v>48.381276273140728</v>
      </c>
      <c r="AP42" s="2">
        <v>102.1954441726017</v>
      </c>
      <c r="AQ42" s="2">
        <v>6.9165388010029627</v>
      </c>
      <c r="AR42" s="2">
        <v>-377.94771667126707</v>
      </c>
      <c r="AS42" s="2">
        <v>0</v>
      </c>
      <c r="AT42" s="2">
        <v>-410.41197223270831</v>
      </c>
      <c r="AU42" s="1">
        <v>41.072639999999993</v>
      </c>
      <c r="AV42" s="2">
        <v>6.4172772270527076</v>
      </c>
      <c r="AW42" s="2">
        <v>-411.20002632772469</v>
      </c>
      <c r="AX42" s="2">
        <v>48.381276273140728</v>
      </c>
      <c r="AZ42" s="1">
        <f t="shared" si="37"/>
        <v>31.503360000000001</v>
      </c>
      <c r="BA42" s="2">
        <f t="shared" si="38"/>
        <v>7.0072410245262562</v>
      </c>
      <c r="BB42" s="7">
        <f t="shared" si="39"/>
        <v>-309.65296056896682</v>
      </c>
      <c r="BC42" s="1">
        <f t="shared" si="40"/>
        <v>9.5692799999999991</v>
      </c>
      <c r="BD42" s="2">
        <f t="shared" si="41"/>
        <v>1.750308110891089</v>
      </c>
      <c r="BE42" s="2">
        <f t="shared" si="42"/>
        <v>-66.245526299164126</v>
      </c>
      <c r="BF42" s="2">
        <f t="shared" si="43"/>
        <v>0</v>
      </c>
      <c r="BG42" s="7">
        <f t="shared" si="44"/>
        <v>-70.922489652782204</v>
      </c>
      <c r="BH42" s="1">
        <f t="shared" si="45"/>
        <v>41.07264</v>
      </c>
      <c r="BI42" s="2">
        <f t="shared" si="46"/>
        <v>8.7575491354173458</v>
      </c>
      <c r="BJ42" s="2">
        <f t="shared" si="47"/>
        <v>375.89848686813093</v>
      </c>
      <c r="BK42" s="2">
        <f t="shared" si="48"/>
        <v>0</v>
      </c>
      <c r="BL42" s="7">
        <f t="shared" si="49"/>
        <v>-70.922489652782204</v>
      </c>
      <c r="BN42" s="1">
        <f t="shared" si="61"/>
        <v>41.072639999999993</v>
      </c>
      <c r="BO42" s="4" t="str">
        <f t="shared" ref="BO42" si="94">IF(ISNUMBER(SEARCH("Appui",E42)),0,"0")</f>
        <v>0</v>
      </c>
      <c r="BP42" s="2">
        <f t="shared" si="21"/>
        <v>41.072639999999993</v>
      </c>
      <c r="BQ42" s="2">
        <f t="shared" si="52"/>
        <v>48.381276273140728</v>
      </c>
      <c r="BR42" s="3">
        <f t="shared" si="53"/>
        <v>0.84893667889455438</v>
      </c>
      <c r="BS42" s="1">
        <f t="shared" si="54"/>
        <v>53.76</v>
      </c>
      <c r="BT42" s="2">
        <f t="shared" si="55"/>
        <v>102.1954441726017</v>
      </c>
      <c r="BU42" s="21">
        <f t="shared" si="56"/>
        <v>0.52605084732742813</v>
      </c>
      <c r="BV42" s="2">
        <f t="shared" si="57"/>
        <v>106.00999999999999</v>
      </c>
      <c r="BW42" s="2">
        <f t="shared" si="58"/>
        <v>179.63039142163154</v>
      </c>
      <c r="BX42" s="21">
        <f t="shared" si="59"/>
        <v>1.6944664788381432</v>
      </c>
      <c r="BY42" s="10" t="str">
        <f t="shared" ref="BY42" si="95">IF(C40&lt;C42,"Rive",IF(C44&gt;C42,"Rive","Inter"))</f>
        <v>Rive</v>
      </c>
    </row>
    <row r="43" spans="1:77" x14ac:dyDescent="0.25">
      <c r="A43" t="str">
        <f t="shared" si="22"/>
        <v>Appui</v>
      </c>
      <c r="B43" t="b">
        <f t="shared" si="82"/>
        <v>1</v>
      </c>
      <c r="C43">
        <f t="shared" si="83"/>
        <v>4</v>
      </c>
      <c r="D43" s="5" t="s">
        <v>102</v>
      </c>
      <c r="E43" t="s">
        <v>47</v>
      </c>
      <c r="F43" s="5">
        <v>25</v>
      </c>
      <c r="G43" t="s">
        <v>46</v>
      </c>
      <c r="H43">
        <v>500</v>
      </c>
      <c r="I43">
        <v>170000</v>
      </c>
      <c r="J43">
        <v>1300</v>
      </c>
      <c r="K43" s="10">
        <v>1445</v>
      </c>
      <c r="L43" s="12">
        <v>1</v>
      </c>
      <c r="M43" s="5">
        <v>0.22</v>
      </c>
      <c r="N43" s="10">
        <v>2.33</v>
      </c>
      <c r="O43" s="5">
        <v>2.0690000000000001E-3</v>
      </c>
      <c r="P43">
        <v>0.04</v>
      </c>
      <c r="Q43" s="10">
        <v>1</v>
      </c>
      <c r="R43" s="8">
        <v>0</v>
      </c>
      <c r="S43">
        <v>0</v>
      </c>
      <c r="T43">
        <v>1</v>
      </c>
      <c r="U43" s="9">
        <v>0</v>
      </c>
      <c r="V43">
        <v>0</v>
      </c>
      <c r="W43" s="10">
        <v>1</v>
      </c>
      <c r="X43" s="1">
        <v>61.237000000000002</v>
      </c>
      <c r="Y43" s="2">
        <v>18.600999999999999</v>
      </c>
      <c r="Z43" s="13">
        <v>0</v>
      </c>
      <c r="AA43" s="2">
        <v>61.237000000000002</v>
      </c>
      <c r="AB43" s="2">
        <v>18.600999999999999</v>
      </c>
      <c r="AC43" s="2">
        <v>104.5</v>
      </c>
      <c r="AD43" s="2"/>
      <c r="AE43" s="7">
        <v>79.838000000000008</v>
      </c>
      <c r="AF43" s="2">
        <v>61.237000000000002</v>
      </c>
      <c r="AG43" s="2">
        <v>18.600999999999999</v>
      </c>
      <c r="AH43" s="2">
        <v>7.9300610992125389</v>
      </c>
      <c r="AI43" s="2">
        <v>2.4087898902044889</v>
      </c>
      <c r="AJ43" s="2">
        <v>-177.6172993207077</v>
      </c>
      <c r="AK43" s="2">
        <v>-53.952012421648412</v>
      </c>
      <c r="AL43" s="2">
        <v>0</v>
      </c>
      <c r="AM43" s="2">
        <v>0</v>
      </c>
      <c r="AN43" s="2">
        <v>104.5</v>
      </c>
      <c r="AO43" s="2">
        <v>154.86989449805969</v>
      </c>
      <c r="AP43" s="2">
        <v>154.86989449805969</v>
      </c>
      <c r="AQ43" s="2">
        <v>9.4909871095175653</v>
      </c>
      <c r="AR43" s="2">
        <v>-313.62599983034698</v>
      </c>
      <c r="AS43" s="2">
        <v>0</v>
      </c>
      <c r="AT43" s="2">
        <v>0</v>
      </c>
      <c r="AU43" s="1">
        <v>79.838000000000008</v>
      </c>
      <c r="AV43" s="2">
        <v>7.4698937905804623</v>
      </c>
      <c r="AW43" s="2">
        <v>-238.99819228232971</v>
      </c>
      <c r="AX43" s="2">
        <v>154.86989449805969</v>
      </c>
      <c r="AZ43" s="1">
        <f t="shared" si="37"/>
        <v>61.237000000000002</v>
      </c>
      <c r="BA43" s="2">
        <f t="shared" si="38"/>
        <v>7.9300610992125389</v>
      </c>
      <c r="BB43" s="7">
        <f t="shared" si="39"/>
        <v>-177.6172993207077</v>
      </c>
      <c r="BC43" s="1">
        <f t="shared" si="40"/>
        <v>18.600999999999999</v>
      </c>
      <c r="BD43" s="2">
        <f t="shared" si="41"/>
        <v>2.4087898902044889</v>
      </c>
      <c r="BE43" s="2">
        <f t="shared" si="42"/>
        <v>-53.952012421648412</v>
      </c>
      <c r="BF43" s="2">
        <f t="shared" si="43"/>
        <v>0</v>
      </c>
      <c r="BG43" s="7">
        <f t="shared" si="44"/>
        <v>0</v>
      </c>
      <c r="BH43" s="1">
        <f t="shared" si="45"/>
        <v>79.837999999999994</v>
      </c>
      <c r="BI43" s="2">
        <f t="shared" si="46"/>
        <v>10.338850989417027</v>
      </c>
      <c r="BJ43" s="2">
        <f t="shared" si="47"/>
        <v>231.56931174235612</v>
      </c>
      <c r="BK43" s="2">
        <f t="shared" si="48"/>
        <v>0</v>
      </c>
      <c r="BL43" s="7">
        <f t="shared" si="49"/>
        <v>0</v>
      </c>
      <c r="BN43" s="1">
        <f t="shared" si="61"/>
        <v>79.838000000000008</v>
      </c>
      <c r="BO43" s="4">
        <v>0</v>
      </c>
      <c r="BP43" s="2">
        <f t="shared" si="21"/>
        <v>79.838000000000008</v>
      </c>
      <c r="BQ43" s="2">
        <f t="shared" si="52"/>
        <v>154.86989449805969</v>
      </c>
      <c r="BR43" s="3">
        <f t="shared" si="53"/>
        <v>0.51551659061148436</v>
      </c>
      <c r="BS43" s="1">
        <f t="shared" si="54"/>
        <v>104.5</v>
      </c>
      <c r="BT43" s="2">
        <f t="shared" si="55"/>
        <v>154.86989449805969</v>
      </c>
      <c r="BU43" s="21">
        <f t="shared" si="56"/>
        <v>0.67475993535534595</v>
      </c>
      <c r="BV43" s="2" t="str">
        <f t="shared" si="57"/>
        <v/>
      </c>
      <c r="BW43" s="2" t="str">
        <f t="shared" si="58"/>
        <v/>
      </c>
      <c r="BX43" s="21" t="str">
        <f t="shared" si="59"/>
        <v/>
      </c>
      <c r="BY43" s="15"/>
    </row>
    <row r="44" spans="1:77" x14ac:dyDescent="0.25">
      <c r="A44" t="str">
        <f t="shared" si="22"/>
        <v>Travée</v>
      </c>
      <c r="B44" t="b">
        <f t="shared" si="82"/>
        <v>1</v>
      </c>
      <c r="C44">
        <f t="shared" si="83"/>
        <v>4</v>
      </c>
      <c r="D44" s="5" t="s">
        <v>102</v>
      </c>
      <c r="E44" t="s">
        <v>48</v>
      </c>
      <c r="F44" s="5">
        <v>25</v>
      </c>
      <c r="G44" t="s">
        <v>46</v>
      </c>
      <c r="H44">
        <v>500</v>
      </c>
      <c r="I44">
        <v>170000</v>
      </c>
      <c r="J44">
        <v>1300</v>
      </c>
      <c r="K44" s="10">
        <v>1445</v>
      </c>
      <c r="L44" s="12">
        <v>1</v>
      </c>
      <c r="M44" s="5">
        <v>0.22</v>
      </c>
      <c r="N44" s="10">
        <v>2.33</v>
      </c>
      <c r="O44" s="5">
        <v>5.9000000000000003E-4</v>
      </c>
      <c r="P44">
        <v>0.04</v>
      </c>
      <c r="Q44" s="10">
        <v>1</v>
      </c>
      <c r="R44" s="8">
        <v>0</v>
      </c>
      <c r="S44">
        <v>0</v>
      </c>
      <c r="T44">
        <v>1</v>
      </c>
      <c r="U44" s="9">
        <v>1.92E-4</v>
      </c>
      <c r="V44">
        <v>0</v>
      </c>
      <c r="W44" s="10">
        <v>1</v>
      </c>
      <c r="X44" s="1">
        <v>15.75168</v>
      </c>
      <c r="Y44" s="2">
        <v>4.7846399999999996</v>
      </c>
      <c r="Z44" s="13">
        <v>0</v>
      </c>
      <c r="AA44" s="2">
        <v>15.75168</v>
      </c>
      <c r="AB44" s="2">
        <v>4.7846399999999996</v>
      </c>
      <c r="AC44" s="2">
        <v>26.88</v>
      </c>
      <c r="AD44" s="2"/>
      <c r="AE44" s="7">
        <v>20.53632</v>
      </c>
      <c r="AF44" s="2">
        <v>15.75168</v>
      </c>
      <c r="AG44" s="2">
        <v>4.7846399999999996</v>
      </c>
      <c r="AH44" s="2">
        <v>3.5036205122631281</v>
      </c>
      <c r="AI44" s="2">
        <v>0.8751540554455447</v>
      </c>
      <c r="AJ44" s="2">
        <v>-154.82648028448341</v>
      </c>
      <c r="AK44" s="2">
        <v>-33.122763149582063</v>
      </c>
      <c r="AL44" s="2">
        <v>0</v>
      </c>
      <c r="AM44" s="2">
        <v>-35.461244826391102</v>
      </c>
      <c r="AN44" s="2">
        <v>26.88</v>
      </c>
      <c r="AO44" s="2">
        <v>48.381276273140728</v>
      </c>
      <c r="AP44" s="2">
        <v>102.1954441726017</v>
      </c>
      <c r="AQ44" s="2">
        <v>3.6008399312658539</v>
      </c>
      <c r="AR44" s="2">
        <v>-188.66646125754099</v>
      </c>
      <c r="AS44" s="2">
        <v>0</v>
      </c>
      <c r="AT44" s="2">
        <v>-204.66145534762489</v>
      </c>
      <c r="AU44" s="1">
        <v>20.53632</v>
      </c>
      <c r="AV44" s="2">
        <v>3.3285494086793399</v>
      </c>
      <c r="AW44" s="2">
        <v>-205.2787354162628</v>
      </c>
      <c r="AX44" s="2">
        <v>48.381276273140728</v>
      </c>
      <c r="AZ44" s="1">
        <f t="shared" si="37"/>
        <v>15.75168</v>
      </c>
      <c r="BA44" s="2">
        <f t="shared" si="38"/>
        <v>3.5036205122631281</v>
      </c>
      <c r="BB44" s="7">
        <f t="shared" si="39"/>
        <v>-154.82648028448341</v>
      </c>
      <c r="BC44" s="1">
        <f t="shared" si="40"/>
        <v>4.7846399999999996</v>
      </c>
      <c r="BD44" s="2">
        <f t="shared" si="41"/>
        <v>0.8751540554455447</v>
      </c>
      <c r="BE44" s="2">
        <f t="shared" si="42"/>
        <v>-33.122763149582063</v>
      </c>
      <c r="BF44" s="2">
        <f t="shared" si="43"/>
        <v>0</v>
      </c>
      <c r="BG44" s="7">
        <f t="shared" si="44"/>
        <v>-35.461244826391102</v>
      </c>
      <c r="BH44" s="1">
        <f t="shared" si="45"/>
        <v>20.53632</v>
      </c>
      <c r="BI44" s="2">
        <f t="shared" si="46"/>
        <v>4.3787745677086729</v>
      </c>
      <c r="BJ44" s="2">
        <f t="shared" si="47"/>
        <v>187.94924343406547</v>
      </c>
      <c r="BK44" s="2">
        <f t="shared" si="48"/>
        <v>0</v>
      </c>
      <c r="BL44" s="7">
        <f t="shared" si="49"/>
        <v>-35.461244826391102</v>
      </c>
      <c r="BN44" s="1">
        <f t="shared" si="61"/>
        <v>20.53632</v>
      </c>
      <c r="BO44" s="4" t="str">
        <f t="shared" ref="BO44" si="96">IF(ISNUMBER(SEARCH("Appui",E44)),0,"0")</f>
        <v>0</v>
      </c>
      <c r="BP44" s="2">
        <f t="shared" si="21"/>
        <v>20.53632</v>
      </c>
      <c r="BQ44" s="2">
        <f t="shared" si="52"/>
        <v>48.381276273140728</v>
      </c>
      <c r="BR44" s="3">
        <f t="shared" si="53"/>
        <v>0.42446833944727724</v>
      </c>
      <c r="BS44" s="1">
        <f t="shared" si="54"/>
        <v>26.88</v>
      </c>
      <c r="BT44" s="2">
        <f t="shared" si="55"/>
        <v>102.1954441726017</v>
      </c>
      <c r="BU44" s="21">
        <f t="shared" si="56"/>
        <v>0.26302542366371406</v>
      </c>
      <c r="BV44" s="2">
        <f t="shared" si="57"/>
        <v>156.13</v>
      </c>
      <c r="BW44" s="2">
        <f t="shared" si="58"/>
        <v>251.82490475929518</v>
      </c>
      <c r="BX44" s="21">
        <f t="shared" si="59"/>
        <v>1.6129181115691744</v>
      </c>
      <c r="BY44" s="10" t="str">
        <f t="shared" ref="BY44" si="97">IF(C42&lt;C44,"Rive",IF(C46&gt;C44,"Rive","Inter"))</f>
        <v>Inter</v>
      </c>
    </row>
    <row r="45" spans="1:77" x14ac:dyDescent="0.25">
      <c r="A45" t="str">
        <f t="shared" si="22"/>
        <v>Appui</v>
      </c>
      <c r="B45" t="b">
        <f t="shared" si="82"/>
        <v>1</v>
      </c>
      <c r="C45">
        <f t="shared" si="83"/>
        <v>4</v>
      </c>
      <c r="D45" s="5" t="s">
        <v>102</v>
      </c>
      <c r="E45" t="s">
        <v>49</v>
      </c>
      <c r="F45" s="5">
        <v>25</v>
      </c>
      <c r="G45" t="s">
        <v>46</v>
      </c>
      <c r="H45">
        <v>500</v>
      </c>
      <c r="I45">
        <v>170000</v>
      </c>
      <c r="J45">
        <v>1300</v>
      </c>
      <c r="K45" s="10">
        <v>1445</v>
      </c>
      <c r="L45" s="12">
        <v>1</v>
      </c>
      <c r="M45" s="5">
        <v>0.22</v>
      </c>
      <c r="N45" s="10">
        <v>2.33</v>
      </c>
      <c r="O45" s="5">
        <v>1.9400000000000001E-3</v>
      </c>
      <c r="P45">
        <v>9.9999999999999992E-2</v>
      </c>
      <c r="Q45" s="10">
        <v>1</v>
      </c>
      <c r="R45" s="8">
        <v>0</v>
      </c>
      <c r="S45">
        <v>0</v>
      </c>
      <c r="T45">
        <v>1</v>
      </c>
      <c r="U45" s="9">
        <v>1.92E-4</v>
      </c>
      <c r="V45">
        <v>0</v>
      </c>
      <c r="W45" s="10">
        <v>1</v>
      </c>
      <c r="X45" s="1">
        <v>90.244</v>
      </c>
      <c r="Y45" s="2">
        <v>27.411999999999999</v>
      </c>
      <c r="Z45" s="13">
        <v>0</v>
      </c>
      <c r="AA45" s="2">
        <v>90.244</v>
      </c>
      <c r="AB45" s="2">
        <v>27.411999999999999</v>
      </c>
      <c r="AC45" s="2">
        <v>154</v>
      </c>
      <c r="AD45" s="2"/>
      <c r="AE45" s="7">
        <v>117.65600000000001</v>
      </c>
      <c r="AF45" s="2">
        <v>90.244</v>
      </c>
      <c r="AG45" s="2">
        <v>27.411999999999999</v>
      </c>
      <c r="AH45" s="2">
        <v>22.9979640626254</v>
      </c>
      <c r="AI45" s="2">
        <v>5.7546071289206804</v>
      </c>
      <c r="AJ45" s="2">
        <v>-424.30493223957779</v>
      </c>
      <c r="AK45" s="2">
        <v>-96.300333639369001</v>
      </c>
      <c r="AL45" s="2">
        <v>0</v>
      </c>
      <c r="AM45" s="2">
        <v>-175.96842115304031</v>
      </c>
      <c r="AN45" s="2">
        <v>154</v>
      </c>
      <c r="AO45" s="2">
        <v>93.126273467176844</v>
      </c>
      <c r="AP45" s="2">
        <v>144.3890266753273</v>
      </c>
      <c r="AQ45" s="2">
        <v>0</v>
      </c>
      <c r="AR45" s="2">
        <v>0</v>
      </c>
      <c r="AS45" s="2">
        <v>0</v>
      </c>
      <c r="AT45" s="2">
        <v>0</v>
      </c>
      <c r="AU45" s="1">
        <v>117.65600000000001</v>
      </c>
      <c r="AV45" s="2">
        <v>0</v>
      </c>
      <c r="AW45" s="2">
        <v>0</v>
      </c>
      <c r="AX45" s="2">
        <v>93.126273467176844</v>
      </c>
      <c r="AZ45" s="1">
        <f t="shared" si="37"/>
        <v>90.244</v>
      </c>
      <c r="BA45" s="2">
        <f t="shared" si="38"/>
        <v>22.9979640626254</v>
      </c>
      <c r="BB45" s="7">
        <f t="shared" si="39"/>
        <v>-424.30493223957779</v>
      </c>
      <c r="BC45" s="1">
        <f t="shared" si="40"/>
        <v>27.411999999999999</v>
      </c>
      <c r="BD45" s="2">
        <f t="shared" si="41"/>
        <v>5.7546071289206804</v>
      </c>
      <c r="BE45" s="2">
        <f t="shared" si="42"/>
        <v>-96.300333639369001</v>
      </c>
      <c r="BF45" s="2">
        <f t="shared" si="43"/>
        <v>0</v>
      </c>
      <c r="BG45" s="7">
        <f t="shared" si="44"/>
        <v>-175.96842115304031</v>
      </c>
      <c r="BH45" s="1">
        <f t="shared" si="45"/>
        <v>117.65600000000001</v>
      </c>
      <c r="BI45" s="2">
        <f t="shared" si="46"/>
        <v>28.752571191546082</v>
      </c>
      <c r="BJ45" s="2">
        <f t="shared" si="47"/>
        <v>520.60526587894674</v>
      </c>
      <c r="BK45" s="2">
        <f t="shared" si="48"/>
        <v>0</v>
      </c>
      <c r="BL45" s="7">
        <f t="shared" si="49"/>
        <v>-175.96842115304031</v>
      </c>
      <c r="BN45" s="1">
        <f t="shared" si="61"/>
        <v>117.65600000000001</v>
      </c>
      <c r="BO45" s="4">
        <v>0</v>
      </c>
      <c r="BP45" s="2">
        <f t="shared" si="21"/>
        <v>117.65600000000001</v>
      </c>
      <c r="BQ45" s="2">
        <f t="shared" si="52"/>
        <v>93.126273467176844</v>
      </c>
      <c r="BR45" s="3">
        <f t="shared" si="53"/>
        <v>1.2634028574274356</v>
      </c>
      <c r="BS45" s="1">
        <f t="shared" si="54"/>
        <v>154</v>
      </c>
      <c r="BT45" s="2">
        <f t="shared" si="55"/>
        <v>144.3890266753273</v>
      </c>
      <c r="BU45" s="21">
        <f t="shared" si="56"/>
        <v>1.0665630453087263</v>
      </c>
      <c r="BV45" s="2" t="str">
        <f t="shared" si="57"/>
        <v/>
      </c>
      <c r="BW45" s="2" t="str">
        <f t="shared" si="58"/>
        <v/>
      </c>
      <c r="BX45" s="21" t="str">
        <f t="shared" si="59"/>
        <v/>
      </c>
      <c r="BY45" s="15"/>
    </row>
    <row r="46" spans="1:77" x14ac:dyDescent="0.25">
      <c r="A46" t="str">
        <f t="shared" si="22"/>
        <v>Travée</v>
      </c>
      <c r="B46" t="b">
        <f t="shared" si="82"/>
        <v>1</v>
      </c>
      <c r="C46">
        <f t="shared" si="83"/>
        <v>4</v>
      </c>
      <c r="D46" s="5" t="s">
        <v>102</v>
      </c>
      <c r="E46" t="s">
        <v>51</v>
      </c>
      <c r="F46" s="5">
        <v>25</v>
      </c>
      <c r="G46" t="s">
        <v>46</v>
      </c>
      <c r="H46">
        <v>500</v>
      </c>
      <c r="I46">
        <v>170000</v>
      </c>
      <c r="J46">
        <v>1300</v>
      </c>
      <c r="K46" s="10">
        <v>1445</v>
      </c>
      <c r="L46" s="12">
        <v>1</v>
      </c>
      <c r="M46" s="5">
        <v>0.22</v>
      </c>
      <c r="N46" s="10">
        <v>2.33</v>
      </c>
      <c r="O46" s="5">
        <v>9.0000000000000008E-4</v>
      </c>
      <c r="P46">
        <v>0.04</v>
      </c>
      <c r="Q46" s="10">
        <v>1</v>
      </c>
      <c r="R46" s="8">
        <v>0</v>
      </c>
      <c r="S46">
        <v>0</v>
      </c>
      <c r="T46">
        <v>1</v>
      </c>
      <c r="U46" s="9">
        <v>1.92E-4</v>
      </c>
      <c r="V46">
        <v>0</v>
      </c>
      <c r="W46" s="10">
        <v>1</v>
      </c>
      <c r="X46" s="1">
        <v>49.505279999999999</v>
      </c>
      <c r="Y46" s="2">
        <v>15.03744</v>
      </c>
      <c r="Z46" s="13">
        <v>0</v>
      </c>
      <c r="AA46" s="2">
        <v>49.505279999999999</v>
      </c>
      <c r="AB46" s="2">
        <v>15.03744</v>
      </c>
      <c r="AC46" s="2">
        <v>84.48</v>
      </c>
      <c r="AD46" s="2"/>
      <c r="AE46" s="7">
        <v>64.542720000000003</v>
      </c>
      <c r="AF46" s="2">
        <v>49.505279999999999</v>
      </c>
      <c r="AG46" s="2">
        <v>15.03744</v>
      </c>
      <c r="AH46" s="2">
        <v>9.1274675981820739</v>
      </c>
      <c r="AI46" s="2">
        <v>2.419977541007448</v>
      </c>
      <c r="AJ46" s="2">
        <v>-321.97469410867649</v>
      </c>
      <c r="AK46" s="2">
        <v>-76.630509955003092</v>
      </c>
      <c r="AL46" s="2">
        <v>0</v>
      </c>
      <c r="AM46" s="2">
        <v>-82.515081994631075</v>
      </c>
      <c r="AN46" s="2">
        <v>84.48</v>
      </c>
      <c r="AO46" s="2">
        <v>72.956084098832122</v>
      </c>
      <c r="AP46" s="2">
        <v>124.3125776305605</v>
      </c>
      <c r="AQ46" s="2">
        <v>9.4242468560427408</v>
      </c>
      <c r="AR46" s="2">
        <v>-434.85319603335552</v>
      </c>
      <c r="AS46" s="2">
        <v>0</v>
      </c>
      <c r="AT46" s="2">
        <v>-497.60653337775102</v>
      </c>
      <c r="AU46" s="1">
        <v>64.542720000000003</v>
      </c>
      <c r="AV46" s="2">
        <v>8.247139680953552</v>
      </c>
      <c r="AW46" s="2">
        <v>-429.71789528791112</v>
      </c>
      <c r="AX46" s="2">
        <v>72.956084098832122</v>
      </c>
      <c r="AZ46" s="1">
        <f t="shared" si="37"/>
        <v>49.505279999999999</v>
      </c>
      <c r="BA46" s="2">
        <f t="shared" si="38"/>
        <v>9.1274675981820739</v>
      </c>
      <c r="BB46" s="7">
        <f t="shared" si="39"/>
        <v>-321.97469410867649</v>
      </c>
      <c r="BC46" s="1">
        <f t="shared" si="40"/>
        <v>15.03744</v>
      </c>
      <c r="BD46" s="2">
        <f t="shared" si="41"/>
        <v>2.419977541007448</v>
      </c>
      <c r="BE46" s="2">
        <f t="shared" si="42"/>
        <v>-76.630509955003092</v>
      </c>
      <c r="BF46" s="2">
        <f t="shared" si="43"/>
        <v>0</v>
      </c>
      <c r="BG46" s="7">
        <f t="shared" si="44"/>
        <v>-82.515081994631075</v>
      </c>
      <c r="BH46" s="1">
        <f t="shared" si="45"/>
        <v>64.542720000000003</v>
      </c>
      <c r="BI46" s="2">
        <f t="shared" si="46"/>
        <v>11.547445139189522</v>
      </c>
      <c r="BJ46" s="2">
        <f t="shared" si="47"/>
        <v>398.60520406367959</v>
      </c>
      <c r="BK46" s="2">
        <f t="shared" si="48"/>
        <v>0</v>
      </c>
      <c r="BL46" s="7">
        <f t="shared" si="49"/>
        <v>-82.515081994631075</v>
      </c>
      <c r="BN46" s="1">
        <f t="shared" si="61"/>
        <v>64.542720000000003</v>
      </c>
      <c r="BO46" s="4" t="str">
        <f t="shared" ref="BO46" si="98">IF(ISNUMBER(SEARCH("Appui",E46)),0,"0")</f>
        <v>0</v>
      </c>
      <c r="BP46" s="2">
        <f t="shared" si="21"/>
        <v>64.542720000000003</v>
      </c>
      <c r="BQ46" s="2">
        <f t="shared" si="52"/>
        <v>72.956084098832122</v>
      </c>
      <c r="BR46" s="3">
        <f t="shared" si="53"/>
        <v>0.88467906134552521</v>
      </c>
      <c r="BS46" s="1">
        <f t="shared" si="54"/>
        <v>84.48</v>
      </c>
      <c r="BT46" s="2">
        <f t="shared" si="55"/>
        <v>124.3125776305605</v>
      </c>
      <c r="BU46" s="21">
        <f t="shared" si="56"/>
        <v>0.6795772528429318</v>
      </c>
      <c r="BV46" s="2">
        <f t="shared" si="57"/>
        <v>262.13</v>
      </c>
      <c r="BW46" s="2">
        <f t="shared" si="58"/>
        <v>320.40661683753814</v>
      </c>
      <c r="BX46" s="21">
        <f t="shared" si="59"/>
        <v>1.2223195240435591</v>
      </c>
      <c r="BY46" s="10" t="str">
        <f t="shared" ref="BY46" si="99">IF(C44&lt;C46,"Rive",IF(C48&gt;C46,"Rive","Inter"))</f>
        <v>Inter</v>
      </c>
    </row>
    <row r="47" spans="1:77" x14ac:dyDescent="0.25">
      <c r="A47" t="str">
        <f t="shared" si="22"/>
        <v>Appui</v>
      </c>
      <c r="B47" t="b">
        <f t="shared" si="82"/>
        <v>1</v>
      </c>
      <c r="C47">
        <f t="shared" si="83"/>
        <v>4</v>
      </c>
      <c r="D47" s="5" t="s">
        <v>102</v>
      </c>
      <c r="E47" t="s">
        <v>52</v>
      </c>
      <c r="F47" s="5">
        <v>25</v>
      </c>
      <c r="G47" t="s">
        <v>46</v>
      </c>
      <c r="H47">
        <v>500</v>
      </c>
      <c r="I47">
        <v>170000</v>
      </c>
      <c r="J47">
        <v>1300</v>
      </c>
      <c r="K47" s="10">
        <v>1445</v>
      </c>
      <c r="L47" s="12">
        <v>1</v>
      </c>
      <c r="M47" s="5">
        <v>0.22</v>
      </c>
      <c r="N47" s="10">
        <v>2.33</v>
      </c>
      <c r="O47" s="5">
        <v>1.9400000000000001E-3</v>
      </c>
      <c r="P47">
        <v>0.04</v>
      </c>
      <c r="Q47" s="10">
        <v>1</v>
      </c>
      <c r="R47" s="8">
        <v>0</v>
      </c>
      <c r="S47">
        <v>0</v>
      </c>
      <c r="T47">
        <v>1</v>
      </c>
      <c r="U47" s="9">
        <v>3.8400000000000001E-4</v>
      </c>
      <c r="V47">
        <v>0</v>
      </c>
      <c r="W47" s="10">
        <v>1</v>
      </c>
      <c r="X47" s="1">
        <v>117.9618</v>
      </c>
      <c r="Y47" s="2">
        <v>35.831400000000002</v>
      </c>
      <c r="Z47" s="13">
        <v>0</v>
      </c>
      <c r="AA47" s="2">
        <v>117.9618</v>
      </c>
      <c r="AB47" s="2">
        <v>35.831400000000002</v>
      </c>
      <c r="AC47" s="2">
        <v>201.3</v>
      </c>
      <c r="AD47" s="2"/>
      <c r="AE47" s="7">
        <v>153.79320000000001</v>
      </c>
      <c r="AF47" s="2">
        <v>117.9618</v>
      </c>
      <c r="AG47" s="2">
        <v>35.831400000000002</v>
      </c>
      <c r="AH47" s="2">
        <v>15.686965174359941</v>
      </c>
      <c r="AI47" s="2">
        <v>4.224498419695335</v>
      </c>
      <c r="AJ47" s="2">
        <v>-364.0531964649702</v>
      </c>
      <c r="AK47" s="2">
        <v>-87.693935840732337</v>
      </c>
      <c r="AL47" s="2">
        <v>0</v>
      </c>
      <c r="AM47" s="2">
        <v>-96.174567713554879</v>
      </c>
      <c r="AN47" s="2">
        <v>201.3</v>
      </c>
      <c r="AO47" s="2">
        <v>146.17319553807769</v>
      </c>
      <c r="AP47" s="2">
        <v>247.79905173862801</v>
      </c>
      <c r="AQ47" s="2">
        <v>15.834950255142219</v>
      </c>
      <c r="AR47" s="2">
        <v>-435.94904746558962</v>
      </c>
      <c r="AS47" s="2">
        <v>0</v>
      </c>
      <c r="AT47" s="2">
        <v>-843.61311577576362</v>
      </c>
      <c r="AU47" s="1">
        <v>153.79320000000001</v>
      </c>
      <c r="AV47" s="2">
        <v>0</v>
      </c>
      <c r="AW47" s="2">
        <v>0</v>
      </c>
      <c r="AX47" s="2">
        <v>146.17319553807769</v>
      </c>
      <c r="AZ47" s="1">
        <f t="shared" si="37"/>
        <v>117.9618</v>
      </c>
      <c r="BA47" s="2">
        <f t="shared" si="38"/>
        <v>15.686965174359941</v>
      </c>
      <c r="BB47" s="7">
        <f t="shared" si="39"/>
        <v>-364.0531964649702</v>
      </c>
      <c r="BC47" s="1">
        <f t="shared" si="40"/>
        <v>35.831400000000002</v>
      </c>
      <c r="BD47" s="2">
        <f t="shared" si="41"/>
        <v>4.224498419695335</v>
      </c>
      <c r="BE47" s="2">
        <f t="shared" si="42"/>
        <v>-87.693935840732337</v>
      </c>
      <c r="BF47" s="2">
        <f t="shared" si="43"/>
        <v>0</v>
      </c>
      <c r="BG47" s="7">
        <f t="shared" si="44"/>
        <v>-96.174567713554879</v>
      </c>
      <c r="BH47" s="1">
        <f t="shared" si="45"/>
        <v>153.79320000000001</v>
      </c>
      <c r="BI47" s="2">
        <f t="shared" si="46"/>
        <v>19.911463594055277</v>
      </c>
      <c r="BJ47" s="2">
        <f t="shared" si="47"/>
        <v>451.74713230570251</v>
      </c>
      <c r="BK47" s="2">
        <f t="shared" si="48"/>
        <v>0</v>
      </c>
      <c r="BL47" s="7">
        <f t="shared" si="49"/>
        <v>-96.174567713554879</v>
      </c>
      <c r="BN47" s="1">
        <f t="shared" si="61"/>
        <v>153.79320000000001</v>
      </c>
      <c r="BO47" s="4">
        <v>0</v>
      </c>
      <c r="BP47" s="2">
        <f t="shared" si="21"/>
        <v>153.79320000000001</v>
      </c>
      <c r="BQ47" s="2">
        <f t="shared" si="52"/>
        <v>146.17319553807769</v>
      </c>
      <c r="BR47" s="3">
        <f t="shared" si="53"/>
        <v>1.0521299711200289</v>
      </c>
      <c r="BS47" s="1">
        <f t="shared" si="54"/>
        <v>201.3</v>
      </c>
      <c r="BT47" s="2">
        <f t="shared" si="55"/>
        <v>247.79905173862801</v>
      </c>
      <c r="BU47" s="21">
        <f t="shared" si="56"/>
        <v>0.81235177692417493</v>
      </c>
      <c r="BV47" s="2" t="str">
        <f t="shared" si="57"/>
        <v/>
      </c>
      <c r="BW47" s="2" t="str">
        <f t="shared" si="58"/>
        <v/>
      </c>
      <c r="BX47" s="21" t="str">
        <f t="shared" si="59"/>
        <v/>
      </c>
      <c r="BY47" s="15"/>
    </row>
    <row r="48" spans="1:77" x14ac:dyDescent="0.25">
      <c r="A48" t="str">
        <f t="shared" si="22"/>
        <v>Travée</v>
      </c>
      <c r="B48" t="b">
        <f t="shared" si="82"/>
        <v>1</v>
      </c>
      <c r="C48">
        <f t="shared" si="83"/>
        <v>4</v>
      </c>
      <c r="D48" s="5" t="s">
        <v>102</v>
      </c>
      <c r="E48" t="s">
        <v>53</v>
      </c>
      <c r="F48" s="5">
        <v>25</v>
      </c>
      <c r="G48" t="s">
        <v>46</v>
      </c>
      <c r="H48">
        <v>500</v>
      </c>
      <c r="I48">
        <v>170000</v>
      </c>
      <c r="J48">
        <v>1300</v>
      </c>
      <c r="K48" s="10">
        <v>1445</v>
      </c>
      <c r="L48" s="12">
        <v>1</v>
      </c>
      <c r="M48" s="5">
        <v>0.22</v>
      </c>
      <c r="N48" s="10">
        <v>2.33</v>
      </c>
      <c r="O48" s="5">
        <v>5.9900000000000003E-4</v>
      </c>
      <c r="P48">
        <v>0.04</v>
      </c>
      <c r="Q48" s="10">
        <v>1</v>
      </c>
      <c r="R48" s="8">
        <v>0</v>
      </c>
      <c r="S48">
        <v>0</v>
      </c>
      <c r="T48">
        <v>1</v>
      </c>
      <c r="U48" s="9">
        <v>1.92E-4</v>
      </c>
      <c r="V48">
        <v>0</v>
      </c>
      <c r="W48" s="10">
        <v>1</v>
      </c>
      <c r="X48" s="1">
        <v>45.004800000000003</v>
      </c>
      <c r="Y48" s="2">
        <v>13.670400000000001</v>
      </c>
      <c r="Z48" s="13">
        <v>0</v>
      </c>
      <c r="AA48" s="2">
        <v>45.004800000000003</v>
      </c>
      <c r="AB48" s="2">
        <v>13.670400000000001</v>
      </c>
      <c r="AC48" s="2">
        <v>76.8</v>
      </c>
      <c r="AD48" s="2"/>
      <c r="AE48" s="7">
        <v>58.675199999999997</v>
      </c>
      <c r="AF48" s="2">
        <v>45.004800000000003</v>
      </c>
      <c r="AG48" s="2">
        <v>13.670400000000001</v>
      </c>
      <c r="AH48" s="2">
        <v>9.936298827085146</v>
      </c>
      <c r="AI48" s="2">
        <v>2.4900502309581451</v>
      </c>
      <c r="AJ48" s="2">
        <v>-435.89103524517577</v>
      </c>
      <c r="AK48" s="2">
        <v>-93.652192164496867</v>
      </c>
      <c r="AL48" s="2">
        <v>0</v>
      </c>
      <c r="AM48" s="2">
        <v>-100.2828209016303</v>
      </c>
      <c r="AN48" s="2">
        <v>76.8</v>
      </c>
      <c r="AO48" s="2">
        <v>49.106980465041353</v>
      </c>
      <c r="AP48" s="2">
        <v>102.8382813523739</v>
      </c>
      <c r="AQ48" s="2">
        <v>10.59175822384719</v>
      </c>
      <c r="AR48" s="2">
        <v>-435.94291738524203</v>
      </c>
      <c r="AS48" s="2">
        <v>0</v>
      </c>
      <c r="AT48" s="2">
        <v>-813.124680269279</v>
      </c>
      <c r="AU48" s="1">
        <v>58.675199999999997</v>
      </c>
      <c r="AV48" s="2">
        <v>0</v>
      </c>
      <c r="AW48" s="2">
        <v>0</v>
      </c>
      <c r="AX48" s="2">
        <v>49.106980465041353</v>
      </c>
      <c r="AZ48" s="1">
        <f t="shared" si="37"/>
        <v>45.004800000000003</v>
      </c>
      <c r="BA48" s="2">
        <f t="shared" si="38"/>
        <v>9.936298827085146</v>
      </c>
      <c r="BB48" s="7">
        <f t="shared" si="39"/>
        <v>-435.89103524517577</v>
      </c>
      <c r="BC48" s="1">
        <f t="shared" si="40"/>
        <v>13.670400000000001</v>
      </c>
      <c r="BD48" s="2">
        <f t="shared" si="41"/>
        <v>2.4900502309581451</v>
      </c>
      <c r="BE48" s="2">
        <f t="shared" si="42"/>
        <v>-93.652192164496867</v>
      </c>
      <c r="BF48" s="2">
        <f t="shared" si="43"/>
        <v>0</v>
      </c>
      <c r="BG48" s="7">
        <f t="shared" si="44"/>
        <v>-100.2828209016303</v>
      </c>
      <c r="BH48" s="1">
        <f t="shared" si="45"/>
        <v>58.675200000000004</v>
      </c>
      <c r="BI48" s="2">
        <f t="shared" si="46"/>
        <v>12.426349058043291</v>
      </c>
      <c r="BJ48" s="2">
        <f t="shared" si="47"/>
        <v>529.54322740967268</v>
      </c>
      <c r="BK48" s="2">
        <f t="shared" si="48"/>
        <v>0</v>
      </c>
      <c r="BL48" s="7">
        <f t="shared" si="49"/>
        <v>-100.2828209016303</v>
      </c>
      <c r="BN48" s="1">
        <f t="shared" si="61"/>
        <v>58.675199999999997</v>
      </c>
      <c r="BO48" s="4" t="str">
        <f t="shared" ref="BO48" si="100">IF(ISNUMBER(SEARCH("Appui",E48)),0,"0")</f>
        <v>0</v>
      </c>
      <c r="BP48" s="2">
        <f t="shared" si="21"/>
        <v>58.675199999999997</v>
      </c>
      <c r="BQ48" s="2">
        <f t="shared" si="52"/>
        <v>49.106980465041353</v>
      </c>
      <c r="BR48" s="3">
        <f t="shared" si="53"/>
        <v>1.1948443875870181</v>
      </c>
      <c r="BS48" s="1">
        <f t="shared" si="54"/>
        <v>76.8</v>
      </c>
      <c r="BT48" s="2">
        <f t="shared" si="55"/>
        <v>102.8382813523739</v>
      </c>
      <c r="BU48" s="21">
        <f t="shared" si="56"/>
        <v>0.74680361233231718</v>
      </c>
      <c r="BV48" s="2">
        <f t="shared" si="57"/>
        <v>264.35000000000002</v>
      </c>
      <c r="BW48" s="2">
        <f t="shared" si="58"/>
        <v>350.63733309100189</v>
      </c>
      <c r="BX48" s="21">
        <f t="shared" si="59"/>
        <v>1.3264132138868994</v>
      </c>
      <c r="BY48" s="10" t="str">
        <f t="shared" ref="BY48" si="101">IF(C46&lt;C48,"Rive",IF(C50&gt;C48,"Rive","Inter"))</f>
        <v>Inter</v>
      </c>
    </row>
    <row r="49" spans="1:77" x14ac:dyDescent="0.25">
      <c r="A49" t="str">
        <f t="shared" si="22"/>
        <v>Appui</v>
      </c>
      <c r="B49" t="b">
        <f t="shared" si="82"/>
        <v>1</v>
      </c>
      <c r="C49">
        <f t="shared" si="83"/>
        <v>4</v>
      </c>
      <c r="D49" s="5" t="s">
        <v>102</v>
      </c>
      <c r="E49" t="s">
        <v>54</v>
      </c>
      <c r="F49" s="5">
        <v>25</v>
      </c>
      <c r="G49" t="s">
        <v>46</v>
      </c>
      <c r="H49">
        <v>500</v>
      </c>
      <c r="I49">
        <v>170000</v>
      </c>
      <c r="J49">
        <v>1300</v>
      </c>
      <c r="K49" s="10">
        <v>1445</v>
      </c>
      <c r="L49" s="12">
        <v>1</v>
      </c>
      <c r="M49" s="5">
        <v>0.22</v>
      </c>
      <c r="N49" s="10">
        <v>2.33</v>
      </c>
      <c r="O49" s="5">
        <v>1.9400000000000001E-3</v>
      </c>
      <c r="P49">
        <v>0.04</v>
      </c>
      <c r="Q49" s="10">
        <v>1</v>
      </c>
      <c r="R49" s="8">
        <v>0</v>
      </c>
      <c r="S49">
        <v>0</v>
      </c>
      <c r="T49">
        <v>1</v>
      </c>
      <c r="U49" s="9">
        <v>3.8400000000000001E-4</v>
      </c>
      <c r="V49">
        <v>0</v>
      </c>
      <c r="W49" s="10">
        <v>1</v>
      </c>
      <c r="X49" s="1">
        <v>101.8468</v>
      </c>
      <c r="Y49" s="2">
        <v>30.936399999999999</v>
      </c>
      <c r="Z49" s="13">
        <v>0</v>
      </c>
      <c r="AA49" s="2">
        <v>101.8468</v>
      </c>
      <c r="AB49" s="2">
        <v>30.936399999999999</v>
      </c>
      <c r="AC49" s="2">
        <v>173.8</v>
      </c>
      <c r="AD49" s="2"/>
      <c r="AE49" s="7">
        <v>132.78319999999999</v>
      </c>
      <c r="AF49" s="2">
        <v>101.8468</v>
      </c>
      <c r="AG49" s="2">
        <v>30.936399999999999</v>
      </c>
      <c r="AH49" s="2">
        <v>13.543937145075811</v>
      </c>
      <c r="AI49" s="2">
        <v>3.6473813822157171</v>
      </c>
      <c r="AJ49" s="2">
        <v>-314.31915323205078</v>
      </c>
      <c r="AK49" s="2">
        <v>-75.71388845517626</v>
      </c>
      <c r="AL49" s="2">
        <v>0</v>
      </c>
      <c r="AM49" s="2">
        <v>-83.03596428228083</v>
      </c>
      <c r="AN49" s="2">
        <v>173.8</v>
      </c>
      <c r="AO49" s="2">
        <v>146.17319553807769</v>
      </c>
      <c r="AP49" s="2">
        <v>247.79905173862801</v>
      </c>
      <c r="AQ49" s="2">
        <v>13.414532013461161</v>
      </c>
      <c r="AR49" s="2">
        <v>-434.8643479493993</v>
      </c>
      <c r="AS49" s="2">
        <v>0</v>
      </c>
      <c r="AT49" s="2">
        <v>-517.22344220744662</v>
      </c>
      <c r="AU49" s="1">
        <v>132.78319999999999</v>
      </c>
      <c r="AV49" s="2">
        <v>11.823333743004319</v>
      </c>
      <c r="AW49" s="2">
        <v>-425.22855377944938</v>
      </c>
      <c r="AX49" s="2">
        <v>146.17319553807769</v>
      </c>
      <c r="AZ49" s="1">
        <f t="shared" si="37"/>
        <v>101.8468</v>
      </c>
      <c r="BA49" s="2">
        <f t="shared" si="38"/>
        <v>13.543937145075811</v>
      </c>
      <c r="BB49" s="7">
        <f t="shared" si="39"/>
        <v>-314.31915323205078</v>
      </c>
      <c r="BC49" s="1">
        <f t="shared" si="40"/>
        <v>30.936399999999999</v>
      </c>
      <c r="BD49" s="2">
        <f t="shared" si="41"/>
        <v>3.6473813822157171</v>
      </c>
      <c r="BE49" s="2">
        <f t="shared" si="42"/>
        <v>-75.71388845517626</v>
      </c>
      <c r="BF49" s="2">
        <f t="shared" si="43"/>
        <v>0</v>
      </c>
      <c r="BG49" s="7">
        <f t="shared" si="44"/>
        <v>-83.03596428228083</v>
      </c>
      <c r="BH49" s="1">
        <f t="shared" si="45"/>
        <v>132.78319999999999</v>
      </c>
      <c r="BI49" s="2">
        <f t="shared" si="46"/>
        <v>17.191318527291529</v>
      </c>
      <c r="BJ49" s="2">
        <f t="shared" si="47"/>
        <v>390.03304168722707</v>
      </c>
      <c r="BK49" s="2">
        <f t="shared" si="48"/>
        <v>0</v>
      </c>
      <c r="BL49" s="7">
        <f t="shared" si="49"/>
        <v>-83.03596428228083</v>
      </c>
      <c r="BN49" s="1">
        <f t="shared" si="61"/>
        <v>132.78319999999999</v>
      </c>
      <c r="BO49" s="4">
        <v>0</v>
      </c>
      <c r="BP49" s="2">
        <f t="shared" si="21"/>
        <v>132.78319999999999</v>
      </c>
      <c r="BQ49" s="2">
        <f t="shared" si="52"/>
        <v>146.17319553807769</v>
      </c>
      <c r="BR49" s="3">
        <f t="shared" si="53"/>
        <v>0.90839636850800298</v>
      </c>
      <c r="BS49" s="1">
        <f t="shared" si="54"/>
        <v>173.8</v>
      </c>
      <c r="BT49" s="2">
        <f t="shared" si="55"/>
        <v>247.79905173862801</v>
      </c>
      <c r="BU49" s="21">
        <f t="shared" si="56"/>
        <v>0.70137475821868656</v>
      </c>
      <c r="BV49" s="2" t="str">
        <f t="shared" si="57"/>
        <v/>
      </c>
      <c r="BW49" s="2" t="str">
        <f t="shared" si="58"/>
        <v/>
      </c>
      <c r="BX49" s="21" t="str">
        <f t="shared" si="59"/>
        <v/>
      </c>
      <c r="BY49" s="15"/>
    </row>
    <row r="50" spans="1:77" x14ac:dyDescent="0.25">
      <c r="A50" t="str">
        <f t="shared" si="22"/>
        <v>Travée</v>
      </c>
      <c r="B50" t="b">
        <f t="shared" si="82"/>
        <v>1</v>
      </c>
      <c r="C50">
        <f t="shared" si="83"/>
        <v>4</v>
      </c>
      <c r="D50" s="5" t="s">
        <v>102</v>
      </c>
      <c r="E50" t="s">
        <v>55</v>
      </c>
      <c r="F50" s="5">
        <v>25</v>
      </c>
      <c r="G50" t="s">
        <v>46</v>
      </c>
      <c r="H50">
        <v>500</v>
      </c>
      <c r="I50">
        <v>170000</v>
      </c>
      <c r="J50">
        <v>1300</v>
      </c>
      <c r="K50" s="10">
        <v>1445</v>
      </c>
      <c r="L50" s="12">
        <v>1</v>
      </c>
      <c r="M50" s="5">
        <v>0.22</v>
      </c>
      <c r="N50" s="10">
        <v>2.33</v>
      </c>
      <c r="O50" s="5">
        <v>9.0000000000000008E-4</v>
      </c>
      <c r="P50">
        <v>0.04</v>
      </c>
      <c r="Q50" s="10">
        <v>1</v>
      </c>
      <c r="R50" s="8">
        <v>0</v>
      </c>
      <c r="S50">
        <v>0</v>
      </c>
      <c r="T50">
        <v>1</v>
      </c>
      <c r="U50" s="9">
        <v>1.92E-4</v>
      </c>
      <c r="V50">
        <v>0</v>
      </c>
      <c r="W50" s="10">
        <v>1</v>
      </c>
      <c r="X50" s="1">
        <v>34.503680000000003</v>
      </c>
      <c r="Y50" s="2">
        <v>10.480639999999999</v>
      </c>
      <c r="Z50" s="13">
        <v>0</v>
      </c>
      <c r="AA50" s="2">
        <v>34.503680000000003</v>
      </c>
      <c r="AB50" s="2">
        <v>10.480639999999999</v>
      </c>
      <c r="AC50" s="2">
        <v>58.88</v>
      </c>
      <c r="AD50" s="2"/>
      <c r="AE50" s="7">
        <v>44.984319999999997</v>
      </c>
      <c r="AF50" s="2">
        <v>34.503680000000003</v>
      </c>
      <c r="AG50" s="2">
        <v>10.480639999999999</v>
      </c>
      <c r="AH50" s="2">
        <v>6.3615690695930409</v>
      </c>
      <c r="AI50" s="2">
        <v>1.686651013429433</v>
      </c>
      <c r="AJ50" s="2">
        <v>-224.40660025058759</v>
      </c>
      <c r="AK50" s="2">
        <v>-53.409143301971838</v>
      </c>
      <c r="AL50" s="2">
        <v>0</v>
      </c>
      <c r="AM50" s="2">
        <v>-57.510511693227699</v>
      </c>
      <c r="AN50" s="2">
        <v>58.88</v>
      </c>
      <c r="AO50" s="2">
        <v>72.956084098832122</v>
      </c>
      <c r="AP50" s="2">
        <v>124.3125776305605</v>
      </c>
      <c r="AQ50" s="2">
        <v>6.7497353063505114</v>
      </c>
      <c r="AR50" s="2">
        <v>-305.79198326378912</v>
      </c>
      <c r="AS50" s="2">
        <v>0</v>
      </c>
      <c r="AT50" s="2">
        <v>-334.95795446533702</v>
      </c>
      <c r="AU50" s="1">
        <v>44.984319999999997</v>
      </c>
      <c r="AV50" s="2">
        <v>5.93836447956466</v>
      </c>
      <c r="AW50" s="2">
        <v>-298.90394107643863</v>
      </c>
      <c r="AX50" s="2">
        <v>72.956084098832122</v>
      </c>
      <c r="AZ50" s="1">
        <f t="shared" si="37"/>
        <v>34.503680000000003</v>
      </c>
      <c r="BA50" s="2">
        <f t="shared" si="38"/>
        <v>6.3615690695930409</v>
      </c>
      <c r="BB50" s="7">
        <f t="shared" si="39"/>
        <v>-224.40660025058759</v>
      </c>
      <c r="BC50" s="1">
        <f t="shared" si="40"/>
        <v>10.480639999999999</v>
      </c>
      <c r="BD50" s="2">
        <f t="shared" si="41"/>
        <v>1.686651013429433</v>
      </c>
      <c r="BE50" s="2">
        <f t="shared" si="42"/>
        <v>-53.409143301971838</v>
      </c>
      <c r="BF50" s="2">
        <f t="shared" si="43"/>
        <v>0</v>
      </c>
      <c r="BG50" s="7">
        <f t="shared" si="44"/>
        <v>-57.510511693227699</v>
      </c>
      <c r="BH50" s="1">
        <f t="shared" si="45"/>
        <v>44.984320000000004</v>
      </c>
      <c r="BI50" s="2">
        <f t="shared" si="46"/>
        <v>8.0482200830224748</v>
      </c>
      <c r="BJ50" s="2">
        <f t="shared" si="47"/>
        <v>277.81574355255941</v>
      </c>
      <c r="BK50" s="2">
        <f t="shared" si="48"/>
        <v>0</v>
      </c>
      <c r="BL50" s="7">
        <f t="shared" si="49"/>
        <v>-57.510511693227699</v>
      </c>
      <c r="BN50" s="1">
        <f t="shared" si="61"/>
        <v>44.984319999999997</v>
      </c>
      <c r="BO50" s="4" t="str">
        <f t="shared" ref="BO50" si="102">IF(ISNUMBER(SEARCH("Appui",E50)),0,"0")</f>
        <v>0</v>
      </c>
      <c r="BP50" s="2">
        <f t="shared" si="21"/>
        <v>44.984319999999997</v>
      </c>
      <c r="BQ50" s="2">
        <f t="shared" si="52"/>
        <v>72.956084098832122</v>
      </c>
      <c r="BR50" s="3">
        <f t="shared" si="53"/>
        <v>0.61659449730142668</v>
      </c>
      <c r="BS50" s="1">
        <f t="shared" si="54"/>
        <v>58.88</v>
      </c>
      <c r="BT50" s="2">
        <f t="shared" si="55"/>
        <v>124.3125776305605</v>
      </c>
      <c r="BU50" s="21">
        <f t="shared" si="56"/>
        <v>0.47364475198143735</v>
      </c>
      <c r="BV50" s="2">
        <f t="shared" si="57"/>
        <v>145.78</v>
      </c>
      <c r="BW50" s="2">
        <f t="shared" si="58"/>
        <v>248.2121034998745</v>
      </c>
      <c r="BX50" s="21">
        <f t="shared" si="59"/>
        <v>1.7026485354635374</v>
      </c>
      <c r="BY50" s="10" t="str">
        <f t="shared" ref="BY50" si="103">IF(C48&lt;C50,"Rive",IF(C52&gt;C50,"Rive","Inter"))</f>
        <v>Rive</v>
      </c>
    </row>
    <row r="51" spans="1:77" x14ac:dyDescent="0.25">
      <c r="A51" t="str">
        <f t="shared" si="22"/>
        <v/>
      </c>
      <c r="B51" t="b">
        <f t="shared" si="82"/>
        <v>1</v>
      </c>
      <c r="C51">
        <f t="shared" si="83"/>
        <v>4</v>
      </c>
      <c r="D51" s="5" t="s">
        <v>102</v>
      </c>
      <c r="F51" s="5"/>
      <c r="K51" s="10"/>
      <c r="L51" s="12"/>
      <c r="M51" s="5"/>
      <c r="N51" s="10"/>
      <c r="O51" s="5"/>
      <c r="Q51" s="10"/>
      <c r="R51" s="8"/>
      <c r="U51" s="9"/>
      <c r="W51" s="10"/>
      <c r="X51" s="1"/>
      <c r="Y51" s="2"/>
      <c r="Z51" s="13"/>
      <c r="AA51" s="2"/>
      <c r="AB51" s="2"/>
      <c r="AC51" s="2"/>
      <c r="AD51" s="2"/>
      <c r="AE51" s="7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1"/>
      <c r="AV51" s="2"/>
      <c r="AW51" s="2"/>
      <c r="AX51" s="2"/>
      <c r="AZ51" s="1">
        <f t="shared" si="37"/>
        <v>0</v>
      </c>
      <c r="BA51" s="2">
        <f t="shared" si="38"/>
        <v>0</v>
      </c>
      <c r="BB51" s="7">
        <f t="shared" si="39"/>
        <v>0</v>
      </c>
      <c r="BC51" s="1">
        <f t="shared" si="40"/>
        <v>0</v>
      </c>
      <c r="BD51" s="2">
        <f t="shared" si="41"/>
        <v>0</v>
      </c>
      <c r="BE51" s="2">
        <f t="shared" si="42"/>
        <v>0</v>
      </c>
      <c r="BF51" s="2">
        <f t="shared" si="43"/>
        <v>0</v>
      </c>
      <c r="BG51" s="7">
        <f t="shared" si="44"/>
        <v>0</v>
      </c>
      <c r="BH51" s="1">
        <f t="shared" si="45"/>
        <v>0</v>
      </c>
      <c r="BI51" s="2">
        <f t="shared" si="46"/>
        <v>0</v>
      </c>
      <c r="BJ51" s="2">
        <f t="shared" si="47"/>
        <v>0</v>
      </c>
      <c r="BK51" s="2">
        <f t="shared" si="48"/>
        <v>0</v>
      </c>
      <c r="BL51" s="7">
        <f t="shared" si="49"/>
        <v>0</v>
      </c>
      <c r="BN51" s="1">
        <f t="shared" si="61"/>
        <v>0</v>
      </c>
      <c r="BO51" s="4">
        <v>0</v>
      </c>
      <c r="BP51" s="2">
        <f t="shared" si="21"/>
        <v>0</v>
      </c>
      <c r="BQ51" s="2">
        <f t="shared" si="52"/>
        <v>0</v>
      </c>
      <c r="BR51" s="3" t="e">
        <f t="shared" si="53"/>
        <v>#DIV/0!</v>
      </c>
      <c r="BS51" s="1">
        <f t="shared" si="54"/>
        <v>0</v>
      </c>
      <c r="BT51" s="2">
        <f t="shared" si="55"/>
        <v>0</v>
      </c>
      <c r="BU51" s="21" t="e">
        <f t="shared" si="56"/>
        <v>#DIV/0!</v>
      </c>
      <c r="BV51" s="2" t="str">
        <f t="shared" si="57"/>
        <v/>
      </c>
      <c r="BW51" s="2" t="str">
        <f t="shared" si="58"/>
        <v/>
      </c>
      <c r="BX51" s="21" t="str">
        <f t="shared" si="59"/>
        <v/>
      </c>
      <c r="BY51" s="15"/>
    </row>
    <row r="52" spans="1:77" x14ac:dyDescent="0.25">
      <c r="A52" t="str">
        <f t="shared" si="22"/>
        <v>Travée</v>
      </c>
      <c r="B52" t="b">
        <f t="shared" si="82"/>
        <v>0</v>
      </c>
      <c r="C52">
        <f t="shared" si="83"/>
        <v>5</v>
      </c>
      <c r="D52" s="5" t="s">
        <v>103</v>
      </c>
      <c r="E52" t="s">
        <v>45</v>
      </c>
      <c r="F52" s="5">
        <v>25</v>
      </c>
      <c r="G52" t="s">
        <v>46</v>
      </c>
      <c r="H52">
        <v>500</v>
      </c>
      <c r="I52">
        <v>170000</v>
      </c>
      <c r="J52">
        <v>1300</v>
      </c>
      <c r="K52" s="10">
        <v>1445</v>
      </c>
      <c r="L52" s="12">
        <v>1</v>
      </c>
      <c r="M52" s="5">
        <v>0.25</v>
      </c>
      <c r="N52" s="10">
        <v>2.6</v>
      </c>
      <c r="O52" s="5">
        <v>3.3280000000000001E-4</v>
      </c>
      <c r="P52">
        <v>0.04</v>
      </c>
      <c r="Q52" s="10">
        <v>1</v>
      </c>
      <c r="R52" s="8">
        <v>0</v>
      </c>
      <c r="S52">
        <v>0</v>
      </c>
      <c r="T52">
        <v>1</v>
      </c>
      <c r="U52" s="9">
        <v>5.7600000000000001E-4</v>
      </c>
      <c r="V52">
        <v>0</v>
      </c>
      <c r="W52" s="10">
        <v>1</v>
      </c>
      <c r="X52" s="1">
        <v>48.005119999999998</v>
      </c>
      <c r="Y52" s="2">
        <v>14.581759999999999</v>
      </c>
      <c r="Z52" s="13">
        <v>0</v>
      </c>
      <c r="AA52" s="2">
        <v>48.005119999999998</v>
      </c>
      <c r="AB52" s="2">
        <v>14.581759999999999</v>
      </c>
      <c r="AC52" s="2">
        <v>81.92</v>
      </c>
      <c r="AD52" s="2"/>
      <c r="AE52" s="7">
        <v>62.586879999999987</v>
      </c>
      <c r="AF52" s="2">
        <v>48.005119999999998</v>
      </c>
      <c r="AG52" s="2">
        <v>14.581759999999999</v>
      </c>
      <c r="AH52" s="2">
        <v>10.31576227993291</v>
      </c>
      <c r="AI52" s="2">
        <v>1.7303116714016811</v>
      </c>
      <c r="AJ52" s="2">
        <v>-707.09414880205895</v>
      </c>
      <c r="AK52" s="2">
        <v>-69.344406693218303</v>
      </c>
      <c r="AL52" s="2">
        <v>0</v>
      </c>
      <c r="AM52" s="2">
        <v>-71.950005391208322</v>
      </c>
      <c r="AN52" s="2">
        <v>81.92</v>
      </c>
      <c r="AO52" s="2">
        <v>32.175182924605153</v>
      </c>
      <c r="AP52" s="2">
        <v>224.80894309617941</v>
      </c>
      <c r="AQ52" s="2">
        <v>6.8074542888009368</v>
      </c>
      <c r="AR52" s="2">
        <v>-393.38833551557929</v>
      </c>
      <c r="AS52" s="2">
        <v>0</v>
      </c>
      <c r="AT52" s="2">
        <v>-413.0234567647733</v>
      </c>
      <c r="AU52" s="1">
        <v>62.586879999999987</v>
      </c>
      <c r="AV52" s="2">
        <v>0</v>
      </c>
      <c r="AW52" s="2">
        <v>0</v>
      </c>
      <c r="AX52" s="2">
        <v>32.175182924605153</v>
      </c>
      <c r="AZ52" s="1">
        <f t="shared" si="37"/>
        <v>48.005119999999998</v>
      </c>
      <c r="BA52" s="2">
        <f t="shared" si="38"/>
        <v>10.31576227993291</v>
      </c>
      <c r="BB52" s="7">
        <f t="shared" si="39"/>
        <v>-707.09414880205895</v>
      </c>
      <c r="BC52" s="1">
        <f t="shared" si="40"/>
        <v>14.581759999999999</v>
      </c>
      <c r="BD52" s="2">
        <f t="shared" si="41"/>
        <v>1.7303116714016811</v>
      </c>
      <c r="BE52" s="2">
        <f t="shared" si="42"/>
        <v>-69.344406693218303</v>
      </c>
      <c r="BF52" s="2">
        <f t="shared" si="43"/>
        <v>0</v>
      </c>
      <c r="BG52" s="7">
        <f t="shared" si="44"/>
        <v>-71.950005391208322</v>
      </c>
      <c r="BH52" s="1">
        <f t="shared" si="45"/>
        <v>62.586879999999994</v>
      </c>
      <c r="BI52" s="2">
        <f t="shared" si="46"/>
        <v>12.046073951334591</v>
      </c>
      <c r="BJ52" s="2">
        <f t="shared" si="47"/>
        <v>776.43855549527723</v>
      </c>
      <c r="BK52" s="2">
        <f t="shared" si="48"/>
        <v>0</v>
      </c>
      <c r="BL52" s="7">
        <f t="shared" si="49"/>
        <v>-71.950005391208322</v>
      </c>
      <c r="BN52" s="1">
        <f t="shared" si="61"/>
        <v>62.586879999999987</v>
      </c>
      <c r="BO52" s="4" t="str">
        <f t="shared" ref="BO52" si="104">IF(ISNUMBER(SEARCH("Appui",E52)),0,"0")</f>
        <v>0</v>
      </c>
      <c r="BP52" s="2">
        <f t="shared" si="21"/>
        <v>62.586879999999987</v>
      </c>
      <c r="BQ52" s="2">
        <f t="shared" si="52"/>
        <v>32.175182924605153</v>
      </c>
      <c r="BR52" s="3">
        <f t="shared" si="53"/>
        <v>1.9451911166024254</v>
      </c>
      <c r="BS52" s="1">
        <f t="shared" si="54"/>
        <v>81.92</v>
      </c>
      <c r="BT52" s="2">
        <f t="shared" si="55"/>
        <v>224.80894309617941</v>
      </c>
      <c r="BU52" s="21">
        <f t="shared" si="56"/>
        <v>0.36439831472786377</v>
      </c>
      <c r="BV52" s="2">
        <f t="shared" si="57"/>
        <v>176.51999999999998</v>
      </c>
      <c r="BW52" s="2">
        <f t="shared" si="58"/>
        <v>332.44859567570546</v>
      </c>
      <c r="BX52" s="21">
        <f t="shared" si="59"/>
        <v>1.8833480380450118</v>
      </c>
      <c r="BY52" s="10" t="str">
        <f t="shared" ref="BY52" si="105">IF(C50&lt;C52,"Rive",IF(C54&gt;C52,"Rive","Inter"))</f>
        <v>Rive</v>
      </c>
    </row>
    <row r="53" spans="1:77" x14ac:dyDescent="0.25">
      <c r="A53" t="str">
        <f t="shared" si="22"/>
        <v>Appui</v>
      </c>
      <c r="B53" t="b">
        <f t="shared" si="82"/>
        <v>0</v>
      </c>
      <c r="C53">
        <f t="shared" si="83"/>
        <v>5</v>
      </c>
      <c r="D53" s="5" t="s">
        <v>103</v>
      </c>
      <c r="E53" t="s">
        <v>47</v>
      </c>
      <c r="F53" s="5">
        <v>25</v>
      </c>
      <c r="G53" t="s">
        <v>46</v>
      </c>
      <c r="H53">
        <v>500</v>
      </c>
      <c r="I53">
        <v>170000</v>
      </c>
      <c r="J53">
        <v>1300</v>
      </c>
      <c r="K53" s="10">
        <v>1445</v>
      </c>
      <c r="L53" s="12">
        <v>1</v>
      </c>
      <c r="M53" s="5">
        <v>0.25</v>
      </c>
      <c r="N53" s="10">
        <v>2.6</v>
      </c>
      <c r="O53" s="5">
        <v>2.0999999999999999E-3</v>
      </c>
      <c r="P53">
        <v>6.9999999999999993E-2</v>
      </c>
      <c r="Q53" s="10">
        <v>1</v>
      </c>
      <c r="R53" s="8">
        <v>0</v>
      </c>
      <c r="S53">
        <v>0</v>
      </c>
      <c r="T53">
        <v>1</v>
      </c>
      <c r="U53" s="9">
        <v>1.92E-4</v>
      </c>
      <c r="V53">
        <v>0</v>
      </c>
      <c r="W53" s="10">
        <v>1</v>
      </c>
      <c r="X53" s="1">
        <v>110.8712</v>
      </c>
      <c r="Y53" s="2">
        <v>33.677599999999998</v>
      </c>
      <c r="Z53" s="13">
        <v>0</v>
      </c>
      <c r="AA53" s="2">
        <v>110.8712</v>
      </c>
      <c r="AB53" s="2">
        <v>33.677599999999998</v>
      </c>
      <c r="AC53" s="2">
        <v>189.2</v>
      </c>
      <c r="AD53" s="2"/>
      <c r="AE53" s="7">
        <v>144.5488</v>
      </c>
      <c r="AF53" s="2">
        <v>110.8712</v>
      </c>
      <c r="AG53" s="2">
        <v>33.677599999999998</v>
      </c>
      <c r="AH53" s="2">
        <v>13.38374330325693</v>
      </c>
      <c r="AI53" s="2">
        <v>3.7206003173776838</v>
      </c>
      <c r="AJ53" s="2">
        <v>-315.73828399348929</v>
      </c>
      <c r="AK53" s="2">
        <v>-82.611871282902584</v>
      </c>
      <c r="AL53" s="2">
        <v>0</v>
      </c>
      <c r="AM53" s="2">
        <v>-105.3425730408382</v>
      </c>
      <c r="AN53" s="2">
        <v>189.2</v>
      </c>
      <c r="AO53" s="2">
        <v>158.72949111907599</v>
      </c>
      <c r="AP53" s="2">
        <v>215.27930515905209</v>
      </c>
      <c r="AQ53" s="2">
        <v>14.67530234330161</v>
      </c>
      <c r="AR53" s="2">
        <v>-435.73656676994779</v>
      </c>
      <c r="AS53" s="2">
        <v>0</v>
      </c>
      <c r="AT53" s="2">
        <v>-909.50825593461991</v>
      </c>
      <c r="AU53" s="1">
        <v>144.5488</v>
      </c>
      <c r="AV53" s="2">
        <v>11.696760838433811</v>
      </c>
      <c r="AW53" s="2">
        <v>-426.88292993868441</v>
      </c>
      <c r="AX53" s="2">
        <v>158.72949111907599</v>
      </c>
      <c r="AZ53" s="1">
        <f t="shared" si="37"/>
        <v>110.8712</v>
      </c>
      <c r="BA53" s="2">
        <f t="shared" si="38"/>
        <v>13.38374330325693</v>
      </c>
      <c r="BB53" s="7">
        <f t="shared" si="39"/>
        <v>-315.73828399348929</v>
      </c>
      <c r="BC53" s="1">
        <f t="shared" si="40"/>
        <v>33.677599999999998</v>
      </c>
      <c r="BD53" s="2">
        <f t="shared" si="41"/>
        <v>3.7206003173776838</v>
      </c>
      <c r="BE53" s="2">
        <f t="shared" si="42"/>
        <v>-82.611871282902584</v>
      </c>
      <c r="BF53" s="2">
        <f t="shared" si="43"/>
        <v>0</v>
      </c>
      <c r="BG53" s="7">
        <f t="shared" si="44"/>
        <v>-105.3425730408382</v>
      </c>
      <c r="BH53" s="1">
        <f t="shared" si="45"/>
        <v>144.5488</v>
      </c>
      <c r="BI53" s="2">
        <f t="shared" si="46"/>
        <v>17.104343620634612</v>
      </c>
      <c r="BJ53" s="2">
        <f t="shared" si="47"/>
        <v>398.35015527639189</v>
      </c>
      <c r="BK53" s="2">
        <f t="shared" si="48"/>
        <v>0</v>
      </c>
      <c r="BL53" s="7">
        <f t="shared" si="49"/>
        <v>-105.3425730408382</v>
      </c>
      <c r="BN53" s="1">
        <f t="shared" si="61"/>
        <v>144.5488</v>
      </c>
      <c r="BO53" s="4">
        <v>0</v>
      </c>
      <c r="BP53" s="2">
        <f t="shared" si="21"/>
        <v>144.5488</v>
      </c>
      <c r="BQ53" s="2">
        <f t="shared" si="52"/>
        <v>158.72949111907599</v>
      </c>
      <c r="BR53" s="3">
        <f t="shared" si="53"/>
        <v>0.91066127019560661</v>
      </c>
      <c r="BS53" s="1">
        <f t="shared" si="54"/>
        <v>189.2</v>
      </c>
      <c r="BT53" s="2">
        <f t="shared" si="55"/>
        <v>215.27930515905209</v>
      </c>
      <c r="BU53" s="21">
        <f t="shared" si="56"/>
        <v>0.87885828068896699</v>
      </c>
      <c r="BV53" s="2" t="str">
        <f t="shared" si="57"/>
        <v/>
      </c>
      <c r="BW53" s="2" t="str">
        <f t="shared" si="58"/>
        <v/>
      </c>
      <c r="BX53" s="21" t="str">
        <f t="shared" si="59"/>
        <v/>
      </c>
      <c r="BY53" s="15"/>
    </row>
    <row r="54" spans="1:77" x14ac:dyDescent="0.25">
      <c r="A54" t="str">
        <f t="shared" si="22"/>
        <v>Travée</v>
      </c>
      <c r="B54" t="b">
        <f t="shared" si="82"/>
        <v>0</v>
      </c>
      <c r="C54">
        <f t="shared" si="83"/>
        <v>5</v>
      </c>
      <c r="D54" s="5" t="s">
        <v>103</v>
      </c>
      <c r="E54" t="s">
        <v>48</v>
      </c>
      <c r="F54" s="5">
        <v>25</v>
      </c>
      <c r="G54" t="s">
        <v>46</v>
      </c>
      <c r="H54">
        <v>500</v>
      </c>
      <c r="I54">
        <v>170000</v>
      </c>
      <c r="J54">
        <v>1300</v>
      </c>
      <c r="K54" s="10">
        <v>1445</v>
      </c>
      <c r="L54" s="12">
        <v>1</v>
      </c>
      <c r="M54" s="5">
        <v>0.25</v>
      </c>
      <c r="N54" s="10">
        <v>2.6</v>
      </c>
      <c r="O54" s="5">
        <v>3.3280000000000001E-4</v>
      </c>
      <c r="P54">
        <v>0.04</v>
      </c>
      <c r="Q54" s="10">
        <v>1</v>
      </c>
      <c r="R54" s="8">
        <v>0</v>
      </c>
      <c r="S54">
        <v>0</v>
      </c>
      <c r="T54">
        <v>1</v>
      </c>
      <c r="U54" s="9">
        <v>5.7600000000000001E-4</v>
      </c>
      <c r="V54">
        <v>0</v>
      </c>
      <c r="W54" s="10">
        <v>1</v>
      </c>
      <c r="X54" s="1">
        <v>42.004480000000001</v>
      </c>
      <c r="Y54" s="2">
        <v>12.759040000000001</v>
      </c>
      <c r="Z54" s="13">
        <v>0</v>
      </c>
      <c r="AA54" s="2">
        <v>42.004480000000001</v>
      </c>
      <c r="AB54" s="2">
        <v>12.759040000000001</v>
      </c>
      <c r="AC54" s="2">
        <v>71.680000000000007</v>
      </c>
      <c r="AD54" s="2"/>
      <c r="AE54" s="7">
        <v>54.76352</v>
      </c>
      <c r="AF54" s="2">
        <v>42.004480000000001</v>
      </c>
      <c r="AG54" s="2">
        <v>12.759040000000001</v>
      </c>
      <c r="AH54" s="2">
        <v>9.0262919949412943</v>
      </c>
      <c r="AI54" s="2">
        <v>1.51402271247647</v>
      </c>
      <c r="AJ54" s="2">
        <v>-618.7073802018017</v>
      </c>
      <c r="AK54" s="2">
        <v>-60.676355856565998</v>
      </c>
      <c r="AL54" s="2">
        <v>0</v>
      </c>
      <c r="AM54" s="2">
        <v>-62.956254717307282</v>
      </c>
      <c r="AN54" s="2">
        <v>71.680000000000007</v>
      </c>
      <c r="AO54" s="2">
        <v>32.175182924605153</v>
      </c>
      <c r="AP54" s="2">
        <v>224.80894309617941</v>
      </c>
      <c r="AQ54" s="2">
        <v>6.019761776699462</v>
      </c>
      <c r="AR54" s="2">
        <v>-344.10433214359091</v>
      </c>
      <c r="AS54" s="2">
        <v>0</v>
      </c>
      <c r="AT54" s="2">
        <v>-361.20120837612762</v>
      </c>
      <c r="AU54" s="1">
        <v>54.76352</v>
      </c>
      <c r="AV54" s="2">
        <v>0</v>
      </c>
      <c r="AW54" s="2">
        <v>0</v>
      </c>
      <c r="AX54" s="2">
        <v>32.175182924605153</v>
      </c>
      <c r="AZ54" s="1">
        <f t="shared" si="37"/>
        <v>42.004480000000001</v>
      </c>
      <c r="BA54" s="2">
        <f t="shared" si="38"/>
        <v>9.0262919949412943</v>
      </c>
      <c r="BB54" s="7">
        <f t="shared" si="39"/>
        <v>-618.7073802018017</v>
      </c>
      <c r="BC54" s="1">
        <f t="shared" si="40"/>
        <v>12.759040000000001</v>
      </c>
      <c r="BD54" s="2">
        <f t="shared" si="41"/>
        <v>1.51402271247647</v>
      </c>
      <c r="BE54" s="2">
        <f t="shared" si="42"/>
        <v>-60.676355856565998</v>
      </c>
      <c r="BF54" s="2">
        <f t="shared" si="43"/>
        <v>0</v>
      </c>
      <c r="BG54" s="7">
        <f t="shared" si="44"/>
        <v>-62.956254717307282</v>
      </c>
      <c r="BH54" s="1">
        <f t="shared" si="45"/>
        <v>54.76352</v>
      </c>
      <c r="BI54" s="2">
        <f t="shared" si="46"/>
        <v>10.540314707417764</v>
      </c>
      <c r="BJ54" s="2">
        <f t="shared" si="47"/>
        <v>679.38373605836773</v>
      </c>
      <c r="BK54" s="2">
        <f t="shared" si="48"/>
        <v>0</v>
      </c>
      <c r="BL54" s="7">
        <f t="shared" si="49"/>
        <v>-62.956254717307282</v>
      </c>
      <c r="BN54" s="1">
        <f t="shared" si="61"/>
        <v>54.76352</v>
      </c>
      <c r="BO54" s="4" t="str">
        <f t="shared" ref="BO54" si="106">IF(ISNUMBER(SEARCH("Appui",E54)),0,"0")</f>
        <v>0</v>
      </c>
      <c r="BP54" s="2">
        <f t="shared" si="21"/>
        <v>54.76352</v>
      </c>
      <c r="BQ54" s="2">
        <f t="shared" si="52"/>
        <v>32.175182924605153</v>
      </c>
      <c r="BR54" s="3">
        <f t="shared" si="53"/>
        <v>1.7020422270271225</v>
      </c>
      <c r="BS54" s="1">
        <f t="shared" si="54"/>
        <v>71.680000000000007</v>
      </c>
      <c r="BT54" s="2">
        <f t="shared" si="55"/>
        <v>224.80894309617941</v>
      </c>
      <c r="BU54" s="21">
        <f t="shared" si="56"/>
        <v>0.31884852538688085</v>
      </c>
      <c r="BV54" s="2">
        <f t="shared" si="57"/>
        <v>265.27999999999997</v>
      </c>
      <c r="BW54" s="2">
        <f t="shared" si="58"/>
        <v>450.02219379237397</v>
      </c>
      <c r="BX54" s="21">
        <f t="shared" si="59"/>
        <v>1.6964045302788526</v>
      </c>
      <c r="BY54" s="10" t="str">
        <f t="shared" ref="BY54" si="107">IF(C52&lt;C54,"Rive",IF(C56&gt;C54,"Rive","Inter"))</f>
        <v>Inter</v>
      </c>
    </row>
    <row r="55" spans="1:77" x14ac:dyDescent="0.25">
      <c r="A55" t="str">
        <f t="shared" si="22"/>
        <v>Appui</v>
      </c>
      <c r="B55" t="b">
        <f t="shared" si="82"/>
        <v>0</v>
      </c>
      <c r="C55">
        <f t="shared" si="83"/>
        <v>5</v>
      </c>
      <c r="D55" s="5" t="s">
        <v>103</v>
      </c>
      <c r="E55" t="s">
        <v>49</v>
      </c>
      <c r="F55" s="5">
        <v>25</v>
      </c>
      <c r="G55" t="s">
        <v>46</v>
      </c>
      <c r="H55">
        <v>500</v>
      </c>
      <c r="I55">
        <v>170000</v>
      </c>
      <c r="J55">
        <v>1300</v>
      </c>
      <c r="K55" s="10">
        <v>1445</v>
      </c>
      <c r="L55" s="12">
        <v>1</v>
      </c>
      <c r="M55" s="5">
        <v>0.25</v>
      </c>
      <c r="N55" s="10">
        <v>2.6</v>
      </c>
      <c r="O55" s="5">
        <v>2.3999999999999998E-3</v>
      </c>
      <c r="P55">
        <v>6.9999999999999993E-2</v>
      </c>
      <c r="Q55" s="10">
        <v>1</v>
      </c>
      <c r="R55" s="8">
        <v>0</v>
      </c>
      <c r="S55">
        <v>0</v>
      </c>
      <c r="T55">
        <v>1</v>
      </c>
      <c r="U55" s="9">
        <v>1.92E-4</v>
      </c>
      <c r="V55">
        <v>0</v>
      </c>
      <c r="W55" s="10">
        <v>1</v>
      </c>
      <c r="X55" s="1">
        <v>116.02800000000001</v>
      </c>
      <c r="Y55" s="2">
        <v>35.244000000000007</v>
      </c>
      <c r="Z55" s="13">
        <v>0</v>
      </c>
      <c r="AA55" s="2">
        <v>116.02800000000001</v>
      </c>
      <c r="AB55" s="2">
        <v>35.244000000000007</v>
      </c>
      <c r="AC55" s="2">
        <v>198</v>
      </c>
      <c r="AD55" s="2"/>
      <c r="AE55" s="7">
        <v>151.27199999999999</v>
      </c>
      <c r="AF55" s="2">
        <v>116.02800000000001</v>
      </c>
      <c r="AG55" s="2">
        <v>35.244000000000007</v>
      </c>
      <c r="AH55" s="2">
        <v>13.257076807742539</v>
      </c>
      <c r="AI55" s="2">
        <v>3.7310949141818841</v>
      </c>
      <c r="AJ55" s="2">
        <v>-290.5092873827989</v>
      </c>
      <c r="AK55" s="2">
        <v>-77.253888550960681</v>
      </c>
      <c r="AL55" s="2">
        <v>0</v>
      </c>
      <c r="AM55" s="2">
        <v>-99.039219387059987</v>
      </c>
      <c r="AN55" s="2">
        <v>198</v>
      </c>
      <c r="AO55" s="2">
        <v>178.9239347416511</v>
      </c>
      <c r="AP55" s="2">
        <v>235.1471962333371</v>
      </c>
      <c r="AQ55" s="2">
        <v>14.03592424142486</v>
      </c>
      <c r="AR55" s="2">
        <v>-435.11709375794129</v>
      </c>
      <c r="AS55" s="2">
        <v>0</v>
      </c>
      <c r="AT55" s="2">
        <v>-701.56731877232539</v>
      </c>
      <c r="AU55" s="1">
        <v>151.27199999999999</v>
      </c>
      <c r="AV55" s="2">
        <v>11.67314648997098</v>
      </c>
      <c r="AW55" s="2">
        <v>-393.39292601392299</v>
      </c>
      <c r="AX55" s="2">
        <v>178.9239347416511</v>
      </c>
      <c r="AZ55" s="1">
        <f t="shared" si="37"/>
        <v>116.02800000000001</v>
      </c>
      <c r="BA55" s="2">
        <f t="shared" si="38"/>
        <v>13.257076807742539</v>
      </c>
      <c r="BB55" s="7">
        <f t="shared" si="39"/>
        <v>-290.5092873827989</v>
      </c>
      <c r="BC55" s="1">
        <f t="shared" si="40"/>
        <v>35.244000000000007</v>
      </c>
      <c r="BD55" s="2">
        <f t="shared" si="41"/>
        <v>3.7310949141818841</v>
      </c>
      <c r="BE55" s="2">
        <f t="shared" si="42"/>
        <v>-77.253888550960681</v>
      </c>
      <c r="BF55" s="2">
        <f t="shared" si="43"/>
        <v>0</v>
      </c>
      <c r="BG55" s="7">
        <f t="shared" si="44"/>
        <v>-99.039219387059987</v>
      </c>
      <c r="BH55" s="1">
        <f t="shared" si="45"/>
        <v>151.27200000000002</v>
      </c>
      <c r="BI55" s="2">
        <f t="shared" si="46"/>
        <v>16.988171721924424</v>
      </c>
      <c r="BJ55" s="2">
        <f t="shared" si="47"/>
        <v>367.76317593375961</v>
      </c>
      <c r="BK55" s="2">
        <f t="shared" si="48"/>
        <v>0</v>
      </c>
      <c r="BL55" s="7">
        <f t="shared" si="49"/>
        <v>-99.039219387059987</v>
      </c>
      <c r="BN55" s="1">
        <f t="shared" si="61"/>
        <v>151.27199999999999</v>
      </c>
      <c r="BO55" s="4">
        <v>0</v>
      </c>
      <c r="BP55" s="2">
        <f t="shared" si="21"/>
        <v>151.27199999999999</v>
      </c>
      <c r="BQ55" s="2">
        <f t="shared" si="52"/>
        <v>178.9239347416511</v>
      </c>
      <c r="BR55" s="3">
        <f t="shared" si="53"/>
        <v>0.84545424410894032</v>
      </c>
      <c r="BS55" s="1">
        <f t="shared" si="54"/>
        <v>198</v>
      </c>
      <c r="BT55" s="2">
        <f t="shared" si="55"/>
        <v>235.1471962333371</v>
      </c>
      <c r="BU55" s="21">
        <f t="shared" si="56"/>
        <v>0.84202577437293424</v>
      </c>
      <c r="BV55" s="2" t="str">
        <f t="shared" si="57"/>
        <v/>
      </c>
      <c r="BW55" s="2" t="str">
        <f t="shared" si="58"/>
        <v/>
      </c>
      <c r="BX55" s="21" t="str">
        <f t="shared" si="59"/>
        <v/>
      </c>
      <c r="BY55" s="15"/>
    </row>
    <row r="56" spans="1:77" x14ac:dyDescent="0.25">
      <c r="A56" t="str">
        <f t="shared" si="22"/>
        <v>Travée</v>
      </c>
      <c r="B56" t="b">
        <f t="shared" si="82"/>
        <v>0</v>
      </c>
      <c r="C56">
        <f t="shared" si="83"/>
        <v>5</v>
      </c>
      <c r="D56" s="5" t="s">
        <v>103</v>
      </c>
      <c r="E56" t="s">
        <v>51</v>
      </c>
      <c r="F56" s="5">
        <v>25</v>
      </c>
      <c r="G56" t="s">
        <v>46</v>
      </c>
      <c r="H56">
        <v>500</v>
      </c>
      <c r="I56">
        <v>170000</v>
      </c>
      <c r="J56">
        <v>1300</v>
      </c>
      <c r="K56" s="10">
        <v>1445</v>
      </c>
      <c r="L56" s="12">
        <v>1</v>
      </c>
      <c r="M56" s="5">
        <v>0.25</v>
      </c>
      <c r="N56" s="10">
        <v>2.6</v>
      </c>
      <c r="O56" s="5">
        <v>3.3280000000000001E-4</v>
      </c>
      <c r="P56">
        <v>0.04</v>
      </c>
      <c r="Q56" s="10">
        <v>1</v>
      </c>
      <c r="R56" s="8">
        <v>0</v>
      </c>
      <c r="S56">
        <v>0</v>
      </c>
      <c r="T56">
        <v>1</v>
      </c>
      <c r="U56" s="9">
        <v>5.7600000000000001E-4</v>
      </c>
      <c r="V56">
        <v>0</v>
      </c>
      <c r="W56" s="10">
        <v>1</v>
      </c>
      <c r="X56" s="1">
        <v>48.755200000000002</v>
      </c>
      <c r="Y56" s="2">
        <v>14.8096</v>
      </c>
      <c r="Z56" s="13">
        <v>0</v>
      </c>
      <c r="AA56" s="2">
        <v>48.755200000000002</v>
      </c>
      <c r="AB56" s="2">
        <v>14.8096</v>
      </c>
      <c r="AC56" s="2">
        <v>83.2</v>
      </c>
      <c r="AD56" s="2"/>
      <c r="AE56" s="7">
        <v>63.564800000000012</v>
      </c>
      <c r="AF56" s="2">
        <v>48.755200000000002</v>
      </c>
      <c r="AG56" s="2">
        <v>14.8096</v>
      </c>
      <c r="AH56" s="2">
        <v>10.47694606555682</v>
      </c>
      <c r="AI56" s="2">
        <v>1.757347791267331</v>
      </c>
      <c r="AJ56" s="2">
        <v>-718.14249487709117</v>
      </c>
      <c r="AK56" s="2">
        <v>-70.427913047799819</v>
      </c>
      <c r="AL56" s="2">
        <v>0</v>
      </c>
      <c r="AM56" s="2">
        <v>-73.074224225445946</v>
      </c>
      <c r="AN56" s="2">
        <v>83.2</v>
      </c>
      <c r="AO56" s="2">
        <v>32.175182924605153</v>
      </c>
      <c r="AP56" s="2">
        <v>224.80894309617941</v>
      </c>
      <c r="AQ56" s="2">
        <v>6.9045371254530634</v>
      </c>
      <c r="AR56" s="2">
        <v>-399.55124511160079</v>
      </c>
      <c r="AS56" s="2">
        <v>0</v>
      </c>
      <c r="AT56" s="2">
        <v>-419.50557836673892</v>
      </c>
      <c r="AU56" s="1">
        <v>63.564800000000012</v>
      </c>
      <c r="AV56" s="2">
        <v>0</v>
      </c>
      <c r="AW56" s="2">
        <v>0</v>
      </c>
      <c r="AX56" s="2">
        <v>32.175182924605153</v>
      </c>
      <c r="AZ56" s="1">
        <f t="shared" si="37"/>
        <v>48.755200000000002</v>
      </c>
      <c r="BA56" s="2">
        <f t="shared" si="38"/>
        <v>10.47694606555682</v>
      </c>
      <c r="BB56" s="7">
        <f t="shared" si="39"/>
        <v>-718.14249487709117</v>
      </c>
      <c r="BC56" s="1">
        <f t="shared" si="40"/>
        <v>14.8096</v>
      </c>
      <c r="BD56" s="2">
        <f t="shared" si="41"/>
        <v>1.757347791267331</v>
      </c>
      <c r="BE56" s="2">
        <f t="shared" si="42"/>
        <v>-70.427913047799819</v>
      </c>
      <c r="BF56" s="2">
        <f t="shared" si="43"/>
        <v>0</v>
      </c>
      <c r="BG56" s="7">
        <f t="shared" si="44"/>
        <v>-73.074224225445946</v>
      </c>
      <c r="BH56" s="1">
        <f t="shared" si="45"/>
        <v>63.564800000000005</v>
      </c>
      <c r="BI56" s="2">
        <f t="shared" si="46"/>
        <v>12.234293856824152</v>
      </c>
      <c r="BJ56" s="2">
        <f t="shared" si="47"/>
        <v>788.57040792489101</v>
      </c>
      <c r="BK56" s="2">
        <f t="shared" si="48"/>
        <v>0</v>
      </c>
      <c r="BL56" s="7">
        <f t="shared" si="49"/>
        <v>-73.074224225445946</v>
      </c>
      <c r="BN56" s="1">
        <f t="shared" si="61"/>
        <v>63.564800000000012</v>
      </c>
      <c r="BO56" s="4" t="str">
        <f t="shared" ref="BO56" si="108">IF(ISNUMBER(SEARCH("Appui",E56)),0,"0")</f>
        <v>0</v>
      </c>
      <c r="BP56" s="2">
        <f t="shared" si="21"/>
        <v>63.564800000000012</v>
      </c>
      <c r="BQ56" s="2">
        <f t="shared" si="52"/>
        <v>32.175182924605153</v>
      </c>
      <c r="BR56" s="3">
        <f t="shared" si="53"/>
        <v>1.975584727799339</v>
      </c>
      <c r="BS56" s="1">
        <f t="shared" si="54"/>
        <v>83.2</v>
      </c>
      <c r="BT56" s="2">
        <f t="shared" si="55"/>
        <v>224.80894309617941</v>
      </c>
      <c r="BU56" s="21">
        <f t="shared" si="56"/>
        <v>0.37009203839548666</v>
      </c>
      <c r="BV56" s="2">
        <f t="shared" si="57"/>
        <v>292.2</v>
      </c>
      <c r="BW56" s="2">
        <f t="shared" si="58"/>
        <v>473.53440798587343</v>
      </c>
      <c r="BX56" s="21">
        <f t="shared" si="59"/>
        <v>1.6205831895478215</v>
      </c>
      <c r="BY56" s="10" t="str">
        <f t="shared" ref="BY56" si="109">IF(C54&lt;C56,"Rive",IF(C58&gt;C56,"Rive","Inter"))</f>
        <v>Inter</v>
      </c>
    </row>
    <row r="57" spans="1:77" x14ac:dyDescent="0.25">
      <c r="A57" t="str">
        <f t="shared" si="22"/>
        <v>Appui</v>
      </c>
      <c r="B57" t="b">
        <f t="shared" si="82"/>
        <v>0</v>
      </c>
      <c r="C57">
        <f t="shared" si="83"/>
        <v>5</v>
      </c>
      <c r="D57" s="5" t="s">
        <v>103</v>
      </c>
      <c r="E57" t="s">
        <v>52</v>
      </c>
      <c r="F57" s="5">
        <v>25</v>
      </c>
      <c r="G57" t="s">
        <v>46</v>
      </c>
      <c r="H57">
        <v>500</v>
      </c>
      <c r="I57">
        <v>170000</v>
      </c>
      <c r="J57">
        <v>1300</v>
      </c>
      <c r="K57" s="10">
        <v>1445</v>
      </c>
      <c r="L57" s="12">
        <v>1</v>
      </c>
      <c r="M57" s="5">
        <v>0.25</v>
      </c>
      <c r="N57" s="10">
        <v>2.6</v>
      </c>
      <c r="O57" s="5">
        <v>2.0999999999999999E-3</v>
      </c>
      <c r="P57">
        <v>8.4999999999999992E-2</v>
      </c>
      <c r="Q57" s="10">
        <v>1</v>
      </c>
      <c r="R57" s="8">
        <v>0</v>
      </c>
      <c r="S57">
        <v>0</v>
      </c>
      <c r="T57">
        <v>1</v>
      </c>
      <c r="U57" s="9">
        <v>3.8400000000000001E-4</v>
      </c>
      <c r="V57">
        <v>0</v>
      </c>
      <c r="W57" s="10">
        <v>1</v>
      </c>
      <c r="X57" s="1">
        <v>128.91999999999999</v>
      </c>
      <c r="Y57" s="2">
        <v>39.159999999999997</v>
      </c>
      <c r="Z57" s="13">
        <v>0</v>
      </c>
      <c r="AA57" s="2">
        <v>128.91999999999999</v>
      </c>
      <c r="AB57" s="2">
        <v>39.159999999999997</v>
      </c>
      <c r="AC57" s="2">
        <v>220</v>
      </c>
      <c r="AD57" s="2"/>
      <c r="AE57" s="7">
        <v>168.08</v>
      </c>
      <c r="AF57" s="2">
        <v>128.91999999999999</v>
      </c>
      <c r="AG57" s="2">
        <v>39.159999999999997</v>
      </c>
      <c r="AH57" s="2">
        <v>17.87334932810511</v>
      </c>
      <c r="AI57" s="2">
        <v>4.4315753108371254</v>
      </c>
      <c r="AJ57" s="2">
        <v>-401.7661069668693</v>
      </c>
      <c r="AK57" s="2">
        <v>-87.427446350808708</v>
      </c>
      <c r="AL57" s="2">
        <v>0</v>
      </c>
      <c r="AM57" s="2">
        <v>-124.92601318828071</v>
      </c>
      <c r="AN57" s="2">
        <v>220</v>
      </c>
      <c r="AO57" s="2">
        <v>144.2183705744448</v>
      </c>
      <c r="AP57" s="2">
        <v>262.30373354605098</v>
      </c>
      <c r="AQ57" s="2">
        <v>15.714653417045509</v>
      </c>
      <c r="AR57" s="2">
        <v>-435.57505197180882</v>
      </c>
      <c r="AS57" s="2">
        <v>0</v>
      </c>
      <c r="AT57" s="2">
        <v>-973.89467087250182</v>
      </c>
      <c r="AU57" s="1">
        <v>168.08</v>
      </c>
      <c r="AV57" s="2">
        <v>0</v>
      </c>
      <c r="AW57" s="2">
        <v>0</v>
      </c>
      <c r="AX57" s="2">
        <v>144.2183705744448</v>
      </c>
      <c r="AZ57" s="1">
        <f t="shared" si="37"/>
        <v>128.91999999999999</v>
      </c>
      <c r="BA57" s="2">
        <f t="shared" si="38"/>
        <v>17.87334932810511</v>
      </c>
      <c r="BB57" s="7">
        <f t="shared" si="39"/>
        <v>-401.7661069668693</v>
      </c>
      <c r="BC57" s="1">
        <f t="shared" si="40"/>
        <v>39.159999999999997</v>
      </c>
      <c r="BD57" s="2">
        <f t="shared" si="41"/>
        <v>4.4315753108371254</v>
      </c>
      <c r="BE57" s="2">
        <f t="shared" si="42"/>
        <v>-87.427446350808708</v>
      </c>
      <c r="BF57" s="2">
        <f t="shared" si="43"/>
        <v>0</v>
      </c>
      <c r="BG57" s="7">
        <f t="shared" si="44"/>
        <v>-124.92601318828071</v>
      </c>
      <c r="BH57" s="1">
        <f t="shared" si="45"/>
        <v>168.07999999999998</v>
      </c>
      <c r="BI57" s="2">
        <f t="shared" si="46"/>
        <v>22.304924638942236</v>
      </c>
      <c r="BJ57" s="2">
        <f t="shared" si="47"/>
        <v>489.19355331767804</v>
      </c>
      <c r="BK57" s="2">
        <f t="shared" si="48"/>
        <v>0</v>
      </c>
      <c r="BL57" s="7">
        <f t="shared" si="49"/>
        <v>-124.92601318828071</v>
      </c>
      <c r="BN57" s="1">
        <f t="shared" si="61"/>
        <v>168.08</v>
      </c>
      <c r="BO57" s="4">
        <v>0</v>
      </c>
      <c r="BP57" s="2">
        <f t="shared" si="21"/>
        <v>168.08</v>
      </c>
      <c r="BQ57" s="2">
        <f t="shared" si="52"/>
        <v>144.2183705744448</v>
      </c>
      <c r="BR57" s="3">
        <f t="shared" si="53"/>
        <v>1.1654548538477485</v>
      </c>
      <c r="BS57" s="1">
        <f t="shared" si="54"/>
        <v>220</v>
      </c>
      <c r="BT57" s="2">
        <f t="shared" si="55"/>
        <v>262.30373354605098</v>
      </c>
      <c r="BU57" s="21">
        <f t="shared" si="56"/>
        <v>0.83872233546144326</v>
      </c>
      <c r="BV57" s="2" t="str">
        <f t="shared" si="57"/>
        <v/>
      </c>
      <c r="BW57" s="2" t="str">
        <f t="shared" si="58"/>
        <v/>
      </c>
      <c r="BX57" s="21" t="str">
        <f t="shared" si="59"/>
        <v/>
      </c>
      <c r="BY57" s="15"/>
    </row>
    <row r="58" spans="1:77" x14ac:dyDescent="0.25">
      <c r="A58" t="str">
        <f t="shared" si="22"/>
        <v>Travée</v>
      </c>
      <c r="B58" t="b">
        <f t="shared" si="82"/>
        <v>0</v>
      </c>
      <c r="C58">
        <f t="shared" si="83"/>
        <v>5</v>
      </c>
      <c r="D58" s="5" t="s">
        <v>103</v>
      </c>
      <c r="E58" t="s">
        <v>53</v>
      </c>
      <c r="F58" s="5">
        <v>25</v>
      </c>
      <c r="G58" t="s">
        <v>46</v>
      </c>
      <c r="H58">
        <v>500</v>
      </c>
      <c r="I58">
        <v>170000</v>
      </c>
      <c r="J58">
        <v>1300</v>
      </c>
      <c r="K58" s="10">
        <v>1445</v>
      </c>
      <c r="L58" s="12">
        <v>1</v>
      </c>
      <c r="M58" s="5">
        <v>0.25</v>
      </c>
      <c r="N58" s="10">
        <v>2.6</v>
      </c>
      <c r="O58" s="5">
        <v>3.3280000000000001E-4</v>
      </c>
      <c r="P58">
        <v>0.04</v>
      </c>
      <c r="Q58" s="10">
        <v>1</v>
      </c>
      <c r="R58" s="8">
        <v>0</v>
      </c>
      <c r="S58">
        <v>0</v>
      </c>
      <c r="T58">
        <v>1</v>
      </c>
      <c r="U58" s="9">
        <v>5.7600000000000001E-4</v>
      </c>
      <c r="V58">
        <v>0</v>
      </c>
      <c r="W58" s="10">
        <v>1</v>
      </c>
      <c r="X58" s="1">
        <v>53.255679999999991</v>
      </c>
      <c r="Y58" s="2">
        <v>16.176639999999999</v>
      </c>
      <c r="Z58" s="13">
        <v>0</v>
      </c>
      <c r="AA58" s="2">
        <v>53.255679999999991</v>
      </c>
      <c r="AB58" s="2">
        <v>16.176639999999999</v>
      </c>
      <c r="AC58" s="2">
        <v>90.88</v>
      </c>
      <c r="AD58" s="2"/>
      <c r="AE58" s="7">
        <v>69.43231999999999</v>
      </c>
      <c r="AF58" s="2">
        <v>53.255679999999991</v>
      </c>
      <c r="AG58" s="2">
        <v>16.176639999999999</v>
      </c>
      <c r="AH58" s="2">
        <v>11.44404877930055</v>
      </c>
      <c r="AI58" s="2">
        <v>1.9195645104612391</v>
      </c>
      <c r="AJ58" s="2">
        <v>-784.43257132728411</v>
      </c>
      <c r="AK58" s="2">
        <v>-76.928951175289043</v>
      </c>
      <c r="AL58" s="2">
        <v>0</v>
      </c>
      <c r="AM58" s="2">
        <v>-79.819537230871731</v>
      </c>
      <c r="AN58" s="2">
        <v>90.88</v>
      </c>
      <c r="AO58" s="2">
        <v>32.175182924605153</v>
      </c>
      <c r="AP58" s="2">
        <v>224.80894309617941</v>
      </c>
      <c r="AQ58" s="2">
        <v>7.4847512173078021</v>
      </c>
      <c r="AR58" s="2">
        <v>-434.79184686317762</v>
      </c>
      <c r="AS58" s="2">
        <v>0</v>
      </c>
      <c r="AT58" s="2">
        <v>-459.22259158413277</v>
      </c>
      <c r="AU58" s="1">
        <v>69.43231999999999</v>
      </c>
      <c r="AV58" s="2">
        <v>0</v>
      </c>
      <c r="AW58" s="2">
        <v>0</v>
      </c>
      <c r="AX58" s="2">
        <v>32.175182924605153</v>
      </c>
      <c r="AZ58" s="1">
        <f t="shared" si="37"/>
        <v>53.255679999999991</v>
      </c>
      <c r="BA58" s="2">
        <f t="shared" si="38"/>
        <v>11.44404877930055</v>
      </c>
      <c r="BB58" s="7">
        <f t="shared" si="39"/>
        <v>-784.43257132728411</v>
      </c>
      <c r="BC58" s="1">
        <f t="shared" si="40"/>
        <v>16.176639999999999</v>
      </c>
      <c r="BD58" s="2">
        <f t="shared" si="41"/>
        <v>1.9195645104612391</v>
      </c>
      <c r="BE58" s="2">
        <f t="shared" si="42"/>
        <v>-76.928951175289043</v>
      </c>
      <c r="BF58" s="2">
        <f t="shared" si="43"/>
        <v>0</v>
      </c>
      <c r="BG58" s="7">
        <f t="shared" si="44"/>
        <v>-79.819537230871731</v>
      </c>
      <c r="BH58" s="1">
        <f t="shared" si="45"/>
        <v>69.43231999999999</v>
      </c>
      <c r="BI58" s="2">
        <f t="shared" si="46"/>
        <v>13.363613289761789</v>
      </c>
      <c r="BJ58" s="2">
        <f t="shared" si="47"/>
        <v>861.36152250257317</v>
      </c>
      <c r="BK58" s="2">
        <f t="shared" si="48"/>
        <v>0</v>
      </c>
      <c r="BL58" s="7">
        <f t="shared" si="49"/>
        <v>-79.819537230871731</v>
      </c>
      <c r="BN58" s="1">
        <f t="shared" si="61"/>
        <v>69.43231999999999</v>
      </c>
      <c r="BO58" s="4" t="str">
        <f t="shared" ref="BO58" si="110">IF(ISNUMBER(SEARCH("Appui",E58)),0,"0")</f>
        <v>0</v>
      </c>
      <c r="BP58" s="2">
        <f t="shared" si="21"/>
        <v>69.43231999999999</v>
      </c>
      <c r="BQ58" s="2">
        <f t="shared" si="52"/>
        <v>32.175182924605153</v>
      </c>
      <c r="BR58" s="3">
        <f t="shared" si="53"/>
        <v>2.157946394980816</v>
      </c>
      <c r="BS58" s="1">
        <f t="shared" si="54"/>
        <v>90.88</v>
      </c>
      <c r="BT58" s="2">
        <f t="shared" si="55"/>
        <v>224.80894309617941</v>
      </c>
      <c r="BU58" s="21">
        <f t="shared" si="56"/>
        <v>0.40425438040122386</v>
      </c>
      <c r="BV58" s="2">
        <f t="shared" si="57"/>
        <v>310.88</v>
      </c>
      <c r="BW58" s="2">
        <f t="shared" si="58"/>
        <v>494.06276651358695</v>
      </c>
      <c r="BX58" s="21">
        <f t="shared" si="59"/>
        <v>1.5892394702572921</v>
      </c>
      <c r="BY58" s="10" t="str">
        <f t="shared" ref="BY58" si="111">IF(C56&lt;C58,"Rive",IF(C60&gt;C58,"Rive","Inter"))</f>
        <v>Inter</v>
      </c>
    </row>
    <row r="59" spans="1:77" x14ac:dyDescent="0.25">
      <c r="A59" t="str">
        <f t="shared" si="22"/>
        <v>Appui</v>
      </c>
      <c r="B59" t="b">
        <f t="shared" si="82"/>
        <v>0</v>
      </c>
      <c r="C59">
        <f t="shared" si="83"/>
        <v>5</v>
      </c>
      <c r="D59" s="5" t="s">
        <v>103</v>
      </c>
      <c r="E59" t="s">
        <v>54</v>
      </c>
      <c r="F59" s="5">
        <v>25</v>
      </c>
      <c r="G59" t="s">
        <v>46</v>
      </c>
      <c r="H59">
        <v>500</v>
      </c>
      <c r="I59">
        <v>170000</v>
      </c>
      <c r="J59">
        <v>1300</v>
      </c>
      <c r="K59" s="10">
        <v>1445</v>
      </c>
      <c r="L59" s="12">
        <v>1</v>
      </c>
      <c r="M59" s="5">
        <v>0.25</v>
      </c>
      <c r="N59" s="10">
        <v>2.6</v>
      </c>
      <c r="O59" s="5">
        <v>2.0999999999999999E-3</v>
      </c>
      <c r="P59">
        <v>6.9999999999999993E-2</v>
      </c>
      <c r="Q59" s="10">
        <v>1</v>
      </c>
      <c r="R59" s="8">
        <v>0</v>
      </c>
      <c r="S59">
        <v>0</v>
      </c>
      <c r="T59">
        <v>1</v>
      </c>
      <c r="U59" s="9">
        <v>3.8400000000000001E-4</v>
      </c>
      <c r="V59">
        <v>0</v>
      </c>
      <c r="W59" s="10">
        <v>1</v>
      </c>
      <c r="X59" s="1">
        <v>128.91999999999999</v>
      </c>
      <c r="Y59" s="2">
        <v>39.159999999999997</v>
      </c>
      <c r="Z59" s="13">
        <v>0</v>
      </c>
      <c r="AA59" s="2">
        <v>128.91999999999999</v>
      </c>
      <c r="AB59" s="2">
        <v>39.159999999999997</v>
      </c>
      <c r="AC59" s="2">
        <v>220</v>
      </c>
      <c r="AD59" s="2"/>
      <c r="AE59" s="7">
        <v>168.08</v>
      </c>
      <c r="AF59" s="2">
        <v>128.91999999999999</v>
      </c>
      <c r="AG59" s="2">
        <v>39.159999999999997</v>
      </c>
      <c r="AH59" s="2">
        <v>15.56249221308947</v>
      </c>
      <c r="AI59" s="2">
        <v>4.0206588313025042</v>
      </c>
      <c r="AJ59" s="2">
        <v>-367.13753952731321</v>
      </c>
      <c r="AK59" s="2">
        <v>-84.27496943086922</v>
      </c>
      <c r="AL59" s="2">
        <v>0</v>
      </c>
      <c r="AM59" s="2">
        <v>-107.9361892929272</v>
      </c>
      <c r="AN59" s="2">
        <v>220</v>
      </c>
      <c r="AO59" s="2">
        <v>158.72949111907599</v>
      </c>
      <c r="AP59" s="2">
        <v>276.20391328876411</v>
      </c>
      <c r="AQ59" s="2">
        <v>14.90855217732463</v>
      </c>
      <c r="AR59" s="2">
        <v>-435.47411033620551</v>
      </c>
      <c r="AS59" s="2">
        <v>0</v>
      </c>
      <c r="AT59" s="2">
        <v>-827.06106015990406</v>
      </c>
      <c r="AU59" s="1">
        <v>168.08</v>
      </c>
      <c r="AV59" s="2">
        <v>0</v>
      </c>
      <c r="AW59" s="2">
        <v>0</v>
      </c>
      <c r="AX59" s="2">
        <v>158.72949111907599</v>
      </c>
      <c r="AZ59" s="1">
        <f t="shared" si="37"/>
        <v>128.91999999999999</v>
      </c>
      <c r="BA59" s="2">
        <f t="shared" si="38"/>
        <v>15.56249221308947</v>
      </c>
      <c r="BB59" s="7">
        <f t="shared" si="39"/>
        <v>-367.13753952731321</v>
      </c>
      <c r="BC59" s="1">
        <f t="shared" si="40"/>
        <v>39.159999999999997</v>
      </c>
      <c r="BD59" s="2">
        <f t="shared" si="41"/>
        <v>4.0206588313025042</v>
      </c>
      <c r="BE59" s="2">
        <f t="shared" si="42"/>
        <v>-84.27496943086922</v>
      </c>
      <c r="BF59" s="2">
        <f t="shared" si="43"/>
        <v>0</v>
      </c>
      <c r="BG59" s="7">
        <f t="shared" si="44"/>
        <v>-107.9361892929272</v>
      </c>
      <c r="BH59" s="1">
        <f t="shared" si="45"/>
        <v>168.07999999999998</v>
      </c>
      <c r="BI59" s="2">
        <f t="shared" si="46"/>
        <v>19.583151044391975</v>
      </c>
      <c r="BJ59" s="2">
        <f t="shared" si="47"/>
        <v>451.41250895818246</v>
      </c>
      <c r="BK59" s="2">
        <f t="shared" si="48"/>
        <v>0</v>
      </c>
      <c r="BL59" s="7">
        <f t="shared" si="49"/>
        <v>-107.9361892929272</v>
      </c>
      <c r="BN59" s="1">
        <f t="shared" si="61"/>
        <v>168.08</v>
      </c>
      <c r="BO59" s="4">
        <v>0</v>
      </c>
      <c r="BP59" s="2">
        <f t="shared" si="21"/>
        <v>168.08</v>
      </c>
      <c r="BQ59" s="2">
        <f t="shared" si="52"/>
        <v>158.72949111907599</v>
      </c>
      <c r="BR59" s="3">
        <f t="shared" si="53"/>
        <v>1.0589084537158218</v>
      </c>
      <c r="BS59" s="1">
        <f t="shared" si="54"/>
        <v>220</v>
      </c>
      <c r="BT59" s="2">
        <f t="shared" si="55"/>
        <v>276.20391328876411</v>
      </c>
      <c r="BU59" s="21">
        <f t="shared" si="56"/>
        <v>0.79651297253705322</v>
      </c>
      <c r="BV59" s="2" t="str">
        <f t="shared" si="57"/>
        <v/>
      </c>
      <c r="BW59" s="2" t="str">
        <f t="shared" si="58"/>
        <v/>
      </c>
      <c r="BX59" s="21" t="str">
        <f t="shared" si="59"/>
        <v/>
      </c>
      <c r="BY59" s="15"/>
    </row>
    <row r="60" spans="1:77" x14ac:dyDescent="0.25">
      <c r="A60" t="str">
        <f t="shared" si="22"/>
        <v>Travée</v>
      </c>
      <c r="B60" t="b">
        <f t="shared" si="82"/>
        <v>0</v>
      </c>
      <c r="C60">
        <f t="shared" si="83"/>
        <v>5</v>
      </c>
      <c r="D60" s="5" t="s">
        <v>103</v>
      </c>
      <c r="E60" t="s">
        <v>55</v>
      </c>
      <c r="F60" s="5">
        <v>25</v>
      </c>
      <c r="G60" t="s">
        <v>46</v>
      </c>
      <c r="H60">
        <v>500</v>
      </c>
      <c r="I60">
        <v>170000</v>
      </c>
      <c r="J60">
        <v>1300</v>
      </c>
      <c r="K60" s="10">
        <v>1445</v>
      </c>
      <c r="L60" s="12">
        <v>1</v>
      </c>
      <c r="M60" s="5">
        <v>0.25</v>
      </c>
      <c r="N60" s="10">
        <v>2.6</v>
      </c>
      <c r="O60" s="5">
        <v>3.3280000000000001E-4</v>
      </c>
      <c r="P60">
        <v>0.04</v>
      </c>
      <c r="Q60" s="10">
        <v>1</v>
      </c>
      <c r="R60" s="8">
        <v>0</v>
      </c>
      <c r="S60">
        <v>0</v>
      </c>
      <c r="T60">
        <v>1</v>
      </c>
      <c r="U60" s="9">
        <v>5.7600000000000001E-4</v>
      </c>
      <c r="V60">
        <v>0</v>
      </c>
      <c r="W60" s="10">
        <v>1</v>
      </c>
      <c r="X60" s="1">
        <v>53.255679999999991</v>
      </c>
      <c r="Y60" s="2">
        <v>16.176639999999999</v>
      </c>
      <c r="Z60" s="13">
        <v>0</v>
      </c>
      <c r="AA60" s="2">
        <v>53.255679999999991</v>
      </c>
      <c r="AB60" s="2">
        <v>16.176639999999999</v>
      </c>
      <c r="AC60" s="2">
        <v>90.88</v>
      </c>
      <c r="AD60" s="2"/>
      <c r="AE60" s="7">
        <v>69.43231999999999</v>
      </c>
      <c r="AF60" s="2">
        <v>53.255679999999991</v>
      </c>
      <c r="AG60" s="2">
        <v>16.176639999999999</v>
      </c>
      <c r="AH60" s="2">
        <v>11.44404877930055</v>
      </c>
      <c r="AI60" s="2">
        <v>1.9195645104612391</v>
      </c>
      <c r="AJ60" s="2">
        <v>-784.43257132728411</v>
      </c>
      <c r="AK60" s="2">
        <v>-76.928951175289043</v>
      </c>
      <c r="AL60" s="2">
        <v>0</v>
      </c>
      <c r="AM60" s="2">
        <v>-79.819537230871731</v>
      </c>
      <c r="AN60" s="2">
        <v>90.88</v>
      </c>
      <c r="AO60" s="2">
        <v>32.175182924605153</v>
      </c>
      <c r="AP60" s="2">
        <v>224.80894309617941</v>
      </c>
      <c r="AQ60" s="2">
        <v>7.4847512173078021</v>
      </c>
      <c r="AR60" s="2">
        <v>-434.79184686317762</v>
      </c>
      <c r="AS60" s="2">
        <v>0</v>
      </c>
      <c r="AT60" s="2">
        <v>-459.22259158413277</v>
      </c>
      <c r="AU60" s="1">
        <v>69.43231999999999</v>
      </c>
      <c r="AV60" s="2">
        <v>0</v>
      </c>
      <c r="AW60" s="2">
        <v>0</v>
      </c>
      <c r="AX60" s="2">
        <v>32.175182924605153</v>
      </c>
      <c r="AZ60" s="1">
        <f t="shared" ref="AZ60:AZ70" si="112">AF60</f>
        <v>53.255679999999991</v>
      </c>
      <c r="BA60" s="2">
        <f t="shared" ref="BA60:BA70" si="113">AH60</f>
        <v>11.44404877930055</v>
      </c>
      <c r="BB60" s="7">
        <f t="shared" ref="BB60:BB70" si="114">AJ60</f>
        <v>-784.43257132728411</v>
      </c>
      <c r="BC60" s="1">
        <f t="shared" ref="BC60:BC70" si="115">AG60</f>
        <v>16.176639999999999</v>
      </c>
      <c r="BD60" s="2">
        <f t="shared" ref="BD60:BD70" si="116">AI60</f>
        <v>1.9195645104612391</v>
      </c>
      <c r="BE60" s="2">
        <f t="shared" ref="BE60:BE70" si="117">AK60</f>
        <v>-76.928951175289043</v>
      </c>
      <c r="BF60" s="2">
        <f t="shared" ref="BF60:BF70" si="118">AL60</f>
        <v>0</v>
      </c>
      <c r="BG60" s="7">
        <f t="shared" ref="BG60:BG70" si="119">AM60</f>
        <v>-79.819537230871731</v>
      </c>
      <c r="BH60" s="1">
        <f t="shared" ref="BH60:BH70" si="120">AZ60+BC60</f>
        <v>69.43231999999999</v>
      </c>
      <c r="BI60" s="2">
        <f t="shared" ref="BI60:BI70" si="121">BA60+BD60</f>
        <v>13.363613289761789</v>
      </c>
      <c r="BJ60" s="2">
        <f t="shared" ref="BJ60:BJ70" si="122">ABS(BB60+BE60)</f>
        <v>861.36152250257317</v>
      </c>
      <c r="BK60" s="2">
        <f t="shared" ref="BK60:BK70" si="123">ABS(BF60)</f>
        <v>0</v>
      </c>
      <c r="BL60" s="7">
        <f t="shared" ref="BL60:BL70" si="124">BG60</f>
        <v>-79.819537230871731</v>
      </c>
      <c r="BN60" s="1">
        <f t="shared" si="61"/>
        <v>69.43231999999999</v>
      </c>
      <c r="BO60" s="4" t="str">
        <f t="shared" ref="BO60" si="125">IF(ISNUMBER(SEARCH("Appui",E60)),0,"0")</f>
        <v>0</v>
      </c>
      <c r="BP60" s="2">
        <f t="shared" si="21"/>
        <v>69.43231999999999</v>
      </c>
      <c r="BQ60" s="2">
        <f t="shared" si="52"/>
        <v>32.175182924605153</v>
      </c>
      <c r="BR60" s="3">
        <f t="shared" si="53"/>
        <v>2.157946394980816</v>
      </c>
      <c r="BS60" s="1">
        <f t="shared" si="54"/>
        <v>90.88</v>
      </c>
      <c r="BT60" s="2">
        <f t="shared" si="55"/>
        <v>224.80894309617941</v>
      </c>
      <c r="BU60" s="21">
        <f t="shared" si="56"/>
        <v>0.40425438040122386</v>
      </c>
      <c r="BV60" s="2">
        <f t="shared" si="57"/>
        <v>305.38</v>
      </c>
      <c r="BW60" s="2">
        <f t="shared" si="58"/>
        <v>480.48449785723</v>
      </c>
      <c r="BX60" s="21">
        <f t="shared" si="59"/>
        <v>1.5733987093366626</v>
      </c>
      <c r="BY60" s="10" t="str">
        <f t="shared" ref="BY60" si="126">IF(C58&lt;C60,"Rive",IF(C62&gt;C60,"Rive","Inter"))</f>
        <v>Inter</v>
      </c>
    </row>
    <row r="61" spans="1:77" x14ac:dyDescent="0.25">
      <c r="A61" t="str">
        <f t="shared" si="22"/>
        <v>Appui</v>
      </c>
      <c r="B61" t="b">
        <f t="shared" si="82"/>
        <v>0</v>
      </c>
      <c r="C61">
        <f t="shared" si="83"/>
        <v>5</v>
      </c>
      <c r="D61" s="5" t="s">
        <v>103</v>
      </c>
      <c r="E61" t="s">
        <v>56</v>
      </c>
      <c r="F61" s="5">
        <v>25</v>
      </c>
      <c r="G61" t="s">
        <v>46</v>
      </c>
      <c r="H61">
        <v>500</v>
      </c>
      <c r="I61">
        <v>170000</v>
      </c>
      <c r="J61">
        <v>1300</v>
      </c>
      <c r="K61" s="10">
        <v>1445</v>
      </c>
      <c r="L61" s="12">
        <v>1</v>
      </c>
      <c r="M61" s="5">
        <v>0.25</v>
      </c>
      <c r="N61" s="10">
        <v>2.6</v>
      </c>
      <c r="O61" s="5">
        <v>2.3999999999999998E-3</v>
      </c>
      <c r="P61">
        <v>6.9999999999999993E-2</v>
      </c>
      <c r="Q61" s="10">
        <v>1</v>
      </c>
      <c r="R61" s="8">
        <v>0</v>
      </c>
      <c r="S61">
        <v>0</v>
      </c>
      <c r="T61">
        <v>1</v>
      </c>
      <c r="U61" s="9">
        <v>1.92E-4</v>
      </c>
      <c r="V61">
        <v>0</v>
      </c>
      <c r="W61" s="10">
        <v>1</v>
      </c>
      <c r="X61" s="1">
        <v>122.474</v>
      </c>
      <c r="Y61" s="2">
        <v>37.202000000000012</v>
      </c>
      <c r="Z61" s="13">
        <v>0</v>
      </c>
      <c r="AA61" s="2">
        <v>122.474</v>
      </c>
      <c r="AB61" s="2">
        <v>37.202000000000012</v>
      </c>
      <c r="AC61" s="2">
        <v>209</v>
      </c>
      <c r="AD61" s="2"/>
      <c r="AE61" s="7">
        <v>159.67599999999999</v>
      </c>
      <c r="AF61" s="2">
        <v>122.474</v>
      </c>
      <c r="AG61" s="2">
        <v>37.202000000000012</v>
      </c>
      <c r="AH61" s="2">
        <v>13.993581074839341</v>
      </c>
      <c r="AI61" s="2">
        <v>3.9383778838902899</v>
      </c>
      <c r="AJ61" s="2">
        <v>-306.64869223739902</v>
      </c>
      <c r="AK61" s="2">
        <v>-81.54577176993952</v>
      </c>
      <c r="AL61" s="2">
        <v>0</v>
      </c>
      <c r="AM61" s="2">
        <v>-104.5413986874987</v>
      </c>
      <c r="AN61" s="2">
        <v>209</v>
      </c>
      <c r="AO61" s="2">
        <v>178.9239347416511</v>
      </c>
      <c r="AP61" s="2">
        <v>235.1471962333371</v>
      </c>
      <c r="AQ61" s="2">
        <v>15.22934140665379</v>
      </c>
      <c r="AR61" s="2">
        <v>-435.71458136524899</v>
      </c>
      <c r="AS61" s="2">
        <v>0</v>
      </c>
      <c r="AT61" s="2">
        <v>-909.2456371784051</v>
      </c>
      <c r="AU61" s="1">
        <v>159.67599999999999</v>
      </c>
      <c r="AV61" s="2">
        <v>12.18709542284992</v>
      </c>
      <c r="AW61" s="2">
        <v>-415.62325409077812</v>
      </c>
      <c r="AX61" s="2">
        <v>178.9239347416511</v>
      </c>
      <c r="AZ61" s="1">
        <f t="shared" si="112"/>
        <v>122.474</v>
      </c>
      <c r="BA61" s="2">
        <f t="shared" si="113"/>
        <v>13.993581074839341</v>
      </c>
      <c r="BB61" s="7">
        <f t="shared" si="114"/>
        <v>-306.64869223739902</v>
      </c>
      <c r="BC61" s="1">
        <f t="shared" si="115"/>
        <v>37.202000000000012</v>
      </c>
      <c r="BD61" s="2">
        <f t="shared" si="116"/>
        <v>3.9383778838902899</v>
      </c>
      <c r="BE61" s="2">
        <f t="shared" si="117"/>
        <v>-81.54577176993952</v>
      </c>
      <c r="BF61" s="2">
        <f t="shared" si="118"/>
        <v>0</v>
      </c>
      <c r="BG61" s="7">
        <f t="shared" si="119"/>
        <v>-104.5413986874987</v>
      </c>
      <c r="BH61" s="1">
        <f t="shared" si="120"/>
        <v>159.67600000000002</v>
      </c>
      <c r="BI61" s="2">
        <f t="shared" si="121"/>
        <v>17.931958958729631</v>
      </c>
      <c r="BJ61" s="2">
        <f t="shared" si="122"/>
        <v>388.19446400733852</v>
      </c>
      <c r="BK61" s="2">
        <f t="shared" si="123"/>
        <v>0</v>
      </c>
      <c r="BL61" s="7">
        <f t="shared" si="124"/>
        <v>-104.5413986874987</v>
      </c>
      <c r="BN61" s="1">
        <f t="shared" si="61"/>
        <v>159.67599999999999</v>
      </c>
      <c r="BO61" s="4">
        <v>0</v>
      </c>
      <c r="BP61" s="2">
        <f t="shared" si="21"/>
        <v>159.67599999999999</v>
      </c>
      <c r="BQ61" s="2">
        <f t="shared" si="52"/>
        <v>178.9239347416511</v>
      </c>
      <c r="BR61" s="3">
        <f t="shared" si="53"/>
        <v>0.89242392433721474</v>
      </c>
      <c r="BS61" s="1">
        <f t="shared" si="54"/>
        <v>209</v>
      </c>
      <c r="BT61" s="2">
        <f t="shared" si="55"/>
        <v>235.1471962333371</v>
      </c>
      <c r="BU61" s="21">
        <f t="shared" si="56"/>
        <v>0.88880498406031949</v>
      </c>
      <c r="BV61" s="2" t="str">
        <f t="shared" si="57"/>
        <v/>
      </c>
      <c r="BW61" s="2" t="str">
        <f t="shared" si="58"/>
        <v/>
      </c>
      <c r="BX61" s="21" t="str">
        <f t="shared" si="59"/>
        <v/>
      </c>
      <c r="BY61" s="15"/>
    </row>
    <row r="62" spans="1:77" x14ac:dyDescent="0.25">
      <c r="A62" t="str">
        <f t="shared" si="22"/>
        <v>Travée</v>
      </c>
      <c r="B62" t="b">
        <f t="shared" si="82"/>
        <v>0</v>
      </c>
      <c r="C62">
        <f t="shared" si="83"/>
        <v>5</v>
      </c>
      <c r="D62" s="5" t="s">
        <v>103</v>
      </c>
      <c r="E62" t="s">
        <v>57</v>
      </c>
      <c r="F62" s="5">
        <v>25</v>
      </c>
      <c r="G62" t="s">
        <v>46</v>
      </c>
      <c r="H62">
        <v>500</v>
      </c>
      <c r="I62">
        <v>170000</v>
      </c>
      <c r="J62">
        <v>1300</v>
      </c>
      <c r="K62" s="10">
        <v>1445</v>
      </c>
      <c r="L62" s="12">
        <v>1</v>
      </c>
      <c r="M62" s="5">
        <v>0.25</v>
      </c>
      <c r="N62" s="10">
        <v>2.6</v>
      </c>
      <c r="O62" s="5">
        <v>3.3280000000000001E-4</v>
      </c>
      <c r="P62">
        <v>0.04</v>
      </c>
      <c r="Q62" s="10">
        <v>1</v>
      </c>
      <c r="R62" s="8">
        <v>0</v>
      </c>
      <c r="S62">
        <v>0</v>
      </c>
      <c r="T62">
        <v>1</v>
      </c>
      <c r="U62" s="9">
        <v>5.7600000000000001E-4</v>
      </c>
      <c r="V62">
        <v>0</v>
      </c>
      <c r="W62" s="10">
        <v>1</v>
      </c>
      <c r="X62" s="1">
        <v>42.754560000000012</v>
      </c>
      <c r="Y62" s="2">
        <v>12.986879999999999</v>
      </c>
      <c r="Z62" s="13">
        <v>0</v>
      </c>
      <c r="AA62" s="2">
        <v>42.754560000000012</v>
      </c>
      <c r="AB62" s="2">
        <v>12.986879999999999</v>
      </c>
      <c r="AC62" s="2">
        <v>72.960000000000008</v>
      </c>
      <c r="AD62" s="2"/>
      <c r="AE62" s="7">
        <v>55.741439999999997</v>
      </c>
      <c r="AF62" s="2">
        <v>42.754560000000012</v>
      </c>
      <c r="AG62" s="2">
        <v>12.986879999999999</v>
      </c>
      <c r="AH62" s="2">
        <v>9.1874757805652205</v>
      </c>
      <c r="AI62" s="2">
        <v>1.541058832342123</v>
      </c>
      <c r="AJ62" s="2">
        <v>-629.7557262768338</v>
      </c>
      <c r="AK62" s="2">
        <v>-61.759862211147549</v>
      </c>
      <c r="AL62" s="2">
        <v>0</v>
      </c>
      <c r="AM62" s="2">
        <v>-64.080473551544927</v>
      </c>
      <c r="AN62" s="2">
        <v>72.960000000000008</v>
      </c>
      <c r="AO62" s="2">
        <v>32.175182924605153</v>
      </c>
      <c r="AP62" s="2">
        <v>224.80894309617941</v>
      </c>
      <c r="AQ62" s="2">
        <v>6.1192838983534914</v>
      </c>
      <c r="AR62" s="2">
        <v>-350.26297900137968</v>
      </c>
      <c r="AS62" s="2">
        <v>0</v>
      </c>
      <c r="AT62" s="2">
        <v>-367.67566124018379</v>
      </c>
      <c r="AU62" s="1">
        <v>55.741439999999997</v>
      </c>
      <c r="AV62" s="2">
        <v>0</v>
      </c>
      <c r="AW62" s="2">
        <v>0</v>
      </c>
      <c r="AX62" s="2">
        <v>32.175182924605153</v>
      </c>
      <c r="AZ62" s="1">
        <f t="shared" si="112"/>
        <v>42.754560000000012</v>
      </c>
      <c r="BA62" s="2">
        <f t="shared" si="113"/>
        <v>9.1874757805652205</v>
      </c>
      <c r="BB62" s="7">
        <f t="shared" si="114"/>
        <v>-629.7557262768338</v>
      </c>
      <c r="BC62" s="1">
        <f t="shared" si="115"/>
        <v>12.986879999999999</v>
      </c>
      <c r="BD62" s="2">
        <f t="shared" si="116"/>
        <v>1.541058832342123</v>
      </c>
      <c r="BE62" s="2">
        <f t="shared" si="117"/>
        <v>-61.759862211147549</v>
      </c>
      <c r="BF62" s="2">
        <f t="shared" si="118"/>
        <v>0</v>
      </c>
      <c r="BG62" s="7">
        <f t="shared" si="119"/>
        <v>-64.080473551544927</v>
      </c>
      <c r="BH62" s="1">
        <f t="shared" si="120"/>
        <v>55.741440000000011</v>
      </c>
      <c r="BI62" s="2">
        <f t="shared" si="121"/>
        <v>10.728534612907344</v>
      </c>
      <c r="BJ62" s="2">
        <f t="shared" si="122"/>
        <v>691.5155884879814</v>
      </c>
      <c r="BK62" s="2">
        <f t="shared" si="123"/>
        <v>0</v>
      </c>
      <c r="BL62" s="7">
        <f t="shared" si="124"/>
        <v>-64.080473551544927</v>
      </c>
      <c r="BN62" s="1">
        <f t="shared" si="61"/>
        <v>55.741439999999997</v>
      </c>
      <c r="BO62" s="4" t="str">
        <f t="shared" ref="BO62" si="127">IF(ISNUMBER(SEARCH("Appui",E62)),0,"0")</f>
        <v>0</v>
      </c>
      <c r="BP62" s="2">
        <f t="shared" si="21"/>
        <v>55.741439999999997</v>
      </c>
      <c r="BQ62" s="2">
        <f t="shared" si="52"/>
        <v>32.175182924605153</v>
      </c>
      <c r="BR62" s="3">
        <f t="shared" si="53"/>
        <v>1.7324358382240355</v>
      </c>
      <c r="BS62" s="1">
        <f t="shared" si="54"/>
        <v>72.960000000000008</v>
      </c>
      <c r="BT62" s="2">
        <f t="shared" si="55"/>
        <v>224.80894309617941</v>
      </c>
      <c r="BU62" s="21">
        <f t="shared" si="56"/>
        <v>0.32454224905450368</v>
      </c>
      <c r="BV62" s="2">
        <f t="shared" si="57"/>
        <v>228.61</v>
      </c>
      <c r="BW62" s="2">
        <f t="shared" si="58"/>
        <v>394.97734740013573</v>
      </c>
      <c r="BX62" s="21">
        <f t="shared" si="59"/>
        <v>1.7277343397057683</v>
      </c>
      <c r="BY62" s="10" t="str">
        <f t="shared" ref="BY62" si="128">IF(C60&lt;C62,"Rive",IF(C64&gt;C62,"Rive","Inter"))</f>
        <v>Rive</v>
      </c>
    </row>
    <row r="63" spans="1:77" x14ac:dyDescent="0.25">
      <c r="A63" t="str">
        <f t="shared" si="22"/>
        <v>Appui</v>
      </c>
      <c r="B63" t="b">
        <f t="shared" si="82"/>
        <v>0</v>
      </c>
      <c r="C63">
        <f t="shared" si="83"/>
        <v>5</v>
      </c>
      <c r="D63" s="5" t="s">
        <v>103</v>
      </c>
      <c r="E63" t="s">
        <v>97</v>
      </c>
      <c r="F63" s="5">
        <v>25</v>
      </c>
      <c r="G63" t="s">
        <v>46</v>
      </c>
      <c r="H63">
        <v>500</v>
      </c>
      <c r="I63">
        <v>170000</v>
      </c>
      <c r="J63">
        <v>1300</v>
      </c>
      <c r="K63" s="10">
        <v>1445</v>
      </c>
      <c r="L63" s="12">
        <v>1</v>
      </c>
      <c r="M63" s="5">
        <v>0.25</v>
      </c>
      <c r="N63" s="10">
        <v>2.6</v>
      </c>
      <c r="O63" s="5">
        <v>1.3338E-3</v>
      </c>
      <c r="P63">
        <v>6.9999999999999993E-2</v>
      </c>
      <c r="Q63" s="10">
        <v>1</v>
      </c>
      <c r="R63" s="8">
        <v>0</v>
      </c>
      <c r="S63">
        <v>0</v>
      </c>
      <c r="T63">
        <v>1</v>
      </c>
      <c r="U63" s="9">
        <v>0</v>
      </c>
      <c r="V63">
        <v>0</v>
      </c>
      <c r="W63" s="10">
        <v>1</v>
      </c>
      <c r="X63" s="1">
        <v>59.947800000000001</v>
      </c>
      <c r="Y63" s="2">
        <v>18.209399999999999</v>
      </c>
      <c r="Z63" s="13">
        <v>0</v>
      </c>
      <c r="AA63" s="2">
        <v>59.947800000000001</v>
      </c>
      <c r="AB63" s="2">
        <v>18.209399999999999</v>
      </c>
      <c r="AC63" s="2">
        <v>102.3</v>
      </c>
      <c r="AD63" s="2"/>
      <c r="AE63" s="7">
        <v>78.157200000000003</v>
      </c>
      <c r="AF63" s="2">
        <v>59.947800000000001</v>
      </c>
      <c r="AG63" s="2">
        <v>18.209399999999999</v>
      </c>
      <c r="AH63" s="2">
        <v>8.7397601485627359</v>
      </c>
      <c r="AI63" s="2">
        <v>2.6547394307920911</v>
      </c>
      <c r="AJ63" s="2">
        <v>-265.14870800928082</v>
      </c>
      <c r="AK63" s="2">
        <v>-80.540051238313936</v>
      </c>
      <c r="AL63" s="2">
        <v>0</v>
      </c>
      <c r="AM63" s="2">
        <v>0</v>
      </c>
      <c r="AN63" s="2">
        <v>102.3</v>
      </c>
      <c r="AO63" s="2">
        <v>105.1896123745755</v>
      </c>
      <c r="AP63" s="2">
        <v>105.1896123745755</v>
      </c>
      <c r="AQ63" s="2">
        <v>16.666666666666671</v>
      </c>
      <c r="AR63" s="2">
        <v>-445.22724719199061</v>
      </c>
      <c r="AS63" s="2">
        <v>0</v>
      </c>
      <c r="AT63" s="2">
        <v>0</v>
      </c>
      <c r="AU63" s="1">
        <v>78.157200000000003</v>
      </c>
      <c r="AV63" s="2">
        <v>8.0151534214754694</v>
      </c>
      <c r="AW63" s="2">
        <v>-354.68099330812879</v>
      </c>
      <c r="AX63" s="2">
        <v>105.1896123745755</v>
      </c>
      <c r="AZ63" s="1">
        <f t="shared" si="112"/>
        <v>59.947800000000001</v>
      </c>
      <c r="BA63" s="2">
        <f t="shared" si="113"/>
        <v>8.7397601485627359</v>
      </c>
      <c r="BB63" s="7">
        <f t="shared" si="114"/>
        <v>-265.14870800928082</v>
      </c>
      <c r="BC63" s="1">
        <f t="shared" si="115"/>
        <v>18.209399999999999</v>
      </c>
      <c r="BD63" s="2">
        <f t="shared" si="116"/>
        <v>2.6547394307920911</v>
      </c>
      <c r="BE63" s="2">
        <f t="shared" si="117"/>
        <v>-80.540051238313936</v>
      </c>
      <c r="BF63" s="2">
        <f t="shared" si="118"/>
        <v>0</v>
      </c>
      <c r="BG63" s="7">
        <f t="shared" si="119"/>
        <v>0</v>
      </c>
      <c r="BH63" s="1">
        <f t="shared" si="120"/>
        <v>78.157200000000003</v>
      </c>
      <c r="BI63" s="2">
        <f t="shared" si="121"/>
        <v>11.394499579354827</v>
      </c>
      <c r="BJ63" s="2">
        <f t="shared" si="122"/>
        <v>345.68875924759476</v>
      </c>
      <c r="BK63" s="2">
        <f t="shared" si="123"/>
        <v>0</v>
      </c>
      <c r="BL63" s="7">
        <f t="shared" si="124"/>
        <v>0</v>
      </c>
      <c r="BN63" s="1">
        <f t="shared" si="61"/>
        <v>78.157200000000003</v>
      </c>
      <c r="BO63" s="4">
        <v>0</v>
      </c>
      <c r="BP63" s="2">
        <f t="shared" si="21"/>
        <v>78.157200000000003</v>
      </c>
      <c r="BQ63" s="2">
        <f t="shared" si="52"/>
        <v>105.1896123745755</v>
      </c>
      <c r="BR63" s="3">
        <f t="shared" si="53"/>
        <v>0.74301252980841592</v>
      </c>
      <c r="BS63" s="1">
        <f t="shared" si="54"/>
        <v>102.3</v>
      </c>
      <c r="BT63" s="2">
        <f t="shared" si="55"/>
        <v>105.1896123745755</v>
      </c>
      <c r="BU63" s="21">
        <f t="shared" si="56"/>
        <v>0.97252948927803129</v>
      </c>
      <c r="BV63" s="2" t="str">
        <f t="shared" si="57"/>
        <v/>
      </c>
      <c r="BW63" s="2" t="str">
        <f t="shared" si="58"/>
        <v/>
      </c>
      <c r="BX63" s="21" t="str">
        <f t="shared" si="59"/>
        <v/>
      </c>
      <c r="BY63" s="15"/>
    </row>
    <row r="64" spans="1:77" x14ac:dyDescent="0.25">
      <c r="A64" t="str">
        <f t="shared" si="22"/>
        <v/>
      </c>
      <c r="B64" t="b">
        <f t="shared" si="82"/>
        <v>1</v>
      </c>
      <c r="C64">
        <f t="shared" si="83"/>
        <v>100000</v>
      </c>
      <c r="D64" s="5"/>
      <c r="F64" s="5"/>
      <c r="K64" s="10"/>
      <c r="L64" s="12"/>
      <c r="M64" s="5"/>
      <c r="N64" s="10"/>
      <c r="O64" s="5"/>
      <c r="Q64" s="10"/>
      <c r="R64" s="8"/>
      <c r="U64" s="9"/>
      <c r="W64" s="10"/>
      <c r="X64" s="1"/>
      <c r="Y64" s="2"/>
      <c r="Z64" s="13"/>
      <c r="AA64" s="2"/>
      <c r="AB64" s="2"/>
      <c r="AC64" s="2"/>
      <c r="AD64" s="2"/>
      <c r="AE64" s="7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"/>
      <c r="AV64" s="2"/>
      <c r="AW64" s="2"/>
      <c r="AX64" s="2"/>
      <c r="AZ64" s="1">
        <f t="shared" si="112"/>
        <v>0</v>
      </c>
      <c r="BA64" s="2">
        <f t="shared" si="113"/>
        <v>0</v>
      </c>
      <c r="BB64" s="7">
        <f t="shared" si="114"/>
        <v>0</v>
      </c>
      <c r="BC64" s="1">
        <f t="shared" si="115"/>
        <v>0</v>
      </c>
      <c r="BD64" s="2">
        <f t="shared" si="116"/>
        <v>0</v>
      </c>
      <c r="BE64" s="2">
        <f t="shared" si="117"/>
        <v>0</v>
      </c>
      <c r="BF64" s="2">
        <f t="shared" si="118"/>
        <v>0</v>
      </c>
      <c r="BG64" s="7">
        <f t="shared" si="119"/>
        <v>0</v>
      </c>
      <c r="BH64" s="1">
        <f t="shared" si="120"/>
        <v>0</v>
      </c>
      <c r="BI64" s="2">
        <f t="shared" si="121"/>
        <v>0</v>
      </c>
      <c r="BJ64" s="2">
        <f t="shared" si="122"/>
        <v>0</v>
      </c>
      <c r="BK64" s="2">
        <f t="shared" si="123"/>
        <v>0</v>
      </c>
      <c r="BL64" s="7">
        <f t="shared" si="124"/>
        <v>0</v>
      </c>
      <c r="BN64" s="1"/>
      <c r="BO64" s="4"/>
      <c r="BP64" s="2">
        <f t="shared" si="21"/>
        <v>0</v>
      </c>
      <c r="BQ64" s="2"/>
      <c r="BR64" s="3"/>
      <c r="BS64" s="1"/>
      <c r="BT64" s="2"/>
      <c r="BU64" s="21"/>
      <c r="BV64" s="2"/>
      <c r="BW64" s="2"/>
      <c r="BX64" s="21"/>
      <c r="BY64" s="10"/>
    </row>
    <row r="65" spans="2:77" x14ac:dyDescent="0.25">
      <c r="B65" t="b">
        <f t="shared" si="82"/>
        <v>1</v>
      </c>
      <c r="C65">
        <f t="shared" si="83"/>
        <v>100000</v>
      </c>
      <c r="D65" s="5"/>
      <c r="F65" s="5"/>
      <c r="K65" s="10"/>
      <c r="L65" s="12"/>
      <c r="M65" s="5"/>
      <c r="N65" s="10"/>
      <c r="O65" s="5"/>
      <c r="Q65" s="10"/>
      <c r="R65" s="8"/>
      <c r="U65" s="9"/>
      <c r="W65" s="10"/>
      <c r="X65" s="1"/>
      <c r="Y65" s="2"/>
      <c r="Z65" s="13"/>
      <c r="AA65" s="2"/>
      <c r="AB65" s="2"/>
      <c r="AC65" s="2"/>
      <c r="AD65" s="2"/>
      <c r="AE65" s="7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"/>
      <c r="AV65" s="2"/>
      <c r="AW65" s="2"/>
      <c r="AX65" s="2"/>
      <c r="AZ65" s="1">
        <f t="shared" si="112"/>
        <v>0</v>
      </c>
      <c r="BA65" s="2">
        <f t="shared" si="113"/>
        <v>0</v>
      </c>
      <c r="BB65" s="7">
        <f t="shared" si="114"/>
        <v>0</v>
      </c>
      <c r="BC65" s="1">
        <f t="shared" si="115"/>
        <v>0</v>
      </c>
      <c r="BD65" s="2">
        <f t="shared" si="116"/>
        <v>0</v>
      </c>
      <c r="BE65" s="2">
        <f t="shared" si="117"/>
        <v>0</v>
      </c>
      <c r="BF65" s="2">
        <f t="shared" si="118"/>
        <v>0</v>
      </c>
      <c r="BG65" s="7">
        <f t="shared" si="119"/>
        <v>0</v>
      </c>
      <c r="BH65" s="1">
        <f t="shared" si="120"/>
        <v>0</v>
      </c>
      <c r="BI65" s="2">
        <f t="shared" si="121"/>
        <v>0</v>
      </c>
      <c r="BJ65" s="2">
        <f t="shared" si="122"/>
        <v>0</v>
      </c>
      <c r="BK65" s="2">
        <f t="shared" si="123"/>
        <v>0</v>
      </c>
      <c r="BL65" s="7">
        <f t="shared" si="124"/>
        <v>0</v>
      </c>
      <c r="BN65" s="1"/>
      <c r="BO65" s="4"/>
      <c r="BP65" s="2">
        <f t="shared" si="21"/>
        <v>0</v>
      </c>
      <c r="BQ65" s="2"/>
      <c r="BR65" s="3"/>
      <c r="BS65" s="1"/>
      <c r="BT65" s="2"/>
      <c r="BU65" s="21"/>
      <c r="BV65" s="2"/>
      <c r="BW65" s="2"/>
      <c r="BX65" s="21"/>
      <c r="BY65" s="15"/>
    </row>
    <row r="66" spans="2:77" x14ac:dyDescent="0.25">
      <c r="B66" t="b">
        <f t="shared" si="82"/>
        <v>1</v>
      </c>
      <c r="C66">
        <f t="shared" si="83"/>
        <v>100000</v>
      </c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1"/>
      <c r="Y66" s="2"/>
      <c r="Z66" s="13"/>
      <c r="AA66" s="2"/>
      <c r="AB66" s="2"/>
      <c r="AC66" s="2"/>
      <c r="AD66" s="2"/>
      <c r="AE66" s="7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"/>
      <c r="AV66" s="2"/>
      <c r="AW66" s="2"/>
      <c r="AX66" s="2"/>
      <c r="AZ66" s="1">
        <f t="shared" si="112"/>
        <v>0</v>
      </c>
      <c r="BA66" s="2">
        <f t="shared" si="113"/>
        <v>0</v>
      </c>
      <c r="BB66" s="7">
        <f t="shared" si="114"/>
        <v>0</v>
      </c>
      <c r="BC66" s="1">
        <f t="shared" si="115"/>
        <v>0</v>
      </c>
      <c r="BD66" s="2">
        <f t="shared" si="116"/>
        <v>0</v>
      </c>
      <c r="BE66" s="2">
        <f t="shared" si="117"/>
        <v>0</v>
      </c>
      <c r="BF66" s="2">
        <f t="shared" si="118"/>
        <v>0</v>
      </c>
      <c r="BG66" s="7">
        <f t="shared" si="119"/>
        <v>0</v>
      </c>
      <c r="BH66" s="1">
        <f t="shared" si="120"/>
        <v>0</v>
      </c>
      <c r="BI66" s="2">
        <f t="shared" si="121"/>
        <v>0</v>
      </c>
      <c r="BJ66" s="2">
        <f t="shared" si="122"/>
        <v>0</v>
      </c>
      <c r="BK66" s="2">
        <f t="shared" si="123"/>
        <v>0</v>
      </c>
      <c r="BL66" s="7">
        <f t="shared" si="124"/>
        <v>0</v>
      </c>
      <c r="BN66" s="1"/>
      <c r="BO66" s="4"/>
      <c r="BP66" s="2">
        <f t="shared" si="21"/>
        <v>0</v>
      </c>
      <c r="BQ66" s="2"/>
      <c r="BR66" s="3"/>
      <c r="BS66" s="1"/>
      <c r="BT66" s="2"/>
      <c r="BU66" s="21"/>
      <c r="BV66" s="2"/>
      <c r="BW66" s="2"/>
      <c r="BX66" s="21"/>
      <c r="BY66" s="10"/>
    </row>
    <row r="67" spans="2:77" x14ac:dyDescent="0.25">
      <c r="C67">
        <f t="shared" ref="C67" si="129">IF(D67="",100000,IF(D67=D66,C66,C66+1))</f>
        <v>100000</v>
      </c>
      <c r="D67" s="5"/>
      <c r="F67" s="5"/>
      <c r="K67" s="10"/>
      <c r="L67" s="12"/>
      <c r="M67" s="5"/>
      <c r="N67" s="10"/>
      <c r="O67" s="5"/>
      <c r="Q67" s="10"/>
      <c r="R67" s="8"/>
      <c r="U67" s="9"/>
      <c r="W67" s="10"/>
      <c r="X67" s="1"/>
      <c r="Y67" s="2"/>
      <c r="Z67" s="13"/>
      <c r="AA67" s="2"/>
      <c r="AB67" s="2"/>
      <c r="AC67" s="2"/>
      <c r="AD67" s="2"/>
      <c r="AE67" s="7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1"/>
      <c r="AV67" s="2"/>
      <c r="AW67" s="2"/>
      <c r="AX67" s="2"/>
      <c r="AZ67" s="1">
        <f t="shared" si="112"/>
        <v>0</v>
      </c>
      <c r="BA67" s="2">
        <f t="shared" si="113"/>
        <v>0</v>
      </c>
      <c r="BB67" s="7">
        <f t="shared" si="114"/>
        <v>0</v>
      </c>
      <c r="BC67" s="1">
        <f t="shared" si="115"/>
        <v>0</v>
      </c>
      <c r="BD67" s="2">
        <f t="shared" si="116"/>
        <v>0</v>
      </c>
      <c r="BE67" s="2">
        <f t="shared" si="117"/>
        <v>0</v>
      </c>
      <c r="BF67" s="2">
        <f t="shared" si="118"/>
        <v>0</v>
      </c>
      <c r="BG67" s="7">
        <f t="shared" si="119"/>
        <v>0</v>
      </c>
      <c r="BH67" s="1">
        <f t="shared" si="120"/>
        <v>0</v>
      </c>
      <c r="BI67" s="2">
        <f t="shared" si="121"/>
        <v>0</v>
      </c>
      <c r="BJ67" s="2">
        <f t="shared" si="122"/>
        <v>0</v>
      </c>
      <c r="BK67" s="2">
        <f t="shared" si="123"/>
        <v>0</v>
      </c>
      <c r="BL67" s="7">
        <f t="shared" si="124"/>
        <v>0</v>
      </c>
      <c r="BN67" s="1"/>
      <c r="BO67" s="4"/>
      <c r="BP67" s="2">
        <f t="shared" si="21"/>
        <v>0</v>
      </c>
      <c r="BQ67" s="2"/>
      <c r="BR67" s="3"/>
      <c r="BS67" s="1"/>
      <c r="BT67" s="2"/>
      <c r="BU67" s="21"/>
      <c r="BV67" s="2"/>
      <c r="BW67" s="2"/>
      <c r="BX67" s="21"/>
      <c r="BY67" s="15"/>
    </row>
    <row r="68" spans="2:77" x14ac:dyDescent="0.25">
      <c r="D68" s="5"/>
      <c r="F68" s="5"/>
      <c r="K68" s="10"/>
      <c r="L68" s="12"/>
      <c r="M68" s="5"/>
      <c r="N68" s="10"/>
      <c r="O68" s="5"/>
      <c r="Q68" s="10"/>
      <c r="R68" s="8"/>
      <c r="U68" s="9"/>
      <c r="W68" s="10"/>
      <c r="X68" s="1"/>
      <c r="Y68" s="2"/>
      <c r="Z68" s="13"/>
      <c r="AA68" s="2"/>
      <c r="AB68" s="2"/>
      <c r="AC68" s="2"/>
      <c r="AD68" s="2"/>
      <c r="AE68" s="7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1"/>
      <c r="AV68" s="2"/>
      <c r="AW68" s="2"/>
      <c r="AX68" s="2"/>
      <c r="AZ68" s="1">
        <f t="shared" si="112"/>
        <v>0</v>
      </c>
      <c r="BA68" s="2">
        <f t="shared" si="113"/>
        <v>0</v>
      </c>
      <c r="BB68" s="7">
        <f t="shared" si="114"/>
        <v>0</v>
      </c>
      <c r="BC68" s="1">
        <f t="shared" si="115"/>
        <v>0</v>
      </c>
      <c r="BD68" s="2">
        <f t="shared" si="116"/>
        <v>0</v>
      </c>
      <c r="BE68" s="2">
        <f t="shared" si="117"/>
        <v>0</v>
      </c>
      <c r="BF68" s="2">
        <f t="shared" si="118"/>
        <v>0</v>
      </c>
      <c r="BG68" s="7">
        <f t="shared" si="119"/>
        <v>0</v>
      </c>
      <c r="BH68" s="1">
        <f t="shared" si="120"/>
        <v>0</v>
      </c>
      <c r="BI68" s="2">
        <f t="shared" si="121"/>
        <v>0</v>
      </c>
      <c r="BJ68" s="2">
        <f t="shared" si="122"/>
        <v>0</v>
      </c>
      <c r="BK68" s="2">
        <f t="shared" si="123"/>
        <v>0</v>
      </c>
      <c r="BL68" s="7">
        <f t="shared" si="124"/>
        <v>0</v>
      </c>
      <c r="BN68" s="1"/>
      <c r="BO68" s="4"/>
      <c r="BP68" s="2"/>
      <c r="BQ68" s="2"/>
      <c r="BR68" s="3"/>
      <c r="BS68" s="1"/>
      <c r="BT68" s="2"/>
      <c r="BU68" s="21"/>
      <c r="BV68" s="2"/>
      <c r="BW68" s="2"/>
      <c r="BX68" s="21"/>
      <c r="BY68" s="10"/>
    </row>
    <row r="69" spans="2:77" x14ac:dyDescent="0.25">
      <c r="D69" s="5"/>
      <c r="F69" s="5"/>
      <c r="K69" s="10"/>
      <c r="L69" s="12"/>
      <c r="M69" s="5"/>
      <c r="N69" s="10"/>
      <c r="O69" s="5"/>
      <c r="Q69" s="10"/>
      <c r="R69" s="8"/>
      <c r="U69" s="9"/>
      <c r="W69" s="10"/>
      <c r="X69" s="1"/>
      <c r="Y69" s="2"/>
      <c r="Z69" s="13"/>
      <c r="AA69" s="2"/>
      <c r="AB69" s="2"/>
      <c r="AC69" s="2"/>
      <c r="AD69" s="2"/>
      <c r="AE69" s="7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1"/>
      <c r="AV69" s="2"/>
      <c r="AW69" s="2"/>
      <c r="AX69" s="2"/>
      <c r="AZ69" s="1">
        <f t="shared" si="112"/>
        <v>0</v>
      </c>
      <c r="BA69" s="2">
        <f t="shared" si="113"/>
        <v>0</v>
      </c>
      <c r="BB69" s="7">
        <f t="shared" si="114"/>
        <v>0</v>
      </c>
      <c r="BC69" s="1">
        <f t="shared" si="115"/>
        <v>0</v>
      </c>
      <c r="BD69" s="2">
        <f t="shared" si="116"/>
        <v>0</v>
      </c>
      <c r="BE69" s="2">
        <f t="shared" si="117"/>
        <v>0</v>
      </c>
      <c r="BF69" s="2">
        <f t="shared" si="118"/>
        <v>0</v>
      </c>
      <c r="BG69" s="7">
        <f t="shared" si="119"/>
        <v>0</v>
      </c>
      <c r="BH69" s="1">
        <f t="shared" si="120"/>
        <v>0</v>
      </c>
      <c r="BI69" s="2">
        <f t="shared" si="121"/>
        <v>0</v>
      </c>
      <c r="BJ69" s="2">
        <f t="shared" si="122"/>
        <v>0</v>
      </c>
      <c r="BK69" s="2">
        <f t="shared" si="123"/>
        <v>0</v>
      </c>
      <c r="BL69" s="7">
        <f t="shared" si="124"/>
        <v>0</v>
      </c>
      <c r="BN69" s="1"/>
      <c r="BO69" s="4"/>
      <c r="BP69" s="2"/>
      <c r="BQ69" s="2"/>
      <c r="BR69" s="3"/>
      <c r="BS69" s="1"/>
      <c r="BT69" s="2"/>
      <c r="BU69" s="21"/>
      <c r="BV69" s="2"/>
      <c r="BW69" s="2"/>
      <c r="BX69" s="21"/>
      <c r="BY69" s="15"/>
    </row>
    <row r="70" spans="2:77" x14ac:dyDescent="0.25">
      <c r="D70" s="5"/>
      <c r="F70" s="5"/>
      <c r="K70" s="10"/>
      <c r="L70" s="12"/>
      <c r="M70" s="5"/>
      <c r="N70" s="10"/>
      <c r="O70" s="5"/>
      <c r="Q70" s="10"/>
      <c r="R70" s="8"/>
      <c r="U70" s="9"/>
      <c r="W70" s="10"/>
      <c r="X70" s="1"/>
      <c r="Y70" s="2"/>
      <c r="Z70" s="13"/>
      <c r="AA70" s="2"/>
      <c r="AB70" s="2"/>
      <c r="AC70" s="2"/>
      <c r="AD70" s="2"/>
      <c r="AE70" s="7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1"/>
      <c r="AV70" s="2"/>
      <c r="AW70" s="2"/>
      <c r="AX70" s="2"/>
      <c r="AZ70" s="1">
        <f t="shared" si="112"/>
        <v>0</v>
      </c>
      <c r="BA70" s="2">
        <f t="shared" si="113"/>
        <v>0</v>
      </c>
      <c r="BB70" s="7">
        <f t="shared" si="114"/>
        <v>0</v>
      </c>
      <c r="BC70" s="1">
        <f t="shared" si="115"/>
        <v>0</v>
      </c>
      <c r="BD70" s="2">
        <f t="shared" si="116"/>
        <v>0</v>
      </c>
      <c r="BE70" s="2">
        <f t="shared" si="117"/>
        <v>0</v>
      </c>
      <c r="BF70" s="2">
        <f t="shared" si="118"/>
        <v>0</v>
      </c>
      <c r="BG70" s="7">
        <f t="shared" si="119"/>
        <v>0</v>
      </c>
      <c r="BH70" s="1">
        <f t="shared" si="120"/>
        <v>0</v>
      </c>
      <c r="BI70" s="2">
        <f t="shared" si="121"/>
        <v>0</v>
      </c>
      <c r="BJ70" s="2">
        <f t="shared" si="122"/>
        <v>0</v>
      </c>
      <c r="BK70" s="2">
        <f t="shared" si="123"/>
        <v>0</v>
      </c>
      <c r="BL70" s="7">
        <f t="shared" si="124"/>
        <v>0</v>
      </c>
      <c r="BN70" s="1"/>
      <c r="BO70" s="4"/>
      <c r="BP70" s="2"/>
      <c r="BQ70" s="2"/>
      <c r="BR70" s="3"/>
      <c r="BS70" s="1"/>
      <c r="BT70" s="2"/>
      <c r="BU70" s="21"/>
      <c r="BV70" s="2"/>
      <c r="BW70" s="2"/>
      <c r="BX70" s="21"/>
      <c r="BY70" s="10"/>
    </row>
  </sheetData>
  <mergeCells count="19">
    <mergeCell ref="G4:H4"/>
    <mergeCell ref="I4:K4"/>
    <mergeCell ref="R4:T4"/>
    <mergeCell ref="U4:W4"/>
    <mergeCell ref="AZ1:BY1"/>
    <mergeCell ref="AZ2:BL2"/>
    <mergeCell ref="BN2:BY2"/>
    <mergeCell ref="F3:K3"/>
    <mergeCell ref="M3:N4"/>
    <mergeCell ref="O3:Q4"/>
    <mergeCell ref="R3:W3"/>
    <mergeCell ref="X3:AE4"/>
    <mergeCell ref="AF3:AX4"/>
    <mergeCell ref="AZ3:BB4"/>
    <mergeCell ref="BX5:BY5"/>
    <mergeCell ref="BC3:BG4"/>
    <mergeCell ref="BH3:BL3"/>
    <mergeCell ref="BN3:BR4"/>
    <mergeCell ref="BS3:BY4"/>
  </mergeCells>
  <phoneticPr fontId="4" type="noConversion"/>
  <conditionalFormatting sqref="D6:D70">
    <cfRule type="expression" dxfId="115" priority="10">
      <formula>$B6=FALSE</formula>
    </cfRule>
  </conditionalFormatting>
  <conditionalFormatting sqref="BI6:BI70">
    <cfRule type="cellIs" dxfId="114" priority="4" operator="greaterThan">
      <formula>$BI$4</formula>
    </cfRule>
  </conditionalFormatting>
  <conditionalFormatting sqref="BJ6:BK70">
    <cfRule type="cellIs" dxfId="113" priority="8" operator="greaterThan">
      <formula>$BJ$4</formula>
    </cfRule>
  </conditionalFormatting>
  <conditionalFormatting sqref="BL6:BM7 BM8:BM37 BL8:BL70">
    <cfRule type="expression" dxfId="112" priority="9">
      <formula>ABS($BL6)&gt;$BL$4</formula>
    </cfRule>
  </conditionalFormatting>
  <conditionalFormatting sqref="BO6:BO70">
    <cfRule type="expression" dxfId="111" priority="3">
      <formula>$A6="Travée"</formula>
    </cfRule>
  </conditionalFormatting>
  <conditionalFormatting sqref="BR6:BR70">
    <cfRule type="cellIs" dxfId="110" priority="7" operator="greaterThan">
      <formula>1</formula>
    </cfRule>
  </conditionalFormatting>
  <conditionalFormatting sqref="BU6:BU70">
    <cfRule type="cellIs" dxfId="109" priority="6" operator="greaterThan">
      <formula>1</formula>
    </cfRule>
  </conditionalFormatting>
  <conditionalFormatting sqref="BV6:BX8 BV9:BY9 BV10:BX10 BV11:BY11 BV12:BX12 BV13:BY13 BV14:BX14 BV15:BY15 BV16:BX16 BV17:BY17 BV18:BX18 BV19:BY19 BV20:BX20 BV21:BY21 BV22:BX22 BV23:BY23 BV24:BX24 BV25:BY25 BV26:BX26 BV27:BY27 BV28:BX28 BV29:BY29 BV30:BX30 BV31:BY31 BV32:BX32 BV33:BY33 BV34:BX34 BV35:BY35 BV36:BX36 BV37:BY37 BV38:BX38 BV39:BY39 BV40:BX40 BV41:BY41 BV42:BX42 BV43:BY43 BV44:BX44 BV45:BY45 BV46:BX46 BV47:BY47 BV48:BX48 BV49:BY49 BV50:BX50 BV51:BY51 BV52:BX52 BV53:BY53 BV54:BX54 BV55:BY55 BV56:BX56 BV57:BY57 BV58:BX58 BV59:BY59 BV60:BX60 BV61:BY61 BV62:BX62 BV63:BY70">
    <cfRule type="cellIs" dxfId="108" priority="5" operator="equal">
      <formula>""</formula>
    </cfRule>
  </conditionalFormatting>
  <conditionalFormatting sqref="BX6:BX70">
    <cfRule type="cellIs" dxfId="107" priority="2" operator="lessThan">
      <formula>IF($BY6="Rive",1.15,IF($BY6="Inter",1.1,0))</formula>
    </cfRule>
  </conditionalFormatting>
  <conditionalFormatting sqref="BY6:BY8 BY10 BY12 BY14 BY16 BY18 BY20 BY22 BY24 BY26 BY28 BY30 BY32 BY34 BY36 BY38 BY40 BY42 BY44 BY46 BY48 BY50 BY52 BY54 BY56 BY58 BY60 BY62">
    <cfRule type="cellIs" dxfId="106" priority="1" operator="equal">
      <formula>""</formula>
    </cfRule>
  </conditionalFormatting>
  <pageMargins left="0.7" right="0.7" top="0.75" bottom="0.75" header="0.3" footer="0.3"/>
  <pageSetup paperSize="8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A6A4-B19A-400A-B5A3-7616F351403E}">
  <sheetPr>
    <tabColor rgb="FFFF0000"/>
    <pageSetUpPr fitToPage="1"/>
  </sheetPr>
  <dimension ref="A1:BZ70"/>
  <sheetViews>
    <sheetView zoomScale="70" zoomScaleNormal="70" workbookViewId="0">
      <pane xSplit="5" topLeftCell="F1" activePane="topRight" state="frozen"/>
      <selection activeCell="A5" sqref="A5"/>
      <selection pane="topRight" activeCell="BN6" sqref="BN6:BY65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8.7109375" bestFit="1" customWidth="1"/>
    <col min="6" max="6" width="6.28515625" bestFit="1" customWidth="1"/>
    <col min="7" max="7" width="3.42578125" bestFit="1" customWidth="1"/>
    <col min="8" max="8" width="3.85546875" bestFit="1" customWidth="1"/>
    <col min="9" max="9" width="6.85546875" bestFit="1" customWidth="1"/>
    <col min="10" max="11" width="4.8554687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4" width="4.140625" bestFit="1" customWidth="1"/>
    <col min="25" max="25" width="3.85546875" bestFit="1" customWidth="1"/>
    <col min="26" max="26" width="4.5703125" bestFit="1" customWidth="1"/>
    <col min="27" max="27" width="4.14062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5" width="3.85546875" customWidth="1" outlineLevel="1"/>
    <col min="36" max="36" width="8" customWidth="1" outlineLevel="1"/>
    <col min="37" max="39" width="4.85546875" customWidth="1" outlineLevel="1"/>
    <col min="40" max="42" width="4.140625" customWidth="1" outlineLevel="1"/>
    <col min="43" max="43" width="3.85546875" customWidth="1" outlineLevel="1"/>
    <col min="44" max="44" width="4.85546875" customWidth="1" outlineLevel="1"/>
    <col min="45" max="45" width="5.28515625" customWidth="1" outlineLevel="1"/>
    <col min="46" max="46" width="5.85546875" customWidth="1" outlineLevel="1"/>
    <col min="47" max="48" width="4.140625" customWidth="1" outlineLevel="1"/>
    <col min="49" max="50" width="4.85546875" customWidth="1" outlineLevel="1"/>
    <col min="51" max="51" width="2.85546875" customWidth="1"/>
    <col min="52" max="53" width="4.28515625" bestFit="1" customWidth="1"/>
    <col min="54" max="54" width="4.85546875" bestFit="1" customWidth="1"/>
    <col min="55" max="56" width="4.28515625" bestFit="1" customWidth="1"/>
    <col min="57" max="59" width="4.85546875" bestFit="1" customWidth="1"/>
    <col min="60" max="60" width="4.28515625" bestFit="1" customWidth="1"/>
    <col min="61" max="61" width="4.7109375" bestFit="1" customWidth="1"/>
    <col min="62" max="62" width="5.7109375" bestFit="1" customWidth="1"/>
    <col min="63" max="64" width="5.28515625" bestFit="1" customWidth="1"/>
    <col min="66" max="66" width="4.140625" bestFit="1" customWidth="1"/>
    <col min="67" max="67" width="8.85546875" bestFit="1" customWidth="1"/>
    <col min="68" max="69" width="4.140625" bestFit="1" customWidth="1"/>
    <col min="70" max="70" width="7.85546875" customWidth="1"/>
    <col min="71" max="72" width="4.140625" bestFit="1" customWidth="1"/>
    <col min="73" max="73" width="7.42578125" bestFit="1" customWidth="1"/>
    <col min="74" max="75" width="4.140625" bestFit="1" customWidth="1"/>
    <col min="76" max="76" width="4.7109375" bestFit="1" customWidth="1"/>
    <col min="77" max="77" width="5" bestFit="1" customWidth="1"/>
    <col min="79" max="79" width="9.140625" bestFit="1" customWidth="1"/>
  </cols>
  <sheetData>
    <row r="1" spans="1:78" ht="15.75" thickBot="1" x14ac:dyDescent="0.3">
      <c r="AZ1" s="80" t="s">
        <v>67</v>
      </c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2"/>
    </row>
    <row r="2" spans="1:78" ht="15.75" thickBot="1" x14ac:dyDescent="0.3">
      <c r="AZ2" s="67" t="s">
        <v>78</v>
      </c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79"/>
      <c r="BM2" s="6"/>
      <c r="BN2" s="67" t="s">
        <v>79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9"/>
    </row>
    <row r="3" spans="1:78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61" t="s">
        <v>68</v>
      </c>
      <c r="Y3" s="62"/>
      <c r="Z3" s="62"/>
      <c r="AA3" s="62"/>
      <c r="AB3" s="62"/>
      <c r="AC3" s="62"/>
      <c r="AD3" s="62"/>
      <c r="AE3" s="63"/>
      <c r="AF3" s="67" t="s">
        <v>67</v>
      </c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Z3" s="83" t="s">
        <v>87</v>
      </c>
      <c r="BA3" s="62"/>
      <c r="BB3" s="63"/>
      <c r="BC3" s="83" t="s">
        <v>88</v>
      </c>
      <c r="BD3" s="62"/>
      <c r="BE3" s="62"/>
      <c r="BF3" s="62"/>
      <c r="BG3" s="63"/>
      <c r="BH3" s="71" t="s">
        <v>77</v>
      </c>
      <c r="BI3" s="72"/>
      <c r="BJ3" s="72"/>
      <c r="BK3" s="72"/>
      <c r="BL3" s="73"/>
      <c r="BN3" s="83" t="s">
        <v>89</v>
      </c>
      <c r="BO3" s="62"/>
      <c r="BP3" s="62"/>
      <c r="BQ3" s="62"/>
      <c r="BR3" s="63"/>
      <c r="BS3" s="83" t="s">
        <v>90</v>
      </c>
      <c r="BT3" s="62"/>
      <c r="BU3" s="62"/>
      <c r="BV3" s="62"/>
      <c r="BW3" s="62"/>
      <c r="BX3" s="62"/>
      <c r="BY3" s="63"/>
    </row>
    <row r="4" spans="1:78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64"/>
      <c r="Y4" s="65"/>
      <c r="Z4" s="65"/>
      <c r="AA4" s="65"/>
      <c r="AB4" s="65"/>
      <c r="AC4" s="65"/>
      <c r="AD4" s="65"/>
      <c r="AE4" s="66"/>
      <c r="AF4" s="67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Z4" s="64"/>
      <c r="BA4" s="65"/>
      <c r="BB4" s="66"/>
      <c r="BC4" s="64"/>
      <c r="BD4" s="65"/>
      <c r="BE4" s="65"/>
      <c r="BF4" s="65"/>
      <c r="BG4" s="66"/>
      <c r="BH4" s="23"/>
      <c r="BI4" s="24">
        <f>0.6*F7</f>
        <v>15</v>
      </c>
      <c r="BJ4" s="24">
        <f>0.8*H7</f>
        <v>400</v>
      </c>
      <c r="BK4" s="24">
        <f>0.8*H7</f>
        <v>400</v>
      </c>
      <c r="BL4" s="25">
        <f>MIN(J7,0.9*0.8*H7)</f>
        <v>360.00000000000006</v>
      </c>
      <c r="BM4" s="14"/>
      <c r="BN4" s="64"/>
      <c r="BO4" s="65"/>
      <c r="BP4" s="65"/>
      <c r="BQ4" s="65"/>
      <c r="BR4" s="66"/>
      <c r="BS4" s="64"/>
      <c r="BT4" s="65"/>
      <c r="BU4" s="65"/>
      <c r="BV4" s="65"/>
      <c r="BW4" s="65"/>
      <c r="BX4" s="65"/>
      <c r="BY4" s="66"/>
    </row>
    <row r="5" spans="1:78" ht="81.75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31" t="s">
        <v>69</v>
      </c>
      <c r="Y5" s="32" t="s">
        <v>70</v>
      </c>
      <c r="Z5" s="32" t="s">
        <v>71</v>
      </c>
      <c r="AA5" s="32" t="s">
        <v>20</v>
      </c>
      <c r="AB5" s="32" t="s">
        <v>21</v>
      </c>
      <c r="AC5" s="32" t="s">
        <v>22</v>
      </c>
      <c r="AD5" s="32" t="s">
        <v>23</v>
      </c>
      <c r="AE5" s="33" t="s">
        <v>24</v>
      </c>
      <c r="AF5" s="34" t="s">
        <v>25</v>
      </c>
      <c r="AG5" s="35" t="s">
        <v>26</v>
      </c>
      <c r="AH5" s="35" t="s">
        <v>27</v>
      </c>
      <c r="AI5" s="35" t="s">
        <v>28</v>
      </c>
      <c r="AJ5" s="35" t="s">
        <v>29</v>
      </c>
      <c r="AK5" s="35" t="s">
        <v>30</v>
      </c>
      <c r="AL5" s="35" t="s">
        <v>31</v>
      </c>
      <c r="AM5" s="35" t="s">
        <v>32</v>
      </c>
      <c r="AN5" s="35" t="s">
        <v>33</v>
      </c>
      <c r="AO5" s="35" t="s">
        <v>34</v>
      </c>
      <c r="AP5" s="35" t="s">
        <v>35</v>
      </c>
      <c r="AQ5" s="35" t="s">
        <v>36</v>
      </c>
      <c r="AR5" s="35" t="s">
        <v>37</v>
      </c>
      <c r="AS5" s="35" t="s">
        <v>38</v>
      </c>
      <c r="AT5" s="36" t="s">
        <v>39</v>
      </c>
      <c r="AU5" s="37" t="s">
        <v>40</v>
      </c>
      <c r="AV5" s="35" t="s">
        <v>42</v>
      </c>
      <c r="AW5" s="35" t="s">
        <v>43</v>
      </c>
      <c r="AX5" s="35" t="s">
        <v>41</v>
      </c>
      <c r="AY5" s="20"/>
      <c r="AZ5" s="16" t="s">
        <v>72</v>
      </c>
      <c r="BA5" s="18" t="s">
        <v>73</v>
      </c>
      <c r="BB5" s="17" t="s">
        <v>74</v>
      </c>
      <c r="BC5" s="18" t="s">
        <v>72</v>
      </c>
      <c r="BD5" s="18" t="s">
        <v>73</v>
      </c>
      <c r="BE5" s="18" t="s">
        <v>74</v>
      </c>
      <c r="BF5" s="18" t="s">
        <v>75</v>
      </c>
      <c r="BG5" s="17" t="s">
        <v>76</v>
      </c>
      <c r="BH5" s="16" t="s">
        <v>72</v>
      </c>
      <c r="BI5" s="18" t="s">
        <v>73</v>
      </c>
      <c r="BJ5" s="18" t="s">
        <v>74</v>
      </c>
      <c r="BK5" s="18" t="s">
        <v>75</v>
      </c>
      <c r="BL5" s="17" t="s">
        <v>76</v>
      </c>
      <c r="BM5" s="18"/>
      <c r="BN5" s="16" t="s">
        <v>80</v>
      </c>
      <c r="BO5" s="19" t="s">
        <v>66</v>
      </c>
      <c r="BP5" s="18" t="s">
        <v>82</v>
      </c>
      <c r="BQ5" s="18" t="s">
        <v>81</v>
      </c>
      <c r="BR5" s="17" t="s">
        <v>83</v>
      </c>
      <c r="BS5" s="16" t="s">
        <v>80</v>
      </c>
      <c r="BT5" s="18" t="s">
        <v>81</v>
      </c>
      <c r="BU5" s="20"/>
      <c r="BV5" s="18" t="s">
        <v>84</v>
      </c>
      <c r="BW5" s="18" t="s">
        <v>85</v>
      </c>
      <c r="BX5" s="77" t="s">
        <v>86</v>
      </c>
      <c r="BY5" s="78"/>
    </row>
    <row r="6" spans="1:78" x14ac:dyDescent="0.25">
      <c r="A6" t="str">
        <f>IF(ISNUMBER(SEARCH("Appui",E6)),"Appui",IF(ISNUMBER(SEARCH("Travée",E6)),"Travée",""))</f>
        <v>Travée</v>
      </c>
      <c r="B6" t="b">
        <f>MOD(C6,2)=0</f>
        <v>0</v>
      </c>
      <c r="C6">
        <v>1</v>
      </c>
      <c r="D6" s="5" t="s">
        <v>95</v>
      </c>
      <c r="E6" t="s">
        <v>45</v>
      </c>
      <c r="F6" s="5">
        <v>25</v>
      </c>
      <c r="G6" t="s">
        <v>46</v>
      </c>
      <c r="H6">
        <v>500</v>
      </c>
      <c r="I6">
        <v>220000</v>
      </c>
      <c r="J6">
        <v>1576</v>
      </c>
      <c r="K6" s="10">
        <v>1870</v>
      </c>
      <c r="L6" s="12">
        <v>1</v>
      </c>
      <c r="M6" s="5">
        <v>0.23</v>
      </c>
      <c r="N6" s="10">
        <v>2.6</v>
      </c>
      <c r="O6" s="5">
        <v>1.0009999999999999E-3</v>
      </c>
      <c r="P6">
        <v>0.04</v>
      </c>
      <c r="Q6" s="10">
        <v>1</v>
      </c>
      <c r="R6" s="8">
        <v>0</v>
      </c>
      <c r="S6">
        <v>0</v>
      </c>
      <c r="T6">
        <v>1</v>
      </c>
      <c r="U6" s="9">
        <v>0</v>
      </c>
      <c r="V6">
        <v>0</v>
      </c>
      <c r="W6" s="10">
        <v>1</v>
      </c>
      <c r="X6" s="1">
        <v>41.254399999999997</v>
      </c>
      <c r="Y6" s="2">
        <v>12.5312</v>
      </c>
      <c r="Z6" s="13">
        <v>0</v>
      </c>
      <c r="AA6" s="2">
        <v>41.254399999999997</v>
      </c>
      <c r="AB6" s="2">
        <v>12.5312</v>
      </c>
      <c r="AC6" s="2">
        <v>70.400000000000006</v>
      </c>
      <c r="AD6" s="2"/>
      <c r="AE6" s="7">
        <v>53.785600000000002</v>
      </c>
      <c r="AF6" s="2">
        <v>41.254399999999997</v>
      </c>
      <c r="AG6" s="2">
        <v>12.5312</v>
      </c>
      <c r="AH6" s="2">
        <v>6.260513228133707</v>
      </c>
      <c r="AI6" s="2">
        <v>1.901657601719799</v>
      </c>
      <c r="AJ6" s="2">
        <v>-228.2945453625517</v>
      </c>
      <c r="AK6" s="2">
        <v>-69.345442106713662</v>
      </c>
      <c r="AL6" s="2">
        <v>0</v>
      </c>
      <c r="AM6" s="2">
        <v>0</v>
      </c>
      <c r="AN6" s="2">
        <v>70.400000000000006</v>
      </c>
      <c r="AO6" s="2">
        <v>85.967812056737074</v>
      </c>
      <c r="AP6" s="2">
        <v>85.967812056737074</v>
      </c>
      <c r="AQ6" s="2">
        <v>7.4833736642687576</v>
      </c>
      <c r="AR6" s="2">
        <v>-398.2835187019291</v>
      </c>
      <c r="AS6" s="2">
        <v>0</v>
      </c>
      <c r="AT6" s="2">
        <v>0</v>
      </c>
      <c r="AU6" s="1">
        <v>53.785600000000002</v>
      </c>
      <c r="AV6" s="2">
        <v>5.8454760374042127</v>
      </c>
      <c r="AW6" s="2">
        <v>-303.90409026888238</v>
      </c>
      <c r="AX6" s="2">
        <v>85.967812056737074</v>
      </c>
      <c r="AZ6" s="1">
        <f>AF6</f>
        <v>41.254399999999997</v>
      </c>
      <c r="BA6" s="2">
        <f>AH6</f>
        <v>6.260513228133707</v>
      </c>
      <c r="BB6" s="7">
        <f>AJ6</f>
        <v>-228.2945453625517</v>
      </c>
      <c r="BC6" s="1">
        <f>AG6</f>
        <v>12.5312</v>
      </c>
      <c r="BD6" s="2">
        <f>AI6</f>
        <v>1.901657601719799</v>
      </c>
      <c r="BE6" s="2">
        <f t="shared" ref="BE6:BG20" si="0">AK6</f>
        <v>-69.345442106713662</v>
      </c>
      <c r="BF6" s="2">
        <f t="shared" si="0"/>
        <v>0</v>
      </c>
      <c r="BG6" s="7">
        <f t="shared" si="0"/>
        <v>0</v>
      </c>
      <c r="BH6" s="1">
        <f t="shared" ref="BH6:BI20" si="1">AZ6+BC6</f>
        <v>53.785599999999995</v>
      </c>
      <c r="BI6" s="2">
        <f t="shared" si="1"/>
        <v>8.1621708298535065</v>
      </c>
      <c r="BJ6" s="2">
        <f t="shared" ref="BJ6:BJ59" si="2">ABS(BB6+BE6)</f>
        <v>297.63998746926535</v>
      </c>
      <c r="BK6" s="2">
        <f>ABS(BF6)</f>
        <v>0</v>
      </c>
      <c r="BL6" s="7">
        <f>BG6</f>
        <v>0</v>
      </c>
      <c r="BM6" s="2"/>
      <c r="BN6" s="1"/>
      <c r="BO6" s="4"/>
      <c r="BP6" s="2"/>
      <c r="BQ6" s="2"/>
      <c r="BR6" s="3"/>
      <c r="BS6" s="1"/>
      <c r="BT6" s="2"/>
      <c r="BU6" s="21"/>
      <c r="BV6" s="2"/>
      <c r="BW6" s="2"/>
      <c r="BX6" s="21"/>
      <c r="BY6" s="10"/>
    </row>
    <row r="7" spans="1:78" x14ac:dyDescent="0.25">
      <c r="A7" t="str">
        <f>IF(ISNUMBER(SEARCH("Appui",E7)),"Appui",IF(ISNUMBER(SEARCH("Travée",E7)),"Travée",""))</f>
        <v>Appui</v>
      </c>
      <c r="B7" t="b">
        <f>MOD(C7,2)=0</f>
        <v>0</v>
      </c>
      <c r="C7">
        <v>1</v>
      </c>
      <c r="D7" s="5" t="s">
        <v>95</v>
      </c>
      <c r="E7" t="s">
        <v>47</v>
      </c>
      <c r="F7" s="5">
        <v>25</v>
      </c>
      <c r="G7" t="s">
        <v>46</v>
      </c>
      <c r="H7">
        <v>500</v>
      </c>
      <c r="I7">
        <v>220000</v>
      </c>
      <c r="J7">
        <v>1576</v>
      </c>
      <c r="K7" s="10">
        <v>1870</v>
      </c>
      <c r="L7" s="12">
        <v>1</v>
      </c>
      <c r="M7" s="5">
        <v>0.23</v>
      </c>
      <c r="N7" s="10">
        <v>2.6</v>
      </c>
      <c r="O7" s="5">
        <v>1.3078E-3</v>
      </c>
      <c r="P7">
        <v>7.0000000000000007E-2</v>
      </c>
      <c r="Q7" s="10">
        <v>1</v>
      </c>
      <c r="R7" s="8">
        <v>0</v>
      </c>
      <c r="S7">
        <v>0</v>
      </c>
      <c r="T7">
        <v>1</v>
      </c>
      <c r="U7" s="9">
        <v>2.9099999999999999E-5</v>
      </c>
      <c r="V7">
        <v>0</v>
      </c>
      <c r="W7" s="10">
        <v>5</v>
      </c>
      <c r="X7" s="1">
        <v>61.237000000000002</v>
      </c>
      <c r="Y7" s="2">
        <v>18.600999999999999</v>
      </c>
      <c r="Z7" s="13">
        <v>0</v>
      </c>
      <c r="AA7" s="2">
        <v>61.237000000000002</v>
      </c>
      <c r="AB7" s="2">
        <v>18.600999999999999</v>
      </c>
      <c r="AC7" s="2">
        <v>104.5</v>
      </c>
      <c r="AD7" s="2"/>
      <c r="AE7" s="7">
        <v>79.838000000000008</v>
      </c>
      <c r="AF7" s="2">
        <v>61.237000000000002</v>
      </c>
      <c r="AG7" s="2">
        <v>18.600999999999999</v>
      </c>
      <c r="AH7" s="2">
        <v>10.8414473682283</v>
      </c>
      <c r="AI7" s="2">
        <v>2.8512679214847512</v>
      </c>
      <c r="AJ7" s="2">
        <v>-311.69940688622461</v>
      </c>
      <c r="AK7" s="2">
        <v>-74.489511943490342</v>
      </c>
      <c r="AL7" s="2">
        <v>0</v>
      </c>
      <c r="AM7" s="2">
        <v>-126.5054449123525</v>
      </c>
      <c r="AN7" s="2">
        <v>104.5</v>
      </c>
      <c r="AO7" s="2">
        <v>90.84528043600335</v>
      </c>
      <c r="AP7" s="2">
        <v>143.44193921347861</v>
      </c>
      <c r="AQ7" s="2">
        <v>10.781598631466929</v>
      </c>
      <c r="AR7" s="2">
        <v>-427.74014770174932</v>
      </c>
      <c r="AS7" s="2">
        <v>0</v>
      </c>
      <c r="AT7" s="2">
        <v>-754.47567757034892</v>
      </c>
      <c r="AU7" s="1">
        <v>79.838000000000008</v>
      </c>
      <c r="AV7" s="2">
        <v>9.7041501557169667</v>
      </c>
      <c r="AW7" s="2">
        <v>-418.20709554356017</v>
      </c>
      <c r="AX7" s="2">
        <v>90.84528043600335</v>
      </c>
      <c r="AZ7" s="1">
        <f>AF7</f>
        <v>61.237000000000002</v>
      </c>
      <c r="BA7" s="2">
        <f>AH7</f>
        <v>10.8414473682283</v>
      </c>
      <c r="BB7" s="7">
        <f>AJ7</f>
        <v>-311.69940688622461</v>
      </c>
      <c r="BC7" s="1">
        <f>AG7</f>
        <v>18.600999999999999</v>
      </c>
      <c r="BD7" s="2">
        <f>AI7</f>
        <v>2.8512679214847512</v>
      </c>
      <c r="BE7" s="2">
        <f t="shared" si="0"/>
        <v>-74.489511943490342</v>
      </c>
      <c r="BF7" s="2">
        <f t="shared" si="0"/>
        <v>0</v>
      </c>
      <c r="BG7" s="7">
        <f t="shared" si="0"/>
        <v>-126.5054449123525</v>
      </c>
      <c r="BH7" s="1">
        <f t="shared" si="1"/>
        <v>79.837999999999994</v>
      </c>
      <c r="BI7" s="2">
        <f t="shared" si="1"/>
        <v>13.692715289713052</v>
      </c>
      <c r="BJ7" s="2">
        <f t="shared" si="2"/>
        <v>386.18891882971496</v>
      </c>
      <c r="BK7" s="2">
        <f>ABS(BF7)</f>
        <v>0</v>
      </c>
      <c r="BL7" s="7">
        <f>BG7</f>
        <v>-126.5054449123525</v>
      </c>
      <c r="BM7" s="2"/>
      <c r="BN7" s="1"/>
      <c r="BO7" s="4"/>
      <c r="BP7" s="2"/>
      <c r="BQ7" s="2"/>
      <c r="BR7" s="3"/>
      <c r="BS7" s="1"/>
      <c r="BT7" s="2"/>
      <c r="BU7" s="21"/>
      <c r="BV7" s="2"/>
      <c r="BW7" s="2"/>
      <c r="BX7" s="21"/>
      <c r="BY7" s="15"/>
    </row>
    <row r="8" spans="1:78" x14ac:dyDescent="0.25">
      <c r="A8" t="str">
        <f t="shared" ref="A8:A64" si="3">IF(ISNUMBER(SEARCH("Appui",E8)),"Appui",IF(ISNUMBER(SEARCH("Travée",E8)),"Travée",""))</f>
        <v>Travée</v>
      </c>
      <c r="B8" t="b">
        <f t="shared" ref="B8:B64" si="4">MOD(C8,2)=0</f>
        <v>0</v>
      </c>
      <c r="C8">
        <f>IF(D8=D7,C7,C7+1)</f>
        <v>1</v>
      </c>
      <c r="D8" s="5" t="s">
        <v>95</v>
      </c>
      <c r="E8" t="s">
        <v>48</v>
      </c>
      <c r="F8" s="5"/>
      <c r="K8" s="10"/>
      <c r="L8" s="12"/>
      <c r="M8" s="5"/>
      <c r="N8" s="10"/>
      <c r="O8" s="5"/>
      <c r="Q8" s="10"/>
      <c r="R8" s="8"/>
      <c r="U8" s="9"/>
      <c r="W8" s="10"/>
      <c r="X8" s="1"/>
      <c r="Y8" s="2"/>
      <c r="Z8" s="13"/>
      <c r="AA8" s="2"/>
      <c r="AB8" s="2"/>
      <c r="AC8" s="2"/>
      <c r="AD8" s="2"/>
      <c r="AE8" s="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1"/>
      <c r="AV8" s="2"/>
      <c r="AW8" s="2"/>
      <c r="AX8" s="2"/>
      <c r="AZ8" s="1">
        <f t="shared" ref="AZ8:AZ59" si="5">AF8</f>
        <v>0</v>
      </c>
      <c r="BA8" s="2">
        <f t="shared" ref="BA8:BA59" si="6">AH8</f>
        <v>0</v>
      </c>
      <c r="BB8" s="7">
        <f t="shared" ref="BB8:BB59" si="7">AJ8</f>
        <v>0</v>
      </c>
      <c r="BC8" s="1">
        <f t="shared" ref="BC8:BC59" si="8">AG8</f>
        <v>0</v>
      </c>
      <c r="BD8" s="2">
        <f t="shared" ref="BD8:BD59" si="9">AI8</f>
        <v>0</v>
      </c>
      <c r="BE8" s="2">
        <f t="shared" si="0"/>
        <v>0</v>
      </c>
      <c r="BF8" s="2">
        <f t="shared" si="0"/>
        <v>0</v>
      </c>
      <c r="BG8" s="7">
        <f t="shared" si="0"/>
        <v>0</v>
      </c>
      <c r="BH8" s="1">
        <f t="shared" si="1"/>
        <v>0</v>
      </c>
      <c r="BI8" s="2">
        <f t="shared" si="1"/>
        <v>0</v>
      </c>
      <c r="BJ8" s="2">
        <f t="shared" si="2"/>
        <v>0</v>
      </c>
      <c r="BK8" s="2">
        <f t="shared" ref="BK8:BK59" si="10">ABS(BF8)</f>
        <v>0</v>
      </c>
      <c r="BL8" s="7">
        <f t="shared" ref="BL8:BL59" si="11">BG8</f>
        <v>0</v>
      </c>
      <c r="BM8" s="2"/>
      <c r="BN8" s="1"/>
      <c r="BO8" s="4"/>
      <c r="BP8" s="2"/>
      <c r="BQ8" s="2"/>
      <c r="BR8" s="3"/>
      <c r="BS8" s="1"/>
      <c r="BT8" s="2"/>
      <c r="BU8" s="21"/>
      <c r="BV8" s="2"/>
      <c r="BW8" s="2"/>
      <c r="BX8" s="21"/>
      <c r="BY8" s="10"/>
    </row>
    <row r="9" spans="1:78" x14ac:dyDescent="0.25">
      <c r="A9" t="str">
        <f t="shared" si="3"/>
        <v>Appui</v>
      </c>
      <c r="B9" t="b">
        <f t="shared" si="4"/>
        <v>0</v>
      </c>
      <c r="C9">
        <f t="shared" ref="C9:C34" si="12">IF(D9=D8,C8,C8+1)</f>
        <v>1</v>
      </c>
      <c r="D9" s="5" t="s">
        <v>95</v>
      </c>
      <c r="E9" t="s">
        <v>49</v>
      </c>
      <c r="F9" s="5">
        <v>25</v>
      </c>
      <c r="G9" t="s">
        <v>46</v>
      </c>
      <c r="H9">
        <v>500</v>
      </c>
      <c r="I9">
        <v>220000</v>
      </c>
      <c r="J9">
        <v>1576</v>
      </c>
      <c r="K9" s="10">
        <v>1870</v>
      </c>
      <c r="L9" s="12">
        <v>1</v>
      </c>
      <c r="M9" s="5">
        <v>0.23</v>
      </c>
      <c r="N9" s="10">
        <v>2.6</v>
      </c>
      <c r="O9" s="5">
        <v>1.3286000000000001E-3</v>
      </c>
      <c r="P9">
        <v>0.06</v>
      </c>
      <c r="Q9" s="10">
        <v>1</v>
      </c>
      <c r="R9" s="8">
        <v>0</v>
      </c>
      <c r="S9">
        <v>0</v>
      </c>
      <c r="T9">
        <v>1</v>
      </c>
      <c r="U9" s="9">
        <v>2.9099999999999999E-5</v>
      </c>
      <c r="V9">
        <v>0</v>
      </c>
      <c r="W9" s="10">
        <v>10</v>
      </c>
      <c r="X9" s="1">
        <v>87.021000000000001</v>
      </c>
      <c r="Y9" s="2">
        <v>26.433</v>
      </c>
      <c r="Z9" s="13">
        <v>0</v>
      </c>
      <c r="AA9" s="2">
        <v>87.021000000000001</v>
      </c>
      <c r="AB9" s="2">
        <v>26.433</v>
      </c>
      <c r="AC9" s="2">
        <v>148.5</v>
      </c>
      <c r="AD9" s="2"/>
      <c r="AE9" s="7">
        <v>113.45399999999999</v>
      </c>
      <c r="AF9" s="2">
        <v>87.021000000000001</v>
      </c>
      <c r="AG9" s="2">
        <v>26.433</v>
      </c>
      <c r="AH9" s="2">
        <v>13.89823718407782</v>
      </c>
      <c r="AI9" s="2">
        <v>3.3957372430336599</v>
      </c>
      <c r="AJ9" s="2">
        <v>-409.8330380580947</v>
      </c>
      <c r="AK9" s="2">
        <v>-84.910009655903508</v>
      </c>
      <c r="AL9" s="2">
        <v>0</v>
      </c>
      <c r="AM9" s="2">
        <v>-134.74295185734661</v>
      </c>
      <c r="AN9" s="2">
        <v>148.5</v>
      </c>
      <c r="AO9" s="2">
        <v>98.463056755532691</v>
      </c>
      <c r="AP9" s="2">
        <v>206.9011598770544</v>
      </c>
      <c r="AQ9" s="2">
        <v>12.991134485040289</v>
      </c>
      <c r="AR9" s="2">
        <v>-435.33094100943038</v>
      </c>
      <c r="AS9" s="2">
        <v>0</v>
      </c>
      <c r="AT9" s="2">
        <v>-953.83860176855751</v>
      </c>
      <c r="AU9" s="1">
        <v>113.45399999999999</v>
      </c>
      <c r="AV9" s="2">
        <v>0</v>
      </c>
      <c r="AW9" s="2">
        <v>0</v>
      </c>
      <c r="AX9" s="2">
        <v>98.463056755532691</v>
      </c>
      <c r="AZ9" s="1">
        <f t="shared" si="5"/>
        <v>87.021000000000001</v>
      </c>
      <c r="BA9" s="2">
        <f t="shared" si="6"/>
        <v>13.89823718407782</v>
      </c>
      <c r="BB9" s="7">
        <f t="shared" si="7"/>
        <v>-409.8330380580947</v>
      </c>
      <c r="BC9" s="1">
        <f t="shared" si="8"/>
        <v>26.433</v>
      </c>
      <c r="BD9" s="2">
        <f t="shared" si="9"/>
        <v>3.3957372430336599</v>
      </c>
      <c r="BE9" s="2">
        <f t="shared" si="0"/>
        <v>-84.910009655903508</v>
      </c>
      <c r="BF9" s="2">
        <f t="shared" si="0"/>
        <v>0</v>
      </c>
      <c r="BG9" s="7">
        <f t="shared" si="0"/>
        <v>-134.74295185734661</v>
      </c>
      <c r="BH9" s="1">
        <f t="shared" si="1"/>
        <v>113.45400000000001</v>
      </c>
      <c r="BI9" s="2">
        <f t="shared" si="1"/>
        <v>17.293974427111479</v>
      </c>
      <c r="BJ9" s="2">
        <f t="shared" si="2"/>
        <v>494.74304771399818</v>
      </c>
      <c r="BK9" s="2">
        <f t="shared" si="10"/>
        <v>0</v>
      </c>
      <c r="BL9" s="7">
        <f t="shared" si="11"/>
        <v>-134.74295185734661</v>
      </c>
      <c r="BM9" s="2"/>
      <c r="BN9" s="1"/>
      <c r="BO9" s="4"/>
      <c r="BP9" s="2"/>
      <c r="BQ9" s="2"/>
      <c r="BR9" s="3"/>
      <c r="BS9" s="1"/>
      <c r="BT9" s="2"/>
      <c r="BU9" s="21"/>
      <c r="BV9" s="2"/>
      <c r="BW9" s="2"/>
      <c r="BX9" s="21"/>
      <c r="BY9" s="15"/>
    </row>
    <row r="10" spans="1:78" x14ac:dyDescent="0.25">
      <c r="A10" t="str">
        <f t="shared" si="3"/>
        <v>Travée</v>
      </c>
      <c r="B10" t="b">
        <f t="shared" si="4"/>
        <v>0</v>
      </c>
      <c r="C10">
        <f t="shared" si="12"/>
        <v>1</v>
      </c>
      <c r="D10" s="5" t="s">
        <v>95</v>
      </c>
      <c r="E10" t="s">
        <v>51</v>
      </c>
      <c r="F10" s="5">
        <v>25</v>
      </c>
      <c r="G10" t="s">
        <v>46</v>
      </c>
      <c r="H10">
        <v>500</v>
      </c>
      <c r="I10">
        <v>220000</v>
      </c>
      <c r="J10">
        <v>1576</v>
      </c>
      <c r="K10" s="10">
        <v>1870</v>
      </c>
      <c r="L10" s="12">
        <v>1</v>
      </c>
      <c r="M10" s="5">
        <v>0.23</v>
      </c>
      <c r="N10" s="10">
        <v>2.6</v>
      </c>
      <c r="O10" s="5">
        <v>3.3280000000000001E-4</v>
      </c>
      <c r="P10">
        <v>0.03</v>
      </c>
      <c r="Q10" s="10">
        <v>1</v>
      </c>
      <c r="R10" s="8">
        <v>0</v>
      </c>
      <c r="S10">
        <v>0</v>
      </c>
      <c r="T10">
        <v>1</v>
      </c>
      <c r="U10" s="9">
        <v>2.9099999999999999E-5</v>
      </c>
      <c r="V10">
        <v>0</v>
      </c>
      <c r="W10" s="10">
        <v>7</v>
      </c>
      <c r="X10" s="1">
        <v>42.754560000000012</v>
      </c>
      <c r="Y10" s="2">
        <v>12.986879999999999</v>
      </c>
      <c r="Z10" s="13">
        <v>0</v>
      </c>
      <c r="AA10" s="2">
        <v>42.754560000000012</v>
      </c>
      <c r="AB10" s="2">
        <v>12.986879999999999</v>
      </c>
      <c r="AC10" s="2">
        <v>72.960000000000008</v>
      </c>
      <c r="AD10" s="2"/>
      <c r="AE10" s="7">
        <v>55.741439999999997</v>
      </c>
      <c r="AF10" s="2">
        <v>42.754560000000012</v>
      </c>
      <c r="AG10" s="2">
        <v>12.986879999999999</v>
      </c>
      <c r="AH10" s="2">
        <v>9.9221220998210846</v>
      </c>
      <c r="AI10" s="2">
        <v>2.1511030724101898</v>
      </c>
      <c r="AJ10" s="2">
        <v>-661.58721357758907</v>
      </c>
      <c r="AK10" s="2">
        <v>-106.2123597504845</v>
      </c>
      <c r="AL10" s="2">
        <v>0</v>
      </c>
      <c r="AM10" s="2">
        <v>-136.61390381094881</v>
      </c>
      <c r="AN10" s="2">
        <v>72.960000000000008</v>
      </c>
      <c r="AO10" s="2">
        <v>30.62457169960479</v>
      </c>
      <c r="AP10" s="2">
        <v>111.7993426702749</v>
      </c>
      <c r="AQ10" s="2">
        <v>9.0064640905743598</v>
      </c>
      <c r="AR10" s="2">
        <v>-436.046903483005</v>
      </c>
      <c r="AS10" s="2">
        <v>0</v>
      </c>
      <c r="AT10" s="2">
        <v>-1011.072046188683</v>
      </c>
      <c r="AU10" s="1">
        <v>55.741439999999997</v>
      </c>
      <c r="AV10" s="2">
        <v>0</v>
      </c>
      <c r="AW10" s="2">
        <v>0</v>
      </c>
      <c r="AX10" s="2">
        <v>30.62457169960479</v>
      </c>
      <c r="AZ10" s="1">
        <f t="shared" si="5"/>
        <v>42.754560000000012</v>
      </c>
      <c r="BA10" s="2">
        <f t="shared" si="6"/>
        <v>9.9221220998210846</v>
      </c>
      <c r="BB10" s="7">
        <f t="shared" si="7"/>
        <v>-661.58721357758907</v>
      </c>
      <c r="BC10" s="1">
        <f t="shared" si="8"/>
        <v>12.986879999999999</v>
      </c>
      <c r="BD10" s="2">
        <f t="shared" si="9"/>
        <v>2.1511030724101898</v>
      </c>
      <c r="BE10" s="2">
        <f t="shared" si="0"/>
        <v>-106.2123597504845</v>
      </c>
      <c r="BF10" s="2">
        <f t="shared" si="0"/>
        <v>0</v>
      </c>
      <c r="BG10" s="7">
        <f t="shared" si="0"/>
        <v>-136.61390381094881</v>
      </c>
      <c r="BH10" s="1">
        <f t="shared" si="1"/>
        <v>55.741440000000011</v>
      </c>
      <c r="BI10" s="2">
        <f t="shared" si="1"/>
        <v>12.073225172231275</v>
      </c>
      <c r="BJ10" s="2">
        <f t="shared" si="2"/>
        <v>767.79957332807362</v>
      </c>
      <c r="BK10" s="2">
        <f t="shared" si="10"/>
        <v>0</v>
      </c>
      <c r="BL10" s="7">
        <f t="shared" si="11"/>
        <v>-136.61390381094881</v>
      </c>
      <c r="BM10" s="2"/>
      <c r="BN10" s="1"/>
      <c r="BO10" s="4"/>
      <c r="BP10" s="2"/>
      <c r="BQ10" s="2"/>
      <c r="BR10" s="3"/>
      <c r="BS10" s="1"/>
      <c r="BT10" s="2"/>
      <c r="BU10" s="21"/>
      <c r="BV10" s="2"/>
      <c r="BW10" s="2"/>
      <c r="BX10" s="21"/>
      <c r="BY10" s="10"/>
      <c r="BZ10" t="b">
        <f>SUM(BN7:BN10)&lt;=SUM(BP7:BP10)</f>
        <v>1</v>
      </c>
    </row>
    <row r="11" spans="1:78" x14ac:dyDescent="0.25">
      <c r="A11" t="str">
        <f t="shared" si="3"/>
        <v>Appui</v>
      </c>
      <c r="B11" t="b">
        <f t="shared" si="4"/>
        <v>0</v>
      </c>
      <c r="C11">
        <f t="shared" si="12"/>
        <v>1</v>
      </c>
      <c r="D11" s="5" t="s">
        <v>95</v>
      </c>
      <c r="E11" t="s">
        <v>52</v>
      </c>
      <c r="F11" s="5">
        <v>25</v>
      </c>
      <c r="G11" t="s">
        <v>46</v>
      </c>
      <c r="H11">
        <v>500</v>
      </c>
      <c r="I11">
        <v>220000</v>
      </c>
      <c r="J11">
        <v>1576</v>
      </c>
      <c r="K11" s="10">
        <v>1870</v>
      </c>
      <c r="L11" s="12">
        <v>1</v>
      </c>
      <c r="M11" s="5">
        <v>0.23</v>
      </c>
      <c r="N11" s="10">
        <v>2.6</v>
      </c>
      <c r="O11" s="5">
        <v>2.1032999999999998E-3</v>
      </c>
      <c r="P11">
        <v>0.06</v>
      </c>
      <c r="Q11" s="10">
        <v>1</v>
      </c>
      <c r="R11" s="8">
        <v>0</v>
      </c>
      <c r="S11">
        <v>0</v>
      </c>
      <c r="T11">
        <v>1</v>
      </c>
      <c r="U11" s="9">
        <v>2.9099999999999999E-5</v>
      </c>
      <c r="V11">
        <v>0</v>
      </c>
      <c r="W11" s="10">
        <v>5</v>
      </c>
      <c r="X11" s="1">
        <v>109.58199999999999</v>
      </c>
      <c r="Y11" s="2">
        <v>33.286000000000001</v>
      </c>
      <c r="Z11" s="13">
        <v>0</v>
      </c>
      <c r="AA11" s="2">
        <v>109.58199999999999</v>
      </c>
      <c r="AB11" s="2">
        <v>33.286000000000001</v>
      </c>
      <c r="AC11" s="2">
        <v>187</v>
      </c>
      <c r="AD11" s="2"/>
      <c r="AE11" s="7">
        <v>142.86799999999999</v>
      </c>
      <c r="AF11" s="2">
        <v>109.58199999999999</v>
      </c>
      <c r="AG11" s="2">
        <v>33.286000000000001</v>
      </c>
      <c r="AH11" s="2">
        <v>14.48607532433391</v>
      </c>
      <c r="AI11" s="2">
        <v>4.0594915995774041</v>
      </c>
      <c r="AJ11" s="2">
        <v>-330.54056558760658</v>
      </c>
      <c r="AK11" s="2">
        <v>-87.402716269567307</v>
      </c>
      <c r="AL11" s="2">
        <v>0</v>
      </c>
      <c r="AM11" s="2">
        <v>-140.0900886286862</v>
      </c>
      <c r="AN11" s="2">
        <v>187</v>
      </c>
      <c r="AO11" s="2">
        <v>149.25584985683039</v>
      </c>
      <c r="AP11" s="2">
        <v>200.23684390620471</v>
      </c>
      <c r="AQ11" s="2">
        <v>16.01352155790175</v>
      </c>
      <c r="AR11" s="2">
        <v>-436.49825278157073</v>
      </c>
      <c r="AS11" s="2">
        <v>0</v>
      </c>
      <c r="AT11" s="2">
        <v>-1473.7632761304269</v>
      </c>
      <c r="AU11" s="1">
        <v>142.86799999999999</v>
      </c>
      <c r="AV11" s="2">
        <v>15.054537146907361</v>
      </c>
      <c r="AW11" s="2">
        <v>-436.47258324972557</v>
      </c>
      <c r="AX11" s="2">
        <v>149.25584985683039</v>
      </c>
      <c r="AZ11" s="1">
        <f t="shared" si="5"/>
        <v>109.58199999999999</v>
      </c>
      <c r="BA11" s="2">
        <f t="shared" si="6"/>
        <v>14.48607532433391</v>
      </c>
      <c r="BB11" s="7">
        <f t="shared" si="7"/>
        <v>-330.54056558760658</v>
      </c>
      <c r="BC11" s="1">
        <f t="shared" si="8"/>
        <v>33.286000000000001</v>
      </c>
      <c r="BD11" s="2">
        <f t="shared" si="9"/>
        <v>4.0594915995774041</v>
      </c>
      <c r="BE11" s="2">
        <f t="shared" si="0"/>
        <v>-87.402716269567307</v>
      </c>
      <c r="BF11" s="2">
        <f t="shared" si="0"/>
        <v>0</v>
      </c>
      <c r="BG11" s="7">
        <f t="shared" si="0"/>
        <v>-140.0900886286862</v>
      </c>
      <c r="BH11" s="1">
        <f t="shared" si="1"/>
        <v>142.86799999999999</v>
      </c>
      <c r="BI11" s="2">
        <f t="shared" si="1"/>
        <v>18.545566923911316</v>
      </c>
      <c r="BJ11" s="2">
        <f t="shared" si="2"/>
        <v>417.94328185717387</v>
      </c>
      <c r="BK11" s="2">
        <f t="shared" si="10"/>
        <v>0</v>
      </c>
      <c r="BL11" s="7">
        <f t="shared" si="11"/>
        <v>-140.0900886286862</v>
      </c>
      <c r="BM11" s="2"/>
      <c r="BN11" s="1"/>
      <c r="BO11" s="4"/>
      <c r="BP11" s="2"/>
      <c r="BQ11" s="2"/>
      <c r="BR11" s="3"/>
      <c r="BS11" s="1"/>
      <c r="BT11" s="2"/>
      <c r="BU11" s="21"/>
      <c r="BV11" s="2"/>
      <c r="BW11" s="2"/>
      <c r="BX11" s="21"/>
      <c r="BY11" s="15"/>
    </row>
    <row r="12" spans="1:78" x14ac:dyDescent="0.25">
      <c r="A12" t="str">
        <f t="shared" si="3"/>
        <v>Travée</v>
      </c>
      <c r="B12" t="b">
        <f t="shared" si="4"/>
        <v>0</v>
      </c>
      <c r="C12">
        <f t="shared" si="12"/>
        <v>1</v>
      </c>
      <c r="D12" s="5" t="s">
        <v>95</v>
      </c>
      <c r="E12" t="s">
        <v>53</v>
      </c>
      <c r="F12" s="5">
        <v>25</v>
      </c>
      <c r="G12" t="s">
        <v>46</v>
      </c>
      <c r="H12">
        <v>500</v>
      </c>
      <c r="I12">
        <v>220000</v>
      </c>
      <c r="J12">
        <v>1576</v>
      </c>
      <c r="K12" s="10">
        <v>1870</v>
      </c>
      <c r="L12" s="12">
        <v>1</v>
      </c>
      <c r="M12" s="5">
        <v>0.23</v>
      </c>
      <c r="N12" s="10">
        <v>2.6</v>
      </c>
      <c r="O12" s="5">
        <v>1E-3</v>
      </c>
      <c r="P12">
        <v>0.05</v>
      </c>
      <c r="Q12" s="10">
        <v>1</v>
      </c>
      <c r="R12" s="8">
        <v>0</v>
      </c>
      <c r="S12">
        <v>0</v>
      </c>
      <c r="T12">
        <v>1</v>
      </c>
      <c r="U12" s="9">
        <v>2.9099999999999999E-5</v>
      </c>
      <c r="V12">
        <v>0</v>
      </c>
      <c r="W12" s="10">
        <v>5</v>
      </c>
      <c r="X12" s="1">
        <v>51.00544</v>
      </c>
      <c r="Y12" s="2">
        <v>15.493119999999999</v>
      </c>
      <c r="Z12" s="13">
        <v>0</v>
      </c>
      <c r="AA12" s="2">
        <v>51.00544</v>
      </c>
      <c r="AB12" s="2">
        <v>15.493119999999999</v>
      </c>
      <c r="AC12" s="2">
        <v>87.04</v>
      </c>
      <c r="AD12" s="2"/>
      <c r="AE12" s="7">
        <v>66.498559999999998</v>
      </c>
      <c r="AF12" s="2">
        <v>51.00544</v>
      </c>
      <c r="AG12" s="2">
        <v>15.493119999999999</v>
      </c>
      <c r="AH12" s="2">
        <v>8.4418192068304752</v>
      </c>
      <c r="AI12" s="2">
        <v>2.234833300253797</v>
      </c>
      <c r="AJ12" s="2">
        <v>-298.53556954331299</v>
      </c>
      <c r="AK12" s="2">
        <v>-71.452864816591884</v>
      </c>
      <c r="AL12" s="2">
        <v>0</v>
      </c>
      <c r="AM12" s="2">
        <v>-104.76995912527489</v>
      </c>
      <c r="AN12" s="2">
        <v>87.04</v>
      </c>
      <c r="AO12" s="2">
        <v>81.089609254617372</v>
      </c>
      <c r="AP12" s="2">
        <v>133.37090619163109</v>
      </c>
      <c r="AQ12" s="2">
        <v>8.6888494835839278</v>
      </c>
      <c r="AR12" s="2">
        <v>-409.28498173900988</v>
      </c>
      <c r="AS12" s="2">
        <v>0</v>
      </c>
      <c r="AT12" s="2">
        <v>-612.93444396634322</v>
      </c>
      <c r="AU12" s="1">
        <v>66.498559999999998</v>
      </c>
      <c r="AV12" s="2">
        <v>7.6927757388384537</v>
      </c>
      <c r="AW12" s="2">
        <v>-398.19496434688051</v>
      </c>
      <c r="AX12" s="2">
        <v>81.089609254617372</v>
      </c>
      <c r="AZ12" s="1">
        <f t="shared" si="5"/>
        <v>51.00544</v>
      </c>
      <c r="BA12" s="2">
        <f t="shared" si="6"/>
        <v>8.4418192068304752</v>
      </c>
      <c r="BB12" s="7">
        <f t="shared" si="7"/>
        <v>-298.53556954331299</v>
      </c>
      <c r="BC12" s="1">
        <f t="shared" si="8"/>
        <v>15.493119999999999</v>
      </c>
      <c r="BD12" s="2">
        <f t="shared" si="9"/>
        <v>2.234833300253797</v>
      </c>
      <c r="BE12" s="2">
        <f t="shared" si="0"/>
        <v>-71.452864816591884</v>
      </c>
      <c r="BF12" s="2">
        <f t="shared" si="0"/>
        <v>0</v>
      </c>
      <c r="BG12" s="7">
        <f t="shared" si="0"/>
        <v>-104.76995912527489</v>
      </c>
      <c r="BH12" s="1">
        <f t="shared" si="1"/>
        <v>66.498559999999998</v>
      </c>
      <c r="BI12" s="2">
        <f t="shared" si="1"/>
        <v>10.676652507084272</v>
      </c>
      <c r="BJ12" s="2">
        <f t="shared" si="2"/>
        <v>369.98843435990489</v>
      </c>
      <c r="BK12" s="2">
        <f t="shared" si="10"/>
        <v>0</v>
      </c>
      <c r="BL12" s="7">
        <f t="shared" si="11"/>
        <v>-104.76995912527489</v>
      </c>
      <c r="BM12" s="2"/>
      <c r="BN12" s="1"/>
      <c r="BO12" s="4"/>
      <c r="BP12" s="2"/>
      <c r="BQ12" s="2"/>
      <c r="BR12" s="3"/>
      <c r="BS12" s="1"/>
      <c r="BT12" s="2"/>
      <c r="BU12" s="21"/>
      <c r="BV12" s="2"/>
      <c r="BW12" s="2"/>
      <c r="BX12" s="21"/>
      <c r="BY12" s="10"/>
    </row>
    <row r="13" spans="1:78" x14ac:dyDescent="0.25">
      <c r="A13" t="str">
        <f t="shared" si="3"/>
        <v>Appui</v>
      </c>
      <c r="B13" t="b">
        <f t="shared" si="4"/>
        <v>0</v>
      </c>
      <c r="C13">
        <f t="shared" si="12"/>
        <v>1</v>
      </c>
      <c r="D13" s="5" t="s">
        <v>95</v>
      </c>
      <c r="E13" t="s">
        <v>54</v>
      </c>
      <c r="F13" s="5">
        <v>25</v>
      </c>
      <c r="G13" t="s">
        <v>46</v>
      </c>
      <c r="H13">
        <v>500</v>
      </c>
      <c r="I13">
        <v>220000</v>
      </c>
      <c r="J13">
        <v>1576</v>
      </c>
      <c r="K13" s="10">
        <v>1870</v>
      </c>
      <c r="L13" s="12">
        <v>1</v>
      </c>
      <c r="M13" s="5">
        <v>0.23</v>
      </c>
      <c r="N13" s="10">
        <v>2.6</v>
      </c>
      <c r="O13" s="5">
        <v>2.0999999999999999E-3</v>
      </c>
      <c r="P13">
        <v>0.06</v>
      </c>
      <c r="Q13" s="10">
        <v>1</v>
      </c>
      <c r="R13" s="8">
        <v>0</v>
      </c>
      <c r="S13">
        <v>0</v>
      </c>
      <c r="T13">
        <v>1</v>
      </c>
      <c r="U13" s="9">
        <v>2.9099999999999999E-5</v>
      </c>
      <c r="V13">
        <v>0</v>
      </c>
      <c r="W13" s="10">
        <v>5</v>
      </c>
      <c r="X13" s="1">
        <v>112.80500000000001</v>
      </c>
      <c r="Y13" s="2">
        <v>34.265000000000001</v>
      </c>
      <c r="Z13" s="13">
        <v>0</v>
      </c>
      <c r="AA13" s="2">
        <v>112.80500000000001</v>
      </c>
      <c r="AB13" s="2">
        <v>34.265000000000001</v>
      </c>
      <c r="AC13" s="2">
        <v>192.5</v>
      </c>
      <c r="AD13" s="2"/>
      <c r="AE13" s="7">
        <v>147.07</v>
      </c>
      <c r="AF13" s="2">
        <v>112.80500000000001</v>
      </c>
      <c r="AG13" s="2">
        <v>34.265000000000001</v>
      </c>
      <c r="AH13" s="2">
        <v>14.92112874707971</v>
      </c>
      <c r="AI13" s="2">
        <v>4.1811363677256619</v>
      </c>
      <c r="AJ13" s="2">
        <v>-340.78187526851099</v>
      </c>
      <c r="AK13" s="2">
        <v>-90.091813087287576</v>
      </c>
      <c r="AL13" s="2">
        <v>0</v>
      </c>
      <c r="AM13" s="2">
        <v>-144.39218055279071</v>
      </c>
      <c r="AN13" s="2">
        <v>192.5</v>
      </c>
      <c r="AO13" s="2">
        <v>149.0463799216445</v>
      </c>
      <c r="AP13" s="2">
        <v>200.02842121478881</v>
      </c>
      <c r="AQ13" s="2">
        <v>16.370238711912339</v>
      </c>
      <c r="AR13" s="2">
        <v>-436.88622186895577</v>
      </c>
      <c r="AS13" s="2">
        <v>0</v>
      </c>
      <c r="AT13" s="2">
        <v>-1642.577085695382</v>
      </c>
      <c r="AU13" s="1">
        <v>147.07</v>
      </c>
      <c r="AV13" s="2">
        <v>16.666666666666671</v>
      </c>
      <c r="AW13" s="2">
        <v>-441.87112347824598</v>
      </c>
      <c r="AX13" s="2">
        <v>149.0463799216445</v>
      </c>
      <c r="AZ13" s="1">
        <f t="shared" si="5"/>
        <v>112.80500000000001</v>
      </c>
      <c r="BA13" s="2">
        <f t="shared" si="6"/>
        <v>14.92112874707971</v>
      </c>
      <c r="BB13" s="7">
        <f t="shared" si="7"/>
        <v>-340.78187526851099</v>
      </c>
      <c r="BC13" s="1">
        <f t="shared" si="8"/>
        <v>34.265000000000001</v>
      </c>
      <c r="BD13" s="2">
        <f t="shared" si="9"/>
        <v>4.1811363677256619</v>
      </c>
      <c r="BE13" s="2">
        <f t="shared" si="0"/>
        <v>-90.091813087287576</v>
      </c>
      <c r="BF13" s="2">
        <f t="shared" si="0"/>
        <v>0</v>
      </c>
      <c r="BG13" s="7">
        <f t="shared" si="0"/>
        <v>-144.39218055279071</v>
      </c>
      <c r="BH13" s="1">
        <f t="shared" si="1"/>
        <v>147.07</v>
      </c>
      <c r="BI13" s="2">
        <f t="shared" si="1"/>
        <v>19.10226511480537</v>
      </c>
      <c r="BJ13" s="2">
        <f t="shared" si="2"/>
        <v>430.87368835579855</v>
      </c>
      <c r="BK13" s="2">
        <f t="shared" si="10"/>
        <v>0</v>
      </c>
      <c r="BL13" s="7">
        <f t="shared" si="11"/>
        <v>-144.39218055279071</v>
      </c>
      <c r="BM13" s="2"/>
      <c r="BN13" s="1"/>
      <c r="BO13" s="4"/>
      <c r="BP13" s="2"/>
      <c r="BQ13" s="2"/>
      <c r="BR13" s="3"/>
      <c r="BS13" s="1"/>
      <c r="BT13" s="2"/>
      <c r="BU13" s="21"/>
      <c r="BV13" s="2"/>
      <c r="BW13" s="2"/>
      <c r="BX13" s="21"/>
      <c r="BY13" s="15"/>
    </row>
    <row r="14" spans="1:78" x14ac:dyDescent="0.25">
      <c r="A14" t="str">
        <f t="shared" si="3"/>
        <v>Travée</v>
      </c>
      <c r="B14" t="b">
        <f t="shared" si="4"/>
        <v>0</v>
      </c>
      <c r="C14">
        <f t="shared" si="12"/>
        <v>1</v>
      </c>
      <c r="D14" s="5" t="s">
        <v>95</v>
      </c>
      <c r="E14" t="s">
        <v>55</v>
      </c>
      <c r="F14" s="5">
        <v>25</v>
      </c>
      <c r="G14" t="s">
        <v>46</v>
      </c>
      <c r="H14">
        <v>500</v>
      </c>
      <c r="I14">
        <v>220000</v>
      </c>
      <c r="J14">
        <v>1576</v>
      </c>
      <c r="K14" s="10">
        <v>1870</v>
      </c>
      <c r="L14" s="12">
        <v>1</v>
      </c>
      <c r="M14" s="5">
        <v>0.23</v>
      </c>
      <c r="N14" s="10">
        <v>2.6</v>
      </c>
      <c r="O14" s="5">
        <v>3.3E-4</v>
      </c>
      <c r="P14">
        <v>0.03</v>
      </c>
      <c r="Q14" s="10">
        <v>1</v>
      </c>
      <c r="R14" s="8">
        <v>0</v>
      </c>
      <c r="S14">
        <v>0</v>
      </c>
      <c r="T14">
        <v>1</v>
      </c>
      <c r="U14" s="9">
        <v>2.9099999999999999E-5</v>
      </c>
      <c r="V14">
        <v>0</v>
      </c>
      <c r="W14" s="10">
        <v>10</v>
      </c>
      <c r="X14" s="1">
        <v>51.00544</v>
      </c>
      <c r="Y14" s="2">
        <v>15.493119999999999</v>
      </c>
      <c r="Z14" s="13">
        <v>0</v>
      </c>
      <c r="AA14" s="2">
        <v>51.00544</v>
      </c>
      <c r="AB14" s="2">
        <v>15.493119999999999</v>
      </c>
      <c r="AC14" s="2">
        <v>87.04</v>
      </c>
      <c r="AD14" s="2"/>
      <c r="AE14" s="7">
        <v>66.498559999999998</v>
      </c>
      <c r="AF14" s="2">
        <v>51.00544</v>
      </c>
      <c r="AG14" s="2">
        <v>15.493119999999999</v>
      </c>
      <c r="AH14" s="2">
        <v>11.87715114682773</v>
      </c>
      <c r="AI14" s="2">
        <v>2.335687068407363</v>
      </c>
      <c r="AJ14" s="2">
        <v>-795.90317559031075</v>
      </c>
      <c r="AK14" s="2">
        <v>-105.88545311312851</v>
      </c>
      <c r="AL14" s="2">
        <v>0</v>
      </c>
      <c r="AM14" s="2">
        <v>-136.39388926094449</v>
      </c>
      <c r="AN14" s="2">
        <v>87.04</v>
      </c>
      <c r="AO14" s="2">
        <v>30.366913043478359</v>
      </c>
      <c r="AP14" s="2">
        <v>146.4386993215995</v>
      </c>
      <c r="AQ14" s="2">
        <v>9.4638409858828805</v>
      </c>
      <c r="AR14" s="2">
        <v>-435.83635535343331</v>
      </c>
      <c r="AS14" s="2">
        <v>0</v>
      </c>
      <c r="AT14" s="2">
        <v>-939.1839805661192</v>
      </c>
      <c r="AU14" s="1">
        <v>66.498559999999998</v>
      </c>
      <c r="AV14" s="2">
        <v>0</v>
      </c>
      <c r="AW14" s="2">
        <v>0</v>
      </c>
      <c r="AX14" s="2">
        <v>30.366913043478359</v>
      </c>
      <c r="AZ14" s="1">
        <f t="shared" si="5"/>
        <v>51.00544</v>
      </c>
      <c r="BA14" s="2">
        <f t="shared" si="6"/>
        <v>11.87715114682773</v>
      </c>
      <c r="BB14" s="7">
        <f t="shared" si="7"/>
        <v>-795.90317559031075</v>
      </c>
      <c r="BC14" s="1">
        <f t="shared" si="8"/>
        <v>15.493119999999999</v>
      </c>
      <c r="BD14" s="2">
        <f t="shared" si="9"/>
        <v>2.335687068407363</v>
      </c>
      <c r="BE14" s="2">
        <f t="shared" si="0"/>
        <v>-105.88545311312851</v>
      </c>
      <c r="BF14" s="2">
        <f t="shared" si="0"/>
        <v>0</v>
      </c>
      <c r="BG14" s="7">
        <f t="shared" si="0"/>
        <v>-136.39388926094449</v>
      </c>
      <c r="BH14" s="1">
        <f t="shared" si="1"/>
        <v>66.498559999999998</v>
      </c>
      <c r="BI14" s="2">
        <f t="shared" si="1"/>
        <v>14.212838215235093</v>
      </c>
      <c r="BJ14" s="2">
        <f t="shared" si="2"/>
        <v>901.78862870343926</v>
      </c>
      <c r="BK14" s="2">
        <f t="shared" si="10"/>
        <v>0</v>
      </c>
      <c r="BL14" s="7">
        <f t="shared" si="11"/>
        <v>-136.39388926094449</v>
      </c>
      <c r="BM14" s="2"/>
      <c r="BN14" s="1"/>
      <c r="BO14" s="4"/>
      <c r="BP14" s="2"/>
      <c r="BQ14" s="2"/>
      <c r="BR14" s="3"/>
      <c r="BS14" s="1"/>
      <c r="BT14" s="2"/>
      <c r="BU14" s="21"/>
      <c r="BV14" s="2"/>
      <c r="BW14" s="2"/>
      <c r="BX14" s="21"/>
      <c r="BY14" s="10"/>
    </row>
    <row r="15" spans="1:78" x14ac:dyDescent="0.25">
      <c r="A15" t="str">
        <f t="shared" si="3"/>
        <v>Appui</v>
      </c>
      <c r="B15" t="b">
        <f t="shared" si="4"/>
        <v>0</v>
      </c>
      <c r="C15">
        <f t="shared" si="12"/>
        <v>1</v>
      </c>
      <c r="D15" s="5" t="s">
        <v>95</v>
      </c>
      <c r="E15" t="s">
        <v>56</v>
      </c>
      <c r="F15" s="5">
        <v>25</v>
      </c>
      <c r="G15" t="s">
        <v>46</v>
      </c>
      <c r="H15">
        <v>500</v>
      </c>
      <c r="I15">
        <v>220000</v>
      </c>
      <c r="J15">
        <v>1576</v>
      </c>
      <c r="K15" s="10">
        <v>1870</v>
      </c>
      <c r="L15" s="12">
        <v>1</v>
      </c>
      <c r="M15" s="5">
        <v>0.23</v>
      </c>
      <c r="N15" s="10">
        <v>2.6</v>
      </c>
      <c r="O15" s="5">
        <v>2.0999999999999999E-3</v>
      </c>
      <c r="P15">
        <v>0.06</v>
      </c>
      <c r="Q15" s="10">
        <v>1</v>
      </c>
      <c r="R15" s="8">
        <v>0</v>
      </c>
      <c r="S15">
        <v>0</v>
      </c>
      <c r="T15">
        <v>1</v>
      </c>
      <c r="U15" s="9">
        <v>2.9099999999999999E-5</v>
      </c>
      <c r="V15">
        <v>0</v>
      </c>
      <c r="W15" s="10">
        <v>10</v>
      </c>
      <c r="X15" s="1">
        <v>109.58199999999999</v>
      </c>
      <c r="Y15" s="2">
        <v>33.286000000000001</v>
      </c>
      <c r="Z15" s="13">
        <v>0</v>
      </c>
      <c r="AA15" s="2">
        <v>109.58199999999999</v>
      </c>
      <c r="AB15" s="2">
        <v>33.286000000000001</v>
      </c>
      <c r="AC15" s="2">
        <v>187</v>
      </c>
      <c r="AD15" s="2"/>
      <c r="AE15" s="7">
        <v>142.86799999999999</v>
      </c>
      <c r="AF15" s="2">
        <v>109.58199999999999</v>
      </c>
      <c r="AG15" s="2">
        <v>33.286000000000001</v>
      </c>
      <c r="AH15" s="2">
        <v>14.49481078287744</v>
      </c>
      <c r="AI15" s="2">
        <v>3.7917177605335541</v>
      </c>
      <c r="AJ15" s="2">
        <v>-331.04525026083928</v>
      </c>
      <c r="AK15" s="2">
        <v>-77.42781582406451</v>
      </c>
      <c r="AL15" s="2">
        <v>0</v>
      </c>
      <c r="AM15" s="2">
        <v>-124.5845236151569</v>
      </c>
      <c r="AN15" s="2">
        <v>187</v>
      </c>
      <c r="AO15" s="2">
        <v>149.0463799216445</v>
      </c>
      <c r="AP15" s="2">
        <v>254.37788077658789</v>
      </c>
      <c r="AQ15" s="2">
        <v>13.902882156443519</v>
      </c>
      <c r="AR15" s="2">
        <v>-434.96623705961451</v>
      </c>
      <c r="AS15" s="2">
        <v>0</v>
      </c>
      <c r="AT15" s="2">
        <v>-814.26688065168526</v>
      </c>
      <c r="AU15" s="1">
        <v>142.86799999999999</v>
      </c>
      <c r="AV15" s="2">
        <v>15.198945707865461</v>
      </c>
      <c r="AW15" s="2">
        <v>-436.60707280201649</v>
      </c>
      <c r="AX15" s="2">
        <v>149.0463799216445</v>
      </c>
      <c r="AZ15" s="1">
        <f t="shared" si="5"/>
        <v>109.58199999999999</v>
      </c>
      <c r="BA15" s="2">
        <f t="shared" si="6"/>
        <v>14.49481078287744</v>
      </c>
      <c r="BB15" s="7">
        <f t="shared" si="7"/>
        <v>-331.04525026083928</v>
      </c>
      <c r="BC15" s="1">
        <f t="shared" si="8"/>
        <v>33.286000000000001</v>
      </c>
      <c r="BD15" s="2">
        <f t="shared" si="9"/>
        <v>3.7917177605335541</v>
      </c>
      <c r="BE15" s="2">
        <f t="shared" si="0"/>
        <v>-77.42781582406451</v>
      </c>
      <c r="BF15" s="2">
        <f t="shared" si="0"/>
        <v>0</v>
      </c>
      <c r="BG15" s="7">
        <f t="shared" si="0"/>
        <v>-124.5845236151569</v>
      </c>
      <c r="BH15" s="1">
        <f t="shared" si="1"/>
        <v>142.86799999999999</v>
      </c>
      <c r="BI15" s="2">
        <f t="shared" si="1"/>
        <v>18.286528543410995</v>
      </c>
      <c r="BJ15" s="2">
        <f t="shared" si="2"/>
        <v>408.47306608490379</v>
      </c>
      <c r="BK15" s="2">
        <f t="shared" si="10"/>
        <v>0</v>
      </c>
      <c r="BL15" s="7">
        <f t="shared" si="11"/>
        <v>-124.5845236151569</v>
      </c>
      <c r="BM15" s="2"/>
      <c r="BN15" s="1"/>
      <c r="BO15" s="4"/>
      <c r="BP15" s="2"/>
      <c r="BQ15" s="2"/>
      <c r="BR15" s="3"/>
      <c r="BS15" s="1"/>
      <c r="BT15" s="2"/>
      <c r="BU15" s="21"/>
      <c r="BV15" s="2"/>
      <c r="BW15" s="2"/>
      <c r="BX15" s="21"/>
      <c r="BY15" s="15"/>
    </row>
    <row r="16" spans="1:78" x14ac:dyDescent="0.25">
      <c r="A16" t="str">
        <f t="shared" si="3"/>
        <v>Travée</v>
      </c>
      <c r="B16" t="b">
        <f t="shared" si="4"/>
        <v>0</v>
      </c>
      <c r="C16">
        <f t="shared" si="12"/>
        <v>1</v>
      </c>
      <c r="D16" s="5" t="s">
        <v>95</v>
      </c>
      <c r="E16" t="s">
        <v>57</v>
      </c>
      <c r="F16" s="5">
        <v>25</v>
      </c>
      <c r="G16" t="s">
        <v>46</v>
      </c>
      <c r="H16">
        <v>500</v>
      </c>
      <c r="I16">
        <v>220000</v>
      </c>
      <c r="J16">
        <v>1576</v>
      </c>
      <c r="K16" s="10">
        <v>1870</v>
      </c>
      <c r="L16" s="12">
        <v>1</v>
      </c>
      <c r="M16" s="5">
        <v>0.23</v>
      </c>
      <c r="N16" s="10">
        <v>2.6</v>
      </c>
      <c r="O16" s="5">
        <v>3.3E-4</v>
      </c>
      <c r="P16">
        <v>3.5000000000000003E-2</v>
      </c>
      <c r="Q16" s="10">
        <v>1</v>
      </c>
      <c r="R16" s="8">
        <v>0</v>
      </c>
      <c r="S16">
        <v>0</v>
      </c>
      <c r="T16">
        <v>1</v>
      </c>
      <c r="U16" s="9">
        <v>2.9099999999999999E-5</v>
      </c>
      <c r="V16">
        <v>0</v>
      </c>
      <c r="W16" s="10">
        <v>10</v>
      </c>
      <c r="X16" s="1">
        <v>52.505600000000001</v>
      </c>
      <c r="Y16" s="2">
        <v>15.9488</v>
      </c>
      <c r="Z16" s="13">
        <v>0</v>
      </c>
      <c r="AA16" s="2">
        <v>52.505600000000001</v>
      </c>
      <c r="AB16" s="2">
        <v>15.9488</v>
      </c>
      <c r="AC16" s="2">
        <v>89.600000000000009</v>
      </c>
      <c r="AD16" s="2"/>
      <c r="AE16" s="7">
        <v>68.454400000000007</v>
      </c>
      <c r="AF16" s="2">
        <v>52.505600000000001</v>
      </c>
      <c r="AG16" s="2">
        <v>15.9488</v>
      </c>
      <c r="AH16" s="2">
        <v>12.691458605279101</v>
      </c>
      <c r="AI16" s="2">
        <v>2.4439092627847101</v>
      </c>
      <c r="AJ16" s="2">
        <v>-840.76336793036626</v>
      </c>
      <c r="AK16" s="2">
        <v>-108.3979884160983</v>
      </c>
      <c r="AL16" s="2">
        <v>0</v>
      </c>
      <c r="AM16" s="2">
        <v>-143.70538615974471</v>
      </c>
      <c r="AN16" s="2">
        <v>89.600000000000009</v>
      </c>
      <c r="AO16" s="2">
        <v>29.598130434680542</v>
      </c>
      <c r="AP16" s="2">
        <v>145.70613757041761</v>
      </c>
      <c r="AQ16" s="2">
        <v>9.8156213019080703</v>
      </c>
      <c r="AR16" s="2">
        <v>-435.89788553070821</v>
      </c>
      <c r="AS16" s="2">
        <v>0</v>
      </c>
      <c r="AT16" s="2">
        <v>-990.36822107550597</v>
      </c>
      <c r="AU16" s="1">
        <v>68.454400000000007</v>
      </c>
      <c r="AV16" s="2">
        <v>0</v>
      </c>
      <c r="AW16" s="2">
        <v>0</v>
      </c>
      <c r="AX16" s="2">
        <v>29.598130434680542</v>
      </c>
      <c r="AZ16" s="1">
        <f t="shared" si="5"/>
        <v>52.505600000000001</v>
      </c>
      <c r="BA16" s="2">
        <f t="shared" si="6"/>
        <v>12.691458605279101</v>
      </c>
      <c r="BB16" s="7">
        <f t="shared" si="7"/>
        <v>-840.76336793036626</v>
      </c>
      <c r="BC16" s="1">
        <f t="shared" si="8"/>
        <v>15.9488</v>
      </c>
      <c r="BD16" s="2">
        <f t="shared" si="9"/>
        <v>2.4439092627847101</v>
      </c>
      <c r="BE16" s="2">
        <f t="shared" si="0"/>
        <v>-108.3979884160983</v>
      </c>
      <c r="BF16" s="2">
        <f t="shared" si="0"/>
        <v>0</v>
      </c>
      <c r="BG16" s="7">
        <f t="shared" si="0"/>
        <v>-143.70538615974471</v>
      </c>
      <c r="BH16" s="1">
        <f t="shared" si="1"/>
        <v>68.454400000000007</v>
      </c>
      <c r="BI16" s="2">
        <f t="shared" si="1"/>
        <v>15.13536786806381</v>
      </c>
      <c r="BJ16" s="2">
        <f t="shared" si="2"/>
        <v>949.16135634646457</v>
      </c>
      <c r="BK16" s="2">
        <f t="shared" si="10"/>
        <v>0</v>
      </c>
      <c r="BL16" s="7">
        <f t="shared" si="11"/>
        <v>-143.70538615974471</v>
      </c>
      <c r="BM16" s="2"/>
      <c r="BN16" s="1"/>
      <c r="BO16" s="4"/>
      <c r="BP16" s="2"/>
      <c r="BQ16" s="2"/>
      <c r="BR16" s="3"/>
      <c r="BS16" s="1"/>
      <c r="BT16" s="2"/>
      <c r="BU16" s="21"/>
      <c r="BV16" s="2"/>
      <c r="BW16" s="2"/>
      <c r="BX16" s="21"/>
      <c r="BY16" s="10"/>
    </row>
    <row r="17" spans="1:77" x14ac:dyDescent="0.25">
      <c r="A17" t="str">
        <f t="shared" si="3"/>
        <v>Appui</v>
      </c>
      <c r="B17" t="b">
        <f t="shared" si="4"/>
        <v>0</v>
      </c>
      <c r="C17">
        <f>IF(D17=D15,C15,C15+1)</f>
        <v>1</v>
      </c>
      <c r="D17" s="5" t="s">
        <v>95</v>
      </c>
      <c r="E17" t="s">
        <v>97</v>
      </c>
      <c r="F17" s="5">
        <v>25</v>
      </c>
      <c r="G17" t="s">
        <v>46</v>
      </c>
      <c r="H17">
        <v>500</v>
      </c>
      <c r="I17">
        <v>220000</v>
      </c>
      <c r="J17">
        <v>1576</v>
      </c>
      <c r="K17" s="10">
        <v>1870</v>
      </c>
      <c r="L17" s="12">
        <v>1</v>
      </c>
      <c r="M17" s="5">
        <v>0.23</v>
      </c>
      <c r="N17" s="10">
        <v>2.6</v>
      </c>
      <c r="O17" s="5">
        <v>2.0999999999999999E-3</v>
      </c>
      <c r="P17">
        <v>0.06</v>
      </c>
      <c r="Q17" s="10">
        <v>1</v>
      </c>
      <c r="R17" s="8">
        <v>0</v>
      </c>
      <c r="S17">
        <v>0</v>
      </c>
      <c r="T17">
        <v>1</v>
      </c>
      <c r="U17" s="9">
        <v>2.9099999999999999E-5</v>
      </c>
      <c r="V17">
        <v>0</v>
      </c>
      <c r="W17" s="10">
        <v>5</v>
      </c>
      <c r="X17" s="1">
        <v>109.58199999999999</v>
      </c>
      <c r="Y17" s="2">
        <v>33.286000000000001</v>
      </c>
      <c r="Z17" s="13">
        <v>0</v>
      </c>
      <c r="AA17" s="2">
        <v>109.58199999999999</v>
      </c>
      <c r="AB17" s="2">
        <v>33.286000000000001</v>
      </c>
      <c r="AC17" s="2">
        <v>187</v>
      </c>
      <c r="AD17" s="2"/>
      <c r="AE17" s="7">
        <v>142.86799999999999</v>
      </c>
      <c r="AF17" s="2">
        <v>109.58199999999999</v>
      </c>
      <c r="AG17" s="2">
        <v>33.286000000000001</v>
      </c>
      <c r="AH17" s="2">
        <v>14.49481078287744</v>
      </c>
      <c r="AI17" s="2">
        <v>4.0616753286477856</v>
      </c>
      <c r="AJ17" s="2">
        <v>-331.04525026083928</v>
      </c>
      <c r="AK17" s="2">
        <v>-87.517761284793693</v>
      </c>
      <c r="AL17" s="2">
        <v>0</v>
      </c>
      <c r="AM17" s="2">
        <v>-140.2666896798539</v>
      </c>
      <c r="AN17" s="2">
        <v>187</v>
      </c>
      <c r="AO17" s="2">
        <v>149.0463799216445</v>
      </c>
      <c r="AP17" s="2">
        <v>200.02842121478881</v>
      </c>
      <c r="AQ17" s="2">
        <v>16.0241415882608</v>
      </c>
      <c r="AR17" s="2">
        <v>-436.51245581128438</v>
      </c>
      <c r="AS17" s="2">
        <v>0</v>
      </c>
      <c r="AT17" s="2">
        <v>-1479.827031037089</v>
      </c>
      <c r="AU17" s="1">
        <v>142.86799999999999</v>
      </c>
      <c r="AV17" s="2">
        <v>15.198945707865461</v>
      </c>
      <c r="AW17" s="2">
        <v>-436.60707280201649</v>
      </c>
      <c r="AX17" s="2">
        <v>149.0463799216445</v>
      </c>
      <c r="AZ17" s="1">
        <f t="shared" si="5"/>
        <v>109.58199999999999</v>
      </c>
      <c r="BA17" s="2">
        <f t="shared" si="6"/>
        <v>14.49481078287744</v>
      </c>
      <c r="BB17" s="7">
        <f t="shared" si="7"/>
        <v>-331.04525026083928</v>
      </c>
      <c r="BC17" s="1">
        <f t="shared" si="8"/>
        <v>33.286000000000001</v>
      </c>
      <c r="BD17" s="2">
        <f t="shared" si="9"/>
        <v>4.0616753286477856</v>
      </c>
      <c r="BE17" s="2">
        <f t="shared" si="0"/>
        <v>-87.517761284793693</v>
      </c>
      <c r="BF17" s="2">
        <f t="shared" si="0"/>
        <v>0</v>
      </c>
      <c r="BG17" s="7">
        <f t="shared" si="0"/>
        <v>-140.2666896798539</v>
      </c>
      <c r="BH17" s="1">
        <f t="shared" si="1"/>
        <v>142.86799999999999</v>
      </c>
      <c r="BI17" s="2">
        <f t="shared" si="1"/>
        <v>18.556486111525224</v>
      </c>
      <c r="BJ17" s="2">
        <f t="shared" si="2"/>
        <v>418.563011545633</v>
      </c>
      <c r="BK17" s="2">
        <f t="shared" si="10"/>
        <v>0</v>
      </c>
      <c r="BL17" s="7">
        <f t="shared" si="11"/>
        <v>-140.2666896798539</v>
      </c>
      <c r="BM17" s="2"/>
      <c r="BN17" s="1"/>
      <c r="BO17" s="4"/>
      <c r="BP17" s="2"/>
      <c r="BQ17" s="2"/>
      <c r="BR17" s="3"/>
      <c r="BS17" s="1"/>
      <c r="BT17" s="2"/>
      <c r="BU17" s="21"/>
      <c r="BV17" s="2"/>
      <c r="BW17" s="2"/>
      <c r="BX17" s="21"/>
      <c r="BY17" s="15"/>
    </row>
    <row r="18" spans="1:77" x14ac:dyDescent="0.25">
      <c r="A18" t="str">
        <f t="shared" si="3"/>
        <v>Travée</v>
      </c>
      <c r="B18" t="b">
        <f t="shared" si="4"/>
        <v>0</v>
      </c>
      <c r="C18">
        <f t="shared" si="12"/>
        <v>1</v>
      </c>
      <c r="D18" s="5" t="s">
        <v>95</v>
      </c>
      <c r="E18" t="s">
        <v>98</v>
      </c>
      <c r="F18" s="5">
        <v>25</v>
      </c>
      <c r="G18" t="s">
        <v>46</v>
      </c>
      <c r="H18">
        <v>500</v>
      </c>
      <c r="I18">
        <v>220000</v>
      </c>
      <c r="J18">
        <v>1576</v>
      </c>
      <c r="K18" s="10">
        <v>1870</v>
      </c>
      <c r="L18" s="12">
        <v>1</v>
      </c>
      <c r="M18" s="5">
        <v>0.23</v>
      </c>
      <c r="N18" s="10">
        <v>2.6</v>
      </c>
      <c r="O18" s="5">
        <v>3.3E-4</v>
      </c>
      <c r="P18">
        <v>0.03</v>
      </c>
      <c r="Q18" s="10">
        <v>1</v>
      </c>
      <c r="R18" s="8">
        <v>0</v>
      </c>
      <c r="S18">
        <v>0</v>
      </c>
      <c r="T18">
        <v>1</v>
      </c>
      <c r="U18" s="9">
        <v>2.9099999999999999E-5</v>
      </c>
      <c r="V18">
        <v>0</v>
      </c>
      <c r="W18" s="10">
        <v>10</v>
      </c>
      <c r="X18" s="1">
        <v>41.254399999999997</v>
      </c>
      <c r="Y18" s="2">
        <v>12.5312</v>
      </c>
      <c r="Z18" s="13">
        <v>0</v>
      </c>
      <c r="AA18" s="2">
        <v>41.254399999999997</v>
      </c>
      <c r="AB18" s="2">
        <v>12.5312</v>
      </c>
      <c r="AC18" s="2">
        <v>70.400000000000006</v>
      </c>
      <c r="AD18" s="2"/>
      <c r="AE18" s="7">
        <v>53.785600000000002</v>
      </c>
      <c r="AF18" s="2">
        <v>41.254399999999997</v>
      </c>
      <c r="AG18" s="2">
        <v>12.5312</v>
      </c>
      <c r="AH18" s="2">
        <v>9.6065193099341997</v>
      </c>
      <c r="AI18" s="2">
        <v>1.889158658270659</v>
      </c>
      <c r="AJ18" s="2">
        <v>-643.74521555098681</v>
      </c>
      <c r="AK18" s="2">
        <v>-85.642645900324553</v>
      </c>
      <c r="AL18" s="2">
        <v>0</v>
      </c>
      <c r="AM18" s="2">
        <v>-110.3185869022346</v>
      </c>
      <c r="AN18" s="2">
        <v>70.400000000000006</v>
      </c>
      <c r="AO18" s="2">
        <v>30.366913043478359</v>
      </c>
      <c r="AP18" s="2">
        <v>146.4386993215995</v>
      </c>
      <c r="AQ18" s="2">
        <v>7.5635426084459194</v>
      </c>
      <c r="AR18" s="2">
        <v>-435.10936324217238</v>
      </c>
      <c r="AS18" s="2">
        <v>0</v>
      </c>
      <c r="AT18" s="2">
        <v>-680.89277093083081</v>
      </c>
      <c r="AU18" s="1">
        <v>53.785600000000002</v>
      </c>
      <c r="AV18" s="2">
        <v>0</v>
      </c>
      <c r="AW18" s="2">
        <v>0</v>
      </c>
      <c r="AX18" s="2">
        <v>30.366913043478359</v>
      </c>
      <c r="AZ18" s="1">
        <f t="shared" si="5"/>
        <v>41.254399999999997</v>
      </c>
      <c r="BA18" s="2">
        <f t="shared" si="6"/>
        <v>9.6065193099341997</v>
      </c>
      <c r="BB18" s="7">
        <f t="shared" si="7"/>
        <v>-643.74521555098681</v>
      </c>
      <c r="BC18" s="1">
        <f t="shared" si="8"/>
        <v>12.5312</v>
      </c>
      <c r="BD18" s="2">
        <f t="shared" si="9"/>
        <v>1.889158658270659</v>
      </c>
      <c r="BE18" s="2">
        <f t="shared" si="0"/>
        <v>-85.642645900324553</v>
      </c>
      <c r="BF18" s="2">
        <f t="shared" si="0"/>
        <v>0</v>
      </c>
      <c r="BG18" s="7">
        <f t="shared" si="0"/>
        <v>-110.3185869022346</v>
      </c>
      <c r="BH18" s="1">
        <f t="shared" si="1"/>
        <v>53.785599999999995</v>
      </c>
      <c r="BI18" s="2">
        <f t="shared" si="1"/>
        <v>11.495677968204859</v>
      </c>
      <c r="BJ18" s="2">
        <f t="shared" si="2"/>
        <v>729.38786145131132</v>
      </c>
      <c r="BK18" s="2">
        <f t="shared" si="10"/>
        <v>0</v>
      </c>
      <c r="BL18" s="7">
        <f t="shared" si="11"/>
        <v>-110.3185869022346</v>
      </c>
      <c r="BM18" s="2"/>
      <c r="BN18" s="1"/>
      <c r="BO18" s="4"/>
      <c r="BP18" s="2"/>
      <c r="BQ18" s="2"/>
      <c r="BR18" s="3"/>
      <c r="BS18" s="1"/>
      <c r="BT18" s="2"/>
      <c r="BU18" s="21"/>
      <c r="BV18" s="2"/>
      <c r="BW18" s="2"/>
      <c r="BX18" s="21"/>
      <c r="BY18" s="10"/>
    </row>
    <row r="19" spans="1:77" x14ac:dyDescent="0.25">
      <c r="A19" t="str">
        <f t="shared" si="3"/>
        <v>Appui</v>
      </c>
      <c r="B19" t="b">
        <f t="shared" si="4"/>
        <v>0</v>
      </c>
      <c r="C19">
        <f t="shared" si="12"/>
        <v>1</v>
      </c>
      <c r="D19" s="5" t="s">
        <v>95</v>
      </c>
      <c r="E19" t="s">
        <v>99</v>
      </c>
      <c r="F19" s="5">
        <v>25</v>
      </c>
      <c r="G19" t="s">
        <v>46</v>
      </c>
      <c r="H19">
        <v>500</v>
      </c>
      <c r="I19">
        <v>220000</v>
      </c>
      <c r="J19">
        <v>1576</v>
      </c>
      <c r="K19" s="10">
        <v>1870</v>
      </c>
      <c r="L19" s="12">
        <v>1</v>
      </c>
      <c r="M19" s="5">
        <v>0.23</v>
      </c>
      <c r="N19" s="10">
        <v>2.6</v>
      </c>
      <c r="O19" s="5">
        <v>1.8993E-3</v>
      </c>
      <c r="P19">
        <v>7.0000000000000007E-2</v>
      </c>
      <c r="Q19" s="10">
        <v>1</v>
      </c>
      <c r="R19" s="8">
        <v>0</v>
      </c>
      <c r="S19">
        <v>0</v>
      </c>
      <c r="T19">
        <v>1</v>
      </c>
      <c r="U19" s="9">
        <v>2.9099999999999999E-5</v>
      </c>
      <c r="V19">
        <v>0</v>
      </c>
      <c r="W19" s="10">
        <v>5</v>
      </c>
      <c r="X19" s="1">
        <v>109.58199999999999</v>
      </c>
      <c r="Y19" s="2">
        <v>33.286000000000001</v>
      </c>
      <c r="Z19" s="13">
        <v>0</v>
      </c>
      <c r="AA19" s="2">
        <v>109.58199999999999</v>
      </c>
      <c r="AB19" s="2">
        <v>33.286000000000001</v>
      </c>
      <c r="AC19" s="2">
        <v>187</v>
      </c>
      <c r="AD19" s="2"/>
      <c r="AE19" s="7">
        <v>142.86799999999999</v>
      </c>
      <c r="AF19" s="2">
        <v>109.58199999999999</v>
      </c>
      <c r="AG19" s="2">
        <v>33.286000000000001</v>
      </c>
      <c r="AH19" s="2">
        <v>16.614804476739881</v>
      </c>
      <c r="AI19" s="2">
        <v>4.5500383426578912</v>
      </c>
      <c r="AJ19" s="2">
        <v>-388.54282398375273</v>
      </c>
      <c r="AK19" s="2">
        <v>-99.232492800969482</v>
      </c>
      <c r="AL19" s="2">
        <v>0</v>
      </c>
      <c r="AM19" s="2">
        <v>-170.82496059855049</v>
      </c>
      <c r="AN19" s="2">
        <v>187</v>
      </c>
      <c r="AO19" s="2">
        <v>127.3662391051019</v>
      </c>
      <c r="AP19" s="2">
        <v>178.93002039942539</v>
      </c>
      <c r="AQ19" s="2">
        <v>0</v>
      </c>
      <c r="AR19" s="2">
        <v>0</v>
      </c>
      <c r="AS19" s="2">
        <v>0</v>
      </c>
      <c r="AT19" s="2">
        <v>0</v>
      </c>
      <c r="AU19" s="1">
        <v>142.86799999999999</v>
      </c>
      <c r="AV19" s="2">
        <v>0</v>
      </c>
      <c r="AW19" s="2">
        <v>0</v>
      </c>
      <c r="AX19" s="2">
        <v>127.3662391051019</v>
      </c>
      <c r="AZ19" s="1">
        <f t="shared" si="5"/>
        <v>109.58199999999999</v>
      </c>
      <c r="BA19" s="2">
        <f t="shared" si="6"/>
        <v>16.614804476739881</v>
      </c>
      <c r="BB19" s="7">
        <f t="shared" si="7"/>
        <v>-388.54282398375273</v>
      </c>
      <c r="BC19" s="1">
        <f t="shared" si="8"/>
        <v>33.286000000000001</v>
      </c>
      <c r="BD19" s="2">
        <f t="shared" si="9"/>
        <v>4.5500383426578912</v>
      </c>
      <c r="BE19" s="2">
        <f t="shared" si="0"/>
        <v>-99.232492800969482</v>
      </c>
      <c r="BF19" s="2">
        <f t="shared" si="0"/>
        <v>0</v>
      </c>
      <c r="BG19" s="7">
        <f t="shared" si="0"/>
        <v>-170.82496059855049</v>
      </c>
      <c r="BH19" s="1">
        <f t="shared" si="1"/>
        <v>142.86799999999999</v>
      </c>
      <c r="BI19" s="2">
        <f t="shared" si="1"/>
        <v>21.164842819397773</v>
      </c>
      <c r="BJ19" s="2">
        <f t="shared" si="2"/>
        <v>487.77531678472224</v>
      </c>
      <c r="BK19" s="2">
        <f t="shared" si="10"/>
        <v>0</v>
      </c>
      <c r="BL19" s="7">
        <f t="shared" si="11"/>
        <v>-170.82496059855049</v>
      </c>
      <c r="BM19" s="2"/>
      <c r="BN19" s="1"/>
      <c r="BO19" s="4"/>
      <c r="BP19" s="2"/>
      <c r="BQ19" s="2"/>
      <c r="BR19" s="3"/>
      <c r="BS19" s="1"/>
      <c r="BT19" s="2"/>
      <c r="BU19" s="21"/>
      <c r="BV19" s="2"/>
      <c r="BW19" s="2"/>
      <c r="BX19" s="21"/>
      <c r="BY19" s="15"/>
    </row>
    <row r="20" spans="1:77" x14ac:dyDescent="0.25">
      <c r="A20" t="str">
        <f t="shared" si="3"/>
        <v>Travée</v>
      </c>
      <c r="B20" t="b">
        <f t="shared" si="4"/>
        <v>0</v>
      </c>
      <c r="C20">
        <f t="shared" si="12"/>
        <v>1</v>
      </c>
      <c r="D20" s="5" t="s">
        <v>95</v>
      </c>
      <c r="E20" t="s">
        <v>100</v>
      </c>
      <c r="F20" s="5">
        <v>25</v>
      </c>
      <c r="G20" t="s">
        <v>46</v>
      </c>
      <c r="H20">
        <v>500</v>
      </c>
      <c r="I20">
        <v>220000</v>
      </c>
      <c r="J20">
        <v>1576</v>
      </c>
      <c r="K20" s="10">
        <v>1870</v>
      </c>
      <c r="L20" s="12">
        <v>1</v>
      </c>
      <c r="M20" s="5">
        <v>0.23</v>
      </c>
      <c r="N20" s="10">
        <v>2.6</v>
      </c>
      <c r="O20" s="5">
        <v>1.3338E-3</v>
      </c>
      <c r="P20">
        <v>0.03</v>
      </c>
      <c r="Q20" s="10">
        <v>1</v>
      </c>
      <c r="R20" s="8">
        <v>0</v>
      </c>
      <c r="S20">
        <v>0</v>
      </c>
      <c r="T20">
        <v>1</v>
      </c>
      <c r="U20" s="9">
        <v>2.9099999999999999E-5</v>
      </c>
      <c r="V20">
        <v>0</v>
      </c>
      <c r="W20" s="10">
        <v>2</v>
      </c>
      <c r="X20" s="1">
        <v>56.256</v>
      </c>
      <c r="Y20" s="2">
        <v>17.088000000000001</v>
      </c>
      <c r="Z20" s="13">
        <v>0</v>
      </c>
      <c r="AA20" s="2">
        <v>56.256</v>
      </c>
      <c r="AB20" s="2">
        <v>17.088000000000001</v>
      </c>
      <c r="AC20" s="2">
        <v>96</v>
      </c>
      <c r="AD20" s="2"/>
      <c r="AE20" s="7">
        <v>73.343999999999994</v>
      </c>
      <c r="AF20" s="2">
        <v>56.256</v>
      </c>
      <c r="AG20" s="2">
        <v>17.088000000000001</v>
      </c>
      <c r="AH20" s="2">
        <v>6.9547964622318359</v>
      </c>
      <c r="AI20" s="2">
        <v>2.0436821726875092</v>
      </c>
      <c r="AJ20" s="2">
        <v>-223.2409813398499</v>
      </c>
      <c r="AK20" s="2">
        <v>-63.737697513199507</v>
      </c>
      <c r="AL20" s="2">
        <v>0</v>
      </c>
      <c r="AM20" s="2">
        <v>-82.770833399502493</v>
      </c>
      <c r="AN20" s="2">
        <v>96</v>
      </c>
      <c r="AO20" s="2">
        <v>118.0449826217742</v>
      </c>
      <c r="AP20" s="2">
        <v>134.25340047803729</v>
      </c>
      <c r="AQ20" s="2">
        <v>8.0545672104230235</v>
      </c>
      <c r="AR20" s="2">
        <v>-366.83307185111272</v>
      </c>
      <c r="AS20" s="2">
        <v>0</v>
      </c>
      <c r="AT20" s="2">
        <v>-482.60062442906963</v>
      </c>
      <c r="AU20" s="1">
        <v>73.343999999999994</v>
      </c>
      <c r="AV20" s="2">
        <v>6.4816759957862757</v>
      </c>
      <c r="AW20" s="2">
        <v>-298.02484640609299</v>
      </c>
      <c r="AX20" s="2">
        <v>118.0449826217742</v>
      </c>
      <c r="AZ20" s="1">
        <f t="shared" si="5"/>
        <v>56.256</v>
      </c>
      <c r="BA20" s="2">
        <f t="shared" si="6"/>
        <v>6.9547964622318359</v>
      </c>
      <c r="BB20" s="7">
        <f t="shared" si="7"/>
        <v>-223.2409813398499</v>
      </c>
      <c r="BC20" s="1">
        <f t="shared" si="8"/>
        <v>17.088000000000001</v>
      </c>
      <c r="BD20" s="2">
        <f t="shared" si="9"/>
        <v>2.0436821726875092</v>
      </c>
      <c r="BE20" s="2">
        <f t="shared" si="0"/>
        <v>-63.737697513199507</v>
      </c>
      <c r="BF20" s="2">
        <f t="shared" si="0"/>
        <v>0</v>
      </c>
      <c r="BG20" s="7">
        <f t="shared" si="0"/>
        <v>-82.770833399502493</v>
      </c>
      <c r="BH20" s="1">
        <f t="shared" si="1"/>
        <v>73.343999999999994</v>
      </c>
      <c r="BI20" s="2">
        <f t="shared" si="1"/>
        <v>8.9984786349193442</v>
      </c>
      <c r="BJ20" s="2">
        <f t="shared" si="2"/>
        <v>286.97867885304942</v>
      </c>
      <c r="BK20" s="2">
        <f t="shared" si="10"/>
        <v>0</v>
      </c>
      <c r="BL20" s="7">
        <f t="shared" si="11"/>
        <v>-82.770833399502493</v>
      </c>
      <c r="BM20" s="2"/>
      <c r="BN20" s="1"/>
      <c r="BO20" s="4"/>
      <c r="BP20" s="2"/>
      <c r="BQ20" s="2"/>
      <c r="BR20" s="3"/>
      <c r="BS20" s="1"/>
      <c r="BT20" s="2"/>
      <c r="BU20" s="21"/>
      <c r="BV20" s="2"/>
      <c r="BW20" s="2"/>
      <c r="BX20" s="21"/>
      <c r="BY20" s="10"/>
    </row>
    <row r="21" spans="1:77" x14ac:dyDescent="0.25">
      <c r="B21" t="b">
        <f t="shared" si="4"/>
        <v>0</v>
      </c>
      <c r="C21">
        <f t="shared" si="12"/>
        <v>1</v>
      </c>
      <c r="D21" s="5" t="s">
        <v>95</v>
      </c>
      <c r="F21" s="5"/>
      <c r="K21" s="10"/>
      <c r="L21" s="12"/>
      <c r="M21" s="5"/>
      <c r="N21" s="10"/>
      <c r="O21" s="5"/>
      <c r="Q21" s="10"/>
      <c r="R21" s="8"/>
      <c r="U21" s="9"/>
      <c r="W21" s="10"/>
      <c r="X21" s="1"/>
      <c r="Y21" s="2"/>
      <c r="Z21" s="13"/>
      <c r="AA21" s="2"/>
      <c r="AB21" s="2"/>
      <c r="AC21" s="2"/>
      <c r="AD21" s="2"/>
      <c r="AE21" s="7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"/>
      <c r="AV21" s="2"/>
      <c r="AW21" s="2"/>
      <c r="AX21" s="2"/>
      <c r="AZ21" s="1"/>
      <c r="BA21" s="2"/>
      <c r="BB21" s="7"/>
      <c r="BC21" s="1"/>
      <c r="BD21" s="2"/>
      <c r="BE21" s="2"/>
      <c r="BF21" s="2"/>
      <c r="BG21" s="7"/>
      <c r="BH21" s="1"/>
      <c r="BI21" s="2"/>
      <c r="BJ21" s="2"/>
      <c r="BK21" s="2"/>
      <c r="BL21" s="7"/>
      <c r="BM21" s="2"/>
      <c r="BN21" s="1"/>
      <c r="BO21" s="4"/>
      <c r="BP21" s="2"/>
      <c r="BQ21" s="2"/>
      <c r="BR21" s="3"/>
      <c r="BS21" s="1"/>
      <c r="BT21" s="2"/>
      <c r="BU21" s="21"/>
      <c r="BV21" s="2"/>
      <c r="BW21" s="2"/>
      <c r="BX21" s="21"/>
      <c r="BY21" s="15"/>
    </row>
    <row r="22" spans="1:77" x14ac:dyDescent="0.25">
      <c r="A22" t="str">
        <f t="shared" si="3"/>
        <v>Travée</v>
      </c>
      <c r="B22" t="b">
        <f t="shared" si="4"/>
        <v>1</v>
      </c>
      <c r="C22">
        <f>IF(D22=D20,C20,C20+1)</f>
        <v>2</v>
      </c>
      <c r="D22" s="5" t="s">
        <v>96</v>
      </c>
      <c r="E22" t="s">
        <v>45</v>
      </c>
      <c r="F22" s="5"/>
      <c r="K22" s="10"/>
      <c r="L22" s="12"/>
      <c r="M22" s="5"/>
      <c r="N22" s="10"/>
      <c r="O22" s="5"/>
      <c r="Q22" s="10"/>
      <c r="R22" s="8"/>
      <c r="U22" s="9"/>
      <c r="W22" s="10"/>
      <c r="X22" s="1"/>
      <c r="Y22" s="2"/>
      <c r="Z22" s="13"/>
      <c r="AA22" s="2"/>
      <c r="AB22" s="2"/>
      <c r="AC22" s="2"/>
      <c r="AD22" s="2"/>
      <c r="AE22" s="7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"/>
      <c r="AV22" s="2"/>
      <c r="AW22" s="2"/>
      <c r="AX22" s="2"/>
      <c r="AZ22" s="1">
        <f t="shared" si="5"/>
        <v>0</v>
      </c>
      <c r="BA22" s="2">
        <f t="shared" si="6"/>
        <v>0</v>
      </c>
      <c r="BB22" s="7">
        <f t="shared" si="7"/>
        <v>0</v>
      </c>
      <c r="BC22" s="1">
        <f t="shared" si="8"/>
        <v>0</v>
      </c>
      <c r="BD22" s="2">
        <f t="shared" si="9"/>
        <v>0</v>
      </c>
      <c r="BE22" s="2">
        <f t="shared" ref="BE22:BG59" si="13">AK22</f>
        <v>0</v>
      </c>
      <c r="BF22" s="2">
        <f t="shared" si="13"/>
        <v>0</v>
      </c>
      <c r="BG22" s="7">
        <f t="shared" si="13"/>
        <v>0</v>
      </c>
      <c r="BH22" s="1">
        <f t="shared" ref="BH22:BI59" si="14">AZ22+BC22</f>
        <v>0</v>
      </c>
      <c r="BI22" s="2">
        <f t="shared" si="14"/>
        <v>0</v>
      </c>
      <c r="BJ22" s="2">
        <f t="shared" si="2"/>
        <v>0</v>
      </c>
      <c r="BK22" s="2">
        <f t="shared" si="10"/>
        <v>0</v>
      </c>
      <c r="BL22" s="7">
        <f t="shared" si="11"/>
        <v>0</v>
      </c>
      <c r="BM22" s="2"/>
      <c r="BN22" s="1"/>
      <c r="BO22" s="4"/>
      <c r="BP22" s="2"/>
      <c r="BQ22" s="2"/>
      <c r="BR22" s="3"/>
      <c r="BS22" s="1"/>
      <c r="BT22" s="2"/>
      <c r="BU22" s="21"/>
      <c r="BV22" s="2"/>
      <c r="BW22" s="2"/>
      <c r="BX22" s="21"/>
      <c r="BY22" s="10"/>
    </row>
    <row r="23" spans="1:77" x14ac:dyDescent="0.25">
      <c r="A23" t="str">
        <f t="shared" si="3"/>
        <v>Appui</v>
      </c>
      <c r="B23" t="b">
        <f t="shared" si="4"/>
        <v>1</v>
      </c>
      <c r="C23">
        <f>IF(D23=D20,C20,C20+1)</f>
        <v>2</v>
      </c>
      <c r="D23" s="5" t="s">
        <v>96</v>
      </c>
      <c r="E23" t="s">
        <v>47</v>
      </c>
      <c r="F23" s="5">
        <v>25</v>
      </c>
      <c r="G23" t="s">
        <v>46</v>
      </c>
      <c r="H23">
        <v>500</v>
      </c>
      <c r="I23">
        <v>220000</v>
      </c>
      <c r="J23">
        <v>1576</v>
      </c>
      <c r="K23" s="10">
        <v>1870</v>
      </c>
      <c r="L23" s="12">
        <v>1</v>
      </c>
      <c r="M23" s="5">
        <v>0.2</v>
      </c>
      <c r="N23" s="10">
        <v>2.33</v>
      </c>
      <c r="O23" s="5">
        <v>1.1950000000000001E-3</v>
      </c>
      <c r="P23">
        <v>0.03</v>
      </c>
      <c r="Q23" s="10">
        <v>1</v>
      </c>
      <c r="R23" s="8">
        <v>0</v>
      </c>
      <c r="S23">
        <v>0</v>
      </c>
      <c r="T23">
        <v>1</v>
      </c>
      <c r="U23" s="9">
        <v>0</v>
      </c>
      <c r="V23">
        <v>0</v>
      </c>
      <c r="W23" s="10">
        <v>0</v>
      </c>
      <c r="X23" s="1">
        <v>38.675999999999988</v>
      </c>
      <c r="Y23" s="2">
        <v>11.747999999999999</v>
      </c>
      <c r="Z23" s="13">
        <v>0</v>
      </c>
      <c r="AA23" s="2">
        <v>38.675999999999988</v>
      </c>
      <c r="AB23" s="2">
        <v>11.747999999999999</v>
      </c>
      <c r="AC23" s="2">
        <v>66</v>
      </c>
      <c r="AD23" s="2"/>
      <c r="AE23" s="7">
        <v>50.423999999999992</v>
      </c>
      <c r="AF23" s="2">
        <v>38.675999999999988</v>
      </c>
      <c r="AG23" s="2">
        <v>11.747999999999999</v>
      </c>
      <c r="AH23" s="2">
        <v>6.8821474159931881</v>
      </c>
      <c r="AI23" s="2">
        <v>2.0904816383050968</v>
      </c>
      <c r="AJ23" s="2">
        <v>-202.53215591233331</v>
      </c>
      <c r="AK23" s="2">
        <v>-61.52000640340502</v>
      </c>
      <c r="AL23" s="2">
        <v>0</v>
      </c>
      <c r="AM23" s="2">
        <v>0</v>
      </c>
      <c r="AN23" s="2">
        <v>66</v>
      </c>
      <c r="AO23" s="2">
        <v>88.534308602362231</v>
      </c>
      <c r="AP23" s="2">
        <v>88.534308602362231</v>
      </c>
      <c r="AQ23" s="2">
        <v>8.2521372069436296</v>
      </c>
      <c r="AR23" s="2">
        <v>-354.83543675661059</v>
      </c>
      <c r="AS23" s="2">
        <v>0</v>
      </c>
      <c r="AT23" s="2">
        <v>0</v>
      </c>
      <c r="AU23" s="1">
        <v>50.423999999999992</v>
      </c>
      <c r="AV23" s="2">
        <v>6.459645811308464</v>
      </c>
      <c r="AW23" s="2">
        <v>-270.68388499059802</v>
      </c>
      <c r="AX23" s="2">
        <v>88.534308602362231</v>
      </c>
      <c r="AZ23" s="1">
        <f t="shared" si="5"/>
        <v>38.675999999999988</v>
      </c>
      <c r="BA23" s="2">
        <f t="shared" si="6"/>
        <v>6.8821474159931881</v>
      </c>
      <c r="BB23" s="7">
        <f t="shared" si="7"/>
        <v>-202.53215591233331</v>
      </c>
      <c r="BC23" s="1">
        <f t="shared" si="8"/>
        <v>11.747999999999999</v>
      </c>
      <c r="BD23" s="2">
        <f t="shared" si="9"/>
        <v>2.0904816383050968</v>
      </c>
      <c r="BE23" s="2">
        <f t="shared" si="13"/>
        <v>-61.52000640340502</v>
      </c>
      <c r="BF23" s="2">
        <f t="shared" si="13"/>
        <v>0</v>
      </c>
      <c r="BG23" s="7">
        <f t="shared" si="13"/>
        <v>0</v>
      </c>
      <c r="BH23" s="1">
        <f t="shared" si="14"/>
        <v>50.423999999999985</v>
      </c>
      <c r="BI23" s="2">
        <f t="shared" si="14"/>
        <v>8.9726290542982845</v>
      </c>
      <c r="BJ23" s="2">
        <f t="shared" si="2"/>
        <v>264.05216231573831</v>
      </c>
      <c r="BK23" s="2">
        <f t="shared" si="10"/>
        <v>0</v>
      </c>
      <c r="BL23" s="7">
        <f t="shared" si="11"/>
        <v>0</v>
      </c>
      <c r="BM23" s="2"/>
      <c r="BN23" s="1"/>
      <c r="BO23" s="4"/>
      <c r="BP23" s="2"/>
      <c r="BQ23" s="2"/>
      <c r="BR23" s="3"/>
      <c r="BS23" s="1"/>
      <c r="BT23" s="2"/>
      <c r="BU23" s="21"/>
      <c r="BV23" s="2"/>
      <c r="BW23" s="2"/>
      <c r="BX23" s="21"/>
      <c r="BY23" s="15"/>
    </row>
    <row r="24" spans="1:77" x14ac:dyDescent="0.25">
      <c r="A24" t="str">
        <f t="shared" si="3"/>
        <v>Travée</v>
      </c>
      <c r="B24" t="b">
        <f t="shared" si="4"/>
        <v>1</v>
      </c>
      <c r="C24">
        <f t="shared" si="12"/>
        <v>2</v>
      </c>
      <c r="D24" s="5" t="s">
        <v>96</v>
      </c>
      <c r="E24" t="s">
        <v>48</v>
      </c>
      <c r="F24" s="5">
        <v>25</v>
      </c>
      <c r="G24" t="s">
        <v>46</v>
      </c>
      <c r="H24">
        <v>500</v>
      </c>
      <c r="I24">
        <v>220000</v>
      </c>
      <c r="J24">
        <v>1576</v>
      </c>
      <c r="K24" s="10">
        <v>1870</v>
      </c>
      <c r="L24" s="12">
        <v>1</v>
      </c>
      <c r="M24" s="5">
        <v>0.2</v>
      </c>
      <c r="N24" s="10">
        <v>2.33</v>
      </c>
      <c r="O24" s="5">
        <v>5.9881000000000008E-4</v>
      </c>
      <c r="P24">
        <v>0.03</v>
      </c>
      <c r="Q24" s="10">
        <v>1</v>
      </c>
      <c r="R24" s="8">
        <v>0</v>
      </c>
      <c r="S24">
        <v>0</v>
      </c>
      <c r="T24">
        <v>1</v>
      </c>
      <c r="U24" s="9">
        <v>2.9099999999999999E-5</v>
      </c>
      <c r="V24">
        <v>0</v>
      </c>
      <c r="W24" s="10">
        <v>2</v>
      </c>
      <c r="X24" s="1">
        <v>22.502400000000002</v>
      </c>
      <c r="Y24" s="2">
        <v>6.8351999999999986</v>
      </c>
      <c r="Z24" s="13">
        <v>0</v>
      </c>
      <c r="AA24" s="2">
        <v>22.502400000000002</v>
      </c>
      <c r="AB24" s="2">
        <v>6.8351999999999986</v>
      </c>
      <c r="AC24" s="2">
        <v>38.4</v>
      </c>
      <c r="AD24" s="2"/>
      <c r="AE24" s="7">
        <v>29.337599999999998</v>
      </c>
      <c r="AF24" s="2">
        <v>22.502400000000002</v>
      </c>
      <c r="AG24" s="2">
        <v>6.8351999999999986</v>
      </c>
      <c r="AH24" s="2">
        <v>5.4290432299321356</v>
      </c>
      <c r="AI24" s="2">
        <v>1.5280567938577789</v>
      </c>
      <c r="AJ24" s="2">
        <v>-231.12821124064601</v>
      </c>
      <c r="AK24" s="2">
        <v>-61.085196372682738</v>
      </c>
      <c r="AL24" s="2">
        <v>0</v>
      </c>
      <c r="AM24" s="2">
        <v>-80.936197505779404</v>
      </c>
      <c r="AN24" s="2">
        <v>38.4</v>
      </c>
      <c r="AO24" s="2">
        <v>46.306489334164667</v>
      </c>
      <c r="AP24" s="2">
        <v>63.499207967069303</v>
      </c>
      <c r="AQ24" s="2">
        <v>6.1008014733268334</v>
      </c>
      <c r="AR24" s="2">
        <v>-349.14228367230032</v>
      </c>
      <c r="AS24" s="2">
        <v>0</v>
      </c>
      <c r="AT24" s="2">
        <v>-467.65480929567468</v>
      </c>
      <c r="AU24" s="1">
        <v>29.337599999999998</v>
      </c>
      <c r="AV24" s="2">
        <v>5.0676015918834114</v>
      </c>
      <c r="AW24" s="2">
        <v>-306.87762538669489</v>
      </c>
      <c r="AX24" s="2">
        <v>46.306489334164667</v>
      </c>
      <c r="AZ24" s="1">
        <f t="shared" si="5"/>
        <v>22.502400000000002</v>
      </c>
      <c r="BA24" s="2">
        <f t="shared" si="6"/>
        <v>5.4290432299321356</v>
      </c>
      <c r="BB24" s="7">
        <f t="shared" si="7"/>
        <v>-231.12821124064601</v>
      </c>
      <c r="BC24" s="1">
        <f t="shared" si="8"/>
        <v>6.8351999999999986</v>
      </c>
      <c r="BD24" s="2">
        <f t="shared" si="9"/>
        <v>1.5280567938577789</v>
      </c>
      <c r="BE24" s="2">
        <f t="shared" si="13"/>
        <v>-61.085196372682738</v>
      </c>
      <c r="BF24" s="2">
        <f t="shared" si="13"/>
        <v>0</v>
      </c>
      <c r="BG24" s="7">
        <f t="shared" si="13"/>
        <v>-80.936197505779404</v>
      </c>
      <c r="BH24" s="1">
        <f t="shared" si="14"/>
        <v>29.337600000000002</v>
      </c>
      <c r="BI24" s="2">
        <f t="shared" si="14"/>
        <v>6.9571000237899145</v>
      </c>
      <c r="BJ24" s="2">
        <f t="shared" si="2"/>
        <v>292.21340761332874</v>
      </c>
      <c r="BK24" s="2">
        <f t="shared" si="10"/>
        <v>0</v>
      </c>
      <c r="BL24" s="7">
        <f t="shared" si="11"/>
        <v>-80.936197505779404</v>
      </c>
      <c r="BM24" s="2"/>
      <c r="BN24" s="1"/>
      <c r="BO24" s="4"/>
      <c r="BP24" s="2"/>
      <c r="BQ24" s="2"/>
      <c r="BR24" s="3"/>
      <c r="BS24" s="1"/>
      <c r="BT24" s="2"/>
      <c r="BU24" s="21"/>
      <c r="BV24" s="2"/>
      <c r="BW24" s="2"/>
      <c r="BX24" s="21"/>
      <c r="BY24" s="10"/>
    </row>
    <row r="25" spans="1:77" x14ac:dyDescent="0.25">
      <c r="A25" t="str">
        <f t="shared" si="3"/>
        <v>Appui</v>
      </c>
      <c r="B25" t="b">
        <f t="shared" si="4"/>
        <v>1</v>
      </c>
      <c r="C25">
        <f t="shared" si="12"/>
        <v>2</v>
      </c>
      <c r="D25" s="5" t="s">
        <v>96</v>
      </c>
      <c r="E25" t="s">
        <v>49</v>
      </c>
      <c r="F25" s="5">
        <v>25</v>
      </c>
      <c r="G25" t="s">
        <v>46</v>
      </c>
      <c r="H25">
        <v>500</v>
      </c>
      <c r="I25">
        <v>220000</v>
      </c>
      <c r="J25">
        <v>1576</v>
      </c>
      <c r="K25" s="10">
        <v>1870</v>
      </c>
      <c r="L25" s="12">
        <v>1</v>
      </c>
      <c r="M25" s="5">
        <v>0.2</v>
      </c>
      <c r="N25" s="10">
        <v>2.33</v>
      </c>
      <c r="O25" s="5">
        <v>1.8500000000000001E-3</v>
      </c>
      <c r="P25">
        <v>0.03</v>
      </c>
      <c r="Q25" s="10">
        <v>1</v>
      </c>
      <c r="R25" s="8">
        <v>0</v>
      </c>
      <c r="S25">
        <v>0</v>
      </c>
      <c r="T25">
        <v>1</v>
      </c>
      <c r="U25" s="9">
        <v>0</v>
      </c>
      <c r="V25">
        <v>0</v>
      </c>
      <c r="W25" s="10">
        <v>0</v>
      </c>
      <c r="X25" s="1">
        <v>87.021000000000001</v>
      </c>
      <c r="Y25" s="2">
        <v>26.433</v>
      </c>
      <c r="Z25" s="13">
        <v>0</v>
      </c>
      <c r="AA25" s="2">
        <v>87.021000000000001</v>
      </c>
      <c r="AB25" s="2">
        <v>26.433</v>
      </c>
      <c r="AC25" s="2">
        <v>148.5</v>
      </c>
      <c r="AD25" s="2"/>
      <c r="AE25" s="7">
        <v>113.45399999999999</v>
      </c>
      <c r="AF25" s="2">
        <v>87.021000000000001</v>
      </c>
      <c r="AG25" s="2">
        <v>26.433</v>
      </c>
      <c r="AH25" s="2">
        <v>12.929519232856491</v>
      </c>
      <c r="AI25" s="2">
        <v>3.927396627045149</v>
      </c>
      <c r="AJ25" s="2">
        <v>-298.26838075224418</v>
      </c>
      <c r="AK25" s="2">
        <v>-90.600293129521262</v>
      </c>
      <c r="AL25" s="2">
        <v>0</v>
      </c>
      <c r="AM25" s="2">
        <v>0</v>
      </c>
      <c r="AN25" s="2">
        <v>148.5</v>
      </c>
      <c r="AO25" s="2">
        <v>131.53674427114731</v>
      </c>
      <c r="AP25" s="2">
        <v>131.53674427114731</v>
      </c>
      <c r="AQ25" s="2">
        <v>0</v>
      </c>
      <c r="AR25" s="2">
        <v>0</v>
      </c>
      <c r="AS25" s="2">
        <v>0</v>
      </c>
      <c r="AT25" s="2">
        <v>0</v>
      </c>
      <c r="AU25" s="1">
        <v>113.45399999999999</v>
      </c>
      <c r="AV25" s="2">
        <v>11.39194707421464</v>
      </c>
      <c r="AW25" s="2">
        <v>-403.26056198648979</v>
      </c>
      <c r="AX25" s="2">
        <v>131.53674427114731</v>
      </c>
      <c r="AZ25" s="1">
        <f t="shared" si="5"/>
        <v>87.021000000000001</v>
      </c>
      <c r="BA25" s="2">
        <f t="shared" si="6"/>
        <v>12.929519232856491</v>
      </c>
      <c r="BB25" s="7">
        <f t="shared" si="7"/>
        <v>-298.26838075224418</v>
      </c>
      <c r="BC25" s="1">
        <f t="shared" si="8"/>
        <v>26.433</v>
      </c>
      <c r="BD25" s="2">
        <f t="shared" si="9"/>
        <v>3.927396627045149</v>
      </c>
      <c r="BE25" s="2">
        <f t="shared" si="13"/>
        <v>-90.600293129521262</v>
      </c>
      <c r="BF25" s="2">
        <f t="shared" si="13"/>
        <v>0</v>
      </c>
      <c r="BG25" s="7">
        <f t="shared" si="13"/>
        <v>0</v>
      </c>
      <c r="BH25" s="1">
        <f t="shared" si="14"/>
        <v>113.45400000000001</v>
      </c>
      <c r="BI25" s="2">
        <f t="shared" si="14"/>
        <v>16.85691585990164</v>
      </c>
      <c r="BJ25" s="2">
        <f t="shared" si="2"/>
        <v>388.86867388176546</v>
      </c>
      <c r="BK25" s="2">
        <f t="shared" si="10"/>
        <v>0</v>
      </c>
      <c r="BL25" s="7">
        <f t="shared" si="11"/>
        <v>0</v>
      </c>
      <c r="BM25" s="2"/>
      <c r="BN25" s="1"/>
      <c r="BO25" s="4"/>
      <c r="BP25" s="2"/>
      <c r="BQ25" s="2"/>
      <c r="BR25" s="3"/>
      <c r="BS25" s="1"/>
      <c r="BT25" s="2"/>
      <c r="BU25" s="21"/>
      <c r="BV25" s="2"/>
      <c r="BW25" s="2"/>
      <c r="BX25" s="21"/>
      <c r="BY25" s="15"/>
    </row>
    <row r="26" spans="1:77" x14ac:dyDescent="0.25">
      <c r="A26" t="str">
        <f t="shared" si="3"/>
        <v>Travée</v>
      </c>
      <c r="B26" t="b">
        <f t="shared" si="4"/>
        <v>1</v>
      </c>
      <c r="C26">
        <f t="shared" si="12"/>
        <v>2</v>
      </c>
      <c r="D26" s="5" t="s">
        <v>96</v>
      </c>
      <c r="E26" t="s">
        <v>51</v>
      </c>
      <c r="F26" s="5">
        <v>25</v>
      </c>
      <c r="G26" t="s">
        <v>46</v>
      </c>
      <c r="H26">
        <v>500</v>
      </c>
      <c r="I26">
        <v>220000</v>
      </c>
      <c r="J26">
        <v>1576</v>
      </c>
      <c r="K26" s="10">
        <v>1870</v>
      </c>
      <c r="L26" s="12">
        <v>1</v>
      </c>
      <c r="M26" s="5">
        <v>0.2</v>
      </c>
      <c r="N26" s="10">
        <v>2.33</v>
      </c>
      <c r="O26" s="5">
        <v>8.9700000000000012E-4</v>
      </c>
      <c r="P26">
        <v>3.5000000000000003E-2</v>
      </c>
      <c r="Q26" s="10">
        <v>1</v>
      </c>
      <c r="R26" s="8">
        <v>0</v>
      </c>
      <c r="S26">
        <v>0</v>
      </c>
      <c r="T26">
        <v>1</v>
      </c>
      <c r="U26" s="9">
        <v>2.9099999999999999E-5</v>
      </c>
      <c r="V26">
        <v>0</v>
      </c>
      <c r="W26" s="10">
        <v>10</v>
      </c>
      <c r="X26" s="1">
        <v>48.755200000000002</v>
      </c>
      <c r="Y26" s="2">
        <v>14.8096</v>
      </c>
      <c r="Z26" s="13">
        <v>0</v>
      </c>
      <c r="AA26" s="2">
        <v>48.755200000000002</v>
      </c>
      <c r="AB26" s="2">
        <v>14.8096</v>
      </c>
      <c r="AC26" s="2">
        <v>83.2</v>
      </c>
      <c r="AD26" s="2"/>
      <c r="AE26" s="7">
        <v>63.564800000000012</v>
      </c>
      <c r="AF26" s="2">
        <v>48.755200000000002</v>
      </c>
      <c r="AG26" s="2">
        <v>14.8096</v>
      </c>
      <c r="AH26" s="2">
        <v>10.287979167346361</v>
      </c>
      <c r="AI26" s="2">
        <v>2.49158601858616</v>
      </c>
      <c r="AJ26" s="2">
        <v>-348.02203269415293</v>
      </c>
      <c r="AK26" s="2">
        <v>-68.817952268689908</v>
      </c>
      <c r="AL26" s="2">
        <v>0</v>
      </c>
      <c r="AM26" s="2">
        <v>-95.451345497774327</v>
      </c>
      <c r="AN26" s="2">
        <v>83.2</v>
      </c>
      <c r="AO26" s="2">
        <v>66.09694460613234</v>
      </c>
      <c r="AP26" s="2">
        <v>160.75925657399151</v>
      </c>
      <c r="AQ26" s="2">
        <v>9.6096815245738547</v>
      </c>
      <c r="AR26" s="2">
        <v>-394.47194654275842</v>
      </c>
      <c r="AS26" s="2">
        <v>0</v>
      </c>
      <c r="AT26" s="2">
        <v>-558.56331062653135</v>
      </c>
      <c r="AU26" s="1">
        <v>63.564800000000012</v>
      </c>
      <c r="AV26" s="2">
        <v>16.588444410905161</v>
      </c>
      <c r="AW26" s="2">
        <v>-445.86309009596818</v>
      </c>
      <c r="AX26" s="2">
        <v>66.09694460613234</v>
      </c>
      <c r="AZ26" s="1">
        <f t="shared" si="5"/>
        <v>48.755200000000002</v>
      </c>
      <c r="BA26" s="2">
        <f t="shared" si="6"/>
        <v>10.287979167346361</v>
      </c>
      <c r="BB26" s="7">
        <f t="shared" si="7"/>
        <v>-348.02203269415293</v>
      </c>
      <c r="BC26" s="1">
        <f t="shared" si="8"/>
        <v>14.8096</v>
      </c>
      <c r="BD26" s="2">
        <f t="shared" si="9"/>
        <v>2.49158601858616</v>
      </c>
      <c r="BE26" s="2">
        <f t="shared" si="13"/>
        <v>-68.817952268689908</v>
      </c>
      <c r="BF26" s="2">
        <f t="shared" si="13"/>
        <v>0</v>
      </c>
      <c r="BG26" s="7">
        <f t="shared" si="13"/>
        <v>-95.451345497774327</v>
      </c>
      <c r="BH26" s="1">
        <f t="shared" si="14"/>
        <v>63.564800000000005</v>
      </c>
      <c r="BI26" s="2">
        <f t="shared" si="14"/>
        <v>12.779565185932521</v>
      </c>
      <c r="BJ26" s="2">
        <f t="shared" si="2"/>
        <v>416.83998496284283</v>
      </c>
      <c r="BK26" s="2">
        <f t="shared" si="10"/>
        <v>0</v>
      </c>
      <c r="BL26" s="7">
        <f t="shared" si="11"/>
        <v>-95.451345497774327</v>
      </c>
      <c r="BM26" s="2"/>
      <c r="BN26" s="1"/>
      <c r="BO26" s="4"/>
      <c r="BP26" s="2"/>
      <c r="BQ26" s="2"/>
      <c r="BR26" s="3"/>
      <c r="BS26" s="1"/>
      <c r="BT26" s="2"/>
      <c r="BU26" s="21"/>
      <c r="BV26" s="2"/>
      <c r="BW26" s="2"/>
      <c r="BX26" s="21"/>
      <c r="BY26" s="10"/>
    </row>
    <row r="27" spans="1:77" x14ac:dyDescent="0.25">
      <c r="A27" t="str">
        <f t="shared" si="3"/>
        <v>Appui</v>
      </c>
      <c r="B27" t="b">
        <f t="shared" si="4"/>
        <v>1</v>
      </c>
      <c r="C27">
        <f t="shared" si="12"/>
        <v>2</v>
      </c>
      <c r="D27" s="5" t="s">
        <v>96</v>
      </c>
      <c r="E27" t="s">
        <v>52</v>
      </c>
      <c r="F27" s="5">
        <v>25</v>
      </c>
      <c r="G27" t="s">
        <v>46</v>
      </c>
      <c r="H27">
        <v>500</v>
      </c>
      <c r="I27">
        <v>220000</v>
      </c>
      <c r="J27">
        <v>1576</v>
      </c>
      <c r="K27" s="10">
        <v>1870</v>
      </c>
      <c r="L27" s="12">
        <v>1</v>
      </c>
      <c r="M27" s="5">
        <v>0.2</v>
      </c>
      <c r="N27" s="10">
        <v>2.33</v>
      </c>
      <c r="O27" s="5">
        <v>2.0950000000000001E-3</v>
      </c>
      <c r="P27">
        <v>5.2999999999999999E-2</v>
      </c>
      <c r="Q27" s="10">
        <v>1</v>
      </c>
      <c r="R27" s="8">
        <v>0</v>
      </c>
      <c r="S27">
        <v>0</v>
      </c>
      <c r="T27">
        <v>1</v>
      </c>
      <c r="U27" s="9">
        <v>2.9099999999999999E-5</v>
      </c>
      <c r="V27">
        <v>0</v>
      </c>
      <c r="W27" s="10">
        <v>5</v>
      </c>
      <c r="X27" s="1">
        <v>109.58199999999999</v>
      </c>
      <c r="Y27" s="2">
        <v>33.286000000000001</v>
      </c>
      <c r="Z27" s="13">
        <v>0</v>
      </c>
      <c r="AA27" s="2">
        <v>109.58199999999999</v>
      </c>
      <c r="AB27" s="2">
        <v>33.286000000000001</v>
      </c>
      <c r="AC27" s="2">
        <v>187</v>
      </c>
      <c r="AD27" s="2"/>
      <c r="AE27" s="7">
        <v>142.86799999999999</v>
      </c>
      <c r="AF27" s="2">
        <v>109.58199999999999</v>
      </c>
      <c r="AG27" s="2">
        <v>33.286000000000001</v>
      </c>
      <c r="AH27" s="2">
        <v>19.538486032228359</v>
      </c>
      <c r="AI27" s="2">
        <v>5.4805937379729448</v>
      </c>
      <c r="AJ27" s="2">
        <v>-387.44707664795328</v>
      </c>
      <c r="AK27" s="2">
        <v>-101.9947077915925</v>
      </c>
      <c r="AL27" s="2">
        <v>0</v>
      </c>
      <c r="AM27" s="2">
        <v>-166.45635836250329</v>
      </c>
      <c r="AN27" s="2">
        <v>187</v>
      </c>
      <c r="AO27" s="2">
        <v>125.0620722047103</v>
      </c>
      <c r="AP27" s="2">
        <v>169.42156530443279</v>
      </c>
      <c r="AQ27" s="2">
        <v>0</v>
      </c>
      <c r="AR27" s="2">
        <v>0</v>
      </c>
      <c r="AS27" s="2">
        <v>0</v>
      </c>
      <c r="AT27" s="2">
        <v>0</v>
      </c>
      <c r="AU27" s="1">
        <v>142.86799999999999</v>
      </c>
      <c r="AV27" s="2">
        <v>0</v>
      </c>
      <c r="AW27" s="2">
        <v>0</v>
      </c>
      <c r="AX27" s="2">
        <v>125.0620722047103</v>
      </c>
      <c r="AZ27" s="1">
        <f t="shared" si="5"/>
        <v>109.58199999999999</v>
      </c>
      <c r="BA27" s="2">
        <f t="shared" si="6"/>
        <v>19.538486032228359</v>
      </c>
      <c r="BB27" s="7">
        <f t="shared" si="7"/>
        <v>-387.44707664795328</v>
      </c>
      <c r="BC27" s="1">
        <f t="shared" si="8"/>
        <v>33.286000000000001</v>
      </c>
      <c r="BD27" s="2">
        <f t="shared" si="9"/>
        <v>5.4805937379729448</v>
      </c>
      <c r="BE27" s="2">
        <f t="shared" si="13"/>
        <v>-101.9947077915925</v>
      </c>
      <c r="BF27" s="2">
        <f t="shared" si="13"/>
        <v>0</v>
      </c>
      <c r="BG27" s="7">
        <f t="shared" si="13"/>
        <v>-166.45635836250329</v>
      </c>
      <c r="BH27" s="1">
        <f t="shared" si="14"/>
        <v>142.86799999999999</v>
      </c>
      <c r="BI27" s="2">
        <f t="shared" si="14"/>
        <v>25.019079770201305</v>
      </c>
      <c r="BJ27" s="2">
        <f t="shared" si="2"/>
        <v>489.44178443954581</v>
      </c>
      <c r="BK27" s="2">
        <f t="shared" si="10"/>
        <v>0</v>
      </c>
      <c r="BL27" s="7">
        <f t="shared" si="11"/>
        <v>-166.45635836250329</v>
      </c>
      <c r="BM27" s="2"/>
      <c r="BN27" s="1"/>
      <c r="BO27" s="4"/>
      <c r="BP27" s="2"/>
      <c r="BQ27" s="2"/>
      <c r="BR27" s="3"/>
      <c r="BS27" s="1"/>
      <c r="BT27" s="2"/>
      <c r="BU27" s="21"/>
      <c r="BV27" s="2"/>
      <c r="BW27" s="2"/>
      <c r="BX27" s="21"/>
      <c r="BY27" s="15"/>
    </row>
    <row r="28" spans="1:77" x14ac:dyDescent="0.25">
      <c r="A28" t="str">
        <f t="shared" si="3"/>
        <v>Travée</v>
      </c>
      <c r="B28" t="b">
        <f t="shared" si="4"/>
        <v>1</v>
      </c>
      <c r="C28">
        <f t="shared" si="12"/>
        <v>2</v>
      </c>
      <c r="D28" s="5" t="s">
        <v>96</v>
      </c>
      <c r="E28" t="s">
        <v>53</v>
      </c>
      <c r="F28" s="5">
        <v>25</v>
      </c>
      <c r="G28" t="s">
        <v>46</v>
      </c>
      <c r="H28">
        <v>500</v>
      </c>
      <c r="I28">
        <v>220000</v>
      </c>
      <c r="J28">
        <v>1576</v>
      </c>
      <c r="K28" s="10">
        <v>1870</v>
      </c>
      <c r="L28" s="12">
        <v>1</v>
      </c>
      <c r="M28" s="5">
        <v>0.2</v>
      </c>
      <c r="N28" s="10">
        <v>2.33</v>
      </c>
      <c r="O28" s="5">
        <v>9.0000000000000008E-4</v>
      </c>
      <c r="P28">
        <v>0.03</v>
      </c>
      <c r="Q28" s="10">
        <v>1</v>
      </c>
      <c r="R28" s="8">
        <v>0</v>
      </c>
      <c r="S28">
        <v>0</v>
      </c>
      <c r="T28">
        <v>1</v>
      </c>
      <c r="U28" s="9">
        <v>2.9099999999999999E-5</v>
      </c>
      <c r="V28">
        <v>0</v>
      </c>
      <c r="W28" s="10">
        <v>10</v>
      </c>
      <c r="X28" s="1">
        <v>45.004800000000003</v>
      </c>
      <c r="Y28" s="2">
        <v>13.670400000000001</v>
      </c>
      <c r="Z28" s="13">
        <v>0</v>
      </c>
      <c r="AA28" s="2">
        <v>45.004800000000003</v>
      </c>
      <c r="AB28" s="2">
        <v>13.670400000000001</v>
      </c>
      <c r="AC28" s="2">
        <v>76.8</v>
      </c>
      <c r="AD28" s="2"/>
      <c r="AE28" s="7">
        <v>58.675199999999997</v>
      </c>
      <c r="AF28" s="2">
        <v>45.004800000000003</v>
      </c>
      <c r="AG28" s="2">
        <v>13.670400000000001</v>
      </c>
      <c r="AH28" s="2">
        <v>9.056255550238463</v>
      </c>
      <c r="AI28" s="2">
        <v>2.2307702573853621</v>
      </c>
      <c r="AJ28" s="2">
        <v>-310.49361170318087</v>
      </c>
      <c r="AK28" s="2">
        <v>-62.908782417868387</v>
      </c>
      <c r="AL28" s="2">
        <v>0</v>
      </c>
      <c r="AM28" s="2">
        <v>-84.162887527820203</v>
      </c>
      <c r="AN28" s="2">
        <v>76.8</v>
      </c>
      <c r="AO28" s="2">
        <v>68.511262863476688</v>
      </c>
      <c r="AP28" s="2">
        <v>162.94306803946421</v>
      </c>
      <c r="AQ28" s="2">
        <v>8.7211043460098825</v>
      </c>
      <c r="AR28" s="2">
        <v>-360.86192150790328</v>
      </c>
      <c r="AS28" s="2">
        <v>0</v>
      </c>
      <c r="AT28" s="2">
        <v>-491.03272290614308</v>
      </c>
      <c r="AU28" s="1">
        <v>58.675199999999997</v>
      </c>
      <c r="AV28" s="2">
        <v>8.2190922098900145</v>
      </c>
      <c r="AW28" s="2">
        <v>-414.42060399521409</v>
      </c>
      <c r="AX28" s="2">
        <v>68.511262863476688</v>
      </c>
      <c r="AZ28" s="1">
        <f t="shared" si="5"/>
        <v>45.004800000000003</v>
      </c>
      <c r="BA28" s="2">
        <f t="shared" si="6"/>
        <v>9.056255550238463</v>
      </c>
      <c r="BB28" s="7">
        <f t="shared" si="7"/>
        <v>-310.49361170318087</v>
      </c>
      <c r="BC28" s="1">
        <f t="shared" si="8"/>
        <v>13.670400000000001</v>
      </c>
      <c r="BD28" s="2">
        <f t="shared" si="9"/>
        <v>2.2307702573853621</v>
      </c>
      <c r="BE28" s="2">
        <f t="shared" si="13"/>
        <v>-62.908782417868387</v>
      </c>
      <c r="BF28" s="2">
        <f t="shared" si="13"/>
        <v>0</v>
      </c>
      <c r="BG28" s="7">
        <f t="shared" si="13"/>
        <v>-84.162887527820203</v>
      </c>
      <c r="BH28" s="1">
        <f t="shared" si="14"/>
        <v>58.675200000000004</v>
      </c>
      <c r="BI28" s="2">
        <f t="shared" si="14"/>
        <v>11.287025807623825</v>
      </c>
      <c r="BJ28" s="2">
        <f t="shared" si="2"/>
        <v>373.40239412104927</v>
      </c>
      <c r="BK28" s="2">
        <f t="shared" si="10"/>
        <v>0</v>
      </c>
      <c r="BL28" s="7">
        <f t="shared" si="11"/>
        <v>-84.162887527820203</v>
      </c>
      <c r="BM28" s="2"/>
      <c r="BN28" s="1"/>
      <c r="BO28" s="4"/>
      <c r="BP28" s="2"/>
      <c r="BQ28" s="2"/>
      <c r="BR28" s="3"/>
      <c r="BS28" s="1"/>
      <c r="BT28" s="2"/>
      <c r="BU28" s="21"/>
      <c r="BV28" s="2"/>
      <c r="BW28" s="2"/>
      <c r="BX28" s="21"/>
      <c r="BY28" s="10"/>
    </row>
    <row r="29" spans="1:77" x14ac:dyDescent="0.25">
      <c r="A29" t="str">
        <f t="shared" si="3"/>
        <v>Appui</v>
      </c>
      <c r="B29" t="b">
        <f t="shared" si="4"/>
        <v>1</v>
      </c>
      <c r="C29">
        <f t="shared" si="12"/>
        <v>2</v>
      </c>
      <c r="D29" s="5" t="s">
        <v>96</v>
      </c>
      <c r="E29" t="s">
        <v>54</v>
      </c>
      <c r="F29" s="5">
        <v>25</v>
      </c>
      <c r="G29" t="s">
        <v>46</v>
      </c>
      <c r="H29">
        <v>500</v>
      </c>
      <c r="I29">
        <v>220000</v>
      </c>
      <c r="J29">
        <v>1576</v>
      </c>
      <c r="K29" s="10">
        <v>1870</v>
      </c>
      <c r="L29" s="12">
        <v>1</v>
      </c>
      <c r="M29" s="5">
        <v>0.2</v>
      </c>
      <c r="N29" s="10">
        <v>2.33</v>
      </c>
      <c r="O29" s="5">
        <v>2.3900000000000002E-3</v>
      </c>
      <c r="P29">
        <v>0.03</v>
      </c>
      <c r="Q29" s="10">
        <v>1</v>
      </c>
      <c r="R29" s="8">
        <v>0</v>
      </c>
      <c r="S29">
        <v>0</v>
      </c>
      <c r="T29">
        <v>1</v>
      </c>
      <c r="U29" s="9">
        <v>0</v>
      </c>
      <c r="V29">
        <v>0</v>
      </c>
      <c r="W29" s="10">
        <v>0</v>
      </c>
      <c r="X29" s="1">
        <v>103.136</v>
      </c>
      <c r="Y29" s="2">
        <v>31.327999999999999</v>
      </c>
      <c r="Z29" s="13">
        <v>0</v>
      </c>
      <c r="AA29" s="2">
        <v>103.136</v>
      </c>
      <c r="AB29" s="2">
        <v>31.327999999999999</v>
      </c>
      <c r="AC29" s="2">
        <v>176</v>
      </c>
      <c r="AD29" s="2"/>
      <c r="AE29" s="7">
        <v>134.464</v>
      </c>
      <c r="AF29" s="2">
        <v>103.136</v>
      </c>
      <c r="AG29" s="2">
        <v>31.327999999999999</v>
      </c>
      <c r="AH29" s="2">
        <v>13.82237814575492</v>
      </c>
      <c r="AI29" s="2">
        <v>4.1986063309631021</v>
      </c>
      <c r="AJ29" s="2">
        <v>-276.1889513250822</v>
      </c>
      <c r="AK29" s="2">
        <v>-83.89357224550281</v>
      </c>
      <c r="AL29" s="2">
        <v>0</v>
      </c>
      <c r="AM29" s="2">
        <v>0</v>
      </c>
      <c r="AN29" s="2">
        <v>176</v>
      </c>
      <c r="AO29" s="2">
        <v>165.2718599075547</v>
      </c>
      <c r="AP29" s="2">
        <v>165.2718599075547</v>
      </c>
      <c r="AQ29" s="2">
        <v>0</v>
      </c>
      <c r="AR29" s="2">
        <v>0</v>
      </c>
      <c r="AS29" s="2">
        <v>0</v>
      </c>
      <c r="AT29" s="2">
        <v>0</v>
      </c>
      <c r="AU29" s="1">
        <v>134.464</v>
      </c>
      <c r="AV29" s="2">
        <v>12.143515078600791</v>
      </c>
      <c r="AW29" s="2">
        <v>-375.2066939459566</v>
      </c>
      <c r="AX29" s="2">
        <v>165.2718599075547</v>
      </c>
      <c r="AZ29" s="1">
        <f t="shared" si="5"/>
        <v>103.136</v>
      </c>
      <c r="BA29" s="2">
        <f t="shared" si="6"/>
        <v>13.82237814575492</v>
      </c>
      <c r="BB29" s="7">
        <f t="shared" si="7"/>
        <v>-276.1889513250822</v>
      </c>
      <c r="BC29" s="1">
        <f t="shared" si="8"/>
        <v>31.327999999999999</v>
      </c>
      <c r="BD29" s="2">
        <f t="shared" si="9"/>
        <v>4.1986063309631021</v>
      </c>
      <c r="BE29" s="2">
        <f t="shared" si="13"/>
        <v>-83.89357224550281</v>
      </c>
      <c r="BF29" s="2">
        <f t="shared" si="13"/>
        <v>0</v>
      </c>
      <c r="BG29" s="7">
        <f t="shared" si="13"/>
        <v>0</v>
      </c>
      <c r="BH29" s="1">
        <f t="shared" si="14"/>
        <v>134.464</v>
      </c>
      <c r="BI29" s="2">
        <f t="shared" si="14"/>
        <v>18.02098447671802</v>
      </c>
      <c r="BJ29" s="2">
        <f t="shared" si="2"/>
        <v>360.08252357058501</v>
      </c>
      <c r="BK29" s="2">
        <f t="shared" si="10"/>
        <v>0</v>
      </c>
      <c r="BL29" s="7">
        <f t="shared" si="11"/>
        <v>0</v>
      </c>
      <c r="BM29" s="2"/>
      <c r="BN29" s="1"/>
      <c r="BO29" s="4"/>
      <c r="BP29" s="2"/>
      <c r="BQ29" s="2"/>
      <c r="BR29" s="3"/>
      <c r="BS29" s="1"/>
      <c r="BT29" s="2"/>
      <c r="BU29" s="21"/>
      <c r="BV29" s="2"/>
      <c r="BW29" s="2"/>
      <c r="BX29" s="21"/>
      <c r="BY29" s="15"/>
    </row>
    <row r="30" spans="1:77" x14ac:dyDescent="0.25">
      <c r="A30" t="str">
        <f t="shared" si="3"/>
        <v>Travée</v>
      </c>
      <c r="B30" t="b">
        <f t="shared" si="4"/>
        <v>1</v>
      </c>
      <c r="C30">
        <f t="shared" si="12"/>
        <v>2</v>
      </c>
      <c r="D30" s="5" t="s">
        <v>96</v>
      </c>
      <c r="E30" t="s">
        <v>55</v>
      </c>
      <c r="F30" s="5">
        <v>25</v>
      </c>
      <c r="G30" t="s">
        <v>46</v>
      </c>
      <c r="H30">
        <v>500</v>
      </c>
      <c r="I30">
        <v>220000</v>
      </c>
      <c r="J30">
        <v>1576</v>
      </c>
      <c r="K30" s="10">
        <v>1870</v>
      </c>
      <c r="L30" s="12">
        <v>1</v>
      </c>
      <c r="M30" s="5">
        <v>0.2</v>
      </c>
      <c r="N30" s="10">
        <v>2.33</v>
      </c>
      <c r="O30" s="5">
        <v>9.0000000000000008E-4</v>
      </c>
      <c r="P30">
        <v>0.03</v>
      </c>
      <c r="Q30" s="10">
        <v>1</v>
      </c>
      <c r="R30" s="8">
        <v>0</v>
      </c>
      <c r="S30">
        <v>0</v>
      </c>
      <c r="T30">
        <v>1</v>
      </c>
      <c r="U30" s="9">
        <v>2.9099999999999999E-5</v>
      </c>
      <c r="V30">
        <v>0</v>
      </c>
      <c r="W30" s="10">
        <v>5</v>
      </c>
      <c r="X30" s="1">
        <v>45.004800000000003</v>
      </c>
      <c r="Y30" s="2">
        <v>13.670400000000001</v>
      </c>
      <c r="Z30" s="13">
        <v>0</v>
      </c>
      <c r="AA30" s="2">
        <v>45.004800000000003</v>
      </c>
      <c r="AB30" s="2">
        <v>13.670400000000001</v>
      </c>
      <c r="AC30" s="2">
        <v>76.8</v>
      </c>
      <c r="AD30" s="2"/>
      <c r="AE30" s="7">
        <v>58.675199999999997</v>
      </c>
      <c r="AF30" s="2">
        <v>45.004800000000003</v>
      </c>
      <c r="AG30" s="2">
        <v>13.670400000000001</v>
      </c>
      <c r="AH30" s="2">
        <v>9.056255550238463</v>
      </c>
      <c r="AI30" s="2">
        <v>2.445536549593796</v>
      </c>
      <c r="AJ30" s="2">
        <v>-310.49361170318087</v>
      </c>
      <c r="AK30" s="2">
        <v>-75.485429486997702</v>
      </c>
      <c r="AL30" s="2">
        <v>0</v>
      </c>
      <c r="AM30" s="2">
        <v>-100.7034498513286</v>
      </c>
      <c r="AN30" s="2">
        <v>76.8</v>
      </c>
      <c r="AO30" s="2">
        <v>68.511262863476688</v>
      </c>
      <c r="AP30" s="2">
        <v>114.1068387565515</v>
      </c>
      <c r="AQ30" s="2">
        <v>9.4161691383425516</v>
      </c>
      <c r="AR30" s="2">
        <v>-433.88445572516599</v>
      </c>
      <c r="AS30" s="2">
        <v>0</v>
      </c>
      <c r="AT30" s="2">
        <v>-587.93108005531667</v>
      </c>
      <c r="AU30" s="1">
        <v>58.675199999999997</v>
      </c>
      <c r="AV30" s="2">
        <v>8.2190922098900145</v>
      </c>
      <c r="AW30" s="2">
        <v>-414.42060399521409</v>
      </c>
      <c r="AX30" s="2">
        <v>68.511262863476688</v>
      </c>
      <c r="AZ30" s="1">
        <f t="shared" si="5"/>
        <v>45.004800000000003</v>
      </c>
      <c r="BA30" s="2">
        <f t="shared" si="6"/>
        <v>9.056255550238463</v>
      </c>
      <c r="BB30" s="7">
        <f t="shared" si="7"/>
        <v>-310.49361170318087</v>
      </c>
      <c r="BC30" s="1">
        <f t="shared" si="8"/>
        <v>13.670400000000001</v>
      </c>
      <c r="BD30" s="2">
        <f t="shared" si="9"/>
        <v>2.445536549593796</v>
      </c>
      <c r="BE30" s="2">
        <f t="shared" si="13"/>
        <v>-75.485429486997702</v>
      </c>
      <c r="BF30" s="2">
        <f t="shared" si="13"/>
        <v>0</v>
      </c>
      <c r="BG30" s="7">
        <f t="shared" si="13"/>
        <v>-100.7034498513286</v>
      </c>
      <c r="BH30" s="1">
        <f t="shared" si="14"/>
        <v>58.675200000000004</v>
      </c>
      <c r="BI30" s="2">
        <f t="shared" si="14"/>
        <v>11.501792099832258</v>
      </c>
      <c r="BJ30" s="2">
        <f t="shared" si="2"/>
        <v>385.97904119017858</v>
      </c>
      <c r="BK30" s="2">
        <f t="shared" si="10"/>
        <v>0</v>
      </c>
      <c r="BL30" s="7">
        <f t="shared" si="11"/>
        <v>-100.7034498513286</v>
      </c>
      <c r="BM30" s="2"/>
      <c r="BN30" s="1"/>
      <c r="BO30" s="4"/>
      <c r="BP30" s="2"/>
      <c r="BQ30" s="2"/>
      <c r="BR30" s="3"/>
      <c r="BS30" s="1"/>
      <c r="BT30" s="2"/>
      <c r="BU30" s="21"/>
      <c r="BV30" s="2"/>
      <c r="BW30" s="2"/>
      <c r="BX30" s="21"/>
      <c r="BY30" s="10"/>
    </row>
    <row r="31" spans="1:77" x14ac:dyDescent="0.25">
      <c r="D31" s="5"/>
      <c r="F31" s="5"/>
      <c r="K31" s="10"/>
      <c r="L31" s="12"/>
      <c r="M31" s="5"/>
      <c r="N31" s="10"/>
      <c r="O31" s="5"/>
      <c r="Q31" s="10"/>
      <c r="R31" s="8"/>
      <c r="U31" s="9"/>
      <c r="W31" s="10"/>
      <c r="X31" s="1"/>
      <c r="Y31" s="2"/>
      <c r="Z31" s="13"/>
      <c r="AA31" s="2"/>
      <c r="AB31" s="2"/>
      <c r="AC31" s="2"/>
      <c r="AD31" s="2"/>
      <c r="AE31" s="7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1"/>
      <c r="AV31" s="2"/>
      <c r="AW31" s="2"/>
      <c r="AX31" s="2"/>
      <c r="AZ31" s="1"/>
      <c r="BA31" s="2"/>
      <c r="BB31" s="7"/>
      <c r="BC31" s="1"/>
      <c r="BD31" s="2"/>
      <c r="BE31" s="2"/>
      <c r="BF31" s="2"/>
      <c r="BG31" s="7"/>
      <c r="BH31" s="1"/>
      <c r="BI31" s="2"/>
      <c r="BJ31" s="2"/>
      <c r="BK31" s="2"/>
      <c r="BL31" s="7"/>
      <c r="BM31" s="2"/>
      <c r="BN31" s="1"/>
      <c r="BO31" s="4"/>
      <c r="BP31" s="2"/>
      <c r="BQ31" s="2"/>
      <c r="BR31" s="3"/>
      <c r="BS31" s="1"/>
      <c r="BT31" s="2"/>
      <c r="BU31" s="21"/>
      <c r="BV31" s="2"/>
      <c r="BW31" s="2"/>
      <c r="BX31" s="21"/>
      <c r="BY31" s="15"/>
    </row>
    <row r="32" spans="1:77" x14ac:dyDescent="0.25">
      <c r="A32" t="str">
        <f t="shared" si="3"/>
        <v>Travée</v>
      </c>
      <c r="B32" t="b">
        <f t="shared" si="4"/>
        <v>0</v>
      </c>
      <c r="C32">
        <f>IF(D32=D30,C30,C30+1)</f>
        <v>3</v>
      </c>
      <c r="D32" s="5" t="s">
        <v>101</v>
      </c>
      <c r="E32" t="s">
        <v>45</v>
      </c>
      <c r="F32" s="5">
        <v>25</v>
      </c>
      <c r="G32" t="s">
        <v>46</v>
      </c>
      <c r="H32">
        <v>500</v>
      </c>
      <c r="I32">
        <v>220000</v>
      </c>
      <c r="J32">
        <v>1576</v>
      </c>
      <c r="K32" s="10">
        <v>1870</v>
      </c>
      <c r="L32" s="12">
        <v>1</v>
      </c>
      <c r="M32" s="5">
        <v>0.23</v>
      </c>
      <c r="N32" s="10">
        <v>2.33</v>
      </c>
      <c r="O32" s="5">
        <v>9.0000000000000008E-4</v>
      </c>
      <c r="P32">
        <v>0.03</v>
      </c>
      <c r="Q32" s="10">
        <v>1</v>
      </c>
      <c r="R32" s="8">
        <v>0</v>
      </c>
      <c r="S32">
        <v>0</v>
      </c>
      <c r="T32">
        <v>1</v>
      </c>
      <c r="U32" s="9">
        <v>0</v>
      </c>
      <c r="V32">
        <v>0</v>
      </c>
      <c r="W32" s="10">
        <v>1</v>
      </c>
      <c r="X32" s="1">
        <v>15.0016</v>
      </c>
      <c r="Y32" s="2">
        <v>4.5568</v>
      </c>
      <c r="Z32" s="13">
        <v>0</v>
      </c>
      <c r="AA32" s="2">
        <v>15.0016</v>
      </c>
      <c r="AB32" s="2">
        <v>4.5568</v>
      </c>
      <c r="AC32" s="2">
        <v>25.6</v>
      </c>
      <c r="AD32" s="2"/>
      <c r="AE32" s="7">
        <v>19.558399999999999</v>
      </c>
      <c r="AF32" s="2">
        <v>15.0016</v>
      </c>
      <c r="AG32" s="2">
        <v>4.5568</v>
      </c>
      <c r="AH32" s="2">
        <v>2.3379907233764179</v>
      </c>
      <c r="AI32" s="2">
        <v>0.7101746565887419</v>
      </c>
      <c r="AJ32" s="2">
        <v>-87.630965214820151</v>
      </c>
      <c r="AK32" s="2">
        <v>-26.618279536242291</v>
      </c>
      <c r="AL32" s="2">
        <v>0</v>
      </c>
      <c r="AM32" s="2">
        <v>0</v>
      </c>
      <c r="AN32" s="2">
        <v>25.6</v>
      </c>
      <c r="AO32" s="2">
        <v>81.466132129172394</v>
      </c>
      <c r="AP32" s="2">
        <v>81.466132129172394</v>
      </c>
      <c r="AQ32" s="2">
        <v>2.9531508740041241</v>
      </c>
      <c r="AR32" s="2">
        <v>-152.3341433327646</v>
      </c>
      <c r="AS32" s="2">
        <v>0</v>
      </c>
      <c r="AT32" s="2">
        <v>0</v>
      </c>
      <c r="AU32" s="1">
        <v>19.558399999999999</v>
      </c>
      <c r="AV32" s="2">
        <v>2.272247987575291</v>
      </c>
      <c r="AW32" s="2">
        <v>-116.3383255310231</v>
      </c>
      <c r="AX32" s="2">
        <v>81.466132129172394</v>
      </c>
      <c r="AZ32" s="1">
        <f t="shared" si="5"/>
        <v>15.0016</v>
      </c>
      <c r="BA32" s="2">
        <f t="shared" si="6"/>
        <v>2.3379907233764179</v>
      </c>
      <c r="BB32" s="7">
        <f t="shared" si="7"/>
        <v>-87.630965214820151</v>
      </c>
      <c r="BC32" s="1">
        <f t="shared" si="8"/>
        <v>4.5568</v>
      </c>
      <c r="BD32" s="2">
        <f t="shared" si="9"/>
        <v>0.7101746565887419</v>
      </c>
      <c r="BE32" s="2">
        <f t="shared" si="13"/>
        <v>-26.618279536242291</v>
      </c>
      <c r="BF32" s="2">
        <f t="shared" si="13"/>
        <v>0</v>
      </c>
      <c r="BG32" s="7">
        <f t="shared" si="13"/>
        <v>0</v>
      </c>
      <c r="BH32" s="1">
        <f t="shared" si="14"/>
        <v>19.558399999999999</v>
      </c>
      <c r="BI32" s="2">
        <f t="shared" si="14"/>
        <v>3.0481653799651598</v>
      </c>
      <c r="BJ32" s="2">
        <f t="shared" si="2"/>
        <v>114.24924475106243</v>
      </c>
      <c r="BK32" s="2">
        <f t="shared" si="10"/>
        <v>0</v>
      </c>
      <c r="BL32" s="7">
        <f t="shared" si="11"/>
        <v>0</v>
      </c>
      <c r="BM32" s="2"/>
      <c r="BN32" s="1"/>
      <c r="BO32" s="4"/>
      <c r="BP32" s="2"/>
      <c r="BQ32" s="2"/>
      <c r="BR32" s="3"/>
      <c r="BS32" s="1"/>
      <c r="BT32" s="2"/>
      <c r="BU32" s="21"/>
      <c r="BV32" s="2"/>
      <c r="BW32" s="2"/>
      <c r="BX32" s="21"/>
      <c r="BY32" s="10"/>
    </row>
    <row r="33" spans="1:77" x14ac:dyDescent="0.25">
      <c r="A33" t="str">
        <f t="shared" si="3"/>
        <v>Appui</v>
      </c>
      <c r="B33" t="b">
        <f t="shared" si="4"/>
        <v>0</v>
      </c>
      <c r="C33">
        <f t="shared" si="12"/>
        <v>3</v>
      </c>
      <c r="D33" s="5" t="s">
        <v>101</v>
      </c>
      <c r="E33" t="s">
        <v>47</v>
      </c>
      <c r="F33" s="5">
        <v>25</v>
      </c>
      <c r="G33" t="s">
        <v>46</v>
      </c>
      <c r="H33">
        <v>500</v>
      </c>
      <c r="I33">
        <v>220000</v>
      </c>
      <c r="J33">
        <v>1576</v>
      </c>
      <c r="K33" s="10">
        <v>1870</v>
      </c>
      <c r="L33" s="12">
        <v>1</v>
      </c>
      <c r="M33" s="5">
        <v>0.23</v>
      </c>
      <c r="N33" s="10">
        <v>2.33</v>
      </c>
      <c r="O33" s="5">
        <v>1.1999999999999999E-3</v>
      </c>
      <c r="P33">
        <v>0.06</v>
      </c>
      <c r="Q33" s="10">
        <v>1</v>
      </c>
      <c r="R33" s="8">
        <v>0</v>
      </c>
      <c r="S33">
        <v>0</v>
      </c>
      <c r="T33">
        <v>1</v>
      </c>
      <c r="U33" s="9">
        <v>0</v>
      </c>
      <c r="V33">
        <v>0</v>
      </c>
      <c r="W33" s="10">
        <v>1</v>
      </c>
      <c r="X33" s="1">
        <v>12.891999999999999</v>
      </c>
      <c r="Y33" s="2">
        <v>3.9159999999999999</v>
      </c>
      <c r="Z33" s="13">
        <v>0</v>
      </c>
      <c r="AA33" s="2">
        <v>12.891999999999999</v>
      </c>
      <c r="AB33" s="2">
        <v>3.9159999999999999</v>
      </c>
      <c r="AC33" s="2">
        <v>22</v>
      </c>
      <c r="AD33" s="2"/>
      <c r="AE33" s="7">
        <v>16.808</v>
      </c>
      <c r="AF33" s="2">
        <v>12.891999999999999</v>
      </c>
      <c r="AG33" s="2">
        <v>3.9159999999999999</v>
      </c>
      <c r="AH33" s="2">
        <v>2.2900235398052642</v>
      </c>
      <c r="AI33" s="2">
        <v>0.69560441994084787</v>
      </c>
      <c r="AJ33" s="2">
        <v>-67.23701619632007</v>
      </c>
      <c r="AK33" s="2">
        <v>-20.423530516970949</v>
      </c>
      <c r="AL33" s="2">
        <v>0</v>
      </c>
      <c r="AM33" s="2">
        <v>0</v>
      </c>
      <c r="AN33" s="2">
        <v>22</v>
      </c>
      <c r="AO33" s="2">
        <v>88.873143701361485</v>
      </c>
      <c r="AP33" s="2">
        <v>88.873143701361485</v>
      </c>
      <c r="AQ33" s="2">
        <v>2.9283696213380122</v>
      </c>
      <c r="AR33" s="2">
        <v>-117.3266820955205</v>
      </c>
      <c r="AS33" s="2">
        <v>0</v>
      </c>
      <c r="AT33" s="2">
        <v>0</v>
      </c>
      <c r="AU33" s="1">
        <v>16.808</v>
      </c>
      <c r="AV33" s="2">
        <v>2.2523996870999561</v>
      </c>
      <c r="AW33" s="2">
        <v>-89.598728919891286</v>
      </c>
      <c r="AX33" s="2">
        <v>88.873143701361485</v>
      </c>
      <c r="AZ33" s="1">
        <f t="shared" si="5"/>
        <v>12.891999999999999</v>
      </c>
      <c r="BA33" s="2">
        <f t="shared" si="6"/>
        <v>2.2900235398052642</v>
      </c>
      <c r="BB33" s="7">
        <f t="shared" si="7"/>
        <v>-67.23701619632007</v>
      </c>
      <c r="BC33" s="1">
        <f t="shared" si="8"/>
        <v>3.9159999999999999</v>
      </c>
      <c r="BD33" s="2">
        <f t="shared" si="9"/>
        <v>0.69560441994084787</v>
      </c>
      <c r="BE33" s="2">
        <f t="shared" si="13"/>
        <v>-20.423530516970949</v>
      </c>
      <c r="BF33" s="2">
        <f t="shared" si="13"/>
        <v>0</v>
      </c>
      <c r="BG33" s="7">
        <f t="shared" si="13"/>
        <v>0</v>
      </c>
      <c r="BH33" s="1">
        <f t="shared" si="14"/>
        <v>16.808</v>
      </c>
      <c r="BI33" s="2">
        <f t="shared" si="14"/>
        <v>2.9856279597461119</v>
      </c>
      <c r="BJ33" s="2">
        <f t="shared" si="2"/>
        <v>87.660546713291012</v>
      </c>
      <c r="BK33" s="2">
        <f t="shared" si="10"/>
        <v>0</v>
      </c>
      <c r="BL33" s="7">
        <f t="shared" si="11"/>
        <v>0</v>
      </c>
      <c r="BM33" s="2"/>
      <c r="BN33" s="1"/>
      <c r="BO33" s="4"/>
      <c r="BP33" s="2"/>
      <c r="BQ33" s="2"/>
      <c r="BR33" s="3"/>
      <c r="BS33" s="1"/>
      <c r="BT33" s="2"/>
      <c r="BU33" s="21"/>
      <c r="BV33" s="2"/>
      <c r="BW33" s="2"/>
      <c r="BX33" s="21"/>
      <c r="BY33" s="15"/>
    </row>
    <row r="34" spans="1:77" x14ac:dyDescent="0.25">
      <c r="A34" t="str">
        <f t="shared" si="3"/>
        <v>Travée</v>
      </c>
      <c r="B34" t="b">
        <f t="shared" si="4"/>
        <v>0</v>
      </c>
      <c r="C34">
        <f t="shared" si="12"/>
        <v>3</v>
      </c>
      <c r="D34" s="5" t="s">
        <v>101</v>
      </c>
      <c r="E34" t="s">
        <v>48</v>
      </c>
      <c r="F34" s="5">
        <v>25</v>
      </c>
      <c r="G34" t="s">
        <v>46</v>
      </c>
      <c r="H34">
        <v>500</v>
      </c>
      <c r="I34">
        <v>220000</v>
      </c>
      <c r="J34">
        <v>1576</v>
      </c>
      <c r="K34" s="10">
        <v>1870</v>
      </c>
      <c r="L34" s="12">
        <v>1</v>
      </c>
      <c r="M34" s="5">
        <v>0.23</v>
      </c>
      <c r="N34" s="10">
        <v>2.33</v>
      </c>
      <c r="O34" s="5">
        <v>6.0000000000000006E-4</v>
      </c>
      <c r="P34">
        <v>0.03</v>
      </c>
      <c r="Q34" s="10">
        <v>1</v>
      </c>
      <c r="R34" s="8">
        <v>0</v>
      </c>
      <c r="S34">
        <v>0</v>
      </c>
      <c r="T34">
        <v>1</v>
      </c>
      <c r="U34" s="9">
        <v>0</v>
      </c>
      <c r="V34">
        <v>0</v>
      </c>
      <c r="W34" s="10">
        <v>1</v>
      </c>
      <c r="X34" s="1">
        <v>15.0016</v>
      </c>
      <c r="Y34" s="2">
        <v>4.5568</v>
      </c>
      <c r="Z34" s="13">
        <v>0</v>
      </c>
      <c r="AA34" s="2">
        <v>15.0016</v>
      </c>
      <c r="AB34" s="2">
        <v>4.5568</v>
      </c>
      <c r="AC34" s="2">
        <v>25.6</v>
      </c>
      <c r="AD34" s="2"/>
      <c r="AE34" s="7">
        <v>19.558399999999999</v>
      </c>
      <c r="AF34" s="2">
        <v>15.0016</v>
      </c>
      <c r="AG34" s="2">
        <v>4.5568</v>
      </c>
      <c r="AH34" s="2">
        <v>2.7993686251875349</v>
      </c>
      <c r="AI34" s="2">
        <v>0.85032016259962673</v>
      </c>
      <c r="AJ34" s="2">
        <v>-130.3301281592307</v>
      </c>
      <c r="AK34" s="2">
        <v>-39.588332444271451</v>
      </c>
      <c r="AL34" s="2">
        <v>0</v>
      </c>
      <c r="AM34" s="2">
        <v>0</v>
      </c>
      <c r="AN34" s="2">
        <v>25.6</v>
      </c>
      <c r="AO34" s="2">
        <v>54.765674354790761</v>
      </c>
      <c r="AP34" s="2">
        <v>54.765674354790761</v>
      </c>
      <c r="AQ34" s="2">
        <v>3.4905200079983532</v>
      </c>
      <c r="AR34" s="2">
        <v>-225.83976440268671</v>
      </c>
      <c r="AS34" s="2">
        <v>0</v>
      </c>
      <c r="AT34" s="2">
        <v>0</v>
      </c>
      <c r="AU34" s="1">
        <v>19.558399999999999</v>
      </c>
      <c r="AV34" s="2">
        <v>2.690574636980394</v>
      </c>
      <c r="AW34" s="2">
        <v>-172.46824091489819</v>
      </c>
      <c r="AX34" s="2">
        <v>54.765674354790761</v>
      </c>
      <c r="AZ34" s="1">
        <f t="shared" si="5"/>
        <v>15.0016</v>
      </c>
      <c r="BA34" s="2">
        <f t="shared" si="6"/>
        <v>2.7993686251875349</v>
      </c>
      <c r="BB34" s="7">
        <f t="shared" si="7"/>
        <v>-130.3301281592307</v>
      </c>
      <c r="BC34" s="1">
        <f t="shared" si="8"/>
        <v>4.5568</v>
      </c>
      <c r="BD34" s="2">
        <f t="shared" si="9"/>
        <v>0.85032016259962673</v>
      </c>
      <c r="BE34" s="2">
        <f t="shared" si="13"/>
        <v>-39.588332444271451</v>
      </c>
      <c r="BF34" s="2">
        <f t="shared" si="13"/>
        <v>0</v>
      </c>
      <c r="BG34" s="7">
        <f t="shared" si="13"/>
        <v>0</v>
      </c>
      <c r="BH34" s="1">
        <f t="shared" si="14"/>
        <v>19.558399999999999</v>
      </c>
      <c r="BI34" s="2">
        <f t="shared" si="14"/>
        <v>3.6496887877871615</v>
      </c>
      <c r="BJ34" s="2">
        <f t="shared" si="2"/>
        <v>169.91846060350215</v>
      </c>
      <c r="BK34" s="2">
        <f t="shared" si="10"/>
        <v>0</v>
      </c>
      <c r="BL34" s="7">
        <f t="shared" si="11"/>
        <v>0</v>
      </c>
      <c r="BM34" s="2"/>
      <c r="BN34" s="1"/>
      <c r="BO34" s="4"/>
      <c r="BP34" s="2"/>
      <c r="BQ34" s="2"/>
      <c r="BR34" s="3"/>
      <c r="BS34" s="1"/>
      <c r="BT34" s="2"/>
      <c r="BU34" s="21"/>
      <c r="BV34" s="2"/>
      <c r="BW34" s="2"/>
      <c r="BX34" s="21"/>
      <c r="BY34" s="10"/>
    </row>
    <row r="35" spans="1:77" x14ac:dyDescent="0.25">
      <c r="A35" t="str">
        <f t="shared" si="3"/>
        <v>Appui</v>
      </c>
      <c r="B35" t="b">
        <f t="shared" si="4"/>
        <v>0</v>
      </c>
      <c r="C35">
        <f>IF(D35=D33,C33,C33+1)</f>
        <v>3</v>
      </c>
      <c r="D35" s="5" t="s">
        <v>101</v>
      </c>
      <c r="E35" t="s">
        <v>49</v>
      </c>
      <c r="F35" s="5">
        <v>25</v>
      </c>
      <c r="G35" t="s">
        <v>46</v>
      </c>
      <c r="H35">
        <v>500</v>
      </c>
      <c r="I35">
        <v>220000</v>
      </c>
      <c r="J35">
        <v>1576</v>
      </c>
      <c r="K35" s="10">
        <v>1870</v>
      </c>
      <c r="L35" s="12">
        <v>1</v>
      </c>
      <c r="M35" s="5">
        <v>0.23</v>
      </c>
      <c r="N35" s="10">
        <v>2.33</v>
      </c>
      <c r="O35" s="5">
        <v>1.1720000000000001E-3</v>
      </c>
      <c r="P35">
        <v>0.06</v>
      </c>
      <c r="Q35" s="10">
        <v>1</v>
      </c>
      <c r="R35" s="8">
        <v>0</v>
      </c>
      <c r="S35">
        <v>0</v>
      </c>
      <c r="T35">
        <v>1</v>
      </c>
      <c r="U35" s="9">
        <v>0</v>
      </c>
      <c r="V35">
        <v>0</v>
      </c>
      <c r="W35" s="10">
        <v>1</v>
      </c>
      <c r="X35" s="1">
        <v>38.675999999999988</v>
      </c>
      <c r="Y35" s="2">
        <v>11.747999999999999</v>
      </c>
      <c r="Z35" s="13">
        <v>0</v>
      </c>
      <c r="AA35" s="2">
        <v>38.675999999999988</v>
      </c>
      <c r="AB35" s="2">
        <v>11.747999999999999</v>
      </c>
      <c r="AC35" s="2">
        <v>66</v>
      </c>
      <c r="AD35" s="2"/>
      <c r="AE35" s="7">
        <v>50.423999999999992</v>
      </c>
      <c r="AF35" s="2">
        <v>38.675999999999988</v>
      </c>
      <c r="AG35" s="2">
        <v>11.747999999999999</v>
      </c>
      <c r="AH35" s="2">
        <v>6.9389912373746521</v>
      </c>
      <c r="AI35" s="2">
        <v>2.1077481915574872</v>
      </c>
      <c r="AJ35" s="2">
        <v>-206.39699521186839</v>
      </c>
      <c r="AK35" s="2">
        <v>-62.693967828861084</v>
      </c>
      <c r="AL35" s="2">
        <v>0</v>
      </c>
      <c r="AM35" s="2">
        <v>0</v>
      </c>
      <c r="AN35" s="2">
        <v>66</v>
      </c>
      <c r="AO35" s="2">
        <v>86.97589845392325</v>
      </c>
      <c r="AP35" s="2">
        <v>86.97589845392325</v>
      </c>
      <c r="AQ35" s="2">
        <v>8.305900682672311</v>
      </c>
      <c r="AR35" s="2">
        <v>-361.57773602295401</v>
      </c>
      <c r="AS35" s="2">
        <v>0</v>
      </c>
      <c r="AT35" s="2">
        <v>0</v>
      </c>
      <c r="AU35" s="1">
        <v>50.423999999999992</v>
      </c>
      <c r="AV35" s="2">
        <v>6.5040231661208674</v>
      </c>
      <c r="AW35" s="2">
        <v>-275.81970011242919</v>
      </c>
      <c r="AX35" s="2">
        <v>86.97589845392325</v>
      </c>
      <c r="AZ35" s="1">
        <f t="shared" si="5"/>
        <v>38.675999999999988</v>
      </c>
      <c r="BA35" s="2">
        <f t="shared" si="6"/>
        <v>6.9389912373746521</v>
      </c>
      <c r="BB35" s="7">
        <f t="shared" si="7"/>
        <v>-206.39699521186839</v>
      </c>
      <c r="BC35" s="1">
        <f t="shared" si="8"/>
        <v>11.747999999999999</v>
      </c>
      <c r="BD35" s="2">
        <f t="shared" si="9"/>
        <v>2.1077481915574872</v>
      </c>
      <c r="BE35" s="2">
        <f t="shared" si="13"/>
        <v>-62.693967828861084</v>
      </c>
      <c r="BF35" s="2">
        <f t="shared" si="13"/>
        <v>0</v>
      </c>
      <c r="BG35" s="7">
        <f t="shared" si="13"/>
        <v>0</v>
      </c>
      <c r="BH35" s="1">
        <f t="shared" si="14"/>
        <v>50.423999999999985</v>
      </c>
      <c r="BI35" s="2">
        <f t="shared" si="14"/>
        <v>9.0467394289321383</v>
      </c>
      <c r="BJ35" s="2">
        <f t="shared" si="2"/>
        <v>269.09096304072949</v>
      </c>
      <c r="BK35" s="2">
        <f t="shared" si="10"/>
        <v>0</v>
      </c>
      <c r="BL35" s="7">
        <f t="shared" si="11"/>
        <v>0</v>
      </c>
      <c r="BM35" s="2"/>
      <c r="BN35" s="1"/>
      <c r="BO35" s="4"/>
      <c r="BP35" s="2"/>
      <c r="BQ35" s="2"/>
      <c r="BR35" s="3"/>
      <c r="BS35" s="1"/>
      <c r="BT35" s="2"/>
      <c r="BU35" s="21"/>
      <c r="BV35" s="2"/>
      <c r="BW35" s="2"/>
      <c r="BX35" s="21"/>
      <c r="BY35" s="15"/>
    </row>
    <row r="36" spans="1:77" x14ac:dyDescent="0.25">
      <c r="A36" t="str">
        <f t="shared" si="3"/>
        <v>Travée</v>
      </c>
      <c r="B36" t="b">
        <f t="shared" si="4"/>
        <v>0</v>
      </c>
      <c r="C36">
        <f>IF(D36=D34,C34,C34+1)</f>
        <v>3</v>
      </c>
      <c r="D36" s="5" t="s">
        <v>101</v>
      </c>
      <c r="E36" t="s">
        <v>51</v>
      </c>
      <c r="F36" s="5">
        <v>25</v>
      </c>
      <c r="G36" t="s">
        <v>46</v>
      </c>
      <c r="H36">
        <v>500</v>
      </c>
      <c r="I36">
        <v>220000</v>
      </c>
      <c r="J36">
        <v>1576</v>
      </c>
      <c r="K36" s="10">
        <v>1870</v>
      </c>
      <c r="L36" s="12">
        <v>1</v>
      </c>
      <c r="M36" s="5">
        <v>0.23</v>
      </c>
      <c r="N36" s="10">
        <v>2.33</v>
      </c>
      <c r="O36" s="5">
        <v>9.0000000000000008E-4</v>
      </c>
      <c r="P36">
        <v>0.03</v>
      </c>
      <c r="Q36" s="10">
        <v>1</v>
      </c>
      <c r="R36" s="8">
        <v>0</v>
      </c>
      <c r="S36">
        <v>0</v>
      </c>
      <c r="T36">
        <v>1</v>
      </c>
      <c r="U36" s="9">
        <v>0</v>
      </c>
      <c r="V36">
        <v>0</v>
      </c>
      <c r="W36" s="10">
        <v>1</v>
      </c>
      <c r="X36" s="1">
        <v>33.753599999999999</v>
      </c>
      <c r="Y36" s="2">
        <v>10.252800000000001</v>
      </c>
      <c r="Z36" s="13">
        <v>0</v>
      </c>
      <c r="AA36" s="2">
        <v>33.753599999999999</v>
      </c>
      <c r="AB36" s="2">
        <v>10.252800000000001</v>
      </c>
      <c r="AC36" s="2">
        <v>57.6</v>
      </c>
      <c r="AD36" s="2"/>
      <c r="AE36" s="7">
        <v>44.006399999999999</v>
      </c>
      <c r="AF36" s="2">
        <v>33.753599999999999</v>
      </c>
      <c r="AG36" s="2">
        <v>10.252800000000001</v>
      </c>
      <c r="AH36" s="2">
        <v>5.2604791275969474</v>
      </c>
      <c r="AI36" s="2">
        <v>1.5978929773246711</v>
      </c>
      <c r="AJ36" s="2">
        <v>-197.16967173334541</v>
      </c>
      <c r="AK36" s="2">
        <v>-59.89112895654516</v>
      </c>
      <c r="AL36" s="2">
        <v>0</v>
      </c>
      <c r="AM36" s="2">
        <v>0</v>
      </c>
      <c r="AN36" s="2">
        <v>57.6</v>
      </c>
      <c r="AO36" s="2">
        <v>81.466132129172394</v>
      </c>
      <c r="AP36" s="2">
        <v>81.466132129172394</v>
      </c>
      <c r="AQ36" s="2">
        <v>6.3821149477214369</v>
      </c>
      <c r="AR36" s="2">
        <v>-343.49649295992168</v>
      </c>
      <c r="AS36" s="2">
        <v>0</v>
      </c>
      <c r="AT36" s="2">
        <v>0</v>
      </c>
      <c r="AU36" s="1">
        <v>44.006399999999999</v>
      </c>
      <c r="AV36" s="2">
        <v>4.9631570832497216</v>
      </c>
      <c r="AW36" s="2">
        <v>-262.18243800957521</v>
      </c>
      <c r="AX36" s="2">
        <v>81.466132129172394</v>
      </c>
      <c r="AZ36" s="1">
        <f t="shared" si="5"/>
        <v>33.753599999999999</v>
      </c>
      <c r="BA36" s="2">
        <f t="shared" si="6"/>
        <v>5.2604791275969474</v>
      </c>
      <c r="BB36" s="7">
        <f t="shared" si="7"/>
        <v>-197.16967173334541</v>
      </c>
      <c r="BC36" s="1">
        <f t="shared" si="8"/>
        <v>10.252800000000001</v>
      </c>
      <c r="BD36" s="2">
        <f t="shared" si="9"/>
        <v>1.5978929773246711</v>
      </c>
      <c r="BE36" s="2">
        <f t="shared" si="13"/>
        <v>-59.89112895654516</v>
      </c>
      <c r="BF36" s="2">
        <f t="shared" si="13"/>
        <v>0</v>
      </c>
      <c r="BG36" s="7">
        <f t="shared" si="13"/>
        <v>0</v>
      </c>
      <c r="BH36" s="1">
        <f t="shared" si="14"/>
        <v>44.006399999999999</v>
      </c>
      <c r="BI36" s="2">
        <f t="shared" si="14"/>
        <v>6.8583721049216182</v>
      </c>
      <c r="BJ36" s="2">
        <f t="shared" si="2"/>
        <v>257.06080068989058</v>
      </c>
      <c r="BK36" s="2">
        <f t="shared" si="10"/>
        <v>0</v>
      </c>
      <c r="BL36" s="7">
        <f t="shared" si="11"/>
        <v>0</v>
      </c>
      <c r="BM36" s="2"/>
      <c r="BN36" s="1"/>
      <c r="BO36" s="4"/>
      <c r="BP36" s="2"/>
      <c r="BQ36" s="2"/>
      <c r="BR36" s="3"/>
      <c r="BS36" s="1"/>
      <c r="BT36" s="2"/>
      <c r="BU36" s="21"/>
      <c r="BV36" s="2"/>
      <c r="BW36" s="2"/>
      <c r="BX36" s="21"/>
      <c r="BY36" s="10"/>
    </row>
    <row r="37" spans="1:77" x14ac:dyDescent="0.25">
      <c r="A37" t="str">
        <f t="shared" si="3"/>
        <v>Appui</v>
      </c>
      <c r="B37" t="b">
        <f t="shared" si="4"/>
        <v>0</v>
      </c>
      <c r="C37">
        <f>IF(D37="",100000,IF(D37=D36,C36,C36+1))</f>
        <v>3</v>
      </c>
      <c r="D37" s="5" t="s">
        <v>101</v>
      </c>
      <c r="E37" t="s">
        <v>52</v>
      </c>
      <c r="F37" s="5">
        <v>25</v>
      </c>
      <c r="G37" t="s">
        <v>46</v>
      </c>
      <c r="H37">
        <v>500</v>
      </c>
      <c r="I37">
        <v>220000</v>
      </c>
      <c r="J37">
        <v>1576</v>
      </c>
      <c r="K37" s="10">
        <v>1870</v>
      </c>
      <c r="L37" s="12">
        <v>1</v>
      </c>
      <c r="M37" s="5">
        <v>0.23</v>
      </c>
      <c r="N37" s="10">
        <v>2.33</v>
      </c>
      <c r="O37" s="5">
        <v>1.47E-3</v>
      </c>
      <c r="P37">
        <v>0.06</v>
      </c>
      <c r="Q37" s="10">
        <v>1</v>
      </c>
      <c r="R37" s="8">
        <v>0</v>
      </c>
      <c r="S37">
        <v>0</v>
      </c>
      <c r="T37">
        <v>1</v>
      </c>
      <c r="U37" s="9">
        <v>0</v>
      </c>
      <c r="V37">
        <v>0</v>
      </c>
      <c r="W37" s="10">
        <v>1</v>
      </c>
      <c r="X37" s="1">
        <v>51.567999999999998</v>
      </c>
      <c r="Y37" s="2">
        <v>15.664</v>
      </c>
      <c r="Z37" s="13">
        <v>0</v>
      </c>
      <c r="AA37" s="2">
        <v>51.567999999999998</v>
      </c>
      <c r="AB37" s="2">
        <v>15.664</v>
      </c>
      <c r="AC37" s="2">
        <v>88</v>
      </c>
      <c r="AD37" s="2"/>
      <c r="AE37" s="7">
        <v>67.231999999999999</v>
      </c>
      <c r="AF37" s="2">
        <v>51.567999999999998</v>
      </c>
      <c r="AG37" s="2">
        <v>15.664</v>
      </c>
      <c r="AH37" s="2">
        <v>8.4242919101818678</v>
      </c>
      <c r="AI37" s="2">
        <v>2.5589146075296432</v>
      </c>
      <c r="AJ37" s="2">
        <v>-220.79610691625649</v>
      </c>
      <c r="AK37" s="2">
        <v>-67.06775943872637</v>
      </c>
      <c r="AL37" s="2">
        <v>0</v>
      </c>
      <c r="AM37" s="2">
        <v>0</v>
      </c>
      <c r="AN37" s="2">
        <v>88</v>
      </c>
      <c r="AO37" s="2">
        <v>106.8995080190505</v>
      </c>
      <c r="AP37" s="2">
        <v>106.8995080190505</v>
      </c>
      <c r="AQ37" s="2">
        <v>9.8928699794265427</v>
      </c>
      <c r="AR37" s="2">
        <v>-388.69229040590881</v>
      </c>
      <c r="AS37" s="2">
        <v>0</v>
      </c>
      <c r="AT37" s="2">
        <v>0</v>
      </c>
      <c r="AU37" s="1">
        <v>67.231999999999999</v>
      </c>
      <c r="AV37" s="2">
        <v>7.8049255890293256</v>
      </c>
      <c r="AW37" s="2">
        <v>-296.27902335585401</v>
      </c>
      <c r="AX37" s="2">
        <v>106.8995080190505</v>
      </c>
      <c r="AZ37" s="1">
        <f t="shared" si="5"/>
        <v>51.567999999999998</v>
      </c>
      <c r="BA37" s="2">
        <f t="shared" si="6"/>
        <v>8.4242919101818678</v>
      </c>
      <c r="BB37" s="7">
        <f t="shared" si="7"/>
        <v>-220.79610691625649</v>
      </c>
      <c r="BC37" s="1">
        <f t="shared" si="8"/>
        <v>15.664</v>
      </c>
      <c r="BD37" s="2">
        <f t="shared" si="9"/>
        <v>2.5589146075296432</v>
      </c>
      <c r="BE37" s="2">
        <f t="shared" si="13"/>
        <v>-67.06775943872637</v>
      </c>
      <c r="BF37" s="2">
        <f t="shared" si="13"/>
        <v>0</v>
      </c>
      <c r="BG37" s="7">
        <f t="shared" si="13"/>
        <v>0</v>
      </c>
      <c r="BH37" s="1">
        <f t="shared" si="14"/>
        <v>67.231999999999999</v>
      </c>
      <c r="BI37" s="2">
        <f t="shared" si="14"/>
        <v>10.983206517711512</v>
      </c>
      <c r="BJ37" s="2">
        <f t="shared" si="2"/>
        <v>287.86386635498286</v>
      </c>
      <c r="BK37" s="2">
        <f t="shared" si="10"/>
        <v>0</v>
      </c>
      <c r="BL37" s="7">
        <f t="shared" si="11"/>
        <v>0</v>
      </c>
      <c r="BM37" s="2"/>
      <c r="BN37" s="1"/>
      <c r="BO37" s="4"/>
      <c r="BP37" s="2"/>
      <c r="BQ37" s="2"/>
      <c r="BR37" s="3"/>
      <c r="BS37" s="1"/>
      <c r="BT37" s="2"/>
      <c r="BU37" s="21"/>
      <c r="BV37" s="2"/>
      <c r="BW37" s="2"/>
      <c r="BX37" s="21"/>
      <c r="BY37" s="15"/>
    </row>
    <row r="38" spans="1:77" x14ac:dyDescent="0.25">
      <c r="A38" t="str">
        <f t="shared" si="3"/>
        <v>Travée</v>
      </c>
      <c r="B38" t="b">
        <f t="shared" si="4"/>
        <v>0</v>
      </c>
      <c r="C38">
        <f>IF(D38="",100000,IF(D38=D37,C37,C37+1))</f>
        <v>3</v>
      </c>
      <c r="D38" s="5" t="s">
        <v>101</v>
      </c>
      <c r="E38" t="s">
        <v>53</v>
      </c>
      <c r="F38" s="5">
        <v>25</v>
      </c>
      <c r="G38" t="s">
        <v>46</v>
      </c>
      <c r="H38">
        <v>500</v>
      </c>
      <c r="I38">
        <v>220000</v>
      </c>
      <c r="J38">
        <v>1576</v>
      </c>
      <c r="K38" s="10">
        <v>1870</v>
      </c>
      <c r="L38" s="12">
        <v>1</v>
      </c>
      <c r="M38" s="5">
        <v>0.23</v>
      </c>
      <c r="N38" s="10">
        <v>2.33</v>
      </c>
      <c r="O38" s="5">
        <v>9.0000000000000008E-4</v>
      </c>
      <c r="P38">
        <v>0.03</v>
      </c>
      <c r="Q38" s="10">
        <v>1</v>
      </c>
      <c r="R38" s="8">
        <v>0</v>
      </c>
      <c r="S38">
        <v>0</v>
      </c>
      <c r="T38">
        <v>1</v>
      </c>
      <c r="U38" s="9">
        <v>0</v>
      </c>
      <c r="V38">
        <v>0</v>
      </c>
      <c r="W38" s="10">
        <v>1</v>
      </c>
      <c r="X38" s="1">
        <v>30.0032</v>
      </c>
      <c r="Y38" s="2">
        <v>9.1135999999999999</v>
      </c>
      <c r="Z38" s="13">
        <v>0</v>
      </c>
      <c r="AA38" s="2">
        <v>30.0032</v>
      </c>
      <c r="AB38" s="2">
        <v>9.1135999999999999</v>
      </c>
      <c r="AC38" s="2">
        <v>51.2</v>
      </c>
      <c r="AD38" s="2"/>
      <c r="AE38" s="7">
        <v>39.116799999999998</v>
      </c>
      <c r="AF38" s="2">
        <v>30.0032</v>
      </c>
      <c r="AG38" s="2">
        <v>9.1135999999999999</v>
      </c>
      <c r="AH38" s="2">
        <v>4.6759814467528367</v>
      </c>
      <c r="AI38" s="2">
        <v>1.420349313177484</v>
      </c>
      <c r="AJ38" s="2">
        <v>-175.2619304296403</v>
      </c>
      <c r="AK38" s="2">
        <v>-53.236559072484603</v>
      </c>
      <c r="AL38" s="2">
        <v>0</v>
      </c>
      <c r="AM38" s="2">
        <v>0</v>
      </c>
      <c r="AN38" s="2">
        <v>51.2</v>
      </c>
      <c r="AO38" s="2">
        <v>81.466132129172394</v>
      </c>
      <c r="AP38" s="2">
        <v>81.466132129172394</v>
      </c>
      <c r="AQ38" s="2">
        <v>5.7212314344617043</v>
      </c>
      <c r="AR38" s="2">
        <v>-305.19224647510617</v>
      </c>
      <c r="AS38" s="2">
        <v>0</v>
      </c>
      <c r="AT38" s="2">
        <v>0</v>
      </c>
      <c r="AU38" s="1">
        <v>39.116799999999998</v>
      </c>
      <c r="AV38" s="2">
        <v>4.4389082192285088</v>
      </c>
      <c r="AW38" s="2">
        <v>-232.97386644578319</v>
      </c>
      <c r="AX38" s="2">
        <v>81.466132129172394</v>
      </c>
      <c r="AZ38" s="1">
        <f t="shared" si="5"/>
        <v>30.0032</v>
      </c>
      <c r="BA38" s="2">
        <f t="shared" si="6"/>
        <v>4.6759814467528367</v>
      </c>
      <c r="BB38" s="7">
        <f t="shared" si="7"/>
        <v>-175.2619304296403</v>
      </c>
      <c r="BC38" s="1">
        <f t="shared" si="8"/>
        <v>9.1135999999999999</v>
      </c>
      <c r="BD38" s="2">
        <f t="shared" si="9"/>
        <v>1.420349313177484</v>
      </c>
      <c r="BE38" s="2">
        <f t="shared" si="13"/>
        <v>-53.236559072484603</v>
      </c>
      <c r="BF38" s="2">
        <f t="shared" si="13"/>
        <v>0</v>
      </c>
      <c r="BG38" s="7">
        <f t="shared" si="13"/>
        <v>0</v>
      </c>
      <c r="BH38" s="1">
        <f t="shared" si="14"/>
        <v>39.116799999999998</v>
      </c>
      <c r="BI38" s="2">
        <f t="shared" si="14"/>
        <v>6.0963307599303205</v>
      </c>
      <c r="BJ38" s="2">
        <f t="shared" si="2"/>
        <v>228.4984895021249</v>
      </c>
      <c r="BK38" s="2">
        <f t="shared" si="10"/>
        <v>0</v>
      </c>
      <c r="BL38" s="7">
        <f t="shared" si="11"/>
        <v>0</v>
      </c>
      <c r="BN38" s="1"/>
      <c r="BO38" s="4"/>
      <c r="BP38" s="2"/>
      <c r="BQ38" s="2"/>
      <c r="BR38" s="3"/>
      <c r="BS38" s="1"/>
      <c r="BT38" s="2"/>
      <c r="BU38" s="21"/>
      <c r="BV38" s="2"/>
      <c r="BW38" s="2"/>
      <c r="BX38" s="21"/>
      <c r="BY38" s="10"/>
    </row>
    <row r="39" spans="1:77" x14ac:dyDescent="0.25">
      <c r="A39" t="str">
        <f t="shared" si="3"/>
        <v>Appui</v>
      </c>
      <c r="B39" t="b">
        <f t="shared" si="4"/>
        <v>0</v>
      </c>
      <c r="C39">
        <f t="shared" ref="C39:C65" si="15">IF(D39="",100000,IF(D39=D38,C38,C38+1))</f>
        <v>3</v>
      </c>
      <c r="D39" s="5" t="s">
        <v>101</v>
      </c>
      <c r="E39" t="s">
        <v>54</v>
      </c>
      <c r="F39" s="5">
        <v>25</v>
      </c>
      <c r="G39" t="s">
        <v>46</v>
      </c>
      <c r="H39">
        <v>500</v>
      </c>
      <c r="I39">
        <v>220000</v>
      </c>
      <c r="J39">
        <v>1576</v>
      </c>
      <c r="K39" s="10">
        <v>1870</v>
      </c>
      <c r="L39" s="12">
        <v>1</v>
      </c>
      <c r="M39" s="5">
        <v>0.23</v>
      </c>
      <c r="N39" s="10">
        <v>2.33</v>
      </c>
      <c r="O39" s="5">
        <v>1.47E-3</v>
      </c>
      <c r="P39">
        <v>0.06</v>
      </c>
      <c r="Q39" s="10">
        <v>1</v>
      </c>
      <c r="R39" s="8">
        <v>0</v>
      </c>
      <c r="S39">
        <v>0</v>
      </c>
      <c r="T39">
        <v>1</v>
      </c>
      <c r="U39" s="9">
        <v>0</v>
      </c>
      <c r="V39">
        <v>0</v>
      </c>
      <c r="W39" s="10">
        <v>1</v>
      </c>
      <c r="X39" s="1">
        <v>38.675999999999988</v>
      </c>
      <c r="Y39" s="2">
        <v>11.747999999999999</v>
      </c>
      <c r="Z39" s="13">
        <v>0</v>
      </c>
      <c r="AA39" s="2">
        <v>38.675999999999988</v>
      </c>
      <c r="AB39" s="2">
        <v>11.747999999999999</v>
      </c>
      <c r="AC39" s="2">
        <v>66</v>
      </c>
      <c r="AD39" s="2"/>
      <c r="AE39" s="7">
        <v>50.423999999999992</v>
      </c>
      <c r="AF39" s="2">
        <v>38.675999999999988</v>
      </c>
      <c r="AG39" s="2">
        <v>11.747999999999999</v>
      </c>
      <c r="AH39" s="2">
        <v>6.318218932636392</v>
      </c>
      <c r="AI39" s="2">
        <v>1.919185955647233</v>
      </c>
      <c r="AJ39" s="2">
        <v>-165.5970801871924</v>
      </c>
      <c r="AK39" s="2">
        <v>-50.300819579044777</v>
      </c>
      <c r="AL39" s="2">
        <v>0</v>
      </c>
      <c r="AM39" s="2">
        <v>0</v>
      </c>
      <c r="AN39" s="2">
        <v>66</v>
      </c>
      <c r="AO39" s="2">
        <v>106.8995080190505</v>
      </c>
      <c r="AP39" s="2">
        <v>106.8995080190505</v>
      </c>
      <c r="AQ39" s="2">
        <v>7.6757142204790121</v>
      </c>
      <c r="AR39" s="2">
        <v>-290.81196332569908</v>
      </c>
      <c r="AS39" s="2">
        <v>0</v>
      </c>
      <c r="AT39" s="2">
        <v>0</v>
      </c>
      <c r="AU39" s="1">
        <v>50.423999999999992</v>
      </c>
      <c r="AV39" s="2">
        <v>5.9939728401309642</v>
      </c>
      <c r="AW39" s="2">
        <v>-221.8267152592455</v>
      </c>
      <c r="AX39" s="2">
        <v>106.8995080190505</v>
      </c>
      <c r="AZ39" s="1">
        <f t="shared" si="5"/>
        <v>38.675999999999988</v>
      </c>
      <c r="BA39" s="2">
        <f t="shared" si="6"/>
        <v>6.318218932636392</v>
      </c>
      <c r="BB39" s="7">
        <f t="shared" si="7"/>
        <v>-165.5970801871924</v>
      </c>
      <c r="BC39" s="1">
        <f t="shared" si="8"/>
        <v>11.747999999999999</v>
      </c>
      <c r="BD39" s="2">
        <f t="shared" si="9"/>
        <v>1.919185955647233</v>
      </c>
      <c r="BE39" s="2">
        <f t="shared" si="13"/>
        <v>-50.300819579044777</v>
      </c>
      <c r="BF39" s="2">
        <f t="shared" si="13"/>
        <v>0</v>
      </c>
      <c r="BG39" s="7">
        <f t="shared" si="13"/>
        <v>0</v>
      </c>
      <c r="BH39" s="1">
        <f t="shared" si="14"/>
        <v>50.423999999999985</v>
      </c>
      <c r="BI39" s="2">
        <f t="shared" si="14"/>
        <v>8.2374048882836242</v>
      </c>
      <c r="BJ39" s="2">
        <f t="shared" si="2"/>
        <v>215.89789976623717</v>
      </c>
      <c r="BK39" s="2">
        <f t="shared" si="10"/>
        <v>0</v>
      </c>
      <c r="BL39" s="7">
        <f t="shared" si="11"/>
        <v>0</v>
      </c>
      <c r="BN39" s="1"/>
      <c r="BO39" s="4"/>
      <c r="BP39" s="2"/>
      <c r="BQ39" s="2"/>
      <c r="BR39" s="3"/>
      <c r="BS39" s="1"/>
      <c r="BT39" s="2"/>
      <c r="BU39" s="21"/>
      <c r="BV39" s="2"/>
      <c r="BW39" s="2"/>
      <c r="BX39" s="21"/>
      <c r="BY39" s="15"/>
    </row>
    <row r="40" spans="1:77" x14ac:dyDescent="0.25">
      <c r="A40" t="str">
        <f t="shared" si="3"/>
        <v>Travée</v>
      </c>
      <c r="B40" t="b">
        <f t="shared" si="4"/>
        <v>0</v>
      </c>
      <c r="C40">
        <f t="shared" si="15"/>
        <v>3</v>
      </c>
      <c r="D40" s="5" t="s">
        <v>101</v>
      </c>
      <c r="E40" t="s">
        <v>55</v>
      </c>
      <c r="F40" s="5">
        <v>25</v>
      </c>
      <c r="G40" t="s">
        <v>46</v>
      </c>
      <c r="H40">
        <v>500</v>
      </c>
      <c r="I40">
        <v>220000</v>
      </c>
      <c r="J40">
        <v>1576</v>
      </c>
      <c r="K40" s="10">
        <v>1870</v>
      </c>
      <c r="L40" s="12">
        <v>1</v>
      </c>
      <c r="M40" s="5">
        <v>0.23</v>
      </c>
      <c r="N40" s="10">
        <v>2.33</v>
      </c>
      <c r="O40" s="5">
        <v>9.0000000000000008E-4</v>
      </c>
      <c r="P40">
        <v>0.03</v>
      </c>
      <c r="Q40" s="10">
        <v>1</v>
      </c>
      <c r="R40" s="8">
        <v>0</v>
      </c>
      <c r="S40">
        <v>0</v>
      </c>
      <c r="T40">
        <v>1</v>
      </c>
      <c r="U40" s="9">
        <v>0</v>
      </c>
      <c r="V40">
        <v>0</v>
      </c>
      <c r="W40" s="10">
        <v>1</v>
      </c>
      <c r="X40" s="1">
        <v>26.252800000000001</v>
      </c>
      <c r="Y40" s="2">
        <v>7.9744000000000002</v>
      </c>
      <c r="Z40" s="13">
        <v>0</v>
      </c>
      <c r="AA40" s="2">
        <v>26.252800000000001</v>
      </c>
      <c r="AB40" s="2">
        <v>7.9744000000000002</v>
      </c>
      <c r="AC40" s="2">
        <v>44.8</v>
      </c>
      <c r="AD40" s="2"/>
      <c r="AE40" s="7">
        <v>34.227200000000003</v>
      </c>
      <c r="AF40" s="2">
        <v>26.252800000000001</v>
      </c>
      <c r="AG40" s="2">
        <v>7.9744000000000002</v>
      </c>
      <c r="AH40" s="2">
        <v>4.0914837659087331</v>
      </c>
      <c r="AI40" s="2">
        <v>1.2428056490302981</v>
      </c>
      <c r="AJ40" s="2">
        <v>-153.35418912593531</v>
      </c>
      <c r="AK40" s="2">
        <v>-46.581989188424032</v>
      </c>
      <c r="AL40" s="2">
        <v>0</v>
      </c>
      <c r="AM40" s="2">
        <v>0</v>
      </c>
      <c r="AN40" s="2">
        <v>44.8</v>
      </c>
      <c r="AO40" s="2">
        <v>81.466132129172394</v>
      </c>
      <c r="AP40" s="2">
        <v>81.466132129172394</v>
      </c>
      <c r="AQ40" s="2">
        <v>5.0475655330060771</v>
      </c>
      <c r="AR40" s="2">
        <v>-266.92504856232728</v>
      </c>
      <c r="AS40" s="2">
        <v>0</v>
      </c>
      <c r="AT40" s="2">
        <v>0</v>
      </c>
      <c r="AU40" s="1">
        <v>34.227200000000003</v>
      </c>
      <c r="AV40" s="2">
        <v>3.9075609092203041</v>
      </c>
      <c r="AW40" s="2">
        <v>-203.78563629870999</v>
      </c>
      <c r="AX40" s="2">
        <v>81.466132129172394</v>
      </c>
      <c r="AZ40" s="1">
        <f t="shared" si="5"/>
        <v>26.252800000000001</v>
      </c>
      <c r="BA40" s="2">
        <f t="shared" si="6"/>
        <v>4.0914837659087331</v>
      </c>
      <c r="BB40" s="7">
        <f t="shared" si="7"/>
        <v>-153.35418912593531</v>
      </c>
      <c r="BC40" s="1">
        <f t="shared" si="8"/>
        <v>7.9744000000000002</v>
      </c>
      <c r="BD40" s="2">
        <f t="shared" si="9"/>
        <v>1.2428056490302981</v>
      </c>
      <c r="BE40" s="2">
        <f t="shared" si="13"/>
        <v>-46.581989188424032</v>
      </c>
      <c r="BF40" s="2">
        <f t="shared" si="13"/>
        <v>0</v>
      </c>
      <c r="BG40" s="7">
        <f t="shared" si="13"/>
        <v>0</v>
      </c>
      <c r="BH40" s="1">
        <f t="shared" si="14"/>
        <v>34.227200000000003</v>
      </c>
      <c r="BI40" s="2">
        <f t="shared" si="14"/>
        <v>5.3342894149390307</v>
      </c>
      <c r="BJ40" s="2">
        <f t="shared" si="2"/>
        <v>199.93617831435932</v>
      </c>
      <c r="BK40" s="2">
        <f t="shared" si="10"/>
        <v>0</v>
      </c>
      <c r="BL40" s="7">
        <f t="shared" si="11"/>
        <v>0</v>
      </c>
      <c r="BN40" s="1"/>
      <c r="BO40" s="4"/>
      <c r="BP40" s="2"/>
      <c r="BQ40" s="2"/>
      <c r="BR40" s="3"/>
      <c r="BS40" s="1"/>
      <c r="BT40" s="2"/>
      <c r="BU40" s="21"/>
      <c r="BV40" s="2"/>
      <c r="BW40" s="2"/>
      <c r="BX40" s="21"/>
      <c r="BY40" s="10"/>
    </row>
    <row r="41" spans="1:77" x14ac:dyDescent="0.25">
      <c r="D41" s="5"/>
      <c r="F41" s="5"/>
      <c r="K41" s="10"/>
      <c r="L41" s="12"/>
      <c r="M41" s="5"/>
      <c r="N41" s="10"/>
      <c r="O41" s="5"/>
      <c r="Q41" s="10"/>
      <c r="R41" s="8"/>
      <c r="U41" s="9"/>
      <c r="W41" s="10"/>
      <c r="X41" s="1"/>
      <c r="Y41" s="2"/>
      <c r="Z41" s="13"/>
      <c r="AA41" s="2"/>
      <c r="AB41" s="2"/>
      <c r="AC41" s="2"/>
      <c r="AD41" s="2"/>
      <c r="AE41" s="7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"/>
      <c r="AV41" s="2"/>
      <c r="AW41" s="2"/>
      <c r="AX41" s="2"/>
      <c r="AZ41" s="1"/>
      <c r="BA41" s="2"/>
      <c r="BB41" s="7"/>
      <c r="BC41" s="1"/>
      <c r="BD41" s="2"/>
      <c r="BE41" s="2"/>
      <c r="BF41" s="2"/>
      <c r="BG41" s="7"/>
      <c r="BH41" s="1"/>
      <c r="BI41" s="2"/>
      <c r="BJ41" s="2"/>
      <c r="BK41" s="2"/>
      <c r="BL41" s="7"/>
      <c r="BN41" s="1"/>
      <c r="BO41" s="4"/>
      <c r="BP41" s="2"/>
      <c r="BQ41" s="2"/>
      <c r="BR41" s="3"/>
      <c r="BS41" s="1"/>
      <c r="BT41" s="2"/>
      <c r="BU41" s="21"/>
      <c r="BV41" s="2"/>
      <c r="BW41" s="2"/>
      <c r="BX41" s="21"/>
      <c r="BY41" s="15"/>
    </row>
    <row r="42" spans="1:77" x14ac:dyDescent="0.25">
      <c r="A42" t="str">
        <f t="shared" si="3"/>
        <v>Travée</v>
      </c>
      <c r="B42" t="b">
        <f t="shared" si="4"/>
        <v>1</v>
      </c>
      <c r="C42">
        <f>IF(D42="",100000,IF(D42=D40,C40,C40+1))</f>
        <v>4</v>
      </c>
      <c r="D42" s="5" t="s">
        <v>102</v>
      </c>
      <c r="E42" t="s">
        <v>45</v>
      </c>
      <c r="F42" s="5">
        <v>25</v>
      </c>
      <c r="G42" t="s">
        <v>46</v>
      </c>
      <c r="H42">
        <v>500</v>
      </c>
      <c r="I42">
        <v>220000</v>
      </c>
      <c r="J42">
        <v>1576</v>
      </c>
      <c r="K42" s="10">
        <v>1870</v>
      </c>
      <c r="L42" s="12">
        <v>1</v>
      </c>
      <c r="M42" s="5">
        <v>0.2</v>
      </c>
      <c r="N42" s="10">
        <v>2.33</v>
      </c>
      <c r="O42" s="5">
        <v>9.0000000000000008E-4</v>
      </c>
      <c r="P42">
        <v>0.03</v>
      </c>
      <c r="Q42" s="10">
        <v>1</v>
      </c>
      <c r="R42" s="8">
        <v>0</v>
      </c>
      <c r="S42">
        <v>0</v>
      </c>
      <c r="T42">
        <v>1</v>
      </c>
      <c r="U42" s="9">
        <v>0</v>
      </c>
      <c r="V42">
        <v>0</v>
      </c>
      <c r="W42" s="10">
        <v>1</v>
      </c>
      <c r="X42" s="1">
        <v>15.0016</v>
      </c>
      <c r="Y42" s="2">
        <v>4.5568</v>
      </c>
      <c r="Z42" s="13">
        <v>0</v>
      </c>
      <c r="AA42" s="2">
        <v>15.0016</v>
      </c>
      <c r="AB42" s="2">
        <v>4.5568</v>
      </c>
      <c r="AC42" s="2">
        <v>25.6</v>
      </c>
      <c r="AD42" s="2"/>
      <c r="AE42" s="7">
        <v>19.558399999999999</v>
      </c>
      <c r="AF42" s="2">
        <v>15.0016</v>
      </c>
      <c r="AG42" s="2">
        <v>4.5568</v>
      </c>
      <c r="AH42" s="2">
        <v>3.018751850079485</v>
      </c>
      <c r="AI42" s="2">
        <v>0.91695875309581742</v>
      </c>
      <c r="AJ42" s="2">
        <v>-103.49787056772691</v>
      </c>
      <c r="AK42" s="2">
        <v>-31.437919728763479</v>
      </c>
      <c r="AL42" s="2">
        <v>0</v>
      </c>
      <c r="AM42" s="2">
        <v>0</v>
      </c>
      <c r="AN42" s="2">
        <v>25.6</v>
      </c>
      <c r="AO42" s="2">
        <v>68.511262863476688</v>
      </c>
      <c r="AP42" s="2">
        <v>68.511262863476688</v>
      </c>
      <c r="AQ42" s="2">
        <v>3.790465950279907</v>
      </c>
      <c r="AR42" s="2">
        <v>-180.2743179808752</v>
      </c>
      <c r="AS42" s="2">
        <v>0</v>
      </c>
      <c r="AT42" s="2">
        <v>0</v>
      </c>
      <c r="AU42" s="1">
        <v>19.558399999999999</v>
      </c>
      <c r="AV42" s="2">
        <v>2.9225420495692291</v>
      </c>
      <c r="AW42" s="2">
        <v>-137.6606585052904</v>
      </c>
      <c r="AX42" s="2">
        <v>68.511262863476688</v>
      </c>
      <c r="AZ42" s="1">
        <f t="shared" si="5"/>
        <v>15.0016</v>
      </c>
      <c r="BA42" s="2">
        <f t="shared" si="6"/>
        <v>3.018751850079485</v>
      </c>
      <c r="BB42" s="7">
        <f t="shared" si="7"/>
        <v>-103.49787056772691</v>
      </c>
      <c r="BC42" s="1">
        <f t="shared" si="8"/>
        <v>4.5568</v>
      </c>
      <c r="BD42" s="2">
        <f t="shared" si="9"/>
        <v>0.91695875309581742</v>
      </c>
      <c r="BE42" s="2">
        <f t="shared" si="13"/>
        <v>-31.437919728763479</v>
      </c>
      <c r="BF42" s="2">
        <f t="shared" si="13"/>
        <v>0</v>
      </c>
      <c r="BG42" s="7">
        <f t="shared" si="13"/>
        <v>0</v>
      </c>
      <c r="BH42" s="1">
        <f t="shared" si="14"/>
        <v>19.558399999999999</v>
      </c>
      <c r="BI42" s="2">
        <f t="shared" si="14"/>
        <v>3.9357106031753024</v>
      </c>
      <c r="BJ42" s="2">
        <f t="shared" si="2"/>
        <v>134.93579029649038</v>
      </c>
      <c r="BK42" s="2">
        <f t="shared" si="10"/>
        <v>0</v>
      </c>
      <c r="BL42" s="7">
        <f t="shared" si="11"/>
        <v>0</v>
      </c>
      <c r="BN42" s="1"/>
      <c r="BO42" s="4"/>
      <c r="BP42" s="2"/>
      <c r="BQ42" s="2"/>
      <c r="BR42" s="3"/>
      <c r="BS42" s="1"/>
      <c r="BT42" s="2"/>
      <c r="BU42" s="21"/>
      <c r="BV42" s="2"/>
      <c r="BW42" s="2"/>
      <c r="BX42" s="21"/>
      <c r="BY42" s="10"/>
    </row>
    <row r="43" spans="1:77" x14ac:dyDescent="0.25">
      <c r="A43" t="str">
        <f t="shared" si="3"/>
        <v>Appui</v>
      </c>
      <c r="B43" t="b">
        <f t="shared" si="4"/>
        <v>1</v>
      </c>
      <c r="C43">
        <f t="shared" si="15"/>
        <v>4</v>
      </c>
      <c r="D43" s="5" t="s">
        <v>102</v>
      </c>
      <c r="E43" t="s">
        <v>47</v>
      </c>
      <c r="F43" s="5">
        <v>25</v>
      </c>
      <c r="G43" t="s">
        <v>46</v>
      </c>
      <c r="H43">
        <v>500</v>
      </c>
      <c r="I43">
        <v>220000</v>
      </c>
      <c r="J43">
        <v>1576</v>
      </c>
      <c r="K43" s="10">
        <v>1870</v>
      </c>
      <c r="L43" s="12">
        <v>1</v>
      </c>
      <c r="M43" s="5">
        <v>0.2</v>
      </c>
      <c r="N43" s="10">
        <v>2.33</v>
      </c>
      <c r="O43" s="5">
        <v>3.8999999999999999E-4</v>
      </c>
      <c r="P43">
        <v>0.03</v>
      </c>
      <c r="Q43" s="10">
        <v>1</v>
      </c>
      <c r="R43" s="8">
        <v>0</v>
      </c>
      <c r="S43">
        <v>0</v>
      </c>
      <c r="T43">
        <v>1</v>
      </c>
      <c r="U43" s="9">
        <v>0</v>
      </c>
      <c r="V43">
        <v>0</v>
      </c>
      <c r="W43" s="10">
        <v>1</v>
      </c>
      <c r="X43" s="1">
        <v>16.114999999999998</v>
      </c>
      <c r="Y43" s="2">
        <v>4.8949999999999996</v>
      </c>
      <c r="Z43" s="13">
        <v>0</v>
      </c>
      <c r="AA43" s="2">
        <v>16.114999999999998</v>
      </c>
      <c r="AB43" s="2">
        <v>4.8949999999999996</v>
      </c>
      <c r="AC43" s="2">
        <v>27.5</v>
      </c>
      <c r="AD43" s="2"/>
      <c r="AE43" s="7">
        <v>21.01</v>
      </c>
      <c r="AF43" s="2">
        <v>16.114999999999998</v>
      </c>
      <c r="AG43" s="2">
        <v>4.8949999999999996</v>
      </c>
      <c r="AH43" s="2">
        <v>4.7224884634693911</v>
      </c>
      <c r="AI43" s="2">
        <v>1.4344760179139091</v>
      </c>
      <c r="AJ43" s="2">
        <v>-252.15711704986859</v>
      </c>
      <c r="AK43" s="2">
        <v>-76.593800059516383</v>
      </c>
      <c r="AL43" s="2">
        <v>0</v>
      </c>
      <c r="AM43" s="2">
        <v>0</v>
      </c>
      <c r="AN43" s="2">
        <v>27.5</v>
      </c>
      <c r="AO43" s="2">
        <v>30.414223372652032</v>
      </c>
      <c r="AP43" s="2">
        <v>30.414223372652032</v>
      </c>
      <c r="AQ43" s="2">
        <v>6.1018435734265264</v>
      </c>
      <c r="AR43" s="2">
        <v>-435.08321135922728</v>
      </c>
      <c r="AS43" s="2">
        <v>0</v>
      </c>
      <c r="AT43" s="2">
        <v>0</v>
      </c>
      <c r="AU43" s="1">
        <v>21.01</v>
      </c>
      <c r="AV43" s="2">
        <v>4.3993936831103406</v>
      </c>
      <c r="AW43" s="2">
        <v>-333.60626196491029</v>
      </c>
      <c r="AX43" s="2">
        <v>30.414223372652032</v>
      </c>
      <c r="AZ43" s="1">
        <f t="shared" si="5"/>
        <v>16.114999999999998</v>
      </c>
      <c r="BA43" s="2">
        <f t="shared" si="6"/>
        <v>4.7224884634693911</v>
      </c>
      <c r="BB43" s="7">
        <f t="shared" si="7"/>
        <v>-252.15711704986859</v>
      </c>
      <c r="BC43" s="1">
        <f t="shared" si="8"/>
        <v>4.8949999999999996</v>
      </c>
      <c r="BD43" s="2">
        <f t="shared" si="9"/>
        <v>1.4344760179139091</v>
      </c>
      <c r="BE43" s="2">
        <f t="shared" si="13"/>
        <v>-76.593800059516383</v>
      </c>
      <c r="BF43" s="2">
        <f t="shared" si="13"/>
        <v>0</v>
      </c>
      <c r="BG43" s="7">
        <f t="shared" si="13"/>
        <v>0</v>
      </c>
      <c r="BH43" s="1">
        <f t="shared" si="14"/>
        <v>21.009999999999998</v>
      </c>
      <c r="BI43" s="2">
        <f t="shared" si="14"/>
        <v>6.1569644813832998</v>
      </c>
      <c r="BJ43" s="2">
        <f t="shared" si="2"/>
        <v>328.750917109385</v>
      </c>
      <c r="BK43" s="2">
        <f t="shared" si="10"/>
        <v>0</v>
      </c>
      <c r="BL43" s="7">
        <f t="shared" si="11"/>
        <v>0</v>
      </c>
      <c r="BN43" s="1"/>
      <c r="BO43" s="4"/>
      <c r="BP43" s="2"/>
      <c r="BQ43" s="2"/>
      <c r="BR43" s="3"/>
      <c r="BS43" s="1"/>
      <c r="BT43" s="2"/>
      <c r="BU43" s="21"/>
      <c r="BV43" s="2"/>
      <c r="BW43" s="2"/>
      <c r="BX43" s="21"/>
      <c r="BY43" s="15"/>
    </row>
    <row r="44" spans="1:77" x14ac:dyDescent="0.25">
      <c r="A44" t="str">
        <f t="shared" si="3"/>
        <v>Travée</v>
      </c>
      <c r="B44" t="b">
        <f t="shared" si="4"/>
        <v>1</v>
      </c>
      <c r="C44">
        <f t="shared" si="15"/>
        <v>4</v>
      </c>
      <c r="D44" s="5" t="s">
        <v>102</v>
      </c>
      <c r="E44" t="s">
        <v>48</v>
      </c>
      <c r="F44" s="5"/>
      <c r="K44" s="10"/>
      <c r="L44" s="12"/>
      <c r="M44" s="5"/>
      <c r="N44" s="10"/>
      <c r="O44" s="5"/>
      <c r="Q44" s="10"/>
      <c r="R44" s="8"/>
      <c r="U44" s="9"/>
      <c r="W44" s="10"/>
      <c r="X44" s="1"/>
      <c r="Y44" s="2"/>
      <c r="Z44" s="13"/>
      <c r="AA44" s="2"/>
      <c r="AB44" s="2"/>
      <c r="AC44" s="2"/>
      <c r="AD44" s="2"/>
      <c r="AE44" s="7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1"/>
      <c r="AV44" s="2"/>
      <c r="AW44" s="2"/>
      <c r="AX44" s="2"/>
      <c r="AZ44" s="1">
        <f t="shared" si="5"/>
        <v>0</v>
      </c>
      <c r="BA44" s="2">
        <f t="shared" si="6"/>
        <v>0</v>
      </c>
      <c r="BB44" s="7">
        <f t="shared" si="7"/>
        <v>0</v>
      </c>
      <c r="BC44" s="1">
        <f t="shared" si="8"/>
        <v>0</v>
      </c>
      <c r="BD44" s="2">
        <f t="shared" si="9"/>
        <v>0</v>
      </c>
      <c r="BE44" s="2">
        <f t="shared" si="13"/>
        <v>0</v>
      </c>
      <c r="BF44" s="2">
        <f t="shared" si="13"/>
        <v>0</v>
      </c>
      <c r="BG44" s="7">
        <f t="shared" si="13"/>
        <v>0</v>
      </c>
      <c r="BH44" s="1">
        <f t="shared" si="14"/>
        <v>0</v>
      </c>
      <c r="BI44" s="2">
        <f t="shared" si="14"/>
        <v>0</v>
      </c>
      <c r="BJ44" s="2">
        <f t="shared" si="2"/>
        <v>0</v>
      </c>
      <c r="BK44" s="2">
        <f t="shared" si="10"/>
        <v>0</v>
      </c>
      <c r="BL44" s="7">
        <f t="shared" si="11"/>
        <v>0</v>
      </c>
      <c r="BN44" s="1"/>
      <c r="BO44" s="4"/>
      <c r="BP44" s="2"/>
      <c r="BQ44" s="2"/>
      <c r="BR44" s="3"/>
      <c r="BS44" s="1"/>
      <c r="BT44" s="2"/>
      <c r="BU44" s="21"/>
      <c r="BV44" s="2"/>
      <c r="BW44" s="2"/>
      <c r="BX44" s="21"/>
      <c r="BY44" s="10"/>
    </row>
    <row r="45" spans="1:77" x14ac:dyDescent="0.25">
      <c r="A45" t="str">
        <f t="shared" si="3"/>
        <v>Appui</v>
      </c>
      <c r="B45" t="b">
        <f t="shared" si="4"/>
        <v>1</v>
      </c>
      <c r="C45">
        <f t="shared" si="15"/>
        <v>4</v>
      </c>
      <c r="D45" s="5" t="s">
        <v>102</v>
      </c>
      <c r="E45" t="s">
        <v>49</v>
      </c>
      <c r="F45" s="5">
        <v>25</v>
      </c>
      <c r="G45" t="s">
        <v>46</v>
      </c>
      <c r="H45">
        <v>500</v>
      </c>
      <c r="I45">
        <v>220000</v>
      </c>
      <c r="J45">
        <v>1576</v>
      </c>
      <c r="K45" s="10">
        <v>1870</v>
      </c>
      <c r="L45" s="12">
        <v>1</v>
      </c>
      <c r="M45" s="5">
        <v>0.2</v>
      </c>
      <c r="N45" s="10">
        <v>2.33</v>
      </c>
      <c r="O45" s="5">
        <v>2.4868300000000002E-3</v>
      </c>
      <c r="P45">
        <v>0.03</v>
      </c>
      <c r="Q45" s="10">
        <v>1</v>
      </c>
      <c r="R45" s="8">
        <v>0</v>
      </c>
      <c r="S45">
        <v>0</v>
      </c>
      <c r="T45">
        <v>1</v>
      </c>
      <c r="U45" s="9">
        <v>0</v>
      </c>
      <c r="V45">
        <v>0</v>
      </c>
      <c r="W45" s="10">
        <v>1</v>
      </c>
      <c r="X45" s="1">
        <v>96.69</v>
      </c>
      <c r="Y45" s="2">
        <v>29.37</v>
      </c>
      <c r="Z45" s="13">
        <v>0</v>
      </c>
      <c r="AA45" s="2">
        <v>96.69</v>
      </c>
      <c r="AB45" s="2">
        <v>29.37</v>
      </c>
      <c r="AC45" s="2">
        <v>165</v>
      </c>
      <c r="AD45" s="2"/>
      <c r="AE45" s="7">
        <v>126.06</v>
      </c>
      <c r="AF45" s="2">
        <v>96.69</v>
      </c>
      <c r="AG45" s="2">
        <v>29.37</v>
      </c>
      <c r="AH45" s="2">
        <v>12.7640038688651</v>
      </c>
      <c r="AI45" s="2">
        <v>3.8771206291091942</v>
      </c>
      <c r="AJ45" s="2">
        <v>-249.17872286092651</v>
      </c>
      <c r="AK45" s="2">
        <v>-75.689100118165399</v>
      </c>
      <c r="AL45" s="2">
        <v>0</v>
      </c>
      <c r="AM45" s="2">
        <v>0</v>
      </c>
      <c r="AN45" s="2">
        <v>165</v>
      </c>
      <c r="AO45" s="2">
        <v>171.1761255576285</v>
      </c>
      <c r="AP45" s="2">
        <v>171.1761255576285</v>
      </c>
      <c r="AQ45" s="2">
        <v>15.73356668966005</v>
      </c>
      <c r="AR45" s="2">
        <v>-435.94093678012058</v>
      </c>
      <c r="AS45" s="2">
        <v>0</v>
      </c>
      <c r="AT45" s="2">
        <v>0</v>
      </c>
      <c r="AU45" s="1">
        <v>126.06</v>
      </c>
      <c r="AV45" s="2">
        <v>11.40141630891914</v>
      </c>
      <c r="AW45" s="2">
        <v>-338.33199776562958</v>
      </c>
      <c r="AX45" s="2">
        <v>171.1761255576285</v>
      </c>
      <c r="AZ45" s="1">
        <f t="shared" si="5"/>
        <v>96.69</v>
      </c>
      <c r="BA45" s="2">
        <f t="shared" si="6"/>
        <v>12.7640038688651</v>
      </c>
      <c r="BB45" s="7">
        <f t="shared" si="7"/>
        <v>-249.17872286092651</v>
      </c>
      <c r="BC45" s="1">
        <f t="shared" si="8"/>
        <v>29.37</v>
      </c>
      <c r="BD45" s="2">
        <f t="shared" si="9"/>
        <v>3.8771206291091942</v>
      </c>
      <c r="BE45" s="2">
        <f t="shared" si="13"/>
        <v>-75.689100118165399</v>
      </c>
      <c r="BF45" s="2">
        <f t="shared" si="13"/>
        <v>0</v>
      </c>
      <c r="BG45" s="7">
        <f t="shared" si="13"/>
        <v>0</v>
      </c>
      <c r="BH45" s="1">
        <f t="shared" si="14"/>
        <v>126.06</v>
      </c>
      <c r="BI45" s="2">
        <f t="shared" si="14"/>
        <v>16.641124497974292</v>
      </c>
      <c r="BJ45" s="2">
        <f t="shared" si="2"/>
        <v>324.8678229790919</v>
      </c>
      <c r="BK45" s="2">
        <f t="shared" si="10"/>
        <v>0</v>
      </c>
      <c r="BL45" s="7">
        <f t="shared" si="11"/>
        <v>0</v>
      </c>
      <c r="BN45" s="1"/>
      <c r="BO45" s="4"/>
      <c r="BP45" s="2"/>
      <c r="BQ45" s="2"/>
      <c r="BR45" s="3"/>
      <c r="BS45" s="1"/>
      <c r="BT45" s="2"/>
      <c r="BU45" s="21"/>
      <c r="BV45" s="2"/>
      <c r="BW45" s="2"/>
      <c r="BX45" s="21"/>
      <c r="BY45" s="15"/>
    </row>
    <row r="46" spans="1:77" x14ac:dyDescent="0.25">
      <c r="A46" t="str">
        <f t="shared" si="3"/>
        <v>Travée</v>
      </c>
      <c r="B46" t="b">
        <f t="shared" si="4"/>
        <v>1</v>
      </c>
      <c r="C46">
        <f t="shared" si="15"/>
        <v>4</v>
      </c>
      <c r="D46" s="5" t="s">
        <v>102</v>
      </c>
      <c r="E46" t="s">
        <v>51</v>
      </c>
      <c r="F46" s="5">
        <v>25</v>
      </c>
      <c r="G46" t="s">
        <v>46</v>
      </c>
      <c r="H46">
        <v>500</v>
      </c>
      <c r="I46">
        <v>220000</v>
      </c>
      <c r="J46">
        <v>1576</v>
      </c>
      <c r="K46" s="10">
        <v>1870</v>
      </c>
      <c r="L46" s="12">
        <v>1</v>
      </c>
      <c r="M46" s="5">
        <v>0.2</v>
      </c>
      <c r="N46" s="10">
        <v>2.33</v>
      </c>
      <c r="O46" s="5">
        <v>1.495E-3</v>
      </c>
      <c r="P46">
        <v>0.03</v>
      </c>
      <c r="Q46" s="10">
        <v>1</v>
      </c>
      <c r="R46" s="8">
        <v>0</v>
      </c>
      <c r="S46">
        <v>0</v>
      </c>
      <c r="T46">
        <v>1</v>
      </c>
      <c r="U46" s="9">
        <v>2.9099999999999999E-5</v>
      </c>
      <c r="V46">
        <v>0</v>
      </c>
      <c r="W46" s="10">
        <v>5</v>
      </c>
      <c r="X46" s="1">
        <v>48.755200000000002</v>
      </c>
      <c r="Y46" s="2">
        <v>14.8096</v>
      </c>
      <c r="Z46" s="13">
        <v>0</v>
      </c>
      <c r="AA46" s="2">
        <v>48.755200000000002</v>
      </c>
      <c r="AB46" s="2">
        <v>14.8096</v>
      </c>
      <c r="AC46" s="2">
        <v>83.2</v>
      </c>
      <c r="AD46" s="2"/>
      <c r="AE46" s="7">
        <v>63.564800000000012</v>
      </c>
      <c r="AF46" s="2">
        <v>48.755200000000002</v>
      </c>
      <c r="AG46" s="2">
        <v>14.8096</v>
      </c>
      <c r="AH46" s="2">
        <v>7.9065050205680878</v>
      </c>
      <c r="AI46" s="2">
        <v>2.2315859599203218</v>
      </c>
      <c r="AJ46" s="2">
        <v>-205.38559553607371</v>
      </c>
      <c r="AK46" s="2">
        <v>-54.203110005591469</v>
      </c>
      <c r="AL46" s="2">
        <v>0</v>
      </c>
      <c r="AM46" s="2">
        <v>-72.897729349999267</v>
      </c>
      <c r="AN46" s="2">
        <v>83.2</v>
      </c>
      <c r="AO46" s="2">
        <v>108.53277512389521</v>
      </c>
      <c r="AP46" s="2">
        <v>153.10823326749789</v>
      </c>
      <c r="AQ46" s="2">
        <v>8.8203901670252609</v>
      </c>
      <c r="AR46" s="2">
        <v>-313.14556768775429</v>
      </c>
      <c r="AS46" s="2">
        <v>0</v>
      </c>
      <c r="AT46" s="2">
        <v>-429.61816237268459</v>
      </c>
      <c r="AU46" s="1">
        <v>63.564800000000012</v>
      </c>
      <c r="AV46" s="2">
        <v>7.3760457836999658</v>
      </c>
      <c r="AW46" s="2">
        <v>-275.50370106965539</v>
      </c>
      <c r="AX46" s="2">
        <v>108.53277512389521</v>
      </c>
      <c r="AZ46" s="1">
        <f t="shared" si="5"/>
        <v>48.755200000000002</v>
      </c>
      <c r="BA46" s="2">
        <f t="shared" si="6"/>
        <v>7.9065050205680878</v>
      </c>
      <c r="BB46" s="7">
        <f t="shared" si="7"/>
        <v>-205.38559553607371</v>
      </c>
      <c r="BC46" s="1">
        <f t="shared" si="8"/>
        <v>14.8096</v>
      </c>
      <c r="BD46" s="2">
        <f t="shared" si="9"/>
        <v>2.2315859599203218</v>
      </c>
      <c r="BE46" s="2">
        <f t="shared" si="13"/>
        <v>-54.203110005591469</v>
      </c>
      <c r="BF46" s="2">
        <f t="shared" si="13"/>
        <v>0</v>
      </c>
      <c r="BG46" s="7">
        <f t="shared" si="13"/>
        <v>-72.897729349999267</v>
      </c>
      <c r="BH46" s="1">
        <f t="shared" si="14"/>
        <v>63.564800000000005</v>
      </c>
      <c r="BI46" s="2">
        <f t="shared" si="14"/>
        <v>10.138090980488411</v>
      </c>
      <c r="BJ46" s="2">
        <f t="shared" si="2"/>
        <v>259.58870554166515</v>
      </c>
      <c r="BK46" s="2">
        <f t="shared" si="10"/>
        <v>0</v>
      </c>
      <c r="BL46" s="7">
        <f t="shared" si="11"/>
        <v>-72.897729349999267</v>
      </c>
      <c r="BN46" s="1"/>
      <c r="BO46" s="4"/>
      <c r="BP46" s="2"/>
      <c r="BQ46" s="2"/>
      <c r="BR46" s="3"/>
      <c r="BS46" s="1"/>
      <c r="BT46" s="2"/>
      <c r="BU46" s="21"/>
      <c r="BV46" s="2"/>
      <c r="BW46" s="2"/>
      <c r="BX46" s="21"/>
      <c r="BY46" s="10"/>
    </row>
    <row r="47" spans="1:77" x14ac:dyDescent="0.25">
      <c r="A47" t="str">
        <f t="shared" si="3"/>
        <v>Appui</v>
      </c>
      <c r="B47" t="b">
        <f t="shared" si="4"/>
        <v>1</v>
      </c>
      <c r="C47">
        <f t="shared" si="15"/>
        <v>4</v>
      </c>
      <c r="D47" s="5" t="s">
        <v>102</v>
      </c>
      <c r="E47" t="s">
        <v>52</v>
      </c>
      <c r="F47" s="5">
        <v>25</v>
      </c>
      <c r="G47" t="s">
        <v>46</v>
      </c>
      <c r="H47">
        <v>500</v>
      </c>
      <c r="I47">
        <v>220000</v>
      </c>
      <c r="J47">
        <v>1576</v>
      </c>
      <c r="K47" s="10">
        <v>1870</v>
      </c>
      <c r="L47" s="12">
        <v>1</v>
      </c>
      <c r="M47" s="5">
        <v>0.2</v>
      </c>
      <c r="N47" s="10">
        <v>2.33</v>
      </c>
      <c r="O47" s="5">
        <v>2.3900000000000002E-3</v>
      </c>
      <c r="P47">
        <v>0.03</v>
      </c>
      <c r="Q47" s="10">
        <v>1</v>
      </c>
      <c r="R47" s="8">
        <v>0</v>
      </c>
      <c r="S47">
        <v>0</v>
      </c>
      <c r="T47">
        <v>1</v>
      </c>
      <c r="U47" s="9">
        <v>0</v>
      </c>
      <c r="V47">
        <v>0</v>
      </c>
      <c r="W47" s="10">
        <v>0</v>
      </c>
      <c r="X47" s="1">
        <v>106.35899999999999</v>
      </c>
      <c r="Y47" s="2">
        <v>32.307000000000002</v>
      </c>
      <c r="Z47" s="13">
        <v>0</v>
      </c>
      <c r="AA47" s="2">
        <v>106.35899999999999</v>
      </c>
      <c r="AB47" s="2">
        <v>32.307000000000002</v>
      </c>
      <c r="AC47" s="2">
        <v>181.5</v>
      </c>
      <c r="AD47" s="2"/>
      <c r="AE47" s="7">
        <v>138.666</v>
      </c>
      <c r="AF47" s="2">
        <v>106.35899999999999</v>
      </c>
      <c r="AG47" s="2">
        <v>32.307000000000002</v>
      </c>
      <c r="AH47" s="2">
        <v>14.254327462809769</v>
      </c>
      <c r="AI47" s="2">
        <v>4.3298127788056968</v>
      </c>
      <c r="AJ47" s="2">
        <v>-284.81985605399109</v>
      </c>
      <c r="AK47" s="2">
        <v>-86.515246378174751</v>
      </c>
      <c r="AL47" s="2">
        <v>0</v>
      </c>
      <c r="AM47" s="2">
        <v>0</v>
      </c>
      <c r="AN47" s="2">
        <v>181.5</v>
      </c>
      <c r="AO47" s="2">
        <v>165.2718599075547</v>
      </c>
      <c r="AP47" s="2">
        <v>165.2718599075547</v>
      </c>
      <c r="AQ47" s="2">
        <v>0</v>
      </c>
      <c r="AR47" s="2">
        <v>0</v>
      </c>
      <c r="AS47" s="2">
        <v>0</v>
      </c>
      <c r="AT47" s="2">
        <v>0</v>
      </c>
      <c r="AU47" s="1">
        <v>138.666</v>
      </c>
      <c r="AV47" s="2">
        <v>12.438901917013229</v>
      </c>
      <c r="AW47" s="2">
        <v>-387.18795960289208</v>
      </c>
      <c r="AX47" s="2">
        <v>165.2718599075547</v>
      </c>
      <c r="AZ47" s="1">
        <f t="shared" si="5"/>
        <v>106.35899999999999</v>
      </c>
      <c r="BA47" s="2">
        <f t="shared" si="6"/>
        <v>14.254327462809769</v>
      </c>
      <c r="BB47" s="7">
        <f t="shared" si="7"/>
        <v>-284.81985605399109</v>
      </c>
      <c r="BC47" s="1">
        <f t="shared" si="8"/>
        <v>32.307000000000002</v>
      </c>
      <c r="BD47" s="2">
        <f t="shared" si="9"/>
        <v>4.3298127788056968</v>
      </c>
      <c r="BE47" s="2">
        <f t="shared" si="13"/>
        <v>-86.515246378174751</v>
      </c>
      <c r="BF47" s="2">
        <f t="shared" si="13"/>
        <v>0</v>
      </c>
      <c r="BG47" s="7">
        <f t="shared" si="13"/>
        <v>0</v>
      </c>
      <c r="BH47" s="1">
        <f t="shared" si="14"/>
        <v>138.666</v>
      </c>
      <c r="BI47" s="2">
        <f t="shared" si="14"/>
        <v>18.584140241615465</v>
      </c>
      <c r="BJ47" s="2">
        <f t="shared" si="2"/>
        <v>371.33510243216585</v>
      </c>
      <c r="BK47" s="2">
        <f t="shared" si="10"/>
        <v>0</v>
      </c>
      <c r="BL47" s="7">
        <f t="shared" si="11"/>
        <v>0</v>
      </c>
      <c r="BN47" s="1"/>
      <c r="BO47" s="4"/>
      <c r="BP47" s="2"/>
      <c r="BQ47" s="2"/>
      <c r="BR47" s="3"/>
      <c r="BS47" s="1"/>
      <c r="BT47" s="2"/>
      <c r="BU47" s="21"/>
      <c r="BV47" s="2"/>
      <c r="BW47" s="2"/>
      <c r="BX47" s="21"/>
      <c r="BY47" s="15"/>
    </row>
    <row r="48" spans="1:77" x14ac:dyDescent="0.25">
      <c r="A48" t="str">
        <f t="shared" si="3"/>
        <v>Travée</v>
      </c>
      <c r="B48" t="b">
        <f t="shared" si="4"/>
        <v>1</v>
      </c>
      <c r="C48">
        <f>IF(D48="",100000,IF(D48=D46,C46,C46+1))</f>
        <v>4</v>
      </c>
      <c r="D48" s="5" t="s">
        <v>102</v>
      </c>
      <c r="E48" t="s">
        <v>53</v>
      </c>
      <c r="F48" s="5">
        <v>25</v>
      </c>
      <c r="G48" t="s">
        <v>46</v>
      </c>
      <c r="H48">
        <v>500</v>
      </c>
      <c r="I48">
        <v>220000</v>
      </c>
      <c r="J48">
        <v>1576</v>
      </c>
      <c r="K48" s="10">
        <v>1870</v>
      </c>
      <c r="L48" s="12">
        <v>1</v>
      </c>
      <c r="M48" s="5">
        <v>0.2</v>
      </c>
      <c r="N48" s="10">
        <v>2.33</v>
      </c>
      <c r="O48" s="5">
        <v>9.0000000000000008E-4</v>
      </c>
      <c r="P48">
        <v>0.03</v>
      </c>
      <c r="Q48" s="10">
        <v>1</v>
      </c>
      <c r="R48" s="8">
        <v>0</v>
      </c>
      <c r="S48">
        <v>0</v>
      </c>
      <c r="T48">
        <v>1</v>
      </c>
      <c r="U48" s="9">
        <v>2.9099999999999999E-5</v>
      </c>
      <c r="V48">
        <v>0</v>
      </c>
      <c r="W48" s="10">
        <v>5</v>
      </c>
      <c r="X48" s="1">
        <v>41.254399999999997</v>
      </c>
      <c r="Y48" s="2">
        <v>12.5312</v>
      </c>
      <c r="Z48" s="13">
        <v>0</v>
      </c>
      <c r="AA48" s="2">
        <v>41.254399999999997</v>
      </c>
      <c r="AB48" s="2">
        <v>12.5312</v>
      </c>
      <c r="AC48" s="2">
        <v>70.400000000000006</v>
      </c>
      <c r="AD48" s="2"/>
      <c r="AE48" s="7">
        <v>53.785600000000002</v>
      </c>
      <c r="AF48" s="2">
        <v>41.254399999999997</v>
      </c>
      <c r="AG48" s="2">
        <v>12.5312</v>
      </c>
      <c r="AH48" s="2">
        <v>8.3015675877185835</v>
      </c>
      <c r="AI48" s="2">
        <v>2.241741837127647</v>
      </c>
      <c r="AJ48" s="2">
        <v>-284.61914406124907</v>
      </c>
      <c r="AK48" s="2">
        <v>-69.194977029747903</v>
      </c>
      <c r="AL48" s="2">
        <v>0</v>
      </c>
      <c r="AM48" s="2">
        <v>-92.311495697051214</v>
      </c>
      <c r="AN48" s="2">
        <v>70.400000000000006</v>
      </c>
      <c r="AO48" s="2">
        <v>68.511262863476688</v>
      </c>
      <c r="AP48" s="2">
        <v>114.1068387565515</v>
      </c>
      <c r="AQ48" s="2">
        <v>8.7277001932681841</v>
      </c>
      <c r="AR48" s="2">
        <v>-397.48595846952747</v>
      </c>
      <c r="AS48" s="2">
        <v>0</v>
      </c>
      <c r="AT48" s="2">
        <v>-538.45079256989823</v>
      </c>
      <c r="AU48" s="1">
        <v>53.785600000000002</v>
      </c>
      <c r="AV48" s="2">
        <v>7.6011081791322326</v>
      </c>
      <c r="AW48" s="2">
        <v>-379.70767569145261</v>
      </c>
      <c r="AX48" s="2">
        <v>68.511262863476688</v>
      </c>
      <c r="AZ48" s="1">
        <f t="shared" si="5"/>
        <v>41.254399999999997</v>
      </c>
      <c r="BA48" s="2">
        <f t="shared" si="6"/>
        <v>8.3015675877185835</v>
      </c>
      <c r="BB48" s="7">
        <f t="shared" si="7"/>
        <v>-284.61914406124907</v>
      </c>
      <c r="BC48" s="1">
        <f t="shared" si="8"/>
        <v>12.5312</v>
      </c>
      <c r="BD48" s="2">
        <f t="shared" si="9"/>
        <v>2.241741837127647</v>
      </c>
      <c r="BE48" s="2">
        <f t="shared" si="13"/>
        <v>-69.194977029747903</v>
      </c>
      <c r="BF48" s="2">
        <f t="shared" si="13"/>
        <v>0</v>
      </c>
      <c r="BG48" s="7">
        <f t="shared" si="13"/>
        <v>-92.311495697051214</v>
      </c>
      <c r="BH48" s="1">
        <f t="shared" si="14"/>
        <v>53.785599999999995</v>
      </c>
      <c r="BI48" s="2">
        <f t="shared" si="14"/>
        <v>10.54330942484623</v>
      </c>
      <c r="BJ48" s="2">
        <f t="shared" si="2"/>
        <v>353.81412109099699</v>
      </c>
      <c r="BK48" s="2">
        <f t="shared" si="10"/>
        <v>0</v>
      </c>
      <c r="BL48" s="7">
        <f t="shared" si="11"/>
        <v>-92.311495697051214</v>
      </c>
      <c r="BN48" s="1"/>
      <c r="BO48" s="4"/>
      <c r="BP48" s="2"/>
      <c r="BQ48" s="2"/>
      <c r="BR48" s="3"/>
      <c r="BS48" s="1"/>
      <c r="BT48" s="2"/>
      <c r="BU48" s="21"/>
      <c r="BV48" s="2"/>
      <c r="BW48" s="2"/>
      <c r="BX48" s="21"/>
      <c r="BY48" s="10"/>
    </row>
    <row r="49" spans="1:77" x14ac:dyDescent="0.25">
      <c r="A49" t="str">
        <f t="shared" si="3"/>
        <v>Appui</v>
      </c>
      <c r="B49" t="b">
        <f t="shared" si="4"/>
        <v>1</v>
      </c>
      <c r="C49">
        <f>IF(D49="",100000,IF(D49=D47,C47,C47+1))</f>
        <v>4</v>
      </c>
      <c r="D49" s="5" t="s">
        <v>102</v>
      </c>
      <c r="E49" t="s">
        <v>54</v>
      </c>
      <c r="F49" s="5">
        <v>25</v>
      </c>
      <c r="G49" t="s">
        <v>46</v>
      </c>
      <c r="H49">
        <v>500</v>
      </c>
      <c r="I49">
        <v>220000</v>
      </c>
      <c r="J49">
        <v>1576</v>
      </c>
      <c r="K49" s="10">
        <v>1870</v>
      </c>
      <c r="L49" s="12">
        <v>1</v>
      </c>
      <c r="M49" s="5">
        <v>0.2</v>
      </c>
      <c r="N49" s="10">
        <v>2.33</v>
      </c>
      <c r="O49" s="5">
        <v>2.3900000000000002E-3</v>
      </c>
      <c r="P49">
        <v>0.03</v>
      </c>
      <c r="Q49" s="10">
        <v>1</v>
      </c>
      <c r="R49" s="8">
        <v>0</v>
      </c>
      <c r="S49">
        <v>0</v>
      </c>
      <c r="T49">
        <v>1</v>
      </c>
      <c r="U49" s="9">
        <v>0</v>
      </c>
      <c r="V49">
        <v>0</v>
      </c>
      <c r="W49" s="10">
        <v>0</v>
      </c>
      <c r="X49" s="1">
        <v>90.244</v>
      </c>
      <c r="Y49" s="2">
        <v>27.411999999999999</v>
      </c>
      <c r="Z49" s="13">
        <v>0</v>
      </c>
      <c r="AA49" s="2">
        <v>90.244</v>
      </c>
      <c r="AB49" s="2">
        <v>27.411999999999999</v>
      </c>
      <c r="AC49" s="2">
        <v>154</v>
      </c>
      <c r="AD49" s="2"/>
      <c r="AE49" s="7">
        <v>117.65600000000001</v>
      </c>
      <c r="AF49" s="2">
        <v>90.244</v>
      </c>
      <c r="AG49" s="2">
        <v>27.411999999999999</v>
      </c>
      <c r="AH49" s="2">
        <v>12.094580877535559</v>
      </c>
      <c r="AI49" s="2">
        <v>3.6737805395927139</v>
      </c>
      <c r="AJ49" s="2">
        <v>-241.6653324094469</v>
      </c>
      <c r="AK49" s="2">
        <v>-73.40687571481493</v>
      </c>
      <c r="AL49" s="2">
        <v>0</v>
      </c>
      <c r="AM49" s="2">
        <v>0</v>
      </c>
      <c r="AN49" s="2">
        <v>154</v>
      </c>
      <c r="AO49" s="2">
        <v>165.2718599075547</v>
      </c>
      <c r="AP49" s="2">
        <v>165.2718599075547</v>
      </c>
      <c r="AQ49" s="2">
        <v>13.4570934131531</v>
      </c>
      <c r="AR49" s="2">
        <v>-431.12703270703418</v>
      </c>
      <c r="AS49" s="2">
        <v>0</v>
      </c>
      <c r="AT49" s="2">
        <v>0</v>
      </c>
      <c r="AU49" s="1">
        <v>117.65600000000001</v>
      </c>
      <c r="AV49" s="2">
        <v>10.8929392359174</v>
      </c>
      <c r="AW49" s="2">
        <v>-327.58840234690211</v>
      </c>
      <c r="AX49" s="2">
        <v>165.2718599075547</v>
      </c>
      <c r="AZ49" s="1">
        <f t="shared" si="5"/>
        <v>90.244</v>
      </c>
      <c r="BA49" s="2">
        <f t="shared" si="6"/>
        <v>12.094580877535559</v>
      </c>
      <c r="BB49" s="7">
        <f t="shared" si="7"/>
        <v>-241.6653324094469</v>
      </c>
      <c r="BC49" s="1">
        <f t="shared" si="8"/>
        <v>27.411999999999999</v>
      </c>
      <c r="BD49" s="2">
        <f t="shared" si="9"/>
        <v>3.6737805395927139</v>
      </c>
      <c r="BE49" s="2">
        <f t="shared" si="13"/>
        <v>-73.40687571481493</v>
      </c>
      <c r="BF49" s="2">
        <f t="shared" si="13"/>
        <v>0</v>
      </c>
      <c r="BG49" s="7">
        <f t="shared" si="13"/>
        <v>0</v>
      </c>
      <c r="BH49" s="1">
        <f t="shared" si="14"/>
        <v>117.65600000000001</v>
      </c>
      <c r="BI49" s="2">
        <f t="shared" si="14"/>
        <v>15.768361417128274</v>
      </c>
      <c r="BJ49" s="2">
        <f t="shared" si="2"/>
        <v>315.07220812426181</v>
      </c>
      <c r="BK49" s="2">
        <f t="shared" si="10"/>
        <v>0</v>
      </c>
      <c r="BL49" s="7">
        <f t="shared" si="11"/>
        <v>0</v>
      </c>
      <c r="BN49" s="1"/>
      <c r="BO49" s="4"/>
      <c r="BP49" s="2"/>
      <c r="BQ49" s="2"/>
      <c r="BR49" s="3"/>
      <c r="BS49" s="1"/>
      <c r="BT49" s="2"/>
      <c r="BU49" s="21"/>
      <c r="BV49" s="2"/>
      <c r="BW49" s="2"/>
      <c r="BX49" s="21"/>
      <c r="BY49" s="15"/>
    </row>
    <row r="50" spans="1:77" x14ac:dyDescent="0.25">
      <c r="A50" t="str">
        <f t="shared" si="3"/>
        <v>Travée</v>
      </c>
      <c r="B50" t="b">
        <f t="shared" si="4"/>
        <v>1</v>
      </c>
      <c r="C50">
        <f t="shared" si="15"/>
        <v>4</v>
      </c>
      <c r="D50" s="5" t="s">
        <v>102</v>
      </c>
      <c r="E50" t="s">
        <v>55</v>
      </c>
      <c r="F50" s="5">
        <v>25</v>
      </c>
      <c r="G50" t="s">
        <v>46</v>
      </c>
      <c r="H50">
        <v>500</v>
      </c>
      <c r="I50">
        <v>220000</v>
      </c>
      <c r="J50">
        <v>1576</v>
      </c>
      <c r="K50" s="10">
        <v>1870</v>
      </c>
      <c r="L50" s="12">
        <v>1</v>
      </c>
      <c r="M50" s="5">
        <v>0.2</v>
      </c>
      <c r="N50" s="10">
        <v>2.33</v>
      </c>
      <c r="O50" s="5">
        <v>9.0000000000000008E-4</v>
      </c>
      <c r="P50">
        <v>0.03</v>
      </c>
      <c r="Q50" s="10">
        <v>1</v>
      </c>
      <c r="R50" s="8">
        <v>0</v>
      </c>
      <c r="S50">
        <v>0</v>
      </c>
      <c r="T50">
        <v>1</v>
      </c>
      <c r="U50" s="9">
        <v>2.9099999999999999E-5</v>
      </c>
      <c r="V50">
        <v>0</v>
      </c>
      <c r="W50" s="10">
        <v>5</v>
      </c>
      <c r="X50" s="1">
        <v>37.503999999999998</v>
      </c>
      <c r="Y50" s="2">
        <v>11.391999999999999</v>
      </c>
      <c r="Z50" s="13">
        <v>0</v>
      </c>
      <c r="AA50" s="2">
        <v>37.503999999999998</v>
      </c>
      <c r="AB50" s="2">
        <v>11.391999999999999</v>
      </c>
      <c r="AC50" s="2">
        <v>64</v>
      </c>
      <c r="AD50" s="2"/>
      <c r="AE50" s="7">
        <v>48.896000000000001</v>
      </c>
      <c r="AF50" s="2">
        <v>37.503999999999998</v>
      </c>
      <c r="AG50" s="2">
        <v>11.391999999999999</v>
      </c>
      <c r="AH50" s="2">
        <v>7.5468796251987094</v>
      </c>
      <c r="AI50" s="2">
        <v>2.0379471246614971</v>
      </c>
      <c r="AJ50" s="2">
        <v>-258.74467641931727</v>
      </c>
      <c r="AK50" s="2">
        <v>-62.904524572498111</v>
      </c>
      <c r="AL50" s="2">
        <v>0</v>
      </c>
      <c r="AM50" s="2">
        <v>-83.919541542773857</v>
      </c>
      <c r="AN50" s="2">
        <v>64</v>
      </c>
      <c r="AO50" s="2">
        <v>68.511262863476688</v>
      </c>
      <c r="AP50" s="2">
        <v>114.1068387565515</v>
      </c>
      <c r="AQ50" s="2">
        <v>8.0196615978308543</v>
      </c>
      <c r="AR50" s="2">
        <v>-361.13740580832638</v>
      </c>
      <c r="AS50" s="2">
        <v>0</v>
      </c>
      <c r="AT50" s="2">
        <v>-489.0728074740511</v>
      </c>
      <c r="AU50" s="1">
        <v>48.896000000000001</v>
      </c>
      <c r="AV50" s="2">
        <v>6.9697813768685322</v>
      </c>
      <c r="AW50" s="2">
        <v>-345.0308279924339</v>
      </c>
      <c r="AX50" s="2">
        <v>68.511262863476688</v>
      </c>
      <c r="AZ50" s="1">
        <f t="shared" si="5"/>
        <v>37.503999999999998</v>
      </c>
      <c r="BA50" s="2">
        <f t="shared" si="6"/>
        <v>7.5468796251987094</v>
      </c>
      <c r="BB50" s="7">
        <f t="shared" si="7"/>
        <v>-258.74467641931727</v>
      </c>
      <c r="BC50" s="1">
        <f t="shared" si="8"/>
        <v>11.391999999999999</v>
      </c>
      <c r="BD50" s="2">
        <f t="shared" si="9"/>
        <v>2.0379471246614971</v>
      </c>
      <c r="BE50" s="2">
        <f t="shared" si="13"/>
        <v>-62.904524572498111</v>
      </c>
      <c r="BF50" s="2">
        <f t="shared" si="13"/>
        <v>0</v>
      </c>
      <c r="BG50" s="7">
        <f t="shared" si="13"/>
        <v>-83.919541542773857</v>
      </c>
      <c r="BH50" s="1">
        <f t="shared" si="14"/>
        <v>48.896000000000001</v>
      </c>
      <c r="BI50" s="2">
        <f t="shared" si="14"/>
        <v>9.5848267498602056</v>
      </c>
      <c r="BJ50" s="2">
        <f t="shared" si="2"/>
        <v>321.64920099181541</v>
      </c>
      <c r="BK50" s="2">
        <f t="shared" si="10"/>
        <v>0</v>
      </c>
      <c r="BL50" s="7">
        <f t="shared" si="11"/>
        <v>-83.919541542773857</v>
      </c>
      <c r="BN50" s="1"/>
      <c r="BO50" s="4"/>
      <c r="BP50" s="2"/>
      <c r="BQ50" s="2"/>
      <c r="BR50" s="3"/>
      <c r="BS50" s="1"/>
      <c r="BT50" s="2"/>
      <c r="BU50" s="21"/>
      <c r="BV50" s="2"/>
      <c r="BW50" s="2"/>
      <c r="BX50" s="21"/>
      <c r="BY50" s="10"/>
    </row>
    <row r="51" spans="1:77" x14ac:dyDescent="0.25">
      <c r="B51" t="b">
        <f t="shared" si="4"/>
        <v>1</v>
      </c>
      <c r="C51">
        <f t="shared" si="15"/>
        <v>4</v>
      </c>
      <c r="D51" s="5" t="s">
        <v>102</v>
      </c>
      <c r="F51" s="5"/>
      <c r="K51" s="10"/>
      <c r="L51" s="12"/>
      <c r="M51" s="5"/>
      <c r="N51" s="10"/>
      <c r="O51" s="5"/>
      <c r="Q51" s="10"/>
      <c r="R51" s="8"/>
      <c r="U51" s="9"/>
      <c r="W51" s="10"/>
      <c r="X51" s="1"/>
      <c r="Y51" s="2"/>
      <c r="Z51" s="13"/>
      <c r="AA51" s="2"/>
      <c r="AB51" s="2"/>
      <c r="AC51" s="2"/>
      <c r="AD51" s="2"/>
      <c r="AE51" s="7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1"/>
      <c r="AV51" s="2"/>
      <c r="AW51" s="2"/>
      <c r="AX51" s="2"/>
      <c r="AZ51" s="1"/>
      <c r="BA51" s="2"/>
      <c r="BB51" s="7"/>
      <c r="BC51" s="1"/>
      <c r="BD51" s="2"/>
      <c r="BE51" s="2"/>
      <c r="BF51" s="2"/>
      <c r="BG51" s="7"/>
      <c r="BH51" s="1"/>
      <c r="BI51" s="2"/>
      <c r="BJ51" s="2"/>
      <c r="BK51" s="2"/>
      <c r="BL51" s="7"/>
      <c r="BN51" s="1"/>
      <c r="BO51" s="4"/>
      <c r="BP51" s="2"/>
      <c r="BQ51" s="2"/>
      <c r="BR51" s="3"/>
      <c r="BS51" s="1"/>
      <c r="BT51" s="2"/>
      <c r="BU51" s="21"/>
      <c r="BV51" s="2"/>
      <c r="BW51" s="2"/>
      <c r="BX51" s="21"/>
      <c r="BY51" s="15"/>
    </row>
    <row r="52" spans="1:77" x14ac:dyDescent="0.25">
      <c r="A52" t="str">
        <f t="shared" si="3"/>
        <v>Travée</v>
      </c>
      <c r="B52" t="b">
        <f t="shared" si="4"/>
        <v>0</v>
      </c>
      <c r="C52">
        <f>IF(D52="",100000,IF(D52=D50,C50,C50+1))</f>
        <v>5</v>
      </c>
      <c r="D52" s="5" t="s">
        <v>103</v>
      </c>
      <c r="E52" t="s">
        <v>45</v>
      </c>
      <c r="F52" s="5"/>
      <c r="K52" s="10"/>
      <c r="L52" s="12"/>
      <c r="M52" s="5"/>
      <c r="N52" s="10"/>
      <c r="O52" s="5"/>
      <c r="Q52" s="10"/>
      <c r="R52" s="8"/>
      <c r="U52" s="9"/>
      <c r="W52" s="10"/>
      <c r="X52" s="1"/>
      <c r="Y52" s="2"/>
      <c r="Z52" s="13"/>
      <c r="AA52" s="2"/>
      <c r="AB52" s="2"/>
      <c r="AC52" s="2"/>
      <c r="AD52" s="2"/>
      <c r="AE52" s="7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"/>
      <c r="AV52" s="2"/>
      <c r="AW52" s="2"/>
      <c r="AX52" s="2"/>
      <c r="AZ52" s="1"/>
      <c r="BA52" s="2"/>
      <c r="BB52" s="7"/>
      <c r="BC52" s="1"/>
      <c r="BD52" s="2"/>
      <c r="BE52" s="2"/>
      <c r="BF52" s="2"/>
      <c r="BG52" s="7"/>
      <c r="BH52" s="1"/>
      <c r="BI52" s="2"/>
      <c r="BJ52" s="2"/>
      <c r="BK52" s="2"/>
      <c r="BL52" s="7"/>
      <c r="BN52" s="1"/>
      <c r="BO52" s="4"/>
      <c r="BP52" s="2"/>
      <c r="BQ52" s="2"/>
      <c r="BR52" s="3"/>
      <c r="BS52" s="1"/>
      <c r="BT52" s="2"/>
      <c r="BU52" s="21"/>
      <c r="BV52" s="2"/>
      <c r="BW52" s="2"/>
      <c r="BX52" s="21"/>
      <c r="BY52" s="10"/>
    </row>
    <row r="53" spans="1:77" x14ac:dyDescent="0.25">
      <c r="A53" t="str">
        <f t="shared" si="3"/>
        <v>Appui</v>
      </c>
      <c r="B53" t="b">
        <f t="shared" si="4"/>
        <v>0</v>
      </c>
      <c r="C53">
        <f t="shared" si="15"/>
        <v>5</v>
      </c>
      <c r="D53" s="5" t="s">
        <v>103</v>
      </c>
      <c r="E53" t="s">
        <v>47</v>
      </c>
      <c r="F53" s="5"/>
      <c r="K53" s="10"/>
      <c r="L53" s="12"/>
      <c r="M53" s="5"/>
      <c r="N53" s="10"/>
      <c r="O53" s="5"/>
      <c r="Q53" s="10"/>
      <c r="R53" s="8"/>
      <c r="U53" s="9"/>
      <c r="W53" s="10"/>
      <c r="X53" s="1"/>
      <c r="Y53" s="2"/>
      <c r="Z53" s="13"/>
      <c r="AA53" s="2"/>
      <c r="AB53" s="2"/>
      <c r="AC53" s="2"/>
      <c r="AD53" s="2"/>
      <c r="AE53" s="7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"/>
      <c r="AV53" s="2"/>
      <c r="AW53" s="2"/>
      <c r="AX53" s="2"/>
      <c r="AZ53" s="1"/>
      <c r="BA53" s="2"/>
      <c r="BB53" s="7"/>
      <c r="BC53" s="1"/>
      <c r="BD53" s="2"/>
      <c r="BE53" s="2"/>
      <c r="BF53" s="2"/>
      <c r="BG53" s="7"/>
      <c r="BH53" s="1"/>
      <c r="BI53" s="2"/>
      <c r="BJ53" s="2"/>
      <c r="BK53" s="2"/>
      <c r="BL53" s="7"/>
      <c r="BN53" s="1"/>
      <c r="BO53" s="4"/>
      <c r="BP53" s="2"/>
      <c r="BQ53" s="2"/>
      <c r="BR53" s="3"/>
      <c r="BS53" s="1"/>
      <c r="BT53" s="2"/>
      <c r="BU53" s="21"/>
      <c r="BV53" s="2"/>
      <c r="BW53" s="2"/>
      <c r="BX53" s="21"/>
      <c r="BY53" s="15"/>
    </row>
    <row r="54" spans="1:77" x14ac:dyDescent="0.25">
      <c r="A54" t="str">
        <f t="shared" si="3"/>
        <v>Travée</v>
      </c>
      <c r="B54" t="b">
        <f t="shared" si="4"/>
        <v>0</v>
      </c>
      <c r="C54">
        <f t="shared" si="15"/>
        <v>5</v>
      </c>
      <c r="D54" s="5" t="s">
        <v>103</v>
      </c>
      <c r="E54" t="s">
        <v>48</v>
      </c>
      <c r="F54" s="5"/>
      <c r="K54" s="10"/>
      <c r="L54" s="12"/>
      <c r="M54" s="5"/>
      <c r="N54" s="10"/>
      <c r="O54" s="5"/>
      <c r="Q54" s="10"/>
      <c r="R54" s="8"/>
      <c r="U54" s="9"/>
      <c r="W54" s="10"/>
      <c r="X54" s="1"/>
      <c r="Y54" s="2"/>
      <c r="Z54" s="13"/>
      <c r="AA54" s="2"/>
      <c r="AB54" s="2"/>
      <c r="AC54" s="2"/>
      <c r="AD54" s="2"/>
      <c r="AE54" s="7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1"/>
      <c r="AV54" s="2"/>
      <c r="AW54" s="2"/>
      <c r="AX54" s="2"/>
      <c r="AZ54" s="1">
        <f t="shared" si="5"/>
        <v>0</v>
      </c>
      <c r="BA54" s="2">
        <f t="shared" si="6"/>
        <v>0</v>
      </c>
      <c r="BB54" s="7">
        <f t="shared" si="7"/>
        <v>0</v>
      </c>
      <c r="BC54" s="1">
        <f t="shared" si="8"/>
        <v>0</v>
      </c>
      <c r="BD54" s="2">
        <f t="shared" si="9"/>
        <v>0</v>
      </c>
      <c r="BE54" s="2">
        <f t="shared" si="13"/>
        <v>0</v>
      </c>
      <c r="BF54" s="2">
        <f t="shared" si="13"/>
        <v>0</v>
      </c>
      <c r="BG54" s="7">
        <f t="shared" si="13"/>
        <v>0</v>
      </c>
      <c r="BH54" s="1">
        <f t="shared" si="14"/>
        <v>0</v>
      </c>
      <c r="BI54" s="2">
        <f t="shared" si="14"/>
        <v>0</v>
      </c>
      <c r="BJ54" s="2">
        <f t="shared" si="2"/>
        <v>0</v>
      </c>
      <c r="BK54" s="2">
        <f t="shared" si="10"/>
        <v>0</v>
      </c>
      <c r="BL54" s="7">
        <f t="shared" si="11"/>
        <v>0</v>
      </c>
      <c r="BN54" s="1"/>
      <c r="BO54" s="4"/>
      <c r="BP54" s="2"/>
      <c r="BQ54" s="2"/>
      <c r="BR54" s="3"/>
      <c r="BS54" s="1"/>
      <c r="BT54" s="2"/>
      <c r="BU54" s="21"/>
      <c r="BV54" s="2"/>
      <c r="BW54" s="2"/>
      <c r="BX54" s="21"/>
      <c r="BY54" s="10"/>
    </row>
    <row r="55" spans="1:77" x14ac:dyDescent="0.25">
      <c r="A55" t="str">
        <f t="shared" si="3"/>
        <v>Appui</v>
      </c>
      <c r="B55" t="b">
        <f t="shared" si="4"/>
        <v>0</v>
      </c>
      <c r="C55">
        <f t="shared" si="15"/>
        <v>5</v>
      </c>
      <c r="D55" s="5" t="s">
        <v>103</v>
      </c>
      <c r="E55" t="s">
        <v>49</v>
      </c>
      <c r="F55" s="5">
        <v>25</v>
      </c>
      <c r="G55" t="s">
        <v>46</v>
      </c>
      <c r="H55">
        <v>500</v>
      </c>
      <c r="I55">
        <v>220000</v>
      </c>
      <c r="J55">
        <v>1576</v>
      </c>
      <c r="K55" s="10">
        <v>1870</v>
      </c>
      <c r="L55" s="12">
        <v>1</v>
      </c>
      <c r="M55" s="5">
        <v>0.23</v>
      </c>
      <c r="N55" s="10">
        <v>2.6</v>
      </c>
      <c r="O55" s="5">
        <v>1.3338E-3</v>
      </c>
      <c r="P55">
        <v>0.06</v>
      </c>
      <c r="Q55" s="10">
        <v>1</v>
      </c>
      <c r="R55" s="8">
        <v>0</v>
      </c>
      <c r="S55">
        <v>0</v>
      </c>
      <c r="T55">
        <v>1</v>
      </c>
      <c r="U55" s="9">
        <v>2.9099999999999999E-5</v>
      </c>
      <c r="V55">
        <v>0</v>
      </c>
      <c r="W55" s="10">
        <v>10</v>
      </c>
      <c r="X55" s="1">
        <v>80.574999999999989</v>
      </c>
      <c r="Y55" s="2">
        <v>24.475000000000001</v>
      </c>
      <c r="Z55" s="13">
        <v>0.25</v>
      </c>
      <c r="AA55" s="2">
        <v>60.431249999999991</v>
      </c>
      <c r="AB55" s="2">
        <v>44.618749999999991</v>
      </c>
      <c r="AC55" s="2">
        <v>137.5</v>
      </c>
      <c r="AD55" s="2"/>
      <c r="AE55" s="7">
        <v>105.05</v>
      </c>
      <c r="AF55" s="2">
        <v>60.431249999999991</v>
      </c>
      <c r="AG55" s="2">
        <v>44.618749999999991</v>
      </c>
      <c r="AH55" s="2">
        <v>9.635676180376036</v>
      </c>
      <c r="AI55" s="2">
        <v>5.7263651194959309</v>
      </c>
      <c r="AJ55" s="2">
        <v>-283.52676287691543</v>
      </c>
      <c r="AK55" s="2">
        <v>-142.9573600396798</v>
      </c>
      <c r="AL55" s="2">
        <v>0</v>
      </c>
      <c r="AM55" s="2">
        <v>-226.8804483533861</v>
      </c>
      <c r="AN55" s="2">
        <v>137.5</v>
      </c>
      <c r="AO55" s="2">
        <v>98.815583309587311</v>
      </c>
      <c r="AP55" s="2">
        <v>207.23078172664179</v>
      </c>
      <c r="AQ55" s="2">
        <v>11.874362062169309</v>
      </c>
      <c r="AR55" s="2">
        <v>-434.93428723991201</v>
      </c>
      <c r="AS55" s="2">
        <v>0</v>
      </c>
      <c r="AT55" s="2">
        <v>-781.1568792298616</v>
      </c>
      <c r="AU55" s="1">
        <v>105.05</v>
      </c>
      <c r="AV55" s="2">
        <v>0</v>
      </c>
      <c r="AW55" s="2">
        <v>0</v>
      </c>
      <c r="AX55" s="2">
        <v>98.815583309587311</v>
      </c>
      <c r="AZ55" s="1">
        <f t="shared" si="5"/>
        <v>60.431249999999991</v>
      </c>
      <c r="BA55" s="2">
        <f t="shared" si="6"/>
        <v>9.635676180376036</v>
      </c>
      <c r="BB55" s="7">
        <f t="shared" si="7"/>
        <v>-283.52676287691543</v>
      </c>
      <c r="BC55" s="1">
        <f t="shared" si="8"/>
        <v>44.618749999999991</v>
      </c>
      <c r="BD55" s="2">
        <f t="shared" si="9"/>
        <v>5.7263651194959309</v>
      </c>
      <c r="BE55" s="2">
        <f t="shared" si="13"/>
        <v>-142.9573600396798</v>
      </c>
      <c r="BF55" s="2">
        <f t="shared" si="13"/>
        <v>0</v>
      </c>
      <c r="BG55" s="7">
        <f t="shared" si="13"/>
        <v>-226.8804483533861</v>
      </c>
      <c r="BH55" s="1">
        <f t="shared" si="14"/>
        <v>105.04999999999998</v>
      </c>
      <c r="BI55" s="2">
        <f t="shared" si="14"/>
        <v>15.362041299871967</v>
      </c>
      <c r="BJ55" s="2">
        <f t="shared" si="2"/>
        <v>426.4841229165952</v>
      </c>
      <c r="BK55" s="2">
        <f t="shared" si="10"/>
        <v>0</v>
      </c>
      <c r="BL55" s="7">
        <f t="shared" si="11"/>
        <v>-226.8804483533861</v>
      </c>
      <c r="BN55" s="1"/>
      <c r="BO55" s="4"/>
      <c r="BP55" s="2"/>
      <c r="BQ55" s="2"/>
      <c r="BR55" s="3"/>
      <c r="BS55" s="1"/>
      <c r="BT55" s="2"/>
      <c r="BU55" s="21"/>
      <c r="BV55" s="2"/>
      <c r="BW55" s="2"/>
      <c r="BX55" s="21"/>
      <c r="BY55" s="15"/>
    </row>
    <row r="56" spans="1:77" x14ac:dyDescent="0.25">
      <c r="A56" t="str">
        <f t="shared" si="3"/>
        <v>Travée</v>
      </c>
      <c r="B56" t="b">
        <f t="shared" si="4"/>
        <v>0</v>
      </c>
      <c r="C56">
        <f t="shared" si="15"/>
        <v>5</v>
      </c>
      <c r="D56" s="5" t="s">
        <v>103</v>
      </c>
      <c r="E56" t="s">
        <v>51</v>
      </c>
      <c r="F56" s="5">
        <v>25</v>
      </c>
      <c r="G56" t="s">
        <v>46</v>
      </c>
      <c r="H56">
        <v>500</v>
      </c>
      <c r="I56">
        <v>220000</v>
      </c>
      <c r="J56">
        <v>1576</v>
      </c>
      <c r="K56" s="10">
        <v>1870</v>
      </c>
      <c r="L56" s="12">
        <v>1</v>
      </c>
      <c r="M56" s="5">
        <v>0.23</v>
      </c>
      <c r="N56" s="10">
        <v>2.6</v>
      </c>
      <c r="O56" s="5">
        <v>3.3250000000000011E-4</v>
      </c>
      <c r="P56">
        <v>0.03</v>
      </c>
      <c r="Q56" s="10">
        <v>1</v>
      </c>
      <c r="R56" s="8">
        <v>0</v>
      </c>
      <c r="S56">
        <v>0</v>
      </c>
      <c r="T56">
        <v>1</v>
      </c>
      <c r="U56" s="9">
        <v>2.9099999999999999E-5</v>
      </c>
      <c r="V56">
        <v>0</v>
      </c>
      <c r="W56" s="10">
        <v>7</v>
      </c>
      <c r="X56" s="1">
        <v>46.504959999999997</v>
      </c>
      <c r="Y56" s="2">
        <v>14.12608</v>
      </c>
      <c r="Z56" s="13">
        <v>0.5</v>
      </c>
      <c r="AA56" s="2">
        <v>23.252479999999998</v>
      </c>
      <c r="AB56" s="2">
        <v>37.37856</v>
      </c>
      <c r="AC56" s="2">
        <v>79.36</v>
      </c>
      <c r="AD56" s="2"/>
      <c r="AE56" s="7">
        <v>60.631039999999999</v>
      </c>
      <c r="AF56" s="2">
        <v>23.252479999999998</v>
      </c>
      <c r="AG56" s="2">
        <v>37.37856</v>
      </c>
      <c r="AH56" s="2">
        <v>5.398192378866904</v>
      </c>
      <c r="AI56" s="2">
        <v>6.1926130643109234</v>
      </c>
      <c r="AJ56" s="2">
        <v>-360.13255903756539</v>
      </c>
      <c r="AK56" s="2">
        <v>-305.83961244182302</v>
      </c>
      <c r="AL56" s="2">
        <v>0</v>
      </c>
      <c r="AM56" s="2">
        <v>-393.37959573779398</v>
      </c>
      <c r="AN56" s="2">
        <v>79.36</v>
      </c>
      <c r="AO56" s="2">
        <v>30.596965415019731</v>
      </c>
      <c r="AP56" s="2">
        <v>111.7748467986748</v>
      </c>
      <c r="AQ56" s="2">
        <v>9.8458522855821364</v>
      </c>
      <c r="AR56" s="2">
        <v>-436.44559683875008</v>
      </c>
      <c r="AS56" s="2">
        <v>0</v>
      </c>
      <c r="AT56" s="2">
        <v>-1152.290109670693</v>
      </c>
      <c r="AU56" s="1">
        <v>60.631039999999999</v>
      </c>
      <c r="AV56" s="2">
        <v>0</v>
      </c>
      <c r="AW56" s="2">
        <v>0</v>
      </c>
      <c r="AX56" s="2">
        <v>30.596965415019731</v>
      </c>
      <c r="AZ56" s="1">
        <f t="shared" si="5"/>
        <v>23.252479999999998</v>
      </c>
      <c r="BA56" s="2">
        <f t="shared" si="6"/>
        <v>5.398192378866904</v>
      </c>
      <c r="BB56" s="7">
        <f t="shared" si="7"/>
        <v>-360.13255903756539</v>
      </c>
      <c r="BC56" s="1">
        <f t="shared" si="8"/>
        <v>37.37856</v>
      </c>
      <c r="BD56" s="2">
        <f t="shared" si="9"/>
        <v>6.1926130643109234</v>
      </c>
      <c r="BE56" s="2">
        <f t="shared" si="13"/>
        <v>-305.83961244182302</v>
      </c>
      <c r="BF56" s="2">
        <f t="shared" si="13"/>
        <v>0</v>
      </c>
      <c r="BG56" s="7">
        <f t="shared" si="13"/>
        <v>-393.37959573779398</v>
      </c>
      <c r="BH56" s="1">
        <f t="shared" si="14"/>
        <v>60.631039999999999</v>
      </c>
      <c r="BI56" s="2">
        <f t="shared" si="14"/>
        <v>11.590805443177828</v>
      </c>
      <c r="BJ56" s="2">
        <f t="shared" si="2"/>
        <v>665.97217147938841</v>
      </c>
      <c r="BK56" s="2">
        <f t="shared" si="10"/>
        <v>0</v>
      </c>
      <c r="BL56" s="7">
        <f t="shared" si="11"/>
        <v>-393.37959573779398</v>
      </c>
      <c r="BN56" s="1"/>
      <c r="BO56" s="4"/>
      <c r="BP56" s="2"/>
      <c r="BQ56" s="2"/>
      <c r="BR56" s="3"/>
      <c r="BS56" s="1"/>
      <c r="BT56" s="2"/>
      <c r="BU56" s="21"/>
      <c r="BV56" s="2"/>
      <c r="BW56" s="2"/>
      <c r="BX56" s="21"/>
      <c r="BY56" s="10"/>
    </row>
    <row r="57" spans="1:77" x14ac:dyDescent="0.25">
      <c r="A57" t="str">
        <f t="shared" si="3"/>
        <v>Appui</v>
      </c>
      <c r="B57" t="b">
        <f t="shared" si="4"/>
        <v>0</v>
      </c>
      <c r="C57">
        <f t="shared" si="15"/>
        <v>5</v>
      </c>
      <c r="D57" s="5" t="s">
        <v>103</v>
      </c>
      <c r="E57" t="s">
        <v>52</v>
      </c>
      <c r="F57" s="5">
        <v>25</v>
      </c>
      <c r="G57" t="s">
        <v>46</v>
      </c>
      <c r="H57">
        <v>500</v>
      </c>
      <c r="I57">
        <v>220000</v>
      </c>
      <c r="J57">
        <v>1576</v>
      </c>
      <c r="K57" s="10">
        <v>1870</v>
      </c>
      <c r="L57" s="12">
        <v>1</v>
      </c>
      <c r="M57" s="5">
        <v>0.23</v>
      </c>
      <c r="N57" s="10">
        <v>2.6</v>
      </c>
      <c r="O57" s="5">
        <v>2.1029999999999998E-3</v>
      </c>
      <c r="P57">
        <v>0.06</v>
      </c>
      <c r="Q57" s="10">
        <v>1</v>
      </c>
      <c r="R57" s="8">
        <v>1.275586206896552E-3</v>
      </c>
      <c r="S57">
        <v>0.04</v>
      </c>
      <c r="T57">
        <v>1</v>
      </c>
      <c r="U57" s="9">
        <v>0</v>
      </c>
      <c r="V57">
        <v>0</v>
      </c>
      <c r="W57" s="10">
        <v>0</v>
      </c>
      <c r="X57" s="1">
        <v>109.58199999999999</v>
      </c>
      <c r="Y57" s="2">
        <v>33.286000000000001</v>
      </c>
      <c r="Z57" s="13">
        <v>0.5</v>
      </c>
      <c r="AA57" s="2">
        <v>54.790999999999997</v>
      </c>
      <c r="AB57" s="2">
        <v>88.076999999999998</v>
      </c>
      <c r="AC57" s="2">
        <v>187</v>
      </c>
      <c r="AD57" s="2"/>
      <c r="AE57" s="7">
        <v>142.86799999999999</v>
      </c>
      <c r="AF57" s="2">
        <v>54.790999999999997</v>
      </c>
      <c r="AG57" s="2">
        <v>88.076999999999998</v>
      </c>
      <c r="AH57" s="2">
        <v>7.2434341780835734</v>
      </c>
      <c r="AI57" s="2">
        <v>8.9574905044644524</v>
      </c>
      <c r="AJ57" s="2">
        <v>-165.29319120837721</v>
      </c>
      <c r="AK57" s="2">
        <v>-150.99203933098499</v>
      </c>
      <c r="AL57" s="2">
        <v>-175.45188758420321</v>
      </c>
      <c r="AM57" s="2">
        <v>0</v>
      </c>
      <c r="AN57" s="2">
        <v>187</v>
      </c>
      <c r="AO57" s="2">
        <v>149.23681124314501</v>
      </c>
      <c r="AP57" s="2">
        <v>238.34997825632371</v>
      </c>
      <c r="AQ57" s="2">
        <v>12.74049216654052</v>
      </c>
      <c r="AR57" s="2">
        <v>-332.01234831882812</v>
      </c>
      <c r="AS57" s="2">
        <v>-395.29116463992739</v>
      </c>
      <c r="AT57" s="2">
        <v>0</v>
      </c>
      <c r="AU57" s="1">
        <v>142.86799999999999</v>
      </c>
      <c r="AV57" s="2">
        <v>10.234854195340599</v>
      </c>
      <c r="AW57" s="2">
        <v>-252.5692793098857</v>
      </c>
      <c r="AX57" s="2">
        <v>238.34997825632371</v>
      </c>
      <c r="AZ57" s="1">
        <f t="shared" si="5"/>
        <v>54.790999999999997</v>
      </c>
      <c r="BA57" s="2">
        <f t="shared" si="6"/>
        <v>7.2434341780835734</v>
      </c>
      <c r="BB57" s="7">
        <f t="shared" si="7"/>
        <v>-165.29319120837721</v>
      </c>
      <c r="BC57" s="1">
        <f t="shared" si="8"/>
        <v>88.076999999999998</v>
      </c>
      <c r="BD57" s="2">
        <f t="shared" si="9"/>
        <v>8.9574905044644524</v>
      </c>
      <c r="BE57" s="2">
        <f t="shared" si="13"/>
        <v>-150.99203933098499</v>
      </c>
      <c r="BF57" s="2">
        <f t="shared" si="13"/>
        <v>-175.45188758420321</v>
      </c>
      <c r="BG57" s="7">
        <f t="shared" si="13"/>
        <v>0</v>
      </c>
      <c r="BH57" s="1">
        <f t="shared" si="14"/>
        <v>142.86799999999999</v>
      </c>
      <c r="BI57" s="2">
        <f t="shared" si="14"/>
        <v>16.200924682548028</v>
      </c>
      <c r="BJ57" s="2">
        <f t="shared" si="2"/>
        <v>316.2852305393622</v>
      </c>
      <c r="BK57" s="2">
        <f t="shared" si="10"/>
        <v>175.45188758420321</v>
      </c>
      <c r="BL57" s="7">
        <f t="shared" si="11"/>
        <v>0</v>
      </c>
      <c r="BN57" s="1"/>
      <c r="BO57" s="4"/>
      <c r="BP57" s="2"/>
      <c r="BQ57" s="2"/>
      <c r="BR57" s="3"/>
      <c r="BS57" s="1"/>
      <c r="BT57" s="2"/>
      <c r="BU57" s="21"/>
      <c r="BV57" s="2"/>
      <c r="BW57" s="2"/>
      <c r="BX57" s="21"/>
      <c r="BY57" s="15"/>
    </row>
    <row r="58" spans="1:77" x14ac:dyDescent="0.25">
      <c r="A58" t="str">
        <f t="shared" si="3"/>
        <v>Travée</v>
      </c>
      <c r="B58" t="b">
        <f t="shared" si="4"/>
        <v>0</v>
      </c>
      <c r="C58">
        <f t="shared" si="15"/>
        <v>5</v>
      </c>
      <c r="D58" s="5" t="s">
        <v>103</v>
      </c>
      <c r="E58" t="s">
        <v>53</v>
      </c>
      <c r="F58" s="5">
        <v>25</v>
      </c>
      <c r="G58" t="s">
        <v>46</v>
      </c>
      <c r="H58">
        <v>500</v>
      </c>
      <c r="I58">
        <v>220000</v>
      </c>
      <c r="J58">
        <v>1576</v>
      </c>
      <c r="K58" s="10">
        <v>1870</v>
      </c>
      <c r="L58" s="12">
        <v>1</v>
      </c>
      <c r="M58" s="5">
        <v>0.23</v>
      </c>
      <c r="N58" s="10">
        <v>2.6</v>
      </c>
      <c r="O58" s="5">
        <v>6.6799999999999997E-4</v>
      </c>
      <c r="P58">
        <v>3.5000000000000003E-2</v>
      </c>
      <c r="Q58" s="10">
        <v>1</v>
      </c>
      <c r="R58" s="8">
        <v>0</v>
      </c>
      <c r="S58">
        <v>0</v>
      </c>
      <c r="T58">
        <v>1</v>
      </c>
      <c r="U58" s="9">
        <v>2.9099999999999999E-5</v>
      </c>
      <c r="V58">
        <v>0</v>
      </c>
      <c r="W58" s="10">
        <v>10</v>
      </c>
      <c r="X58" s="1">
        <v>56.256</v>
      </c>
      <c r="Y58" s="2">
        <v>17.088000000000001</v>
      </c>
      <c r="Z58" s="13">
        <v>0.5</v>
      </c>
      <c r="AA58" s="2">
        <v>28.128</v>
      </c>
      <c r="AB58" s="2">
        <v>45.216000000000001</v>
      </c>
      <c r="AC58" s="2">
        <v>96</v>
      </c>
      <c r="AD58" s="2"/>
      <c r="AE58" s="7">
        <v>73.343999999999994</v>
      </c>
      <c r="AF58" s="2">
        <v>28.128</v>
      </c>
      <c r="AG58" s="2">
        <v>45.216000000000001</v>
      </c>
      <c r="AH58" s="2">
        <v>4.9006598712884841</v>
      </c>
      <c r="AI58" s="2">
        <v>6.0096275726945274</v>
      </c>
      <c r="AJ58" s="2">
        <v>-225.21199981100821</v>
      </c>
      <c r="AK58" s="2">
        <v>-216.34998763989631</v>
      </c>
      <c r="AL58" s="2">
        <v>0</v>
      </c>
      <c r="AM58" s="2">
        <v>-288.23946720189639</v>
      </c>
      <c r="AN58" s="2">
        <v>96</v>
      </c>
      <c r="AO58" s="2">
        <v>59.422043229471527</v>
      </c>
      <c r="AP58" s="2">
        <v>171.77574437361639</v>
      </c>
      <c r="AQ58" s="2">
        <v>9.0136653649194631</v>
      </c>
      <c r="AR58" s="2">
        <v>-435.0567137859523</v>
      </c>
      <c r="AS58" s="2">
        <v>0</v>
      </c>
      <c r="AT58" s="2">
        <v>-687.36095504464924</v>
      </c>
      <c r="AU58" s="1">
        <v>73.343999999999994</v>
      </c>
      <c r="AV58" s="2">
        <v>0</v>
      </c>
      <c r="AW58" s="2">
        <v>0</v>
      </c>
      <c r="AX58" s="2">
        <v>59.422043229471527</v>
      </c>
      <c r="AZ58" s="1">
        <f t="shared" si="5"/>
        <v>28.128</v>
      </c>
      <c r="BA58" s="2">
        <f t="shared" si="6"/>
        <v>4.9006598712884841</v>
      </c>
      <c r="BB58" s="7">
        <f t="shared" si="7"/>
        <v>-225.21199981100821</v>
      </c>
      <c r="BC58" s="1">
        <f t="shared" si="8"/>
        <v>45.216000000000001</v>
      </c>
      <c r="BD58" s="2">
        <f t="shared" si="9"/>
        <v>6.0096275726945274</v>
      </c>
      <c r="BE58" s="2">
        <f t="shared" si="13"/>
        <v>-216.34998763989631</v>
      </c>
      <c r="BF58" s="2">
        <f t="shared" si="13"/>
        <v>0</v>
      </c>
      <c r="BG58" s="7">
        <f t="shared" si="13"/>
        <v>-288.23946720189639</v>
      </c>
      <c r="BH58" s="1">
        <f t="shared" si="14"/>
        <v>73.343999999999994</v>
      </c>
      <c r="BI58" s="2">
        <f t="shared" si="14"/>
        <v>10.910287443983012</v>
      </c>
      <c r="BJ58" s="2">
        <f t="shared" si="2"/>
        <v>441.56198745090455</v>
      </c>
      <c r="BK58" s="2">
        <f t="shared" si="10"/>
        <v>0</v>
      </c>
      <c r="BL58" s="7">
        <f t="shared" si="11"/>
        <v>-288.23946720189639</v>
      </c>
      <c r="BN58" s="1"/>
      <c r="BO58" s="4"/>
      <c r="BP58" s="2"/>
      <c r="BQ58" s="2"/>
      <c r="BR58" s="3"/>
      <c r="BS58" s="1"/>
      <c r="BT58" s="2"/>
      <c r="BU58" s="21"/>
      <c r="BV58" s="2"/>
      <c r="BW58" s="2"/>
      <c r="BX58" s="21"/>
      <c r="BY58" s="10"/>
    </row>
    <row r="59" spans="1:77" x14ac:dyDescent="0.25">
      <c r="A59" t="str">
        <f t="shared" si="3"/>
        <v>Appui</v>
      </c>
      <c r="B59" t="b">
        <f t="shared" si="4"/>
        <v>0</v>
      </c>
      <c r="C59">
        <f t="shared" si="15"/>
        <v>5</v>
      </c>
      <c r="D59" s="5" t="s">
        <v>103</v>
      </c>
      <c r="E59" t="s">
        <v>54</v>
      </c>
      <c r="F59" s="5">
        <v>25</v>
      </c>
      <c r="G59" t="s">
        <v>46</v>
      </c>
      <c r="H59">
        <v>500</v>
      </c>
      <c r="I59">
        <v>220000</v>
      </c>
      <c r="J59">
        <v>1576</v>
      </c>
      <c r="K59" s="10">
        <v>1870</v>
      </c>
      <c r="L59" s="12">
        <v>1</v>
      </c>
      <c r="M59" s="5">
        <v>0.23</v>
      </c>
      <c r="N59" s="10">
        <v>2.6</v>
      </c>
      <c r="O59" s="5">
        <v>0</v>
      </c>
      <c r="P59">
        <v>0.06</v>
      </c>
      <c r="Q59" s="10">
        <v>1</v>
      </c>
      <c r="R59" s="8">
        <v>6.2800297931034485E-4</v>
      </c>
      <c r="S59">
        <v>0.04</v>
      </c>
      <c r="T59">
        <v>1</v>
      </c>
      <c r="U59" s="9">
        <v>2.9099999999999999E-5</v>
      </c>
      <c r="V59">
        <v>0</v>
      </c>
      <c r="W59" s="10">
        <v>10</v>
      </c>
      <c r="X59" s="1">
        <v>112.80500000000001</v>
      </c>
      <c r="Y59" s="2">
        <v>34.265000000000001</v>
      </c>
      <c r="Z59" s="13">
        <v>0.5</v>
      </c>
      <c r="AA59" s="2">
        <v>56.402500000000003</v>
      </c>
      <c r="AB59" s="2">
        <v>90.667500000000004</v>
      </c>
      <c r="AC59" s="2">
        <v>192.5</v>
      </c>
      <c r="AD59" s="2"/>
      <c r="AE59" s="7">
        <v>147.07</v>
      </c>
      <c r="AF59" s="2">
        <v>56.402500000000003</v>
      </c>
      <c r="AG59" s="2">
        <v>90.667500000000004</v>
      </c>
      <c r="AH59" s="2">
        <v>0</v>
      </c>
      <c r="AI59" s="2">
        <v>12.51628459261574</v>
      </c>
      <c r="AJ59" s="2">
        <v>0</v>
      </c>
      <c r="AK59" s="2">
        <v>-394.60250107978197</v>
      </c>
      <c r="AL59" s="2">
        <v>-450.38274318596802</v>
      </c>
      <c r="AM59" s="2">
        <v>-618.13755013817399</v>
      </c>
      <c r="AN59" s="2">
        <v>192.5</v>
      </c>
      <c r="AO59" s="2">
        <v>0</v>
      </c>
      <c r="AP59" s="2">
        <v>167.32369403400821</v>
      </c>
      <c r="AQ59" s="2">
        <v>0</v>
      </c>
      <c r="AR59" s="2">
        <v>0</v>
      </c>
      <c r="AS59" s="2">
        <v>0</v>
      </c>
      <c r="AT59" s="2">
        <v>0</v>
      </c>
      <c r="AU59" s="1">
        <v>147.07</v>
      </c>
      <c r="AV59" s="2">
        <v>0</v>
      </c>
      <c r="AW59" s="2">
        <v>0</v>
      </c>
      <c r="AX59" s="2">
        <v>54.453717155509388</v>
      </c>
      <c r="AZ59" s="1">
        <f t="shared" si="5"/>
        <v>56.402500000000003</v>
      </c>
      <c r="BA59" s="2">
        <f t="shared" si="6"/>
        <v>0</v>
      </c>
      <c r="BB59" s="7">
        <f t="shared" si="7"/>
        <v>0</v>
      </c>
      <c r="BC59" s="1">
        <f t="shared" si="8"/>
        <v>90.667500000000004</v>
      </c>
      <c r="BD59" s="2">
        <f t="shared" si="9"/>
        <v>12.51628459261574</v>
      </c>
      <c r="BE59" s="2">
        <f t="shared" si="13"/>
        <v>-394.60250107978197</v>
      </c>
      <c r="BF59" s="2">
        <f t="shared" si="13"/>
        <v>-450.38274318596802</v>
      </c>
      <c r="BG59" s="7">
        <f t="shared" si="13"/>
        <v>-618.13755013817399</v>
      </c>
      <c r="BH59" s="1">
        <f t="shared" si="14"/>
        <v>147.07</v>
      </c>
      <c r="BI59" s="2">
        <f t="shared" si="14"/>
        <v>12.51628459261574</v>
      </c>
      <c r="BJ59" s="2">
        <f t="shared" si="2"/>
        <v>394.60250107978197</v>
      </c>
      <c r="BK59" s="2">
        <f t="shared" si="10"/>
        <v>450.38274318596802</v>
      </c>
      <c r="BL59" s="7">
        <f t="shared" si="11"/>
        <v>-618.13755013817399</v>
      </c>
      <c r="BN59" s="1"/>
      <c r="BO59" s="4"/>
      <c r="BP59" s="2"/>
      <c r="BQ59" s="2"/>
      <c r="BR59" s="3"/>
      <c r="BS59" s="1"/>
      <c r="BT59" s="2"/>
      <c r="BU59" s="21"/>
      <c r="BV59" s="2"/>
      <c r="BW59" s="2"/>
      <c r="BX59" s="21"/>
      <c r="BY59" s="15"/>
    </row>
    <row r="60" spans="1:77" x14ac:dyDescent="0.25">
      <c r="A60" t="str">
        <f t="shared" si="3"/>
        <v>Travée</v>
      </c>
      <c r="B60" t="b">
        <f t="shared" si="4"/>
        <v>0</v>
      </c>
      <c r="C60">
        <f t="shared" si="15"/>
        <v>5</v>
      </c>
      <c r="D60" s="5" t="s">
        <v>103</v>
      </c>
      <c r="E60" t="s">
        <v>55</v>
      </c>
      <c r="F60" s="5"/>
      <c r="K60" s="10"/>
      <c r="L60" s="12"/>
      <c r="M60" s="5"/>
      <c r="N60" s="10"/>
      <c r="O60" s="5"/>
      <c r="Q60" s="10"/>
      <c r="R60" s="8"/>
      <c r="U60" s="9"/>
      <c r="W60" s="10"/>
      <c r="X60" s="1"/>
      <c r="Y60" s="2"/>
      <c r="Z60" s="13"/>
      <c r="AA60" s="2"/>
      <c r="AB60" s="2"/>
      <c r="AC60" s="2"/>
      <c r="AD60" s="2"/>
      <c r="AE60" s="7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"/>
      <c r="AV60" s="2"/>
      <c r="AW60" s="2"/>
      <c r="AX60" s="2"/>
      <c r="AZ60" s="1"/>
      <c r="BA60" s="2"/>
      <c r="BB60" s="7"/>
      <c r="BC60" s="1"/>
      <c r="BD60" s="2"/>
      <c r="BE60" s="2"/>
      <c r="BF60" s="2"/>
      <c r="BG60" s="7"/>
      <c r="BH60" s="1"/>
      <c r="BI60" s="2"/>
      <c r="BJ60" s="2"/>
      <c r="BK60" s="2"/>
      <c r="BL60" s="7"/>
      <c r="BN60" s="1"/>
      <c r="BO60" s="4"/>
      <c r="BP60" s="2"/>
      <c r="BQ60" s="2"/>
      <c r="BR60" s="3"/>
      <c r="BS60" s="1"/>
      <c r="BT60" s="2"/>
      <c r="BU60" s="21"/>
      <c r="BV60" s="2"/>
      <c r="BW60" s="2"/>
      <c r="BX60" s="21"/>
      <c r="BY60" s="10"/>
    </row>
    <row r="61" spans="1:77" x14ac:dyDescent="0.25">
      <c r="A61" t="str">
        <f t="shared" si="3"/>
        <v>Appui</v>
      </c>
      <c r="B61" t="b">
        <f t="shared" si="4"/>
        <v>0</v>
      </c>
      <c r="C61">
        <f>IF(D61="",100000,IF(D61=D59,C59,C59+1))</f>
        <v>5</v>
      </c>
      <c r="D61" s="5" t="s">
        <v>103</v>
      </c>
      <c r="E61" t="s">
        <v>56</v>
      </c>
      <c r="F61" s="5"/>
      <c r="K61" s="10"/>
      <c r="L61" s="12"/>
      <c r="M61" s="5"/>
      <c r="N61" s="10"/>
      <c r="O61" s="5"/>
      <c r="Q61" s="10"/>
      <c r="R61" s="8"/>
      <c r="U61" s="9"/>
      <c r="W61" s="10"/>
      <c r="X61" s="1"/>
      <c r="Y61" s="2"/>
      <c r="Z61" s="13"/>
      <c r="AA61" s="2"/>
      <c r="AB61" s="2"/>
      <c r="AC61" s="2"/>
      <c r="AD61" s="2"/>
      <c r="AE61" s="7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"/>
      <c r="AV61" s="2"/>
      <c r="AW61" s="2"/>
      <c r="AX61" s="2"/>
      <c r="AZ61" s="1"/>
      <c r="BA61" s="2"/>
      <c r="BB61" s="7"/>
      <c r="BC61" s="1"/>
      <c r="BD61" s="2"/>
      <c r="BE61" s="2"/>
      <c r="BF61" s="2"/>
      <c r="BG61" s="7"/>
      <c r="BH61" s="1"/>
      <c r="BI61" s="2"/>
      <c r="BJ61" s="2"/>
      <c r="BK61" s="2"/>
      <c r="BL61" s="7"/>
      <c r="BN61" s="1"/>
      <c r="BO61" s="4"/>
      <c r="BP61" s="2"/>
      <c r="BQ61" s="2"/>
      <c r="BR61" s="3"/>
      <c r="BS61" s="1"/>
      <c r="BT61" s="2"/>
      <c r="BU61" s="21"/>
      <c r="BV61" s="2"/>
      <c r="BW61" s="2"/>
      <c r="BX61" s="21"/>
      <c r="BY61" s="15"/>
    </row>
    <row r="62" spans="1:77" x14ac:dyDescent="0.25">
      <c r="A62" t="str">
        <f t="shared" si="3"/>
        <v>Travée</v>
      </c>
      <c r="B62" t="b">
        <f t="shared" si="4"/>
        <v>0</v>
      </c>
      <c r="C62">
        <f>IF(D62="",100000,IF(D62=D60,C60,C60+1))</f>
        <v>5</v>
      </c>
      <c r="D62" s="5" t="s">
        <v>103</v>
      </c>
      <c r="E62" t="s">
        <v>57</v>
      </c>
      <c r="F62" s="5"/>
      <c r="K62" s="10"/>
      <c r="L62" s="12"/>
      <c r="M62" s="5"/>
      <c r="N62" s="10"/>
      <c r="O62" s="5"/>
      <c r="Q62" s="10"/>
      <c r="R62" s="8"/>
      <c r="U62" s="9"/>
      <c r="W62" s="10"/>
      <c r="X62" s="1"/>
      <c r="Y62" s="2"/>
      <c r="Z62" s="13"/>
      <c r="AA62" s="2"/>
      <c r="AB62" s="2"/>
      <c r="AC62" s="2"/>
      <c r="AD62" s="2"/>
      <c r="AE62" s="7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"/>
      <c r="AV62" s="2"/>
      <c r="AW62" s="2"/>
      <c r="AX62" s="2"/>
      <c r="AZ62" s="1"/>
      <c r="BA62" s="2"/>
      <c r="BB62" s="7"/>
      <c r="BC62" s="1"/>
      <c r="BD62" s="2"/>
      <c r="BE62" s="2"/>
      <c r="BF62" s="2"/>
      <c r="BG62" s="7"/>
      <c r="BH62" s="1"/>
      <c r="BI62" s="2"/>
      <c r="BJ62" s="2"/>
      <c r="BK62" s="2"/>
      <c r="BL62" s="7"/>
      <c r="BN62" s="1"/>
      <c r="BO62" s="4"/>
      <c r="BP62" s="2"/>
      <c r="BQ62" s="2"/>
      <c r="BR62" s="3"/>
      <c r="BS62" s="1"/>
      <c r="BT62" s="2"/>
      <c r="BU62" s="21"/>
      <c r="BV62" s="2"/>
      <c r="BW62" s="2"/>
      <c r="BX62" s="21"/>
      <c r="BY62" s="10"/>
    </row>
    <row r="63" spans="1:77" x14ac:dyDescent="0.25">
      <c r="A63" t="str">
        <f t="shared" si="3"/>
        <v>Appui</v>
      </c>
      <c r="B63" t="b">
        <f t="shared" si="4"/>
        <v>0</v>
      </c>
      <c r="C63">
        <f t="shared" si="15"/>
        <v>5</v>
      </c>
      <c r="D63" s="5" t="s">
        <v>103</v>
      </c>
      <c r="E63" t="s">
        <v>97</v>
      </c>
      <c r="F63" s="5"/>
      <c r="K63" s="10"/>
      <c r="L63" s="12"/>
      <c r="M63" s="5"/>
      <c r="N63" s="10"/>
      <c r="O63" s="5"/>
      <c r="Q63" s="10"/>
      <c r="R63" s="8"/>
      <c r="U63" s="9"/>
      <c r="W63" s="10"/>
      <c r="X63" s="1"/>
      <c r="Y63" s="2"/>
      <c r="Z63" s="13"/>
      <c r="AA63" s="2"/>
      <c r="AB63" s="2"/>
      <c r="AC63" s="2"/>
      <c r="AD63" s="2"/>
      <c r="AE63" s="7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"/>
      <c r="AV63" s="2"/>
      <c r="AW63" s="2"/>
      <c r="AX63" s="2"/>
      <c r="AZ63" s="1"/>
      <c r="BA63" s="2"/>
      <c r="BB63" s="7"/>
      <c r="BC63" s="1"/>
      <c r="BD63" s="2"/>
      <c r="BE63" s="2"/>
      <c r="BF63" s="2"/>
      <c r="BG63" s="7"/>
      <c r="BH63" s="1"/>
      <c r="BI63" s="2"/>
      <c r="BJ63" s="2"/>
      <c r="BK63" s="2"/>
      <c r="BL63" s="7"/>
      <c r="BN63" s="1"/>
      <c r="BO63" s="4"/>
      <c r="BP63" s="2"/>
      <c r="BQ63" s="2"/>
      <c r="BR63" s="3"/>
      <c r="BS63" s="1"/>
      <c r="BT63" s="2"/>
      <c r="BU63" s="21"/>
      <c r="BV63" s="2"/>
      <c r="BW63" s="2"/>
      <c r="BX63" s="21"/>
      <c r="BY63" s="15"/>
    </row>
    <row r="64" spans="1:77" x14ac:dyDescent="0.25">
      <c r="A64" t="str">
        <f t="shared" si="3"/>
        <v/>
      </c>
      <c r="B64" t="b">
        <f t="shared" si="4"/>
        <v>0</v>
      </c>
      <c r="C64">
        <f t="shared" si="15"/>
        <v>5</v>
      </c>
      <c r="D64" s="5" t="s">
        <v>103</v>
      </c>
      <c r="F64" s="5"/>
      <c r="K64" s="10"/>
      <c r="L64" s="12"/>
      <c r="M64" s="5"/>
      <c r="N64" s="10"/>
      <c r="O64" s="5"/>
      <c r="Q64" s="10"/>
      <c r="R64" s="8"/>
      <c r="U64" s="9"/>
      <c r="W64" s="10"/>
      <c r="X64" s="1"/>
      <c r="Y64" s="2"/>
      <c r="Z64" s="13"/>
      <c r="AA64" s="2"/>
      <c r="AB64" s="2"/>
      <c r="AC64" s="2"/>
      <c r="AD64" s="2"/>
      <c r="AE64" s="7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"/>
      <c r="AV64" s="2"/>
      <c r="AW64" s="2"/>
      <c r="AX64" s="2"/>
      <c r="AZ64" s="1"/>
      <c r="BA64" s="2"/>
      <c r="BB64" s="7"/>
      <c r="BC64" s="1"/>
      <c r="BD64" s="2"/>
      <c r="BE64" s="2"/>
      <c r="BF64" s="2"/>
      <c r="BG64" s="7"/>
      <c r="BH64" s="1"/>
      <c r="BI64" s="2"/>
      <c r="BJ64" s="2"/>
      <c r="BK64" s="2"/>
      <c r="BL64" s="7"/>
      <c r="BN64" s="1"/>
      <c r="BO64" s="4"/>
      <c r="BP64" s="2"/>
      <c r="BQ64" s="2"/>
      <c r="BR64" s="3"/>
      <c r="BS64" s="1"/>
      <c r="BT64" s="2"/>
      <c r="BU64" s="21"/>
      <c r="BV64" s="2"/>
      <c r="BW64" s="2"/>
      <c r="BX64" s="21"/>
      <c r="BY64" s="10"/>
    </row>
    <row r="65" spans="3:77" x14ac:dyDescent="0.25">
      <c r="C65">
        <f t="shared" si="15"/>
        <v>100000</v>
      </c>
      <c r="D65" s="5"/>
      <c r="F65" s="5"/>
      <c r="K65" s="10"/>
      <c r="L65" s="12"/>
      <c r="M65" s="5"/>
      <c r="N65" s="10"/>
      <c r="O65" s="5"/>
      <c r="Q65" s="10"/>
      <c r="R65" s="8"/>
      <c r="U65" s="9"/>
      <c r="W65" s="10"/>
      <c r="X65" s="1"/>
      <c r="Y65" s="2"/>
      <c r="Z65" s="13"/>
      <c r="AA65" s="2"/>
      <c r="AB65" s="2"/>
      <c r="AC65" s="2"/>
      <c r="AD65" s="2"/>
      <c r="AE65" s="7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"/>
      <c r="AV65" s="2"/>
      <c r="AW65" s="2"/>
      <c r="AX65" s="2"/>
      <c r="AZ65" s="1"/>
      <c r="BA65" s="2"/>
      <c r="BB65" s="7"/>
      <c r="BC65" s="1"/>
      <c r="BD65" s="2"/>
      <c r="BE65" s="2"/>
      <c r="BF65" s="2"/>
      <c r="BG65" s="7"/>
      <c r="BH65" s="1"/>
      <c r="BI65" s="2"/>
      <c r="BJ65" s="2"/>
      <c r="BK65" s="2"/>
      <c r="BL65" s="7"/>
      <c r="BN65" s="1"/>
      <c r="BO65" s="4"/>
      <c r="BP65" s="2"/>
      <c r="BQ65" s="2"/>
      <c r="BR65" s="3"/>
      <c r="BS65" s="1"/>
      <c r="BT65" s="2"/>
      <c r="BU65" s="21"/>
      <c r="BV65" s="2"/>
      <c r="BW65" s="2"/>
      <c r="BX65" s="21"/>
      <c r="BY65" s="15"/>
    </row>
    <row r="66" spans="3:77" x14ac:dyDescent="0.25"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1"/>
      <c r="Y66" s="2"/>
      <c r="Z66" s="13"/>
      <c r="AA66" s="2"/>
      <c r="AB66" s="2"/>
      <c r="AC66" s="2"/>
      <c r="AD66" s="2"/>
      <c r="AE66" s="7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"/>
      <c r="AV66" s="2"/>
      <c r="AW66" s="2"/>
      <c r="AX66" s="2"/>
      <c r="AZ66" s="1"/>
      <c r="BA66" s="2"/>
      <c r="BB66" s="7"/>
      <c r="BC66" s="1"/>
      <c r="BD66" s="2"/>
      <c r="BE66" s="2"/>
      <c r="BF66" s="2"/>
      <c r="BG66" s="7"/>
      <c r="BH66" s="1"/>
      <c r="BI66" s="2"/>
      <c r="BJ66" s="2"/>
      <c r="BK66" s="2"/>
      <c r="BL66" s="7"/>
      <c r="BN66" s="1"/>
      <c r="BO66" s="4"/>
      <c r="BP66" s="2"/>
      <c r="BQ66" s="2"/>
      <c r="BR66" s="3"/>
      <c r="BS66" s="1"/>
      <c r="BT66" s="2"/>
      <c r="BU66" s="21"/>
      <c r="BV66" s="2"/>
      <c r="BW66" s="2"/>
      <c r="BX66" s="21"/>
      <c r="BY66" s="10"/>
    </row>
    <row r="67" spans="3:77" x14ac:dyDescent="0.25">
      <c r="D67" s="5"/>
      <c r="F67" s="5"/>
      <c r="K67" s="10"/>
      <c r="L67" s="12"/>
      <c r="M67" s="5"/>
      <c r="N67" s="10"/>
      <c r="O67" s="5"/>
      <c r="Q67" s="10"/>
      <c r="R67" s="8"/>
      <c r="U67" s="9"/>
      <c r="W67" s="10"/>
      <c r="X67" s="1"/>
      <c r="Y67" s="2"/>
      <c r="Z67" s="13"/>
      <c r="AA67" s="2"/>
      <c r="AB67" s="2"/>
      <c r="AC67" s="2"/>
      <c r="AD67" s="2"/>
      <c r="AE67" s="7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1"/>
      <c r="AV67" s="2"/>
      <c r="AW67" s="2"/>
      <c r="AX67" s="2"/>
      <c r="AZ67" s="1"/>
      <c r="BA67" s="2"/>
      <c r="BB67" s="7"/>
      <c r="BC67" s="1"/>
      <c r="BD67" s="2"/>
      <c r="BE67" s="2"/>
      <c r="BF67" s="2"/>
      <c r="BG67" s="7"/>
      <c r="BH67" s="1"/>
      <c r="BI67" s="2"/>
      <c r="BJ67" s="2"/>
      <c r="BK67" s="2"/>
      <c r="BL67" s="7"/>
      <c r="BN67" s="1"/>
      <c r="BO67" s="4"/>
      <c r="BP67" s="2"/>
      <c r="BQ67" s="2"/>
      <c r="BR67" s="3"/>
      <c r="BS67" s="1"/>
      <c r="BT67" s="2"/>
      <c r="BU67" s="21"/>
      <c r="BV67" s="2"/>
      <c r="BW67" s="2"/>
      <c r="BX67" s="21"/>
      <c r="BY67" s="15"/>
    </row>
    <row r="68" spans="3:77" x14ac:dyDescent="0.25">
      <c r="D68" s="5"/>
      <c r="F68" s="5"/>
      <c r="K68" s="10"/>
      <c r="L68" s="12"/>
      <c r="M68" s="5"/>
      <c r="N68" s="10"/>
      <c r="O68" s="5"/>
      <c r="Q68" s="10"/>
      <c r="R68" s="8"/>
      <c r="U68" s="9"/>
      <c r="W68" s="10"/>
      <c r="X68" s="1"/>
      <c r="Y68" s="2"/>
      <c r="Z68" s="13"/>
      <c r="AA68" s="2"/>
      <c r="AB68" s="2"/>
      <c r="AC68" s="2"/>
      <c r="AD68" s="2"/>
      <c r="AE68" s="7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1"/>
      <c r="AV68" s="2"/>
      <c r="AW68" s="2"/>
      <c r="AX68" s="2"/>
      <c r="AZ68" s="1"/>
      <c r="BA68" s="2"/>
      <c r="BB68" s="7"/>
      <c r="BC68" s="1"/>
      <c r="BD68" s="2"/>
      <c r="BE68" s="2"/>
      <c r="BF68" s="2"/>
      <c r="BG68" s="7"/>
      <c r="BH68" s="1"/>
      <c r="BI68" s="2"/>
      <c r="BJ68" s="2"/>
      <c r="BK68" s="2"/>
      <c r="BL68" s="7"/>
      <c r="BN68" s="1"/>
      <c r="BO68" s="4"/>
      <c r="BP68" s="2"/>
      <c r="BQ68" s="2"/>
      <c r="BR68" s="3"/>
      <c r="BS68" s="1"/>
      <c r="BT68" s="2"/>
      <c r="BU68" s="21"/>
      <c r="BV68" s="2"/>
      <c r="BW68" s="2"/>
      <c r="BX68" s="21"/>
      <c r="BY68" s="10"/>
    </row>
    <row r="69" spans="3:77" x14ac:dyDescent="0.25">
      <c r="D69" s="5"/>
      <c r="F69" s="5"/>
      <c r="K69" s="10"/>
      <c r="L69" s="12"/>
      <c r="M69" s="5"/>
      <c r="N69" s="10"/>
      <c r="O69" s="5"/>
      <c r="Q69" s="10"/>
      <c r="R69" s="8"/>
      <c r="U69" s="9"/>
      <c r="W69" s="10"/>
      <c r="X69" s="1"/>
      <c r="Y69" s="2"/>
      <c r="Z69" s="13"/>
      <c r="AA69" s="2"/>
      <c r="AB69" s="2"/>
      <c r="AC69" s="2"/>
      <c r="AD69" s="2"/>
      <c r="AE69" s="7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1"/>
      <c r="AV69" s="2"/>
      <c r="AW69" s="2"/>
      <c r="AX69" s="2"/>
      <c r="AZ69" s="1"/>
      <c r="BA69" s="2"/>
      <c r="BB69" s="7"/>
      <c r="BC69" s="1"/>
      <c r="BD69" s="2"/>
      <c r="BE69" s="2"/>
      <c r="BF69" s="2"/>
      <c r="BG69" s="7"/>
      <c r="BH69" s="1"/>
      <c r="BI69" s="2"/>
      <c r="BJ69" s="2"/>
      <c r="BK69" s="2"/>
      <c r="BL69" s="7"/>
      <c r="BN69" s="1"/>
      <c r="BO69" s="4"/>
      <c r="BP69" s="2"/>
      <c r="BQ69" s="2"/>
      <c r="BR69" s="3"/>
      <c r="BS69" s="1"/>
      <c r="BT69" s="2"/>
      <c r="BU69" s="21"/>
      <c r="BV69" s="2"/>
      <c r="BW69" s="2"/>
      <c r="BX69" s="21"/>
      <c r="BY69" s="15"/>
    </row>
    <row r="70" spans="3:77" x14ac:dyDescent="0.25">
      <c r="D70" s="5"/>
      <c r="F70" s="5"/>
      <c r="K70" s="10"/>
      <c r="L70" s="12"/>
      <c r="M70" s="5"/>
      <c r="N70" s="10"/>
      <c r="O70" s="5"/>
      <c r="Q70" s="10"/>
      <c r="R70" s="8"/>
      <c r="U70" s="9"/>
      <c r="W70" s="10"/>
      <c r="X70" s="1"/>
      <c r="Y70" s="2"/>
      <c r="Z70" s="13"/>
      <c r="AA70" s="2"/>
      <c r="AB70" s="2"/>
      <c r="AC70" s="2"/>
      <c r="AD70" s="2"/>
      <c r="AE70" s="7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1"/>
      <c r="AV70" s="2"/>
      <c r="AW70" s="2"/>
      <c r="AX70" s="2"/>
      <c r="AZ70" s="1"/>
      <c r="BA70" s="2"/>
      <c r="BB70" s="7"/>
      <c r="BC70" s="1"/>
      <c r="BD70" s="2"/>
      <c r="BE70" s="2"/>
      <c r="BF70" s="2"/>
      <c r="BG70" s="7"/>
      <c r="BH70" s="1"/>
      <c r="BI70" s="2"/>
      <c r="BJ70" s="2"/>
      <c r="BK70" s="2"/>
      <c r="BL70" s="7"/>
      <c r="BN70" s="1"/>
      <c r="BO70" s="4"/>
      <c r="BP70" s="2"/>
      <c r="BQ70" s="2"/>
      <c r="BR70" s="3"/>
      <c r="BS70" s="1"/>
      <c r="BT70" s="2"/>
      <c r="BU70" s="21"/>
      <c r="BV70" s="2"/>
      <c r="BW70" s="2"/>
      <c r="BX70" s="21"/>
      <c r="BY70" s="10"/>
    </row>
  </sheetData>
  <mergeCells count="19">
    <mergeCell ref="G4:H4"/>
    <mergeCell ref="I4:K4"/>
    <mergeCell ref="R4:T4"/>
    <mergeCell ref="U4:W4"/>
    <mergeCell ref="AZ1:BY1"/>
    <mergeCell ref="AZ2:BL2"/>
    <mergeCell ref="BN2:BY2"/>
    <mergeCell ref="F3:K3"/>
    <mergeCell ref="M3:N4"/>
    <mergeCell ref="O3:Q4"/>
    <mergeCell ref="R3:W3"/>
    <mergeCell ref="X3:AE4"/>
    <mergeCell ref="AF3:AX4"/>
    <mergeCell ref="AZ3:BB4"/>
    <mergeCell ref="BX5:BY5"/>
    <mergeCell ref="BC3:BG4"/>
    <mergeCell ref="BH3:BL3"/>
    <mergeCell ref="BN3:BR4"/>
    <mergeCell ref="BS3:BY4"/>
  </mergeCells>
  <conditionalFormatting sqref="D6:D70">
    <cfRule type="expression" dxfId="105" priority="11">
      <formula>$B6=FALSE</formula>
    </cfRule>
  </conditionalFormatting>
  <conditionalFormatting sqref="BI6:BI70">
    <cfRule type="cellIs" dxfId="104" priority="5" operator="greaterThan">
      <formula>$BI$4</formula>
    </cfRule>
  </conditionalFormatting>
  <conditionalFormatting sqref="BJ6:BK70">
    <cfRule type="cellIs" dxfId="103" priority="9" operator="greaterThan">
      <formula>$BJ$4</formula>
    </cfRule>
  </conditionalFormatting>
  <conditionalFormatting sqref="BL6:BM7 BM8:BM37 BL8:BL70">
    <cfRule type="expression" dxfId="102" priority="10">
      <formula>ABS($BL6)&gt;$BL$4</formula>
    </cfRule>
  </conditionalFormatting>
  <conditionalFormatting sqref="BO6:BO70">
    <cfRule type="expression" dxfId="101" priority="4">
      <formula>$A6="Travée"</formula>
    </cfRule>
  </conditionalFormatting>
  <conditionalFormatting sqref="BR6:BR70">
    <cfRule type="cellIs" dxfId="100" priority="8" operator="greaterThan">
      <formula>1</formula>
    </cfRule>
  </conditionalFormatting>
  <conditionalFormatting sqref="BU6:BU70">
    <cfRule type="cellIs" dxfId="99" priority="7" operator="greaterThan">
      <formula>1</formula>
    </cfRule>
  </conditionalFormatting>
  <conditionalFormatting sqref="BV6:BX59 BV60:BY70">
    <cfRule type="cellIs" dxfId="98" priority="6" operator="equal">
      <formula>""</formula>
    </cfRule>
  </conditionalFormatting>
  <conditionalFormatting sqref="BX6:BX70">
    <cfRule type="cellIs" dxfId="97" priority="3" operator="lessThan">
      <formula>IF($BY6="Rive",1.15,IF($BY6="Inter",1.1,0))</formula>
    </cfRule>
  </conditionalFormatting>
  <conditionalFormatting sqref="BY6:BY59">
    <cfRule type="cellIs" dxfId="96" priority="1" operator="equal">
      <formula>""</formula>
    </cfRule>
  </conditionalFormatting>
  <pageMargins left="0.7" right="0.7" top="0.75" bottom="0.75" header="0.3" footer="0.3"/>
  <pageSetup paperSize="8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3319-2E76-4BBF-95DE-D45A19BCE325}">
  <sheetPr>
    <pageSetUpPr fitToPage="1"/>
  </sheetPr>
  <dimension ref="A1:CI71"/>
  <sheetViews>
    <sheetView zoomScale="55" zoomScaleNormal="55" workbookViewId="0">
      <pane xSplit="5" topLeftCell="F1" activePane="topRight" state="frozen"/>
      <selection activeCell="D6" sqref="D6:BA71"/>
      <selection pane="topRight" activeCell="D6" sqref="D6:BA64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6.140625" bestFit="1" customWidth="1"/>
    <col min="7" max="7" width="3.85546875" bestFit="1" customWidth="1"/>
    <col min="8" max="8" width="4.140625" bestFit="1" customWidth="1"/>
    <col min="9" max="9" width="7.42578125" bestFit="1" customWidth="1"/>
    <col min="10" max="11" width="5.14062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5" width="3.42578125" customWidth="1"/>
    <col min="26" max="26" width="7.85546875" bestFit="1" customWidth="1"/>
    <col min="27" max="32" width="5.140625" customWidth="1"/>
    <col min="33" max="33" width="2.85546875" customWidth="1"/>
    <col min="34" max="34" width="5.140625" customWidth="1"/>
    <col min="35" max="38" width="3.85546875" hidden="1" customWidth="1" outlineLevel="1"/>
    <col min="39" max="39" width="8" hidden="1" customWidth="1" outlineLevel="1"/>
    <col min="40" max="42" width="4.85546875" hidden="1" customWidth="1" outlineLevel="1"/>
    <col min="43" max="45" width="4.140625" hidden="1" customWidth="1" outlineLevel="1"/>
    <col min="46" max="46" width="3.85546875" hidden="1" customWidth="1" outlineLevel="1"/>
    <col min="47" max="47" width="4.85546875" hidden="1" customWidth="1" outlineLevel="1"/>
    <col min="48" max="48" width="5.28515625" hidden="1" customWidth="1" outlineLevel="1"/>
    <col min="49" max="49" width="5.85546875" hidden="1" customWidth="1" outlineLevel="1"/>
    <col min="50" max="51" width="4.140625" hidden="1" customWidth="1" outlineLevel="1"/>
    <col min="52" max="53" width="4.85546875" hidden="1" customWidth="1" outlineLevel="1"/>
    <col min="54" max="54" width="2.85546875" customWidth="1" collapsed="1"/>
    <col min="55" max="56" width="3.85546875" bestFit="1" customWidth="1"/>
    <col min="57" max="57" width="4.85546875" bestFit="1" customWidth="1"/>
    <col min="58" max="59" width="3.85546875" bestFit="1" customWidth="1"/>
    <col min="60" max="62" width="4.85546875" bestFit="1" customWidth="1"/>
    <col min="63" max="63" width="4.140625" bestFit="1" customWidth="1"/>
    <col min="64" max="64" width="4.42578125" bestFit="1" customWidth="1"/>
    <col min="65" max="65" width="6.28515625" bestFit="1" customWidth="1"/>
    <col min="66" max="66" width="5.5703125" bestFit="1" customWidth="1"/>
    <col min="67" max="67" width="5.28515625" bestFit="1" customWidth="1"/>
    <col min="68" max="68" width="3.42578125" customWidth="1"/>
    <col min="69" max="69" width="4.140625" customWidth="1" outlineLevel="1"/>
    <col min="70" max="70" width="6.28515625" customWidth="1" outlineLevel="1"/>
    <col min="71" max="71" width="4.85546875" bestFit="1" customWidth="1"/>
    <col min="72" max="72" width="4.5703125" bestFit="1" customWidth="1"/>
    <col min="73" max="73" width="7.140625" customWidth="1"/>
    <col min="74" max="75" width="6.85546875" bestFit="1" customWidth="1"/>
    <col min="76" max="76" width="6.140625" bestFit="1" customWidth="1"/>
    <col min="77" max="77" width="4.140625" hidden="1" customWidth="1" outlineLevel="1"/>
    <col min="78" max="78" width="6.140625" hidden="1" customWidth="1" outlineLevel="1"/>
    <col min="79" max="79" width="4.140625" customWidth="1" collapsed="1"/>
    <col min="80" max="80" width="4.140625" bestFit="1" customWidth="1"/>
    <col min="81" max="81" width="7.42578125" bestFit="1" customWidth="1"/>
    <col min="82" max="83" width="4.140625" bestFit="1" customWidth="1"/>
    <col min="84" max="84" width="5.7109375" bestFit="1" customWidth="1"/>
    <col min="85" max="85" width="5.5703125" bestFit="1" customWidth="1"/>
    <col min="87" max="87" width="9.140625" bestFit="1" customWidth="1"/>
  </cols>
  <sheetData>
    <row r="1" spans="1:86" ht="15.75" thickBot="1" x14ac:dyDescent="0.3">
      <c r="BC1" s="80" t="s">
        <v>67</v>
      </c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2"/>
    </row>
    <row r="2" spans="1:86" ht="15.75" thickBot="1" x14ac:dyDescent="0.3">
      <c r="BC2" s="67" t="s">
        <v>78</v>
      </c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79"/>
      <c r="BP2" s="6"/>
      <c r="BQ2" s="67" t="s">
        <v>79</v>
      </c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79"/>
    </row>
    <row r="3" spans="1:86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38"/>
      <c r="Y3" s="39"/>
      <c r="Z3" s="39"/>
      <c r="AA3" s="62" t="s">
        <v>68</v>
      </c>
      <c r="AB3" s="62"/>
      <c r="AC3" s="62"/>
      <c r="AD3" s="62"/>
      <c r="AE3" s="62"/>
      <c r="AF3" s="62"/>
      <c r="AG3" s="62"/>
      <c r="AH3" s="63"/>
      <c r="AI3" s="67" t="s">
        <v>67</v>
      </c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C3" s="83" t="s">
        <v>87</v>
      </c>
      <c r="BD3" s="62"/>
      <c r="BE3" s="63"/>
      <c r="BF3" s="83" t="s">
        <v>88</v>
      </c>
      <c r="BG3" s="62"/>
      <c r="BH3" s="62"/>
      <c r="BI3" s="62"/>
      <c r="BJ3" s="63"/>
      <c r="BK3" s="71" t="s">
        <v>77</v>
      </c>
      <c r="BL3" s="72"/>
      <c r="BM3" s="72"/>
      <c r="BN3" s="72"/>
      <c r="BO3" s="73"/>
      <c r="BQ3" s="83" t="s">
        <v>89</v>
      </c>
      <c r="BR3" s="62"/>
      <c r="BS3" s="62"/>
      <c r="BT3" s="62"/>
      <c r="BU3" s="63"/>
      <c r="BV3" s="43"/>
      <c r="BW3" s="40"/>
      <c r="BX3" s="40"/>
      <c r="BY3" s="83" t="s">
        <v>90</v>
      </c>
      <c r="BZ3" s="84"/>
      <c r="CA3" s="84"/>
      <c r="CB3" s="62"/>
      <c r="CC3" s="62"/>
      <c r="CD3" s="62"/>
      <c r="CE3" s="62"/>
      <c r="CF3" s="62"/>
      <c r="CG3" s="63"/>
    </row>
    <row r="4" spans="1:86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44"/>
      <c r="Y4" s="45"/>
      <c r="Z4" s="45"/>
      <c r="AA4" s="65"/>
      <c r="AB4" s="65"/>
      <c r="AC4" s="65"/>
      <c r="AD4" s="65"/>
      <c r="AE4" s="65"/>
      <c r="AF4" s="65"/>
      <c r="AG4" s="65"/>
      <c r="AH4" s="66"/>
      <c r="AI4" s="67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C4" s="64"/>
      <c r="BD4" s="65"/>
      <c r="BE4" s="66"/>
      <c r="BF4" s="64"/>
      <c r="BG4" s="65"/>
      <c r="BH4" s="65"/>
      <c r="BI4" s="65"/>
      <c r="BJ4" s="66"/>
      <c r="BK4" s="23"/>
      <c r="BL4" s="24">
        <f>0.6*F7</f>
        <v>15</v>
      </c>
      <c r="BM4" s="24">
        <f>0.8*H7</f>
        <v>400</v>
      </c>
      <c r="BN4" s="24">
        <f>0.8*H7</f>
        <v>400</v>
      </c>
      <c r="BO4" s="25">
        <f>MIN(J7,0.9*0.8*H7)</f>
        <v>360.00000000000006</v>
      </c>
      <c r="BP4" s="14"/>
      <c r="BQ4" s="64"/>
      <c r="BR4" s="65"/>
      <c r="BS4" s="65"/>
      <c r="BT4" s="65"/>
      <c r="BU4" s="66"/>
      <c r="BV4" s="41"/>
      <c r="BW4" s="42"/>
      <c r="BX4" s="42"/>
      <c r="BY4" s="64"/>
      <c r="BZ4" s="65"/>
      <c r="CA4" s="65"/>
      <c r="CB4" s="65"/>
      <c r="CC4" s="65"/>
      <c r="CD4" s="65"/>
      <c r="CE4" s="65"/>
      <c r="CF4" s="65"/>
      <c r="CG4" s="66"/>
      <c r="CH4" t="s">
        <v>113</v>
      </c>
    </row>
    <row r="5" spans="1:86" ht="81.95" customHeight="1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46" t="s">
        <v>114</v>
      </c>
      <c r="Y5" s="47" t="s">
        <v>115</v>
      </c>
      <c r="Z5" s="47" t="s">
        <v>116</v>
      </c>
      <c r="AA5" s="48" t="s">
        <v>69</v>
      </c>
      <c r="AB5" s="32" t="s">
        <v>70</v>
      </c>
      <c r="AC5" s="32" t="s">
        <v>71</v>
      </c>
      <c r="AD5" s="32" t="s">
        <v>20</v>
      </c>
      <c r="AE5" s="32" t="s">
        <v>21</v>
      </c>
      <c r="AF5" s="32" t="s">
        <v>22</v>
      </c>
      <c r="AG5" s="32" t="s">
        <v>23</v>
      </c>
      <c r="AH5" s="33" t="s">
        <v>24</v>
      </c>
      <c r="AI5" s="34" t="s">
        <v>25</v>
      </c>
      <c r="AJ5" s="35" t="s">
        <v>26</v>
      </c>
      <c r="AK5" s="35" t="s">
        <v>27</v>
      </c>
      <c r="AL5" s="35" t="s">
        <v>28</v>
      </c>
      <c r="AM5" s="35" t="s">
        <v>29</v>
      </c>
      <c r="AN5" s="35" t="s">
        <v>30</v>
      </c>
      <c r="AO5" s="35" t="s">
        <v>31</v>
      </c>
      <c r="AP5" s="35" t="s">
        <v>32</v>
      </c>
      <c r="AQ5" s="35" t="s">
        <v>33</v>
      </c>
      <c r="AR5" s="35" t="s">
        <v>34</v>
      </c>
      <c r="AS5" s="35" t="s">
        <v>35</v>
      </c>
      <c r="AT5" s="35" t="s">
        <v>36</v>
      </c>
      <c r="AU5" s="35" t="s">
        <v>37</v>
      </c>
      <c r="AV5" s="35" t="s">
        <v>38</v>
      </c>
      <c r="AW5" s="36" t="s">
        <v>39</v>
      </c>
      <c r="AX5" s="37" t="s">
        <v>40</v>
      </c>
      <c r="AY5" s="35" t="s">
        <v>42</v>
      </c>
      <c r="AZ5" s="35" t="s">
        <v>43</v>
      </c>
      <c r="BA5" s="35" t="s">
        <v>41</v>
      </c>
      <c r="BB5" s="20"/>
      <c r="BC5" s="16" t="s">
        <v>72</v>
      </c>
      <c r="BD5" s="18" t="s">
        <v>73</v>
      </c>
      <c r="BE5" s="17" t="s">
        <v>74</v>
      </c>
      <c r="BF5" s="18" t="s">
        <v>72</v>
      </c>
      <c r="BG5" s="18" t="s">
        <v>73</v>
      </c>
      <c r="BH5" s="18" t="s">
        <v>74</v>
      </c>
      <c r="BI5" s="18" t="s">
        <v>75</v>
      </c>
      <c r="BJ5" s="17" t="s">
        <v>76</v>
      </c>
      <c r="BK5" s="16" t="s">
        <v>72</v>
      </c>
      <c r="BL5" s="18" t="s">
        <v>73</v>
      </c>
      <c r="BM5" s="18" t="s">
        <v>74</v>
      </c>
      <c r="BN5" s="18" t="s">
        <v>75</v>
      </c>
      <c r="BO5" s="17" t="s">
        <v>76</v>
      </c>
      <c r="BP5" s="18"/>
      <c r="BQ5" s="16" t="s">
        <v>80</v>
      </c>
      <c r="BR5" s="19" t="s">
        <v>66</v>
      </c>
      <c r="BS5" s="18" t="s">
        <v>82</v>
      </c>
      <c r="BT5" s="18" t="s">
        <v>81</v>
      </c>
      <c r="BU5" s="17" t="s">
        <v>117</v>
      </c>
      <c r="BV5" s="16" t="s">
        <v>118</v>
      </c>
      <c r="BW5" s="18" t="s">
        <v>119</v>
      </c>
      <c r="BX5" s="49" t="s">
        <v>120</v>
      </c>
      <c r="BY5" s="16" t="s">
        <v>80</v>
      </c>
      <c r="BZ5" s="19" t="s">
        <v>66</v>
      </c>
      <c r="CA5" s="18" t="s">
        <v>82</v>
      </c>
      <c r="CB5" s="18" t="s">
        <v>81</v>
      </c>
      <c r="CC5" s="20"/>
      <c r="CD5" s="18" t="s">
        <v>121</v>
      </c>
      <c r="CE5" s="18" t="s">
        <v>122</v>
      </c>
      <c r="CF5" s="77" t="s">
        <v>86</v>
      </c>
      <c r="CG5" s="78"/>
      <c r="CH5" s="50" t="s">
        <v>123</v>
      </c>
    </row>
    <row r="6" spans="1:86" x14ac:dyDescent="0.25">
      <c r="A6" t="str">
        <f>IF(ISNUMBER(SEARCH("Appui",E6)),"Appui",IF(ISNUMBER(SEARCH("Travée",E6)),"Travée",""))</f>
        <v/>
      </c>
      <c r="B6" t="b">
        <f>MOD(C6,2)=0</f>
        <v>0</v>
      </c>
      <c r="C6">
        <f t="shared" ref="C6:C7" si="0">IF(D6=D5,C5,C5+1)</f>
        <v>1</v>
      </c>
      <c r="D6" t="s">
        <v>127</v>
      </c>
      <c r="F6">
        <v>25</v>
      </c>
      <c r="G6" t="s">
        <v>46</v>
      </c>
      <c r="H6">
        <v>500</v>
      </c>
      <c r="I6">
        <v>220000</v>
      </c>
      <c r="J6">
        <v>1576</v>
      </c>
      <c r="K6">
        <v>1870</v>
      </c>
      <c r="L6">
        <v>1</v>
      </c>
      <c r="M6">
        <v>0.2</v>
      </c>
      <c r="N6">
        <v>2.2000000000000002</v>
      </c>
      <c r="O6">
        <v>1.0000000000000001E-5</v>
      </c>
      <c r="P6">
        <v>0.03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0.78043082983844214</v>
      </c>
      <c r="AS6">
        <v>0.78043082983844214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0.78043082983844214</v>
      </c>
      <c r="BC6" s="1">
        <f>AI6</f>
        <v>0</v>
      </c>
      <c r="BD6" s="2">
        <f>AK6</f>
        <v>0</v>
      </c>
      <c r="BE6" s="7">
        <f>AM6</f>
        <v>0</v>
      </c>
      <c r="BF6" s="1">
        <f>AJ6</f>
        <v>0</v>
      </c>
      <c r="BG6" s="2">
        <f>AL6</f>
        <v>0</v>
      </c>
      <c r="BH6" s="2">
        <f t="shared" ref="BH6:BJ21" si="1">AN6</f>
        <v>0</v>
      </c>
      <c r="BI6" s="2">
        <f t="shared" si="1"/>
        <v>0</v>
      </c>
      <c r="BJ6" s="7">
        <f t="shared" si="1"/>
        <v>0</v>
      </c>
      <c r="BK6" s="1">
        <f t="shared" ref="BK6:BL21" si="2">BC6+BF6</f>
        <v>0</v>
      </c>
      <c r="BL6" s="2">
        <f t="shared" si="2"/>
        <v>0</v>
      </c>
      <c r="BM6" s="2">
        <f t="shared" ref="BM6:BM65" si="3">ABS(BE6+BH6)</f>
        <v>0</v>
      </c>
      <c r="BN6" s="2">
        <f>ABS(BI6)</f>
        <v>0</v>
      </c>
      <c r="BO6" s="7">
        <f>BJ6</f>
        <v>0</v>
      </c>
      <c r="BP6" s="2"/>
      <c r="BQ6" s="1">
        <f t="shared" ref="BQ6:BQ65" si="4">AX6</f>
        <v>0</v>
      </c>
      <c r="BR6" s="4">
        <v>0</v>
      </c>
      <c r="BS6" s="2">
        <f t="shared" ref="BS6:BS65" si="5">IF(ISNUMBER(SEARCH("Appui",E6)),BQ6+BR6*BQ6,IF(C5&lt;C6,BQ6-BR7*BQ7/2,IF(C6&lt;C7,BQ6-(BR5*BQ5)/2,BQ6-(BR7*BQ7+BR5*BQ5)/2)))</f>
        <v>0</v>
      </c>
      <c r="BT6" s="2">
        <f t="shared" ref="BT6:BT65" si="6">BA6</f>
        <v>0.78043082983844214</v>
      </c>
      <c r="BU6" s="3">
        <f t="shared" ref="BU6:BU65" si="7">IFERROR(IF(BT6=0,"",BT6/BS6),1)</f>
        <v>1</v>
      </c>
      <c r="BV6" s="52" t="str">
        <f t="shared" ref="BV6:BV65" si="8">IF(ISNUMBER(SEARCH("Travée",E6)),BS6+(IF(C5&lt;C6,0,BS5)+IF(C7&gt;C6,0,BS7))/2,"")</f>
        <v/>
      </c>
      <c r="BW6" s="21" t="str">
        <f t="shared" ref="BW6:BW65" si="9">IF(ISNUMBER(SEARCH("Travée",E6)),BT6+(IF(C5&lt;C6,0,BT5)+IF(C7&gt;C6,0,BT7))/2,"")</f>
        <v/>
      </c>
      <c r="BX6" s="21" t="str">
        <f t="shared" ref="BX6:BX65" si="10">IF(ISNUMBER(SEARCH("Travée",E6)),IF(BV6=0,"",BW6/BV6),"")</f>
        <v/>
      </c>
      <c r="BY6" s="1">
        <f t="shared" ref="BY6:BY65" si="11">AQ6</f>
        <v>0</v>
      </c>
      <c r="BZ6" s="4">
        <v>0</v>
      </c>
      <c r="CA6" s="2">
        <f t="shared" ref="CA6:CA65" si="12">IF(ISNUMBER(SEARCH("Appui",$E6)),BY6+BZ6*BY6,IF($C5&lt;$C6,BY6-BZ7*BY7/2,IF($C6&lt;$C7,BY6-(BZ5*BY5)/2,BY6-(BZ7*BY7+BZ5*BY5)/2)))</f>
        <v>0</v>
      </c>
      <c r="CB6" s="2">
        <f t="shared" ref="CB6:CB65" si="13">AS6</f>
        <v>0.78043082983844214</v>
      </c>
      <c r="CC6" s="21">
        <f t="shared" ref="CC6:CC65" si="14">IFERROR(IF(CB6=0,"",CB6/CA6),1)</f>
        <v>1</v>
      </c>
      <c r="CD6" s="2" t="str">
        <f t="shared" ref="CD6:CD65" si="15">IF(ISNUMBER(SEARCH("Travée",E6)),CA6+(IF(C5&lt;C6,0,CA5)+IF(C7&gt;C6,0,CA7))/2,"")</f>
        <v/>
      </c>
      <c r="CE6" s="2" t="str">
        <f t="shared" ref="CE6:CE65" si="16">IF(ISNUMBER(SEARCH("Travée",E6)),CB6+(IF(C5&lt;C6,0,CB5)+IF(C7&gt;C6,0,CB7))/2,"")</f>
        <v/>
      </c>
      <c r="CF6" s="21" t="str">
        <f t="shared" ref="CF6:CF65" si="17">IF(ISNUMBER(SEARCH("Travée",E6)),CE6/CD6,"")</f>
        <v/>
      </c>
      <c r="CG6" s="15"/>
      <c r="CH6" s="21" t="str">
        <f t="shared" ref="CH6:CH65" si="18">IF(ISNUMBER(SEARCH("Travée",E6)),BW6/CD6,"")</f>
        <v/>
      </c>
    </row>
    <row r="7" spans="1:86" x14ac:dyDescent="0.25">
      <c r="A7" t="str">
        <f>IF(ISNUMBER(SEARCH("Appui",E7)),"Appui",IF(ISNUMBER(SEARCH("Travée",E7)),"Travée",""))</f>
        <v>Travée</v>
      </c>
      <c r="B7" t="b">
        <f>MOD(C7,2)=0</f>
        <v>1</v>
      </c>
      <c r="C7">
        <f t="shared" si="0"/>
        <v>2</v>
      </c>
      <c r="D7" t="s">
        <v>95</v>
      </c>
      <c r="E7" t="s">
        <v>45</v>
      </c>
      <c r="F7">
        <v>25</v>
      </c>
      <c r="G7" t="s">
        <v>46</v>
      </c>
      <c r="H7">
        <v>500</v>
      </c>
      <c r="I7">
        <v>220000</v>
      </c>
      <c r="J7">
        <v>1576</v>
      </c>
      <c r="K7">
        <v>1870</v>
      </c>
      <c r="L7">
        <v>1</v>
      </c>
      <c r="M7">
        <v>0.25</v>
      </c>
      <c r="N7">
        <v>2.6</v>
      </c>
      <c r="O7">
        <v>3.3280000000000001E-4</v>
      </c>
      <c r="P7">
        <v>0.04</v>
      </c>
      <c r="Q7">
        <v>1</v>
      </c>
      <c r="R7">
        <v>0</v>
      </c>
      <c r="S7">
        <v>0</v>
      </c>
      <c r="T7">
        <v>1</v>
      </c>
      <c r="U7">
        <v>2.9099999999999999E-5</v>
      </c>
      <c r="V7">
        <v>0</v>
      </c>
      <c r="W7">
        <v>7</v>
      </c>
      <c r="X7">
        <v>26</v>
      </c>
      <c r="Y7">
        <v>10</v>
      </c>
      <c r="Z7">
        <v>0</v>
      </c>
      <c r="AA7">
        <v>26</v>
      </c>
      <c r="AB7">
        <v>10</v>
      </c>
      <c r="AC7">
        <v>0.5</v>
      </c>
      <c r="AD7">
        <v>13</v>
      </c>
      <c r="AE7">
        <v>23</v>
      </c>
      <c r="AF7">
        <v>50.1</v>
      </c>
      <c r="AH7">
        <v>36</v>
      </c>
      <c r="AI7">
        <v>13</v>
      </c>
      <c r="AJ7">
        <v>23</v>
      </c>
      <c r="AK7">
        <v>2.7935543050226199</v>
      </c>
      <c r="AL7">
        <v>3.4311605591050052</v>
      </c>
      <c r="AM7">
        <v>-191.48424031492399</v>
      </c>
      <c r="AN7">
        <v>-172.7985472420537</v>
      </c>
      <c r="AO7">
        <v>0</v>
      </c>
      <c r="AP7">
        <v>-230.85182722620019</v>
      </c>
      <c r="AQ7">
        <v>50.1</v>
      </c>
      <c r="AR7">
        <v>32.175182924605153</v>
      </c>
      <c r="AS7">
        <v>120.6919328462473</v>
      </c>
      <c r="AT7">
        <v>5.3093010137093444</v>
      </c>
      <c r="AU7">
        <v>-380.02016539847898</v>
      </c>
      <c r="AV7">
        <v>0</v>
      </c>
      <c r="AW7">
        <v>-512.27063847586601</v>
      </c>
      <c r="AX7">
        <v>36</v>
      </c>
      <c r="AY7">
        <v>0</v>
      </c>
      <c r="AZ7">
        <v>0</v>
      </c>
      <c r="BA7">
        <v>32.175182924605153</v>
      </c>
      <c r="BC7" s="1">
        <f>AI7</f>
        <v>13</v>
      </c>
      <c r="BD7" s="2">
        <f>AK7</f>
        <v>2.7935543050226199</v>
      </c>
      <c r="BE7" s="7">
        <f>AM7</f>
        <v>-191.48424031492399</v>
      </c>
      <c r="BF7" s="1">
        <f>AJ7</f>
        <v>23</v>
      </c>
      <c r="BG7" s="2">
        <f>AL7</f>
        <v>3.4311605591050052</v>
      </c>
      <c r="BH7" s="2">
        <f t="shared" si="1"/>
        <v>-172.7985472420537</v>
      </c>
      <c r="BI7" s="2">
        <f t="shared" si="1"/>
        <v>0</v>
      </c>
      <c r="BJ7" s="7">
        <f t="shared" si="1"/>
        <v>-230.85182722620019</v>
      </c>
      <c r="BK7" s="1">
        <f t="shared" si="2"/>
        <v>36</v>
      </c>
      <c r="BL7" s="2">
        <f t="shared" si="2"/>
        <v>6.2247148641276251</v>
      </c>
      <c r="BM7" s="2">
        <f t="shared" si="3"/>
        <v>364.28278755697772</v>
      </c>
      <c r="BN7" s="2">
        <f>ABS(BI7)</f>
        <v>0</v>
      </c>
      <c r="BO7" s="7">
        <f>BJ7</f>
        <v>-230.85182722620019</v>
      </c>
      <c r="BP7" s="2"/>
      <c r="BQ7" s="1">
        <f t="shared" si="4"/>
        <v>36</v>
      </c>
      <c r="BR7" s="4" t="str">
        <f t="shared" ref="BR7" si="19">IF(ISNUMBER(SEARCH("Appui",E7)),0,"0")</f>
        <v>0</v>
      </c>
      <c r="BS7" s="2">
        <f t="shared" si="5"/>
        <v>36</v>
      </c>
      <c r="BT7" s="2">
        <f t="shared" si="6"/>
        <v>32.175182924605153</v>
      </c>
      <c r="BU7" s="3">
        <f t="shared" si="7"/>
        <v>0.89375508123903202</v>
      </c>
      <c r="BV7" s="52">
        <f t="shared" si="8"/>
        <v>96</v>
      </c>
      <c r="BW7" s="21">
        <f t="shared" si="9"/>
        <v>101.48514699819066</v>
      </c>
      <c r="BX7" s="21">
        <f t="shared" si="10"/>
        <v>1.0571369478978194</v>
      </c>
      <c r="BY7" s="1">
        <f t="shared" si="11"/>
        <v>50.1</v>
      </c>
      <c r="BZ7" s="4" t="str">
        <f t="shared" ref="BZ7" si="20">IF(ISNUMBER(SEARCH("Appui",M7)),0,"0")</f>
        <v>0</v>
      </c>
      <c r="CA7" s="2">
        <f t="shared" si="12"/>
        <v>50.1</v>
      </c>
      <c r="CB7" s="2">
        <f t="shared" si="13"/>
        <v>120.6919328462473</v>
      </c>
      <c r="CC7" s="21">
        <f t="shared" si="14"/>
        <v>2.4090206156935587</v>
      </c>
      <c r="CD7" s="2">
        <f t="shared" si="15"/>
        <v>133.35</v>
      </c>
      <c r="CE7" s="2">
        <f t="shared" si="16"/>
        <v>190.0018969198328</v>
      </c>
      <c r="CF7" s="21">
        <f t="shared" si="17"/>
        <v>1.4248361223834483</v>
      </c>
      <c r="CG7" s="10" t="str">
        <f t="shared" ref="CG7" si="21">IF(C5&lt;C7,"Rive",IF(C9&gt;C7,"Rive","Inter"))</f>
        <v>Rive</v>
      </c>
      <c r="CH7" s="21">
        <f t="shared" si="18"/>
        <v>0.7610434720524234</v>
      </c>
    </row>
    <row r="8" spans="1:86" x14ac:dyDescent="0.25">
      <c r="A8" t="str">
        <f t="shared" ref="A8:A65" si="22">IF(ISNUMBER(SEARCH("Appui",E8)),"Appui",IF(ISNUMBER(SEARCH("Travée",E8)),"Travée",""))</f>
        <v>Appui</v>
      </c>
      <c r="B8" t="b">
        <f t="shared" ref="B8:B65" si="23">MOD(C8,2)=0</f>
        <v>1</v>
      </c>
      <c r="C8">
        <f>IF(D8=D7,C7,C7+1)</f>
        <v>2</v>
      </c>
      <c r="D8" t="s">
        <v>95</v>
      </c>
      <c r="E8" t="s">
        <v>47</v>
      </c>
      <c r="F8">
        <v>25</v>
      </c>
      <c r="G8" t="s">
        <v>46</v>
      </c>
      <c r="H8">
        <v>500</v>
      </c>
      <c r="I8">
        <v>220000</v>
      </c>
      <c r="J8">
        <v>1576</v>
      </c>
      <c r="K8">
        <v>1870</v>
      </c>
      <c r="L8">
        <v>1</v>
      </c>
      <c r="M8">
        <v>0.25</v>
      </c>
      <c r="N8">
        <v>2.6</v>
      </c>
      <c r="O8">
        <v>1.3338E-3</v>
      </c>
      <c r="P8">
        <v>9.9999999999999992E-2</v>
      </c>
      <c r="Q8">
        <v>1</v>
      </c>
      <c r="R8">
        <v>6.1578924137931036E-4</v>
      </c>
      <c r="S8">
        <v>0.04</v>
      </c>
      <c r="T8">
        <v>1</v>
      </c>
      <c r="U8">
        <v>0</v>
      </c>
      <c r="V8">
        <v>0</v>
      </c>
      <c r="W8">
        <v>0</v>
      </c>
      <c r="X8">
        <v>90</v>
      </c>
      <c r="Y8">
        <v>30</v>
      </c>
      <c r="Z8">
        <v>0</v>
      </c>
      <c r="AA8">
        <v>90</v>
      </c>
      <c r="AB8">
        <v>30</v>
      </c>
      <c r="AC8">
        <v>0.5</v>
      </c>
      <c r="AD8">
        <v>45</v>
      </c>
      <c r="AE8">
        <v>75</v>
      </c>
      <c r="AF8">
        <v>166.5</v>
      </c>
      <c r="AH8">
        <v>120</v>
      </c>
      <c r="AI8">
        <v>45</v>
      </c>
      <c r="AJ8">
        <v>75</v>
      </c>
      <c r="AK8">
        <v>8.7608047409754661</v>
      </c>
      <c r="AL8">
        <v>9.9447125855087748</v>
      </c>
      <c r="AM8">
        <v>-240.1104675187085</v>
      </c>
      <c r="AN8">
        <v>-202.7091087947685</v>
      </c>
      <c r="AO8">
        <v>-309.06857849905822</v>
      </c>
      <c r="AP8">
        <v>0</v>
      </c>
      <c r="AQ8">
        <v>166.5</v>
      </c>
      <c r="AR8">
        <v>86.175907671083166</v>
      </c>
      <c r="AS8">
        <v>138.61992814717101</v>
      </c>
      <c r="AT8">
        <v>0</v>
      </c>
      <c r="AU8">
        <v>0</v>
      </c>
      <c r="AV8">
        <v>0</v>
      </c>
      <c r="AW8">
        <v>0</v>
      </c>
      <c r="AX8">
        <v>120</v>
      </c>
      <c r="AY8">
        <v>11.52301246329038</v>
      </c>
      <c r="AZ8">
        <v>-382.72351041529168</v>
      </c>
      <c r="BA8">
        <v>138.61992814717101</v>
      </c>
      <c r="BC8" s="1">
        <f t="shared" ref="BC8:BC65" si="24">AI8</f>
        <v>45</v>
      </c>
      <c r="BD8" s="2">
        <f t="shared" ref="BD8:BD65" si="25">AK8</f>
        <v>8.7608047409754661</v>
      </c>
      <c r="BE8" s="7">
        <f t="shared" ref="BE8:BE65" si="26">AM8</f>
        <v>-240.1104675187085</v>
      </c>
      <c r="BF8" s="1">
        <f t="shared" ref="BF8:BF65" si="27">AJ8</f>
        <v>75</v>
      </c>
      <c r="BG8" s="2">
        <f t="shared" ref="BG8:BG65" si="28">AL8</f>
        <v>9.9447125855087748</v>
      </c>
      <c r="BH8" s="2">
        <f t="shared" si="1"/>
        <v>-202.7091087947685</v>
      </c>
      <c r="BI8" s="2">
        <f t="shared" si="1"/>
        <v>-309.06857849905822</v>
      </c>
      <c r="BJ8" s="7">
        <f t="shared" si="1"/>
        <v>0</v>
      </c>
      <c r="BK8" s="1">
        <f t="shared" si="2"/>
        <v>120</v>
      </c>
      <c r="BL8" s="2">
        <f t="shared" si="2"/>
        <v>18.705517326484241</v>
      </c>
      <c r="BM8" s="2">
        <f t="shared" si="3"/>
        <v>442.819576313477</v>
      </c>
      <c r="BN8" s="2">
        <f t="shared" ref="BN8:BN65" si="29">ABS(BI8)</f>
        <v>309.06857849905822</v>
      </c>
      <c r="BO8" s="7">
        <f t="shared" ref="BO8:BO65" si="30">BJ8</f>
        <v>0</v>
      </c>
      <c r="BP8" s="2"/>
      <c r="BQ8" s="1">
        <f t="shared" si="4"/>
        <v>120</v>
      </c>
      <c r="BR8" s="4">
        <v>0</v>
      </c>
      <c r="BS8" s="2">
        <f t="shared" si="5"/>
        <v>120</v>
      </c>
      <c r="BT8" s="2">
        <f t="shared" si="6"/>
        <v>138.61992814717101</v>
      </c>
      <c r="BU8" s="3">
        <f t="shared" si="7"/>
        <v>1.1551660678930917</v>
      </c>
      <c r="BV8" s="52" t="str">
        <f t="shared" si="8"/>
        <v/>
      </c>
      <c r="BW8" s="21" t="str">
        <f t="shared" si="9"/>
        <v/>
      </c>
      <c r="BX8" s="21" t="str">
        <f t="shared" si="10"/>
        <v/>
      </c>
      <c r="BY8" s="1">
        <f t="shared" si="11"/>
        <v>166.5</v>
      </c>
      <c r="BZ8" s="4">
        <v>0</v>
      </c>
      <c r="CA8" s="2">
        <f t="shared" si="12"/>
        <v>166.5</v>
      </c>
      <c r="CB8" s="2">
        <f t="shared" si="13"/>
        <v>138.61992814717101</v>
      </c>
      <c r="CC8" s="21">
        <f t="shared" si="14"/>
        <v>0.83255212100403009</v>
      </c>
      <c r="CD8" s="2" t="str">
        <f t="shared" si="15"/>
        <v/>
      </c>
      <c r="CE8" s="2" t="str">
        <f t="shared" si="16"/>
        <v/>
      </c>
      <c r="CF8" s="21" t="str">
        <f t="shared" si="17"/>
        <v/>
      </c>
      <c r="CG8" s="15"/>
      <c r="CH8" s="21" t="str">
        <f t="shared" si="18"/>
        <v/>
      </c>
    </row>
    <row r="9" spans="1:86" x14ac:dyDescent="0.25">
      <c r="A9" t="str">
        <f t="shared" si="22"/>
        <v>Travée</v>
      </c>
      <c r="B9" t="b">
        <f t="shared" si="23"/>
        <v>1</v>
      </c>
      <c r="C9">
        <f t="shared" ref="C9:C32" si="31">IF(D9=D8,C8,C8+1)</f>
        <v>2</v>
      </c>
      <c r="D9" t="s">
        <v>95</v>
      </c>
      <c r="E9" t="s">
        <v>48</v>
      </c>
      <c r="F9">
        <v>25</v>
      </c>
      <c r="G9" t="s">
        <v>46</v>
      </c>
      <c r="H9">
        <v>500</v>
      </c>
      <c r="I9">
        <v>220000</v>
      </c>
      <c r="J9">
        <v>1576</v>
      </c>
      <c r="K9">
        <v>1870</v>
      </c>
      <c r="L9">
        <v>1</v>
      </c>
      <c r="M9">
        <v>0.25</v>
      </c>
      <c r="N9">
        <v>2.6</v>
      </c>
      <c r="O9">
        <v>3.3280000000000001E-4</v>
      </c>
      <c r="P9">
        <v>0.04</v>
      </c>
      <c r="Q9">
        <v>1</v>
      </c>
      <c r="R9">
        <v>0</v>
      </c>
      <c r="S9">
        <v>0</v>
      </c>
      <c r="T9">
        <v>1</v>
      </c>
      <c r="U9">
        <v>2.9099999999999999E-5</v>
      </c>
      <c r="V9">
        <v>0</v>
      </c>
      <c r="W9">
        <v>15</v>
      </c>
      <c r="X9">
        <v>37</v>
      </c>
      <c r="Y9">
        <v>15</v>
      </c>
      <c r="Z9">
        <v>0</v>
      </c>
      <c r="AA9">
        <v>37</v>
      </c>
      <c r="AB9">
        <v>15</v>
      </c>
      <c r="AC9">
        <v>0.5</v>
      </c>
      <c r="AD9">
        <v>18.5</v>
      </c>
      <c r="AE9">
        <v>33.5</v>
      </c>
      <c r="AF9">
        <v>72.45</v>
      </c>
      <c r="AH9">
        <v>52</v>
      </c>
      <c r="AI9">
        <v>18.5</v>
      </c>
      <c r="AJ9">
        <v>33.5</v>
      </c>
      <c r="AK9">
        <v>3.975442664839878</v>
      </c>
      <c r="AL9">
        <v>4.0017117864886567</v>
      </c>
      <c r="AM9">
        <v>-272.49680352508432</v>
      </c>
      <c r="AN9">
        <v>-161.41220089390509</v>
      </c>
      <c r="AO9">
        <v>0</v>
      </c>
      <c r="AP9">
        <v>-216.70072893791539</v>
      </c>
      <c r="AQ9">
        <v>72.45</v>
      </c>
      <c r="AR9">
        <v>32.175182924605153</v>
      </c>
      <c r="AS9">
        <v>221.1742373319743</v>
      </c>
      <c r="AT9">
        <v>6.11471578431295</v>
      </c>
      <c r="AU9">
        <v>-352.41953303794588</v>
      </c>
      <c r="AV9">
        <v>0</v>
      </c>
      <c r="AW9">
        <v>-478.62518414001943</v>
      </c>
      <c r="AX9">
        <v>52</v>
      </c>
      <c r="AY9">
        <v>0</v>
      </c>
      <c r="AZ9">
        <v>0</v>
      </c>
      <c r="BA9">
        <v>32.175182924605153</v>
      </c>
      <c r="BC9" s="1">
        <f t="shared" si="24"/>
        <v>18.5</v>
      </c>
      <c r="BD9" s="2">
        <f t="shared" si="25"/>
        <v>3.975442664839878</v>
      </c>
      <c r="BE9" s="7">
        <f t="shared" si="26"/>
        <v>-272.49680352508432</v>
      </c>
      <c r="BF9" s="1">
        <f t="shared" si="27"/>
        <v>33.5</v>
      </c>
      <c r="BG9" s="2">
        <f t="shared" si="28"/>
        <v>4.0017117864886567</v>
      </c>
      <c r="BH9" s="2">
        <f t="shared" si="1"/>
        <v>-161.41220089390509</v>
      </c>
      <c r="BI9" s="2">
        <f t="shared" si="1"/>
        <v>0</v>
      </c>
      <c r="BJ9" s="7">
        <f t="shared" si="1"/>
        <v>-216.70072893791539</v>
      </c>
      <c r="BK9" s="1">
        <f t="shared" si="2"/>
        <v>52</v>
      </c>
      <c r="BL9" s="2">
        <f t="shared" si="2"/>
        <v>7.9771544513285342</v>
      </c>
      <c r="BM9" s="2">
        <f t="shared" si="3"/>
        <v>433.90900441898941</v>
      </c>
      <c r="BN9" s="2">
        <f t="shared" si="29"/>
        <v>0</v>
      </c>
      <c r="BO9" s="7">
        <f t="shared" si="30"/>
        <v>-216.70072893791539</v>
      </c>
      <c r="BP9" s="2"/>
      <c r="BQ9" s="1">
        <f t="shared" si="4"/>
        <v>52</v>
      </c>
      <c r="BR9" s="4" t="str">
        <f t="shared" ref="BR9" si="32">IF(ISNUMBER(SEARCH("Appui",E9)),0,"0")</f>
        <v>0</v>
      </c>
      <c r="BS9" s="2">
        <f t="shared" si="5"/>
        <v>52</v>
      </c>
      <c r="BT9" s="2">
        <f t="shared" si="6"/>
        <v>32.175182924605153</v>
      </c>
      <c r="BU9" s="3">
        <f t="shared" si="7"/>
        <v>0.61875351778086829</v>
      </c>
      <c r="BV9" s="52">
        <f t="shared" si="8"/>
        <v>189.25</v>
      </c>
      <c r="BW9" s="21">
        <f t="shared" si="9"/>
        <v>180.03472245487961</v>
      </c>
      <c r="BX9" s="21">
        <f t="shared" si="10"/>
        <v>0.95130632737056597</v>
      </c>
      <c r="BY9" s="1">
        <f t="shared" si="11"/>
        <v>72.45</v>
      </c>
      <c r="BZ9" s="4" t="str">
        <f t="shared" ref="BZ9" si="33">IF(ISNUMBER(SEARCH("Appui",M9)),0,"0")</f>
        <v>0</v>
      </c>
      <c r="CA9" s="2">
        <f t="shared" si="12"/>
        <v>72.45</v>
      </c>
      <c r="CB9" s="2">
        <f t="shared" si="13"/>
        <v>221.1742373319743</v>
      </c>
      <c r="CC9" s="21">
        <f t="shared" si="14"/>
        <v>3.0527845042370503</v>
      </c>
      <c r="CD9" s="2">
        <f t="shared" si="15"/>
        <v>263.02499999999998</v>
      </c>
      <c r="CE9" s="2">
        <f t="shared" si="16"/>
        <v>369.03377686224871</v>
      </c>
      <c r="CF9" s="21">
        <f t="shared" si="17"/>
        <v>1.4030368857038256</v>
      </c>
      <c r="CG9" s="10" t="str">
        <f t="shared" ref="CG9" si="34">IF(C7&lt;C9,"Rive",IF(C11&gt;C9,"Rive","Inter"))</f>
        <v>Inter</v>
      </c>
      <c r="CH9" s="21">
        <f t="shared" si="18"/>
        <v>0.68447760651983514</v>
      </c>
    </row>
    <row r="10" spans="1:86" x14ac:dyDescent="0.25">
      <c r="A10" t="str">
        <f t="shared" si="22"/>
        <v>Appui</v>
      </c>
      <c r="B10" t="b">
        <f t="shared" si="23"/>
        <v>1</v>
      </c>
      <c r="C10">
        <f t="shared" si="31"/>
        <v>2</v>
      </c>
      <c r="D10" t="s">
        <v>95</v>
      </c>
      <c r="E10" t="s">
        <v>49</v>
      </c>
      <c r="F10">
        <v>25</v>
      </c>
      <c r="G10" t="s">
        <v>46</v>
      </c>
      <c r="H10">
        <v>500</v>
      </c>
      <c r="I10">
        <v>220000</v>
      </c>
      <c r="J10">
        <v>1576</v>
      </c>
      <c r="K10">
        <v>1870</v>
      </c>
      <c r="L10">
        <v>1</v>
      </c>
      <c r="M10">
        <v>0.25</v>
      </c>
      <c r="N10">
        <v>2.6</v>
      </c>
      <c r="O10">
        <v>1.3338E-3</v>
      </c>
      <c r="P10">
        <v>6.9999999999999993E-2</v>
      </c>
      <c r="Q10">
        <v>1</v>
      </c>
      <c r="R10">
        <v>6.1578924137931036E-4</v>
      </c>
      <c r="S10">
        <v>0.04</v>
      </c>
      <c r="T10">
        <v>1</v>
      </c>
      <c r="U10">
        <v>0</v>
      </c>
      <c r="V10">
        <v>0</v>
      </c>
      <c r="W10">
        <v>0</v>
      </c>
      <c r="X10">
        <v>114</v>
      </c>
      <c r="Y10">
        <v>40.5</v>
      </c>
      <c r="Z10">
        <v>0</v>
      </c>
      <c r="AA10">
        <v>114</v>
      </c>
      <c r="AB10">
        <v>40.5</v>
      </c>
      <c r="AC10">
        <v>0.5</v>
      </c>
      <c r="AD10">
        <v>57</v>
      </c>
      <c r="AE10">
        <v>97.5</v>
      </c>
      <c r="AF10">
        <v>214.65</v>
      </c>
      <c r="AH10">
        <v>154.5</v>
      </c>
      <c r="AI10">
        <v>57</v>
      </c>
      <c r="AJ10">
        <v>97.5</v>
      </c>
      <c r="AK10">
        <v>8.3100018427377726</v>
      </c>
      <c r="AL10">
        <v>11.10423205716835</v>
      </c>
      <c r="AM10">
        <v>-252.1106088385061</v>
      </c>
      <c r="AN10">
        <v>-263.32466907821407</v>
      </c>
      <c r="AO10">
        <v>-318.97165603456273</v>
      </c>
      <c r="AP10">
        <v>0</v>
      </c>
      <c r="AQ10">
        <v>214.65</v>
      </c>
      <c r="AR10">
        <v>105.1896123745755</v>
      </c>
      <c r="AS10">
        <v>157.09915091337791</v>
      </c>
      <c r="AT10">
        <v>0</v>
      </c>
      <c r="AU10">
        <v>0</v>
      </c>
      <c r="AV10">
        <v>0</v>
      </c>
      <c r="AW10">
        <v>0</v>
      </c>
      <c r="AX10">
        <v>154.5</v>
      </c>
      <c r="AY10">
        <v>16.666666666666671</v>
      </c>
      <c r="AZ10">
        <v>-442.71808432714022</v>
      </c>
      <c r="BA10">
        <v>157.09915091337791</v>
      </c>
      <c r="BC10" s="1">
        <f t="shared" si="24"/>
        <v>57</v>
      </c>
      <c r="BD10" s="2">
        <f t="shared" si="25"/>
        <v>8.3100018427377726</v>
      </c>
      <c r="BE10" s="7">
        <f t="shared" si="26"/>
        <v>-252.1106088385061</v>
      </c>
      <c r="BF10" s="1">
        <f t="shared" si="27"/>
        <v>97.5</v>
      </c>
      <c r="BG10" s="2">
        <f t="shared" si="28"/>
        <v>11.10423205716835</v>
      </c>
      <c r="BH10" s="2">
        <f t="shared" si="1"/>
        <v>-263.32466907821407</v>
      </c>
      <c r="BI10" s="2">
        <f t="shared" si="1"/>
        <v>-318.97165603456273</v>
      </c>
      <c r="BJ10" s="7">
        <f t="shared" si="1"/>
        <v>0</v>
      </c>
      <c r="BK10" s="1">
        <f t="shared" si="2"/>
        <v>154.5</v>
      </c>
      <c r="BL10" s="2">
        <f t="shared" si="2"/>
        <v>19.414233899906122</v>
      </c>
      <c r="BM10" s="2">
        <f t="shared" si="3"/>
        <v>515.43527791672022</v>
      </c>
      <c r="BN10" s="2">
        <f t="shared" si="29"/>
        <v>318.97165603456273</v>
      </c>
      <c r="BO10" s="7">
        <f t="shared" si="30"/>
        <v>0</v>
      </c>
      <c r="BP10" s="7"/>
      <c r="BQ10" s="1">
        <f t="shared" si="4"/>
        <v>154.5</v>
      </c>
      <c r="BR10" s="4">
        <v>0</v>
      </c>
      <c r="BS10" s="2">
        <f t="shared" si="5"/>
        <v>154.5</v>
      </c>
      <c r="BT10" s="2">
        <f t="shared" si="6"/>
        <v>157.09915091337791</v>
      </c>
      <c r="BU10" s="3">
        <f t="shared" si="7"/>
        <v>1.0168229832581095</v>
      </c>
      <c r="BV10" s="52" t="str">
        <f t="shared" si="8"/>
        <v/>
      </c>
      <c r="BW10" s="21" t="str">
        <f t="shared" si="9"/>
        <v/>
      </c>
      <c r="BX10" s="21" t="str">
        <f t="shared" si="10"/>
        <v/>
      </c>
      <c r="BY10" s="1">
        <f t="shared" si="11"/>
        <v>214.65</v>
      </c>
      <c r="BZ10" s="4">
        <v>0</v>
      </c>
      <c r="CA10" s="2">
        <f t="shared" si="12"/>
        <v>214.65</v>
      </c>
      <c r="CB10" s="2">
        <f t="shared" si="13"/>
        <v>157.09915091337791</v>
      </c>
      <c r="CC10" s="21">
        <f t="shared" si="14"/>
        <v>0.73188516614664756</v>
      </c>
      <c r="CD10" s="2" t="str">
        <f t="shared" si="15"/>
        <v/>
      </c>
      <c r="CE10" s="2" t="str">
        <f t="shared" si="16"/>
        <v/>
      </c>
      <c r="CF10" s="21" t="str">
        <f t="shared" si="17"/>
        <v/>
      </c>
      <c r="CG10" s="15"/>
      <c r="CH10" s="21" t="str">
        <f t="shared" si="18"/>
        <v/>
      </c>
    </row>
    <row r="11" spans="1:86" x14ac:dyDescent="0.25">
      <c r="A11" t="str">
        <f t="shared" si="22"/>
        <v>Travée</v>
      </c>
      <c r="B11" t="b">
        <f t="shared" si="23"/>
        <v>1</v>
      </c>
      <c r="C11">
        <f>IF(D11=D10,C10,C10+1)</f>
        <v>2</v>
      </c>
      <c r="D11" t="s">
        <v>95</v>
      </c>
      <c r="E11" t="s">
        <v>51</v>
      </c>
      <c r="F11">
        <v>25</v>
      </c>
      <c r="G11" t="s">
        <v>46</v>
      </c>
      <c r="H11">
        <v>500</v>
      </c>
      <c r="I11">
        <v>220000</v>
      </c>
      <c r="J11">
        <v>1576</v>
      </c>
      <c r="K11">
        <v>1870</v>
      </c>
      <c r="L11">
        <v>1</v>
      </c>
      <c r="M11">
        <v>0.25</v>
      </c>
      <c r="N11">
        <v>2.6</v>
      </c>
      <c r="O11">
        <v>3.3280000000000001E-4</v>
      </c>
      <c r="P11">
        <v>0.04</v>
      </c>
      <c r="Q11">
        <v>1</v>
      </c>
      <c r="R11">
        <v>0</v>
      </c>
      <c r="S11">
        <v>0</v>
      </c>
      <c r="T11">
        <v>1</v>
      </c>
      <c r="U11">
        <v>2.9099999999999999E-5</v>
      </c>
      <c r="V11">
        <v>0</v>
      </c>
      <c r="W11">
        <v>15</v>
      </c>
      <c r="X11">
        <v>37</v>
      </c>
      <c r="Y11">
        <v>17</v>
      </c>
      <c r="Z11">
        <v>0</v>
      </c>
      <c r="AA11">
        <v>37</v>
      </c>
      <c r="AB11">
        <v>17</v>
      </c>
      <c r="AC11">
        <v>0.5</v>
      </c>
      <c r="AD11">
        <v>18.5</v>
      </c>
      <c r="AE11">
        <v>35.5</v>
      </c>
      <c r="AF11">
        <v>75.45</v>
      </c>
      <c r="AH11">
        <v>54</v>
      </c>
      <c r="AI11">
        <v>18.5</v>
      </c>
      <c r="AJ11">
        <v>35.5</v>
      </c>
      <c r="AK11">
        <v>3.975442664839878</v>
      </c>
      <c r="AL11">
        <v>4.2406199528461883</v>
      </c>
      <c r="AM11">
        <v>-272.49680352508432</v>
      </c>
      <c r="AN11">
        <v>-171.0487502010038</v>
      </c>
      <c r="AO11">
        <v>0</v>
      </c>
      <c r="AP11">
        <v>-229.63808588943269</v>
      </c>
      <c r="AQ11">
        <v>75.45</v>
      </c>
      <c r="AR11">
        <v>32.175182924605153</v>
      </c>
      <c r="AS11">
        <v>221.1742373319743</v>
      </c>
      <c r="AT11">
        <v>6.3482088202945857</v>
      </c>
      <c r="AU11">
        <v>-367.04766626565453</v>
      </c>
      <c r="AV11">
        <v>0</v>
      </c>
      <c r="AW11">
        <v>-498.52301368463299</v>
      </c>
      <c r="AX11">
        <v>54</v>
      </c>
      <c r="AY11">
        <v>0</v>
      </c>
      <c r="AZ11">
        <v>0</v>
      </c>
      <c r="BA11">
        <v>32.175182924605153</v>
      </c>
      <c r="BC11" s="1">
        <f t="shared" si="24"/>
        <v>18.5</v>
      </c>
      <c r="BD11" s="2">
        <f t="shared" si="25"/>
        <v>3.975442664839878</v>
      </c>
      <c r="BE11" s="7">
        <f t="shared" si="26"/>
        <v>-272.49680352508432</v>
      </c>
      <c r="BF11" s="1">
        <f t="shared" si="27"/>
        <v>35.5</v>
      </c>
      <c r="BG11" s="2">
        <f t="shared" si="28"/>
        <v>4.2406199528461883</v>
      </c>
      <c r="BH11" s="2">
        <f t="shared" si="1"/>
        <v>-171.0487502010038</v>
      </c>
      <c r="BI11" s="2">
        <f t="shared" si="1"/>
        <v>0</v>
      </c>
      <c r="BJ11" s="7">
        <f t="shared" si="1"/>
        <v>-229.63808588943269</v>
      </c>
      <c r="BK11" s="1">
        <f t="shared" si="2"/>
        <v>54</v>
      </c>
      <c r="BL11" s="2">
        <f t="shared" si="2"/>
        <v>8.2160626176860667</v>
      </c>
      <c r="BM11" s="2">
        <f t="shared" si="3"/>
        <v>443.54555372608809</v>
      </c>
      <c r="BN11" s="2">
        <f t="shared" si="29"/>
        <v>0</v>
      </c>
      <c r="BO11" s="7">
        <f t="shared" si="30"/>
        <v>-229.63808588943269</v>
      </c>
      <c r="BP11" s="2"/>
      <c r="BQ11" s="1">
        <f t="shared" si="4"/>
        <v>54</v>
      </c>
      <c r="BR11" s="4" t="str">
        <f t="shared" ref="BR11" si="35">IF(ISNUMBER(SEARCH("Appui",E11)),0,"0")</f>
        <v>0</v>
      </c>
      <c r="BS11" s="2">
        <f t="shared" si="5"/>
        <v>54</v>
      </c>
      <c r="BT11" s="2">
        <f t="shared" si="6"/>
        <v>32.175182924605153</v>
      </c>
      <c r="BU11" s="3">
        <f t="shared" si="7"/>
        <v>0.59583672082602135</v>
      </c>
      <c r="BV11" s="52">
        <f t="shared" si="8"/>
        <v>212.25</v>
      </c>
      <c r="BW11" s="21">
        <f t="shared" si="9"/>
        <v>190.58285332722949</v>
      </c>
      <c r="BX11" s="21">
        <f t="shared" si="10"/>
        <v>0.89791685902110474</v>
      </c>
      <c r="BY11" s="1">
        <f t="shared" si="11"/>
        <v>75.45</v>
      </c>
      <c r="BZ11" s="4" t="str">
        <f t="shared" ref="BZ11" si="36">IF(ISNUMBER(SEARCH("Appui",M11)),0,"0")</f>
        <v>0</v>
      </c>
      <c r="CA11" s="2">
        <f t="shared" si="12"/>
        <v>75.45</v>
      </c>
      <c r="CB11" s="2">
        <f t="shared" si="13"/>
        <v>221.1742373319743</v>
      </c>
      <c r="CC11" s="21">
        <f t="shared" si="14"/>
        <v>2.9314014225576446</v>
      </c>
      <c r="CD11" s="2">
        <f t="shared" si="15"/>
        <v>295.35000000000002</v>
      </c>
      <c r="CE11" s="2">
        <f t="shared" si="16"/>
        <v>379.58190773459864</v>
      </c>
      <c r="CF11" s="21">
        <f t="shared" si="17"/>
        <v>1.2851935254261</v>
      </c>
      <c r="CG11" s="10" t="str">
        <f t="shared" ref="CG11" si="37">IF(C9&lt;C11,"Rive",IF(C13&gt;C11,"Rive","Inter"))</f>
        <v>Inter</v>
      </c>
      <c r="CH11" s="21">
        <f t="shared" si="18"/>
        <v>0.6452779865489402</v>
      </c>
    </row>
    <row r="12" spans="1:86" x14ac:dyDescent="0.25">
      <c r="A12" t="str">
        <f t="shared" si="22"/>
        <v>Appui</v>
      </c>
      <c r="B12" t="b">
        <f t="shared" si="23"/>
        <v>1</v>
      </c>
      <c r="C12">
        <f t="shared" si="31"/>
        <v>2</v>
      </c>
      <c r="D12" t="s">
        <v>95</v>
      </c>
      <c r="E12" t="s">
        <v>52</v>
      </c>
      <c r="F12">
        <v>25</v>
      </c>
      <c r="G12" t="s">
        <v>46</v>
      </c>
      <c r="H12">
        <v>500</v>
      </c>
      <c r="I12">
        <v>220000</v>
      </c>
      <c r="J12">
        <v>1576</v>
      </c>
      <c r="K12">
        <v>1870</v>
      </c>
      <c r="L12">
        <v>1</v>
      </c>
      <c r="M12">
        <v>0.25</v>
      </c>
      <c r="N12">
        <v>2.6</v>
      </c>
      <c r="O12">
        <v>1.0009999999999999E-3</v>
      </c>
      <c r="P12">
        <v>6.9999999999999993E-2</v>
      </c>
      <c r="Q12">
        <v>1</v>
      </c>
      <c r="R12">
        <v>9.2368386206896549E-4</v>
      </c>
      <c r="S12">
        <v>0.04</v>
      </c>
      <c r="T12">
        <v>1</v>
      </c>
      <c r="U12">
        <v>0</v>
      </c>
      <c r="V12">
        <v>0</v>
      </c>
      <c r="W12">
        <v>0</v>
      </c>
      <c r="X12">
        <v>119</v>
      </c>
      <c r="Y12">
        <v>43</v>
      </c>
      <c r="Z12">
        <v>0</v>
      </c>
      <c r="AA12">
        <v>119</v>
      </c>
      <c r="AB12">
        <v>43</v>
      </c>
      <c r="AC12">
        <v>0.5</v>
      </c>
      <c r="AD12">
        <v>59.5</v>
      </c>
      <c r="AE12">
        <v>102.5</v>
      </c>
      <c r="AF12">
        <v>225.15</v>
      </c>
      <c r="AH12">
        <v>162</v>
      </c>
      <c r="AI12">
        <v>59.5</v>
      </c>
      <c r="AJ12">
        <v>102.5</v>
      </c>
      <c r="AK12">
        <v>9.8438282889996813</v>
      </c>
      <c r="AL12">
        <v>11.25624639469534</v>
      </c>
      <c r="AM12">
        <v>-347.91265663040429</v>
      </c>
      <c r="AN12">
        <v>-264.1788581769078</v>
      </c>
      <c r="AO12">
        <v>-320.12919536179032</v>
      </c>
      <c r="AP12">
        <v>0</v>
      </c>
      <c r="AQ12">
        <v>225.15</v>
      </c>
      <c r="AR12">
        <v>81.164330980542971</v>
      </c>
      <c r="AS12">
        <v>159.7161898918707</v>
      </c>
      <c r="AT12">
        <v>0</v>
      </c>
      <c r="AU12">
        <v>0</v>
      </c>
      <c r="AV12">
        <v>0</v>
      </c>
      <c r="AW12">
        <v>0</v>
      </c>
      <c r="AX12">
        <v>162</v>
      </c>
      <c r="AY12">
        <v>0</v>
      </c>
      <c r="AZ12">
        <v>0</v>
      </c>
      <c r="BA12">
        <v>159.7161898918707</v>
      </c>
      <c r="BC12" s="1">
        <f t="shared" si="24"/>
        <v>59.5</v>
      </c>
      <c r="BD12" s="2">
        <f t="shared" si="25"/>
        <v>9.8438282889996813</v>
      </c>
      <c r="BE12" s="7">
        <f t="shared" si="26"/>
        <v>-347.91265663040429</v>
      </c>
      <c r="BF12" s="1">
        <f t="shared" si="27"/>
        <v>102.5</v>
      </c>
      <c r="BG12" s="2">
        <f t="shared" si="28"/>
        <v>11.25624639469534</v>
      </c>
      <c r="BH12" s="2">
        <f t="shared" si="1"/>
        <v>-264.1788581769078</v>
      </c>
      <c r="BI12" s="2">
        <f t="shared" si="1"/>
        <v>-320.12919536179032</v>
      </c>
      <c r="BJ12" s="7">
        <f t="shared" si="1"/>
        <v>0</v>
      </c>
      <c r="BK12" s="1">
        <f t="shared" si="2"/>
        <v>162</v>
      </c>
      <c r="BL12" s="2">
        <f t="shared" si="2"/>
        <v>21.10007468369502</v>
      </c>
      <c r="BM12" s="2">
        <f t="shared" si="3"/>
        <v>612.09151480731202</v>
      </c>
      <c r="BN12" s="2">
        <f t="shared" si="29"/>
        <v>320.12919536179032</v>
      </c>
      <c r="BO12" s="7">
        <f t="shared" si="30"/>
        <v>0</v>
      </c>
      <c r="BP12" s="2"/>
      <c r="BQ12" s="1">
        <f t="shared" si="4"/>
        <v>162</v>
      </c>
      <c r="BR12" s="4">
        <v>0</v>
      </c>
      <c r="BS12" s="2">
        <f t="shared" si="5"/>
        <v>162</v>
      </c>
      <c r="BT12" s="2">
        <f t="shared" si="6"/>
        <v>159.7161898918707</v>
      </c>
      <c r="BU12" s="3">
        <f t="shared" si="7"/>
        <v>0.98590240673994256</v>
      </c>
      <c r="BV12" s="52" t="str">
        <f t="shared" si="8"/>
        <v/>
      </c>
      <c r="BW12" s="21" t="str">
        <f t="shared" si="9"/>
        <v/>
      </c>
      <c r="BX12" s="21" t="str">
        <f t="shared" si="10"/>
        <v/>
      </c>
      <c r="BY12" s="1">
        <f t="shared" si="11"/>
        <v>225.15</v>
      </c>
      <c r="BZ12" s="4">
        <v>0</v>
      </c>
      <c r="CA12" s="2">
        <f t="shared" si="12"/>
        <v>225.15</v>
      </c>
      <c r="CB12" s="2">
        <f t="shared" si="13"/>
        <v>159.7161898918707</v>
      </c>
      <c r="CC12" s="21">
        <f t="shared" si="14"/>
        <v>0.70937681497610794</v>
      </c>
      <c r="CD12" s="2" t="str">
        <f t="shared" si="15"/>
        <v/>
      </c>
      <c r="CE12" s="2" t="str">
        <f t="shared" si="16"/>
        <v/>
      </c>
      <c r="CF12" s="21" t="str">
        <f t="shared" si="17"/>
        <v/>
      </c>
      <c r="CG12" s="15"/>
      <c r="CH12" s="21" t="str">
        <f t="shared" si="18"/>
        <v/>
      </c>
    </row>
    <row r="13" spans="1:86" x14ac:dyDescent="0.25">
      <c r="A13" t="str">
        <f t="shared" si="22"/>
        <v>Travée</v>
      </c>
      <c r="B13" t="b">
        <f t="shared" si="23"/>
        <v>1</v>
      </c>
      <c r="C13">
        <f t="shared" si="31"/>
        <v>2</v>
      </c>
      <c r="D13" t="s">
        <v>95</v>
      </c>
      <c r="E13" t="s">
        <v>53</v>
      </c>
      <c r="F13">
        <v>25</v>
      </c>
      <c r="G13" t="s">
        <v>46</v>
      </c>
      <c r="H13">
        <v>500</v>
      </c>
      <c r="I13">
        <v>220000</v>
      </c>
      <c r="J13">
        <v>1576</v>
      </c>
      <c r="K13">
        <v>1870</v>
      </c>
      <c r="L13">
        <v>1</v>
      </c>
      <c r="M13">
        <v>0.25</v>
      </c>
      <c r="N13">
        <v>2.6</v>
      </c>
      <c r="O13">
        <v>3.3280000000000001E-4</v>
      </c>
      <c r="P13">
        <v>0.04</v>
      </c>
      <c r="Q13">
        <v>1</v>
      </c>
      <c r="R13">
        <v>0</v>
      </c>
      <c r="S13">
        <v>0</v>
      </c>
      <c r="T13">
        <v>1</v>
      </c>
      <c r="U13">
        <v>2.9099999999999999E-5</v>
      </c>
      <c r="V13">
        <v>0</v>
      </c>
      <c r="W13">
        <v>15</v>
      </c>
      <c r="X13">
        <v>41</v>
      </c>
      <c r="Y13">
        <v>18</v>
      </c>
      <c r="Z13">
        <v>0</v>
      </c>
      <c r="AA13">
        <v>41</v>
      </c>
      <c r="AB13">
        <v>18</v>
      </c>
      <c r="AC13">
        <v>0.5</v>
      </c>
      <c r="AD13">
        <v>20.5</v>
      </c>
      <c r="AE13">
        <v>38.5</v>
      </c>
      <c r="AF13">
        <v>82.35</v>
      </c>
      <c r="AH13">
        <v>59</v>
      </c>
      <c r="AI13">
        <v>20.5</v>
      </c>
      <c r="AJ13">
        <v>38.5</v>
      </c>
      <c r="AK13">
        <v>4.4052202502279743</v>
      </c>
      <c r="AL13">
        <v>4.5989822023824818</v>
      </c>
      <c r="AM13">
        <v>-301.95591741968792</v>
      </c>
      <c r="AN13">
        <v>-185.50357416165221</v>
      </c>
      <c r="AO13">
        <v>0</v>
      </c>
      <c r="AP13">
        <v>-249.04412131670881</v>
      </c>
      <c r="AQ13">
        <v>82.35</v>
      </c>
      <c r="AR13">
        <v>32.175182924605153</v>
      </c>
      <c r="AS13">
        <v>221.1742373319743</v>
      </c>
      <c r="AT13">
        <v>6.8787956519535349</v>
      </c>
      <c r="AU13">
        <v>-400.70390667575202</v>
      </c>
      <c r="AV13">
        <v>0</v>
      </c>
      <c r="AW13">
        <v>-544.31449859727059</v>
      </c>
      <c r="AX13">
        <v>59</v>
      </c>
      <c r="AY13">
        <v>0</v>
      </c>
      <c r="AZ13">
        <v>0</v>
      </c>
      <c r="BA13">
        <v>32.175182924605153</v>
      </c>
      <c r="BC13" s="1">
        <f t="shared" si="24"/>
        <v>20.5</v>
      </c>
      <c r="BD13" s="2">
        <f t="shared" si="25"/>
        <v>4.4052202502279743</v>
      </c>
      <c r="BE13" s="7">
        <f t="shared" si="26"/>
        <v>-301.95591741968792</v>
      </c>
      <c r="BF13" s="1">
        <f t="shared" si="27"/>
        <v>38.5</v>
      </c>
      <c r="BG13" s="2">
        <f t="shared" si="28"/>
        <v>4.5989822023824818</v>
      </c>
      <c r="BH13" s="2">
        <f t="shared" si="1"/>
        <v>-185.50357416165221</v>
      </c>
      <c r="BI13" s="2">
        <f t="shared" si="1"/>
        <v>0</v>
      </c>
      <c r="BJ13" s="7">
        <f t="shared" si="1"/>
        <v>-249.04412131670881</v>
      </c>
      <c r="BK13" s="1">
        <f t="shared" si="2"/>
        <v>59</v>
      </c>
      <c r="BL13" s="2">
        <f t="shared" si="2"/>
        <v>9.0042024526104569</v>
      </c>
      <c r="BM13" s="2">
        <f t="shared" si="3"/>
        <v>487.4594915813401</v>
      </c>
      <c r="BN13" s="2">
        <f t="shared" si="29"/>
        <v>0</v>
      </c>
      <c r="BO13" s="7">
        <f t="shared" si="30"/>
        <v>-249.04412131670881</v>
      </c>
      <c r="BP13" s="2"/>
      <c r="BQ13" s="1">
        <f t="shared" si="4"/>
        <v>59</v>
      </c>
      <c r="BR13" s="4" t="str">
        <f t="shared" ref="BR13" si="38">IF(ISNUMBER(SEARCH("Appui",E13)),0,"0")</f>
        <v>0</v>
      </c>
      <c r="BS13" s="2">
        <f t="shared" si="5"/>
        <v>59</v>
      </c>
      <c r="BT13" s="2">
        <f t="shared" si="6"/>
        <v>32.175182924605153</v>
      </c>
      <c r="BU13" s="3">
        <f t="shared" si="7"/>
        <v>0.54534208346788393</v>
      </c>
      <c r="BV13" s="52">
        <f t="shared" si="8"/>
        <v>219.25</v>
      </c>
      <c r="BW13" s="21">
        <f t="shared" si="9"/>
        <v>203.12711549533685</v>
      </c>
      <c r="BX13" s="21">
        <f t="shared" si="10"/>
        <v>0.92646346862183282</v>
      </c>
      <c r="BY13" s="1">
        <f t="shared" si="11"/>
        <v>82.35</v>
      </c>
      <c r="BZ13" s="4" t="str">
        <f t="shared" ref="BZ13" si="39">IF(ISNUMBER(SEARCH("Appui",M13)),0,"0")</f>
        <v>0</v>
      </c>
      <c r="CA13" s="2">
        <f t="shared" si="12"/>
        <v>82.35</v>
      </c>
      <c r="CB13" s="2">
        <f t="shared" si="13"/>
        <v>221.1742373319743</v>
      </c>
      <c r="CC13" s="21">
        <f t="shared" si="14"/>
        <v>2.6857830884271321</v>
      </c>
      <c r="CD13" s="2">
        <f t="shared" si="15"/>
        <v>304.61249999999995</v>
      </c>
      <c r="CE13" s="2">
        <f t="shared" si="16"/>
        <v>392.12616990270601</v>
      </c>
      <c r="CF13" s="21">
        <f t="shared" si="17"/>
        <v>1.2872950712879678</v>
      </c>
      <c r="CG13" s="10" t="str">
        <f t="shared" ref="CG13" si="40">IF(C11&lt;C13,"Rive",IF(C15&gt;C13,"Rive","Inter"))</f>
        <v>Inter</v>
      </c>
      <c r="CH13" s="21">
        <f t="shared" si="18"/>
        <v>0.66683775450888216</v>
      </c>
    </row>
    <row r="14" spans="1:86" x14ac:dyDescent="0.25">
      <c r="A14" t="str">
        <f t="shared" si="22"/>
        <v>Appui</v>
      </c>
      <c r="B14" t="b">
        <f t="shared" si="23"/>
        <v>1</v>
      </c>
      <c r="C14">
        <f t="shared" si="31"/>
        <v>2</v>
      </c>
      <c r="D14" t="s">
        <v>95</v>
      </c>
      <c r="E14" t="s">
        <v>54</v>
      </c>
      <c r="F14">
        <v>25</v>
      </c>
      <c r="G14" t="s">
        <v>46</v>
      </c>
      <c r="H14">
        <v>500</v>
      </c>
      <c r="I14">
        <v>220000</v>
      </c>
      <c r="J14">
        <v>1576</v>
      </c>
      <c r="K14">
        <v>1870</v>
      </c>
      <c r="L14">
        <v>1</v>
      </c>
      <c r="M14">
        <v>0.25</v>
      </c>
      <c r="N14">
        <v>2.6</v>
      </c>
      <c r="O14">
        <v>1.3338E-3</v>
      </c>
      <c r="P14">
        <v>6.9999999999999993E-2</v>
      </c>
      <c r="Q14">
        <v>1</v>
      </c>
      <c r="R14">
        <v>9.2368386206896549E-4</v>
      </c>
      <c r="S14">
        <v>0.04</v>
      </c>
      <c r="T14">
        <v>1</v>
      </c>
      <c r="U14">
        <v>0</v>
      </c>
      <c r="V14">
        <v>0</v>
      </c>
      <c r="W14">
        <v>0</v>
      </c>
      <c r="X14">
        <v>122.5</v>
      </c>
      <c r="Y14">
        <v>36</v>
      </c>
      <c r="Z14">
        <v>0</v>
      </c>
      <c r="AA14">
        <v>122.5</v>
      </c>
      <c r="AB14">
        <v>36</v>
      </c>
      <c r="AC14">
        <v>0.5</v>
      </c>
      <c r="AD14">
        <v>61.25</v>
      </c>
      <c r="AE14">
        <v>97.25</v>
      </c>
      <c r="AF14">
        <v>219.375</v>
      </c>
      <c r="AH14">
        <v>158.5</v>
      </c>
      <c r="AI14">
        <v>61.25</v>
      </c>
      <c r="AJ14">
        <v>97.25</v>
      </c>
      <c r="AK14">
        <v>8.929607243292784</v>
      </c>
      <c r="AL14">
        <v>10.170886819803011</v>
      </c>
      <c r="AM14">
        <v>-270.90832967295609</v>
      </c>
      <c r="AN14">
        <v>-219.92566194166159</v>
      </c>
      <c r="AO14">
        <v>-267.35105495667062</v>
      </c>
      <c r="AP14">
        <v>0</v>
      </c>
      <c r="AQ14">
        <v>219.375</v>
      </c>
      <c r="AR14">
        <v>105.1896123745755</v>
      </c>
      <c r="AS14">
        <v>182.1876752495927</v>
      </c>
      <c r="AT14">
        <v>0</v>
      </c>
      <c r="AU14">
        <v>0</v>
      </c>
      <c r="AV14">
        <v>0</v>
      </c>
      <c r="AW14">
        <v>0</v>
      </c>
      <c r="AX14">
        <v>158.5</v>
      </c>
      <c r="AY14">
        <v>11.39534455607183</v>
      </c>
      <c r="AZ14">
        <v>-383.52421858795208</v>
      </c>
      <c r="BA14">
        <v>182.1876752495927</v>
      </c>
      <c r="BC14" s="1">
        <f t="shared" si="24"/>
        <v>61.25</v>
      </c>
      <c r="BD14" s="2">
        <f t="shared" si="25"/>
        <v>8.929607243292784</v>
      </c>
      <c r="BE14" s="7">
        <f t="shared" si="26"/>
        <v>-270.90832967295609</v>
      </c>
      <c r="BF14" s="1">
        <f t="shared" si="27"/>
        <v>97.25</v>
      </c>
      <c r="BG14" s="2">
        <f t="shared" si="28"/>
        <v>10.170886819803011</v>
      </c>
      <c r="BH14" s="2">
        <f t="shared" si="1"/>
        <v>-219.92566194166159</v>
      </c>
      <c r="BI14" s="2">
        <f t="shared" si="1"/>
        <v>-267.35105495667062</v>
      </c>
      <c r="BJ14" s="7">
        <f t="shared" si="1"/>
        <v>0</v>
      </c>
      <c r="BK14" s="1">
        <f t="shared" si="2"/>
        <v>158.5</v>
      </c>
      <c r="BL14" s="2">
        <f t="shared" si="2"/>
        <v>19.100494063095795</v>
      </c>
      <c r="BM14" s="2">
        <f t="shared" si="3"/>
        <v>490.83399161461767</v>
      </c>
      <c r="BN14" s="2">
        <f t="shared" si="29"/>
        <v>267.35105495667062</v>
      </c>
      <c r="BO14" s="7">
        <f t="shared" si="30"/>
        <v>0</v>
      </c>
      <c r="BP14" s="2"/>
      <c r="BQ14" s="1">
        <f t="shared" si="4"/>
        <v>158.5</v>
      </c>
      <c r="BR14" s="4">
        <v>0</v>
      </c>
      <c r="BS14" s="2">
        <f t="shared" si="5"/>
        <v>158.5</v>
      </c>
      <c r="BT14" s="2">
        <f t="shared" si="6"/>
        <v>182.1876752495927</v>
      </c>
      <c r="BU14" s="3">
        <f t="shared" si="7"/>
        <v>1.1494490552024776</v>
      </c>
      <c r="BV14" s="52" t="str">
        <f t="shared" si="8"/>
        <v/>
      </c>
      <c r="BW14" s="21" t="str">
        <f t="shared" si="9"/>
        <v/>
      </c>
      <c r="BX14" s="21" t="str">
        <f t="shared" si="10"/>
        <v/>
      </c>
      <c r="BY14" s="1">
        <f t="shared" si="11"/>
        <v>219.375</v>
      </c>
      <c r="BZ14" s="4">
        <v>0</v>
      </c>
      <c r="CA14" s="2">
        <f t="shared" si="12"/>
        <v>219.375</v>
      </c>
      <c r="CB14" s="2">
        <f t="shared" si="13"/>
        <v>182.1876752495927</v>
      </c>
      <c r="CC14" s="21">
        <f t="shared" si="14"/>
        <v>0.83048512934287266</v>
      </c>
      <c r="CD14" s="2" t="str">
        <f t="shared" si="15"/>
        <v/>
      </c>
      <c r="CE14" s="2" t="str">
        <f t="shared" si="16"/>
        <v/>
      </c>
      <c r="CF14" s="21" t="str">
        <f t="shared" si="17"/>
        <v/>
      </c>
      <c r="CG14" s="15"/>
      <c r="CH14" s="21" t="str">
        <f t="shared" si="18"/>
        <v/>
      </c>
    </row>
    <row r="15" spans="1:86" x14ac:dyDescent="0.25">
      <c r="A15" t="str">
        <f t="shared" si="22"/>
        <v>Travée</v>
      </c>
      <c r="B15" t="b">
        <f t="shared" si="23"/>
        <v>1</v>
      </c>
      <c r="C15">
        <f t="shared" si="31"/>
        <v>2</v>
      </c>
      <c r="D15" t="s">
        <v>95</v>
      </c>
      <c r="E15" t="s">
        <v>55</v>
      </c>
      <c r="F15">
        <v>25</v>
      </c>
      <c r="G15" t="s">
        <v>46</v>
      </c>
      <c r="H15">
        <v>500</v>
      </c>
      <c r="I15">
        <v>220000</v>
      </c>
      <c r="J15">
        <v>1576</v>
      </c>
      <c r="K15">
        <v>1870</v>
      </c>
      <c r="L15">
        <v>1</v>
      </c>
      <c r="M15">
        <v>0.25</v>
      </c>
      <c r="N15">
        <v>2.6</v>
      </c>
      <c r="O15">
        <v>3.3280000000000001E-4</v>
      </c>
      <c r="P15">
        <v>0.04</v>
      </c>
      <c r="Q15">
        <v>1</v>
      </c>
      <c r="R15">
        <v>0</v>
      </c>
      <c r="S15">
        <v>0</v>
      </c>
      <c r="T15">
        <v>1</v>
      </c>
      <c r="U15">
        <v>2.9099999999999999E-5</v>
      </c>
      <c r="V15">
        <v>0</v>
      </c>
      <c r="W15">
        <v>15</v>
      </c>
      <c r="X15">
        <v>41</v>
      </c>
      <c r="Y15">
        <v>12</v>
      </c>
      <c r="Z15">
        <v>0</v>
      </c>
      <c r="AA15">
        <v>41</v>
      </c>
      <c r="AB15">
        <v>12</v>
      </c>
      <c r="AC15">
        <v>0.5</v>
      </c>
      <c r="AD15">
        <v>20.5</v>
      </c>
      <c r="AE15">
        <v>32.5</v>
      </c>
      <c r="AF15">
        <v>73.349999999999994</v>
      </c>
      <c r="AH15">
        <v>53</v>
      </c>
      <c r="AI15">
        <v>20.5</v>
      </c>
      <c r="AJ15">
        <v>32.5</v>
      </c>
      <c r="AK15">
        <v>4.4052202502279743</v>
      </c>
      <c r="AL15">
        <v>3.8822577033098868</v>
      </c>
      <c r="AM15">
        <v>-301.95591741968792</v>
      </c>
      <c r="AN15">
        <v>-156.59392624035559</v>
      </c>
      <c r="AO15">
        <v>0</v>
      </c>
      <c r="AP15">
        <v>-210.23205046215659</v>
      </c>
      <c r="AQ15">
        <v>73.349999999999994</v>
      </c>
      <c r="AR15">
        <v>32.175182924605153</v>
      </c>
      <c r="AS15">
        <v>221.1742373319743</v>
      </c>
      <c r="AT15">
        <v>6.1849403526572706</v>
      </c>
      <c r="AU15">
        <v>-356.80765696135018</v>
      </c>
      <c r="AV15">
        <v>0</v>
      </c>
      <c r="AW15">
        <v>-484.59380957467363</v>
      </c>
      <c r="AX15">
        <v>53</v>
      </c>
      <c r="AY15">
        <v>0</v>
      </c>
      <c r="AZ15">
        <v>0</v>
      </c>
      <c r="BA15">
        <v>32.175182924605153</v>
      </c>
      <c r="BC15" s="1">
        <f t="shared" si="24"/>
        <v>20.5</v>
      </c>
      <c r="BD15" s="2">
        <f t="shared" si="25"/>
        <v>4.4052202502279743</v>
      </c>
      <c r="BE15" s="7">
        <f t="shared" si="26"/>
        <v>-301.95591741968792</v>
      </c>
      <c r="BF15" s="1">
        <f t="shared" si="27"/>
        <v>32.5</v>
      </c>
      <c r="BG15" s="2">
        <f t="shared" si="28"/>
        <v>3.8822577033098868</v>
      </c>
      <c r="BH15" s="2">
        <f t="shared" si="1"/>
        <v>-156.59392624035559</v>
      </c>
      <c r="BI15" s="2">
        <f t="shared" si="1"/>
        <v>0</v>
      </c>
      <c r="BJ15" s="7">
        <f t="shared" si="1"/>
        <v>-210.23205046215659</v>
      </c>
      <c r="BK15" s="1">
        <f t="shared" si="2"/>
        <v>53</v>
      </c>
      <c r="BL15" s="2">
        <f t="shared" si="2"/>
        <v>8.2874779535378611</v>
      </c>
      <c r="BM15" s="2">
        <f t="shared" si="3"/>
        <v>458.54984366004351</v>
      </c>
      <c r="BN15" s="2">
        <f t="shared" si="29"/>
        <v>0</v>
      </c>
      <c r="BO15" s="7">
        <f t="shared" si="30"/>
        <v>-210.23205046215659</v>
      </c>
      <c r="BP15" s="2"/>
      <c r="BQ15" s="1">
        <f t="shared" si="4"/>
        <v>53</v>
      </c>
      <c r="BR15" s="4" t="str">
        <f t="shared" ref="BR15" si="41">IF(ISNUMBER(SEARCH("Appui",E15)),0,"0")</f>
        <v>0</v>
      </c>
      <c r="BS15" s="2">
        <f t="shared" si="5"/>
        <v>53</v>
      </c>
      <c r="BT15" s="2">
        <f t="shared" si="6"/>
        <v>32.175182924605153</v>
      </c>
      <c r="BU15" s="3">
        <f t="shared" si="7"/>
        <v>0.60707892310575762</v>
      </c>
      <c r="BV15" s="52">
        <f t="shared" si="8"/>
        <v>215.5</v>
      </c>
      <c r="BW15" s="21">
        <f t="shared" si="9"/>
        <v>214.36285817419787</v>
      </c>
      <c r="BX15" s="21">
        <f t="shared" si="10"/>
        <v>0.99472323978746113</v>
      </c>
      <c r="BY15" s="1">
        <f t="shared" si="11"/>
        <v>73.349999999999994</v>
      </c>
      <c r="BZ15" s="4" t="str">
        <f t="shared" ref="BZ15" si="42">IF(ISNUMBER(SEARCH("Appui",M15)),0,"0")</f>
        <v>0</v>
      </c>
      <c r="CA15" s="2">
        <f t="shared" si="12"/>
        <v>73.349999999999994</v>
      </c>
      <c r="CB15" s="2">
        <f t="shared" si="13"/>
        <v>221.1742373319743</v>
      </c>
      <c r="CC15" s="21">
        <f t="shared" si="14"/>
        <v>3.0153270256574549</v>
      </c>
      <c r="CD15" s="2">
        <f t="shared" si="15"/>
        <v>298.23749999999995</v>
      </c>
      <c r="CE15" s="2">
        <f t="shared" si="16"/>
        <v>403.36191258156703</v>
      </c>
      <c r="CF15" s="21">
        <f t="shared" si="17"/>
        <v>1.3524855612777302</v>
      </c>
      <c r="CG15" s="10" t="str">
        <f t="shared" ref="CG15" si="43">IF(C13&lt;C15,"Rive",IF(C17&gt;C15,"Rive","Inter"))</f>
        <v>Inter</v>
      </c>
      <c r="CH15" s="21">
        <f t="shared" si="18"/>
        <v>0.71876560853077798</v>
      </c>
    </row>
    <row r="16" spans="1:86" x14ac:dyDescent="0.25">
      <c r="A16" t="str">
        <f t="shared" si="22"/>
        <v>Appui</v>
      </c>
      <c r="B16" t="b">
        <f t="shared" si="23"/>
        <v>1</v>
      </c>
      <c r="C16">
        <f t="shared" si="31"/>
        <v>2</v>
      </c>
      <c r="D16" t="s">
        <v>95</v>
      </c>
      <c r="E16" t="s">
        <v>56</v>
      </c>
      <c r="F16">
        <v>25</v>
      </c>
      <c r="G16" t="s">
        <v>46</v>
      </c>
      <c r="H16">
        <v>500</v>
      </c>
      <c r="I16">
        <v>220000</v>
      </c>
      <c r="J16">
        <v>1576</v>
      </c>
      <c r="K16">
        <v>1870</v>
      </c>
      <c r="L16">
        <v>1</v>
      </c>
      <c r="M16">
        <v>0.25</v>
      </c>
      <c r="N16">
        <v>2.6</v>
      </c>
      <c r="O16">
        <v>1.3338E-3</v>
      </c>
      <c r="P16">
        <v>6.9999999999999993E-2</v>
      </c>
      <c r="Q16">
        <v>1</v>
      </c>
      <c r="R16">
        <v>9.2368386206896549E-4</v>
      </c>
      <c r="S16">
        <v>0.04</v>
      </c>
      <c r="T16">
        <v>1</v>
      </c>
      <c r="U16">
        <v>0</v>
      </c>
      <c r="V16">
        <v>0</v>
      </c>
      <c r="W16">
        <v>0</v>
      </c>
      <c r="X16">
        <v>129</v>
      </c>
      <c r="Y16">
        <v>37.5</v>
      </c>
      <c r="Z16">
        <v>0</v>
      </c>
      <c r="AA16">
        <v>129</v>
      </c>
      <c r="AB16">
        <v>37.5</v>
      </c>
      <c r="AC16">
        <v>0.5</v>
      </c>
      <c r="AD16">
        <v>64.5</v>
      </c>
      <c r="AE16">
        <v>102</v>
      </c>
      <c r="AF16">
        <v>230.4</v>
      </c>
      <c r="AH16">
        <v>166.5</v>
      </c>
      <c r="AI16">
        <v>64.5</v>
      </c>
      <c r="AJ16">
        <v>102</v>
      </c>
      <c r="AK16">
        <v>9.4034231378348423</v>
      </c>
      <c r="AL16">
        <v>10.667665353418069</v>
      </c>
      <c r="AM16">
        <v>-285.28305736988852</v>
      </c>
      <c r="AN16">
        <v>-230.6675323192749</v>
      </c>
      <c r="AO16">
        <v>-280.4093327051969</v>
      </c>
      <c r="AP16">
        <v>0</v>
      </c>
      <c r="AQ16">
        <v>230.4</v>
      </c>
      <c r="AR16">
        <v>105.1896123745755</v>
      </c>
      <c r="AS16">
        <v>182.1876752495927</v>
      </c>
      <c r="AT16">
        <v>0</v>
      </c>
      <c r="AU16">
        <v>0</v>
      </c>
      <c r="AV16">
        <v>0</v>
      </c>
      <c r="AW16">
        <v>0</v>
      </c>
      <c r="AX16">
        <v>166.5</v>
      </c>
      <c r="AY16">
        <v>12.02428757610131</v>
      </c>
      <c r="AZ16">
        <v>-420.28213132141047</v>
      </c>
      <c r="BA16">
        <v>182.1876752495927</v>
      </c>
      <c r="BC16" s="1">
        <f t="shared" si="24"/>
        <v>64.5</v>
      </c>
      <c r="BD16" s="2">
        <f t="shared" si="25"/>
        <v>9.4034231378348423</v>
      </c>
      <c r="BE16" s="7">
        <f t="shared" si="26"/>
        <v>-285.28305736988852</v>
      </c>
      <c r="BF16" s="1">
        <f t="shared" si="27"/>
        <v>102</v>
      </c>
      <c r="BG16" s="2">
        <f t="shared" si="28"/>
        <v>10.667665353418069</v>
      </c>
      <c r="BH16" s="2">
        <f t="shared" si="1"/>
        <v>-230.6675323192749</v>
      </c>
      <c r="BI16" s="2">
        <f t="shared" si="1"/>
        <v>-280.4093327051969</v>
      </c>
      <c r="BJ16" s="7">
        <f t="shared" si="1"/>
        <v>0</v>
      </c>
      <c r="BK16" s="1">
        <f t="shared" si="2"/>
        <v>166.5</v>
      </c>
      <c r="BL16" s="2">
        <f t="shared" si="2"/>
        <v>20.071088491252912</v>
      </c>
      <c r="BM16" s="2">
        <f t="shared" si="3"/>
        <v>515.95058968916339</v>
      </c>
      <c r="BN16" s="2">
        <f t="shared" si="29"/>
        <v>280.4093327051969</v>
      </c>
      <c r="BO16" s="7">
        <f t="shared" si="30"/>
        <v>0</v>
      </c>
      <c r="BP16" s="2"/>
      <c r="BQ16" s="1">
        <f t="shared" si="4"/>
        <v>166.5</v>
      </c>
      <c r="BR16" s="4">
        <v>0</v>
      </c>
      <c r="BS16" s="2">
        <f t="shared" si="5"/>
        <v>166.5</v>
      </c>
      <c r="BT16" s="2">
        <f t="shared" si="6"/>
        <v>182.1876752495927</v>
      </c>
      <c r="BU16" s="3">
        <f t="shared" si="7"/>
        <v>1.0942202717693255</v>
      </c>
      <c r="BV16" s="52" t="str">
        <f t="shared" si="8"/>
        <v/>
      </c>
      <c r="BW16" s="21" t="str">
        <f t="shared" si="9"/>
        <v/>
      </c>
      <c r="BX16" s="21" t="str">
        <f t="shared" si="10"/>
        <v/>
      </c>
      <c r="BY16" s="1">
        <f t="shared" si="11"/>
        <v>230.4</v>
      </c>
      <c r="BZ16" s="4">
        <v>0</v>
      </c>
      <c r="CA16" s="2">
        <f t="shared" si="12"/>
        <v>230.4</v>
      </c>
      <c r="CB16" s="2">
        <f t="shared" si="13"/>
        <v>182.1876752495927</v>
      </c>
      <c r="CC16" s="21">
        <f t="shared" si="14"/>
        <v>0.79074511827080163</v>
      </c>
      <c r="CD16" s="2" t="str">
        <f t="shared" si="15"/>
        <v/>
      </c>
      <c r="CE16" s="2" t="str">
        <f t="shared" si="16"/>
        <v/>
      </c>
      <c r="CF16" s="21" t="str">
        <f t="shared" si="17"/>
        <v/>
      </c>
      <c r="CG16" s="15"/>
      <c r="CH16" s="21" t="str">
        <f t="shared" si="18"/>
        <v/>
      </c>
    </row>
    <row r="17" spans="1:86" x14ac:dyDescent="0.25">
      <c r="A17" t="str">
        <f t="shared" si="22"/>
        <v>Travée</v>
      </c>
      <c r="B17" t="b">
        <f t="shared" si="23"/>
        <v>1</v>
      </c>
      <c r="C17">
        <f>IF(D17=D15,C15,C15+1)</f>
        <v>2</v>
      </c>
      <c r="D17" t="s">
        <v>95</v>
      </c>
      <c r="E17" t="s">
        <v>57</v>
      </c>
      <c r="F17">
        <v>25</v>
      </c>
      <c r="G17" t="s">
        <v>46</v>
      </c>
      <c r="H17">
        <v>500</v>
      </c>
      <c r="I17">
        <v>220000</v>
      </c>
      <c r="J17">
        <v>1576</v>
      </c>
      <c r="K17">
        <v>1870</v>
      </c>
      <c r="L17">
        <v>1</v>
      </c>
      <c r="M17">
        <v>0.25</v>
      </c>
      <c r="N17">
        <v>2.6</v>
      </c>
      <c r="O17">
        <v>3.3280000000000001E-4</v>
      </c>
      <c r="P17">
        <v>0.04</v>
      </c>
      <c r="Q17">
        <v>1</v>
      </c>
      <c r="R17">
        <v>0</v>
      </c>
      <c r="S17">
        <v>0</v>
      </c>
      <c r="T17">
        <v>1</v>
      </c>
      <c r="U17">
        <v>2.9099999999999999E-5</v>
      </c>
      <c r="V17">
        <v>0</v>
      </c>
      <c r="W17">
        <v>15</v>
      </c>
      <c r="X17">
        <v>42</v>
      </c>
      <c r="Y17">
        <v>18</v>
      </c>
      <c r="Z17">
        <v>0</v>
      </c>
      <c r="AA17">
        <v>42</v>
      </c>
      <c r="AB17">
        <v>18</v>
      </c>
      <c r="AC17">
        <v>0.5</v>
      </c>
      <c r="AD17">
        <v>21</v>
      </c>
      <c r="AE17">
        <v>39</v>
      </c>
      <c r="AF17">
        <v>83.7</v>
      </c>
      <c r="AH17">
        <v>60</v>
      </c>
      <c r="AI17">
        <v>21</v>
      </c>
      <c r="AJ17">
        <v>39</v>
      </c>
      <c r="AK17">
        <v>4.5126646465750033</v>
      </c>
      <c r="AL17">
        <v>4.6587092439718703</v>
      </c>
      <c r="AM17">
        <v>-309.32069589333878</v>
      </c>
      <c r="AN17">
        <v>-187.91271148842699</v>
      </c>
      <c r="AO17">
        <v>0</v>
      </c>
      <c r="AP17">
        <v>-252.27846055458829</v>
      </c>
      <c r="AQ17">
        <v>83.7</v>
      </c>
      <c r="AR17">
        <v>32.175182924605153</v>
      </c>
      <c r="AS17">
        <v>221.1742373319743</v>
      </c>
      <c r="AT17">
        <v>6.9815420068239344</v>
      </c>
      <c r="AU17">
        <v>-407.29072687351589</v>
      </c>
      <c r="AV17">
        <v>0</v>
      </c>
      <c r="AW17">
        <v>-553.27808779858196</v>
      </c>
      <c r="AX17">
        <v>60</v>
      </c>
      <c r="AY17">
        <v>0</v>
      </c>
      <c r="AZ17">
        <v>0</v>
      </c>
      <c r="BA17">
        <v>32.175182924605153</v>
      </c>
      <c r="BC17" s="1">
        <f t="shared" si="24"/>
        <v>21</v>
      </c>
      <c r="BD17" s="2">
        <f t="shared" si="25"/>
        <v>4.5126646465750033</v>
      </c>
      <c r="BE17" s="7">
        <f t="shared" si="26"/>
        <v>-309.32069589333878</v>
      </c>
      <c r="BF17" s="1">
        <f t="shared" si="27"/>
        <v>39</v>
      </c>
      <c r="BG17" s="2">
        <f t="shared" si="28"/>
        <v>4.6587092439718703</v>
      </c>
      <c r="BH17" s="2">
        <f t="shared" si="1"/>
        <v>-187.91271148842699</v>
      </c>
      <c r="BI17" s="2">
        <f t="shared" si="1"/>
        <v>0</v>
      </c>
      <c r="BJ17" s="7">
        <f t="shared" si="1"/>
        <v>-252.27846055458829</v>
      </c>
      <c r="BK17" s="1">
        <f t="shared" si="2"/>
        <v>60</v>
      </c>
      <c r="BL17" s="2">
        <f t="shared" si="2"/>
        <v>9.1713738905468745</v>
      </c>
      <c r="BM17" s="2">
        <f t="shared" si="3"/>
        <v>497.2334073817658</v>
      </c>
      <c r="BN17" s="2">
        <f t="shared" si="29"/>
        <v>0</v>
      </c>
      <c r="BO17" s="7">
        <f t="shared" si="30"/>
        <v>-252.27846055458829</v>
      </c>
      <c r="BP17" s="2"/>
      <c r="BQ17" s="1">
        <f t="shared" si="4"/>
        <v>60</v>
      </c>
      <c r="BR17" s="4" t="str">
        <f t="shared" ref="BR17" si="44">IF(ISNUMBER(SEARCH("Appui",E17)),0,"0")</f>
        <v>0</v>
      </c>
      <c r="BS17" s="2">
        <f t="shared" si="5"/>
        <v>60</v>
      </c>
      <c r="BT17" s="2">
        <f t="shared" si="6"/>
        <v>32.175182924605153</v>
      </c>
      <c r="BU17" s="3">
        <f t="shared" si="7"/>
        <v>0.53625304874341917</v>
      </c>
      <c r="BV17" s="52">
        <f t="shared" si="8"/>
        <v>221</v>
      </c>
      <c r="BW17" s="21">
        <f t="shared" si="9"/>
        <v>238.42198472559613</v>
      </c>
      <c r="BX17" s="21">
        <f t="shared" si="10"/>
        <v>1.0788325100705707</v>
      </c>
      <c r="BY17" s="1">
        <f t="shared" si="11"/>
        <v>83.7</v>
      </c>
      <c r="BZ17" s="4" t="str">
        <f t="shared" ref="BZ17" si="45">IF(ISNUMBER(SEARCH("Appui",M17)),0,"0")</f>
        <v>0</v>
      </c>
      <c r="CA17" s="2">
        <f t="shared" si="12"/>
        <v>83.7</v>
      </c>
      <c r="CB17" s="2">
        <f t="shared" si="13"/>
        <v>221.1742373319743</v>
      </c>
      <c r="CC17" s="21">
        <f t="shared" si="14"/>
        <v>2.6424640063557261</v>
      </c>
      <c r="CD17" s="2">
        <f t="shared" si="15"/>
        <v>306.89999999999998</v>
      </c>
      <c r="CE17" s="2">
        <f t="shared" si="16"/>
        <v>427.42103913296529</v>
      </c>
      <c r="CF17" s="21">
        <f t="shared" si="17"/>
        <v>1.3927045915052634</v>
      </c>
      <c r="CG17" s="10" t="str">
        <f t="shared" ref="CG17" si="46">IF(C15&lt;C17,"Rive",IF(C19&gt;C17,"Rive","Inter"))</f>
        <v>Inter</v>
      </c>
      <c r="CH17" s="21">
        <f t="shared" si="18"/>
        <v>0.77687189548907187</v>
      </c>
    </row>
    <row r="18" spans="1:86" x14ac:dyDescent="0.25">
      <c r="A18" t="str">
        <f t="shared" si="22"/>
        <v>Appui</v>
      </c>
      <c r="B18" t="b">
        <f t="shared" si="23"/>
        <v>1</v>
      </c>
      <c r="C18">
        <f t="shared" si="31"/>
        <v>2</v>
      </c>
      <c r="D18" t="s">
        <v>95</v>
      </c>
      <c r="E18" t="s">
        <v>97</v>
      </c>
      <c r="F18">
        <v>25</v>
      </c>
      <c r="G18" t="s">
        <v>46</v>
      </c>
      <c r="H18">
        <v>500</v>
      </c>
      <c r="I18">
        <v>220000</v>
      </c>
      <c r="J18">
        <v>1576</v>
      </c>
      <c r="K18">
        <v>1870</v>
      </c>
      <c r="L18">
        <v>1</v>
      </c>
      <c r="M18">
        <v>0.25</v>
      </c>
      <c r="N18">
        <v>2.6</v>
      </c>
      <c r="O18">
        <v>2.0999999999999999E-3</v>
      </c>
      <c r="P18">
        <v>9.5000000000000001E-2</v>
      </c>
      <c r="Q18">
        <v>1</v>
      </c>
      <c r="R18">
        <v>1.206E-3</v>
      </c>
      <c r="S18">
        <v>0.04</v>
      </c>
      <c r="T18">
        <v>1</v>
      </c>
      <c r="U18">
        <v>0</v>
      </c>
      <c r="V18">
        <v>0</v>
      </c>
      <c r="W18">
        <v>0</v>
      </c>
      <c r="X18">
        <v>115</v>
      </c>
      <c r="Y18">
        <v>40.5</v>
      </c>
      <c r="Z18">
        <v>0</v>
      </c>
      <c r="AA18">
        <v>115</v>
      </c>
      <c r="AB18">
        <v>40.5</v>
      </c>
      <c r="AC18">
        <v>0.5</v>
      </c>
      <c r="AD18">
        <v>57.5</v>
      </c>
      <c r="AE18">
        <v>98</v>
      </c>
      <c r="AF18">
        <v>216</v>
      </c>
      <c r="AH18">
        <v>155.5</v>
      </c>
      <c r="AI18">
        <v>57.5</v>
      </c>
      <c r="AJ18">
        <v>98</v>
      </c>
      <c r="AK18">
        <v>8.8047723497944155</v>
      </c>
      <c r="AL18">
        <v>9.9852216859372707</v>
      </c>
      <c r="AM18">
        <v>-191.22499865621279</v>
      </c>
      <c r="AN18">
        <v>-151.63979689120529</v>
      </c>
      <c r="AO18">
        <v>-227.9609055236196</v>
      </c>
      <c r="AP18">
        <v>0</v>
      </c>
      <c r="AQ18">
        <v>216</v>
      </c>
      <c r="AR18">
        <v>134.58966031498949</v>
      </c>
      <c r="AS18">
        <v>230.30592835238929</v>
      </c>
      <c r="AT18">
        <v>15.03058773274992</v>
      </c>
      <c r="AU18">
        <v>-419.69361923557852</v>
      </c>
      <c r="AV18">
        <v>-435.62369914074162</v>
      </c>
      <c r="AW18">
        <v>0</v>
      </c>
      <c r="AX18">
        <v>155.5</v>
      </c>
      <c r="AY18">
        <v>10.95854528052023</v>
      </c>
      <c r="AZ18">
        <v>-242.15919258099831</v>
      </c>
      <c r="BA18">
        <v>230.30592835238929</v>
      </c>
      <c r="BC18" s="1">
        <f t="shared" si="24"/>
        <v>57.5</v>
      </c>
      <c r="BD18" s="2">
        <f t="shared" si="25"/>
        <v>8.8047723497944155</v>
      </c>
      <c r="BE18" s="7">
        <f t="shared" si="26"/>
        <v>-191.22499865621279</v>
      </c>
      <c r="BF18" s="1">
        <f t="shared" si="27"/>
        <v>98</v>
      </c>
      <c r="BG18" s="2">
        <f t="shared" si="28"/>
        <v>9.9852216859372707</v>
      </c>
      <c r="BH18" s="2">
        <f t="shared" si="1"/>
        <v>-151.63979689120529</v>
      </c>
      <c r="BI18" s="2">
        <f t="shared" si="1"/>
        <v>-227.9609055236196</v>
      </c>
      <c r="BJ18" s="7">
        <f t="shared" si="1"/>
        <v>0</v>
      </c>
      <c r="BK18" s="1">
        <f t="shared" si="2"/>
        <v>155.5</v>
      </c>
      <c r="BL18" s="2">
        <f t="shared" si="2"/>
        <v>18.789994035731688</v>
      </c>
      <c r="BM18" s="2">
        <f t="shared" si="3"/>
        <v>342.86479554741811</v>
      </c>
      <c r="BN18" s="2">
        <f t="shared" si="29"/>
        <v>227.9609055236196</v>
      </c>
      <c r="BO18" s="7">
        <f t="shared" si="30"/>
        <v>0</v>
      </c>
      <c r="BP18" s="2"/>
      <c r="BQ18" s="1">
        <f t="shared" si="4"/>
        <v>155.5</v>
      </c>
      <c r="BR18" s="4">
        <v>0</v>
      </c>
      <c r="BS18" s="2">
        <f t="shared" si="5"/>
        <v>155.5</v>
      </c>
      <c r="BT18" s="2">
        <f t="shared" si="6"/>
        <v>230.30592835238929</v>
      </c>
      <c r="BU18" s="3">
        <f t="shared" si="7"/>
        <v>1.4810670633594167</v>
      </c>
      <c r="BV18" s="52" t="str">
        <f t="shared" si="8"/>
        <v/>
      </c>
      <c r="BW18" s="21" t="str">
        <f t="shared" si="9"/>
        <v/>
      </c>
      <c r="BX18" s="21" t="str">
        <f t="shared" si="10"/>
        <v/>
      </c>
      <c r="BY18" s="1">
        <f t="shared" si="11"/>
        <v>216</v>
      </c>
      <c r="BZ18" s="4">
        <v>0</v>
      </c>
      <c r="CA18" s="2">
        <f t="shared" si="12"/>
        <v>216</v>
      </c>
      <c r="CB18" s="2">
        <f t="shared" si="13"/>
        <v>230.30592835238929</v>
      </c>
      <c r="CC18" s="21">
        <f t="shared" si="14"/>
        <v>1.06623114977958</v>
      </c>
      <c r="CD18" s="2" t="str">
        <f t="shared" si="15"/>
        <v/>
      </c>
      <c r="CE18" s="2" t="str">
        <f t="shared" si="16"/>
        <v/>
      </c>
      <c r="CF18" s="21" t="str">
        <f t="shared" si="17"/>
        <v/>
      </c>
      <c r="CG18" s="15"/>
      <c r="CH18" s="21" t="str">
        <f t="shared" si="18"/>
        <v/>
      </c>
    </row>
    <row r="19" spans="1:86" x14ac:dyDescent="0.25">
      <c r="A19" t="str">
        <f t="shared" si="22"/>
        <v>Travée</v>
      </c>
      <c r="B19" t="b">
        <f t="shared" si="23"/>
        <v>1</v>
      </c>
      <c r="C19">
        <f t="shared" si="31"/>
        <v>2</v>
      </c>
      <c r="D19" t="s">
        <v>95</v>
      </c>
      <c r="E19" t="s">
        <v>98</v>
      </c>
      <c r="F19">
        <v>25</v>
      </c>
      <c r="G19" t="s">
        <v>46</v>
      </c>
      <c r="H19">
        <v>500</v>
      </c>
      <c r="I19">
        <v>220000</v>
      </c>
      <c r="J19">
        <v>1576</v>
      </c>
      <c r="K19">
        <v>1870</v>
      </c>
      <c r="L19">
        <v>1</v>
      </c>
      <c r="M19">
        <v>0.25</v>
      </c>
      <c r="N19">
        <v>2.6</v>
      </c>
      <c r="O19">
        <v>1E-3</v>
      </c>
      <c r="P19">
        <v>0.04</v>
      </c>
      <c r="Q19">
        <v>1</v>
      </c>
      <c r="R19">
        <v>0</v>
      </c>
      <c r="S19">
        <v>0</v>
      </c>
      <c r="T19">
        <v>1</v>
      </c>
      <c r="U19">
        <v>2.9099999999999999E-5</v>
      </c>
      <c r="V19">
        <v>0</v>
      </c>
      <c r="W19">
        <v>10</v>
      </c>
      <c r="X19">
        <v>33.6</v>
      </c>
      <c r="Y19">
        <v>15</v>
      </c>
      <c r="Z19">
        <v>0</v>
      </c>
      <c r="AA19">
        <v>33.6</v>
      </c>
      <c r="AB19">
        <v>15</v>
      </c>
      <c r="AC19">
        <v>0.5</v>
      </c>
      <c r="AD19">
        <v>16.8</v>
      </c>
      <c r="AE19">
        <v>31.8</v>
      </c>
      <c r="AF19">
        <v>67.860000000000014</v>
      </c>
      <c r="AH19">
        <v>48.6</v>
      </c>
      <c r="AI19">
        <v>16.8</v>
      </c>
      <c r="AJ19">
        <v>31.8</v>
      </c>
      <c r="AK19">
        <v>2.1770641779270501</v>
      </c>
      <c r="AL19">
        <v>3.3762018654496191</v>
      </c>
      <c r="AM19">
        <v>-84.015058286529708</v>
      </c>
      <c r="AN19">
        <v>-108.88340986845689</v>
      </c>
      <c r="AO19">
        <v>0</v>
      </c>
      <c r="AP19">
        <v>-147.08026475472789</v>
      </c>
      <c r="AQ19">
        <v>67.860000000000014</v>
      </c>
      <c r="AR19">
        <v>95.174094445131004</v>
      </c>
      <c r="AS19">
        <v>214.06960291576181</v>
      </c>
      <c r="AT19">
        <v>5.2260276983809311</v>
      </c>
      <c r="AU19">
        <v>-236.1905887409545</v>
      </c>
      <c r="AV19">
        <v>0</v>
      </c>
      <c r="AW19">
        <v>-323.6692133758292</v>
      </c>
      <c r="AX19">
        <v>48.6</v>
      </c>
      <c r="AY19">
        <v>4.5752085564638696</v>
      </c>
      <c r="AZ19">
        <v>-247.69520075860891</v>
      </c>
      <c r="BA19">
        <v>95.174094445131004</v>
      </c>
      <c r="BC19" s="1">
        <f t="shared" si="24"/>
        <v>16.8</v>
      </c>
      <c r="BD19" s="2">
        <f t="shared" si="25"/>
        <v>2.1770641779270501</v>
      </c>
      <c r="BE19" s="7">
        <f t="shared" si="26"/>
        <v>-84.015058286529708</v>
      </c>
      <c r="BF19" s="1">
        <f t="shared" si="27"/>
        <v>31.8</v>
      </c>
      <c r="BG19" s="2">
        <f t="shared" si="28"/>
        <v>3.3762018654496191</v>
      </c>
      <c r="BH19" s="2">
        <f t="shared" si="1"/>
        <v>-108.88340986845689</v>
      </c>
      <c r="BI19" s="2">
        <f t="shared" si="1"/>
        <v>0</v>
      </c>
      <c r="BJ19" s="7">
        <f t="shared" si="1"/>
        <v>-147.08026475472789</v>
      </c>
      <c r="BK19" s="1">
        <f t="shared" si="2"/>
        <v>48.6</v>
      </c>
      <c r="BL19" s="2">
        <f t="shared" si="2"/>
        <v>5.5532660433766692</v>
      </c>
      <c r="BM19" s="2">
        <f t="shared" si="3"/>
        <v>192.8984681549866</v>
      </c>
      <c r="BN19" s="2">
        <f t="shared" si="29"/>
        <v>0</v>
      </c>
      <c r="BO19" s="7">
        <f t="shared" si="30"/>
        <v>-147.08026475472789</v>
      </c>
      <c r="BP19" s="2"/>
      <c r="BQ19" s="1">
        <f t="shared" si="4"/>
        <v>48.6</v>
      </c>
      <c r="BR19" s="4" t="str">
        <f t="shared" ref="BR19" si="47">IF(ISNUMBER(SEARCH("Appui",E19)),0,"0")</f>
        <v>0</v>
      </c>
      <c r="BS19" s="2">
        <f t="shared" si="5"/>
        <v>48.6</v>
      </c>
      <c r="BT19" s="2">
        <f t="shared" si="6"/>
        <v>95.174094445131004</v>
      </c>
      <c r="BU19" s="3">
        <f t="shared" si="7"/>
        <v>1.9583147005170989</v>
      </c>
      <c r="BV19" s="52">
        <f t="shared" si="8"/>
        <v>201.35</v>
      </c>
      <c r="BW19" s="21">
        <f t="shared" si="9"/>
        <v>267.81459743478848</v>
      </c>
      <c r="BX19" s="21">
        <f t="shared" si="10"/>
        <v>1.3300948469569829</v>
      </c>
      <c r="BY19" s="1">
        <f t="shared" si="11"/>
        <v>67.860000000000014</v>
      </c>
      <c r="BZ19" s="4" t="str">
        <f t="shared" ref="BZ19" si="48">IF(ISNUMBER(SEARCH("Appui",M19)),0,"0")</f>
        <v>0</v>
      </c>
      <c r="CA19" s="2">
        <f t="shared" si="12"/>
        <v>67.860000000000014</v>
      </c>
      <c r="CB19" s="2">
        <f t="shared" si="13"/>
        <v>214.06960291576181</v>
      </c>
      <c r="CC19" s="21">
        <f t="shared" si="14"/>
        <v>3.1545771134064511</v>
      </c>
      <c r="CD19" s="2">
        <f t="shared" si="15"/>
        <v>279.92250000000001</v>
      </c>
      <c r="CE19" s="2">
        <f t="shared" si="16"/>
        <v>386.71010590541925</v>
      </c>
      <c r="CF19" s="21">
        <f t="shared" si="17"/>
        <v>1.3814898977589127</v>
      </c>
      <c r="CG19" s="10" t="str">
        <f t="shared" ref="CG19" si="49">IF(C17&lt;C19,"Rive",IF(C21&gt;C19,"Rive","Inter"))</f>
        <v>Inter</v>
      </c>
      <c r="CH19" s="21">
        <f t="shared" si="18"/>
        <v>0.95674551861600432</v>
      </c>
    </row>
    <row r="20" spans="1:86" x14ac:dyDescent="0.25">
      <c r="A20" t="str">
        <f t="shared" si="22"/>
        <v>Appui</v>
      </c>
      <c r="B20" t="b">
        <f t="shared" si="23"/>
        <v>1</v>
      </c>
      <c r="C20">
        <f t="shared" si="31"/>
        <v>2</v>
      </c>
      <c r="D20" t="s">
        <v>95</v>
      </c>
      <c r="E20" t="s">
        <v>99</v>
      </c>
      <c r="F20">
        <v>25</v>
      </c>
      <c r="G20" t="s">
        <v>46</v>
      </c>
      <c r="H20">
        <v>500</v>
      </c>
      <c r="I20">
        <v>220000</v>
      </c>
      <c r="J20">
        <v>1576</v>
      </c>
      <c r="K20">
        <v>1870</v>
      </c>
      <c r="L20">
        <v>1</v>
      </c>
      <c r="M20">
        <v>0.25</v>
      </c>
      <c r="N20">
        <v>2.6</v>
      </c>
      <c r="O20">
        <v>1.1000000000000001E-3</v>
      </c>
      <c r="P20">
        <v>6.9999999999999993E-2</v>
      </c>
      <c r="Q20">
        <v>1</v>
      </c>
      <c r="R20">
        <v>3.0789462068965518E-4</v>
      </c>
      <c r="S20">
        <v>0.04</v>
      </c>
      <c r="T20">
        <v>1</v>
      </c>
      <c r="U20">
        <v>0</v>
      </c>
      <c r="V20">
        <v>0</v>
      </c>
      <c r="W20">
        <v>0</v>
      </c>
      <c r="X20">
        <v>112.5</v>
      </c>
      <c r="Y20">
        <v>37.5</v>
      </c>
      <c r="Z20">
        <v>0</v>
      </c>
      <c r="AA20">
        <v>112.5</v>
      </c>
      <c r="AB20">
        <v>37.5</v>
      </c>
      <c r="AC20">
        <v>0.5</v>
      </c>
      <c r="AD20">
        <v>56.25</v>
      </c>
      <c r="AE20">
        <v>93.75</v>
      </c>
      <c r="AF20">
        <v>208.125</v>
      </c>
      <c r="AH20">
        <v>150</v>
      </c>
      <c r="AI20">
        <v>56.25</v>
      </c>
      <c r="AJ20">
        <v>93.75</v>
      </c>
      <c r="AK20">
        <v>8.9117739976274173</v>
      </c>
      <c r="AL20">
        <v>12.57523897482209</v>
      </c>
      <c r="AM20">
        <v>-300.14259795511879</v>
      </c>
      <c r="AN20">
        <v>-360.84953499631291</v>
      </c>
      <c r="AO20">
        <v>-434.30848384164273</v>
      </c>
      <c r="AP20">
        <v>0</v>
      </c>
      <c r="AQ20">
        <v>208.125</v>
      </c>
      <c r="AR20">
        <v>88.500029698973648</v>
      </c>
      <c r="AS20">
        <v>114.9750776269257</v>
      </c>
      <c r="AT20">
        <v>0</v>
      </c>
      <c r="AU20">
        <v>0</v>
      </c>
      <c r="AV20">
        <v>0</v>
      </c>
      <c r="AW20">
        <v>0</v>
      </c>
      <c r="AX20">
        <v>150</v>
      </c>
      <c r="AY20">
        <v>0</v>
      </c>
      <c r="AZ20">
        <v>0</v>
      </c>
      <c r="BA20">
        <v>114.9750776269257</v>
      </c>
      <c r="BC20" s="1">
        <f t="shared" si="24"/>
        <v>56.25</v>
      </c>
      <c r="BD20" s="2">
        <f t="shared" si="25"/>
        <v>8.9117739976274173</v>
      </c>
      <c r="BE20" s="7">
        <f t="shared" si="26"/>
        <v>-300.14259795511879</v>
      </c>
      <c r="BF20" s="1">
        <f t="shared" si="27"/>
        <v>93.75</v>
      </c>
      <c r="BG20" s="2">
        <f t="shared" si="28"/>
        <v>12.57523897482209</v>
      </c>
      <c r="BH20" s="2">
        <f t="shared" si="1"/>
        <v>-360.84953499631291</v>
      </c>
      <c r="BI20" s="2">
        <f t="shared" si="1"/>
        <v>-434.30848384164273</v>
      </c>
      <c r="BJ20" s="7">
        <f t="shared" si="1"/>
        <v>0</v>
      </c>
      <c r="BK20" s="1">
        <f t="shared" si="2"/>
        <v>150</v>
      </c>
      <c r="BL20" s="2">
        <f t="shared" si="2"/>
        <v>21.487012972449506</v>
      </c>
      <c r="BM20" s="2">
        <f t="shared" si="3"/>
        <v>660.9921329514317</v>
      </c>
      <c r="BN20" s="2">
        <f t="shared" si="29"/>
        <v>434.30848384164273</v>
      </c>
      <c r="BO20" s="7">
        <f t="shared" si="30"/>
        <v>0</v>
      </c>
      <c r="BP20" s="2"/>
      <c r="BQ20" s="1">
        <f t="shared" si="4"/>
        <v>150</v>
      </c>
      <c r="BR20" s="4">
        <v>0</v>
      </c>
      <c r="BS20" s="2">
        <f t="shared" si="5"/>
        <v>150</v>
      </c>
      <c r="BT20" s="2">
        <f t="shared" si="6"/>
        <v>114.9750776269257</v>
      </c>
      <c r="BU20" s="3">
        <f t="shared" si="7"/>
        <v>0.76650051751283799</v>
      </c>
      <c r="BV20" s="52" t="str">
        <f t="shared" si="8"/>
        <v/>
      </c>
      <c r="BW20" s="21" t="str">
        <f t="shared" si="9"/>
        <v/>
      </c>
      <c r="BX20" s="21" t="str">
        <f t="shared" si="10"/>
        <v/>
      </c>
      <c r="BY20" s="1">
        <f t="shared" si="11"/>
        <v>208.125</v>
      </c>
      <c r="BZ20" s="4">
        <v>0</v>
      </c>
      <c r="CA20" s="2">
        <f t="shared" si="12"/>
        <v>208.125</v>
      </c>
      <c r="CB20" s="2">
        <f t="shared" si="13"/>
        <v>114.9750776269257</v>
      </c>
      <c r="CC20" s="21">
        <f t="shared" si="14"/>
        <v>0.552432805414658</v>
      </c>
      <c r="CD20" s="2" t="str">
        <f t="shared" si="15"/>
        <v/>
      </c>
      <c r="CE20" s="2" t="str">
        <f t="shared" si="16"/>
        <v/>
      </c>
      <c r="CF20" s="21" t="str">
        <f t="shared" si="17"/>
        <v/>
      </c>
      <c r="CG20" s="15"/>
      <c r="CH20" s="21" t="str">
        <f t="shared" si="18"/>
        <v/>
      </c>
    </row>
    <row r="21" spans="1:86" x14ac:dyDescent="0.25">
      <c r="A21" t="str">
        <f t="shared" si="22"/>
        <v>Travée</v>
      </c>
      <c r="B21" t="b">
        <f t="shared" si="23"/>
        <v>1</v>
      </c>
      <c r="C21">
        <f t="shared" si="31"/>
        <v>2</v>
      </c>
      <c r="D21" t="s">
        <v>95</v>
      </c>
      <c r="E21" t="s">
        <v>100</v>
      </c>
      <c r="F21">
        <v>25</v>
      </c>
      <c r="G21" t="s">
        <v>46</v>
      </c>
      <c r="H21">
        <v>500</v>
      </c>
      <c r="I21">
        <v>220000</v>
      </c>
      <c r="J21">
        <v>1576</v>
      </c>
      <c r="K21">
        <v>1870</v>
      </c>
      <c r="L21">
        <v>1</v>
      </c>
      <c r="M21">
        <v>0.25</v>
      </c>
      <c r="N21">
        <v>2.6</v>
      </c>
      <c r="O21">
        <v>1E-3</v>
      </c>
      <c r="P21">
        <v>0.04</v>
      </c>
      <c r="Q21">
        <v>1</v>
      </c>
      <c r="R21">
        <v>0</v>
      </c>
      <c r="S21">
        <v>0</v>
      </c>
      <c r="T21">
        <v>1</v>
      </c>
      <c r="U21">
        <v>2.9099999999999999E-5</v>
      </c>
      <c r="V21">
        <v>0</v>
      </c>
      <c r="W21">
        <v>5</v>
      </c>
      <c r="X21">
        <v>44</v>
      </c>
      <c r="Y21">
        <v>16</v>
      </c>
      <c r="Z21">
        <v>0</v>
      </c>
      <c r="AA21">
        <v>44</v>
      </c>
      <c r="AB21">
        <v>16</v>
      </c>
      <c r="AC21">
        <v>0.5</v>
      </c>
      <c r="AD21">
        <v>22</v>
      </c>
      <c r="AE21">
        <v>38</v>
      </c>
      <c r="AF21">
        <v>83.4</v>
      </c>
      <c r="AH21">
        <v>60</v>
      </c>
      <c r="AI21">
        <v>22</v>
      </c>
      <c r="AJ21">
        <v>38</v>
      </c>
      <c r="AK21">
        <v>2.8509173758568491</v>
      </c>
      <c r="AL21">
        <v>4.4188894526943781</v>
      </c>
      <c r="AM21">
        <v>-110.01971918474131</v>
      </c>
      <c r="AN21">
        <v>-154.39860991495249</v>
      </c>
      <c r="AO21">
        <v>0</v>
      </c>
      <c r="AP21">
        <v>-208.07166672127309</v>
      </c>
      <c r="AQ21">
        <v>83.4</v>
      </c>
      <c r="AR21">
        <v>95.174094445131004</v>
      </c>
      <c r="AS21">
        <v>151.7894856933263</v>
      </c>
      <c r="AT21">
        <v>6.849959211132564</v>
      </c>
      <c r="AU21">
        <v>-345.47705668554431</v>
      </c>
      <c r="AV21">
        <v>0</v>
      </c>
      <c r="AW21">
        <v>-471.89908330065072</v>
      </c>
      <c r="AX21">
        <v>60</v>
      </c>
      <c r="AY21">
        <v>5.5811446043910387</v>
      </c>
      <c r="AZ21">
        <v>-305.98098294395157</v>
      </c>
      <c r="BA21">
        <v>95.174094445131004</v>
      </c>
      <c r="BC21" s="1">
        <f t="shared" si="24"/>
        <v>22</v>
      </c>
      <c r="BD21" s="2">
        <f t="shared" si="25"/>
        <v>2.8509173758568491</v>
      </c>
      <c r="BE21" s="7">
        <f t="shared" si="26"/>
        <v>-110.01971918474131</v>
      </c>
      <c r="BF21" s="1">
        <f t="shared" si="27"/>
        <v>38</v>
      </c>
      <c r="BG21" s="2">
        <f t="shared" si="28"/>
        <v>4.4188894526943781</v>
      </c>
      <c r="BH21" s="2">
        <f t="shared" si="1"/>
        <v>-154.39860991495249</v>
      </c>
      <c r="BI21" s="2">
        <f t="shared" si="1"/>
        <v>0</v>
      </c>
      <c r="BJ21" s="7">
        <f t="shared" si="1"/>
        <v>-208.07166672127309</v>
      </c>
      <c r="BK21" s="1">
        <f t="shared" si="2"/>
        <v>60</v>
      </c>
      <c r="BL21" s="2">
        <f t="shared" si="2"/>
        <v>7.2698068285512267</v>
      </c>
      <c r="BM21" s="2">
        <f t="shared" si="3"/>
        <v>264.41832909969378</v>
      </c>
      <c r="BN21" s="2">
        <f t="shared" si="29"/>
        <v>0</v>
      </c>
      <c r="BO21" s="7">
        <f t="shared" si="30"/>
        <v>-208.07166672127309</v>
      </c>
      <c r="BP21" s="2"/>
      <c r="BQ21" s="1">
        <f t="shared" si="4"/>
        <v>60</v>
      </c>
      <c r="BR21" s="4" t="str">
        <f t="shared" ref="BR21" si="50">IF(ISNUMBER(SEARCH("Appui",E21)),0,"0")</f>
        <v>0</v>
      </c>
      <c r="BS21" s="2">
        <f t="shared" si="5"/>
        <v>60</v>
      </c>
      <c r="BT21" s="2">
        <f t="shared" si="6"/>
        <v>95.174094445131004</v>
      </c>
      <c r="BU21" s="3">
        <f t="shared" si="7"/>
        <v>1.58623490741885</v>
      </c>
      <c r="BV21" s="52">
        <f t="shared" si="8"/>
        <v>135</v>
      </c>
      <c r="BW21" s="21">
        <f t="shared" si="9"/>
        <v>153.05184867351306</v>
      </c>
      <c r="BX21" s="21">
        <f t="shared" si="10"/>
        <v>1.1337173975815782</v>
      </c>
      <c r="BY21" s="1">
        <f t="shared" si="11"/>
        <v>83.4</v>
      </c>
      <c r="BZ21" s="4" t="str">
        <f t="shared" ref="BZ21" si="51">IF(ISNUMBER(SEARCH("Appui",M21)),0,"0")</f>
        <v>0</v>
      </c>
      <c r="CA21" s="2">
        <f t="shared" si="12"/>
        <v>83.4</v>
      </c>
      <c r="CB21" s="2">
        <f t="shared" si="13"/>
        <v>151.7894856933263</v>
      </c>
      <c r="CC21" s="21">
        <f t="shared" si="14"/>
        <v>1.8200178140686605</v>
      </c>
      <c r="CD21" s="2">
        <f t="shared" si="15"/>
        <v>187.46250000000001</v>
      </c>
      <c r="CE21" s="2">
        <f t="shared" si="16"/>
        <v>209.66723992170836</v>
      </c>
      <c r="CF21" s="21">
        <f t="shared" si="17"/>
        <v>1.1184489693763198</v>
      </c>
      <c r="CG21" s="10" t="str">
        <f t="shared" ref="CG21" si="52">IF(C19&lt;C21,"Rive",IF(C23&gt;C21,"Rive","Inter"))</f>
        <v>Rive</v>
      </c>
      <c r="CH21" s="21">
        <f t="shared" si="18"/>
        <v>0.81643981422158063</v>
      </c>
    </row>
    <row r="22" spans="1:86" x14ac:dyDescent="0.25">
      <c r="A22" t="str">
        <f t="shared" si="22"/>
        <v/>
      </c>
      <c r="B22" t="b">
        <f t="shared" si="23"/>
        <v>1</v>
      </c>
      <c r="C22">
        <f>IF(D22=D20,C20,C20+1)</f>
        <v>2</v>
      </c>
      <c r="D22" t="s">
        <v>95</v>
      </c>
      <c r="F22">
        <v>25</v>
      </c>
      <c r="G22" t="s">
        <v>46</v>
      </c>
      <c r="H22">
        <v>500</v>
      </c>
      <c r="I22">
        <v>220000</v>
      </c>
      <c r="J22">
        <v>1576</v>
      </c>
      <c r="K22">
        <v>1870</v>
      </c>
      <c r="L22">
        <v>1</v>
      </c>
      <c r="M22">
        <v>0.2</v>
      </c>
      <c r="N22">
        <v>2.2000000000000002</v>
      </c>
      <c r="O22">
        <v>1.0000000000000001E-5</v>
      </c>
      <c r="P22">
        <v>0.03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0.78043082983844214</v>
      </c>
      <c r="AS22">
        <v>0.78043082983844214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0.78043082983844214</v>
      </c>
      <c r="BC22" s="1">
        <f t="shared" si="24"/>
        <v>0</v>
      </c>
      <c r="BD22" s="2">
        <f t="shared" si="25"/>
        <v>0</v>
      </c>
      <c r="BE22" s="7">
        <f t="shared" si="26"/>
        <v>0</v>
      </c>
      <c r="BF22" s="1">
        <f t="shared" si="27"/>
        <v>0</v>
      </c>
      <c r="BG22" s="2">
        <f t="shared" si="28"/>
        <v>0</v>
      </c>
      <c r="BH22" s="2">
        <f t="shared" ref="BH22:BJ65" si="53">AN22</f>
        <v>0</v>
      </c>
      <c r="BI22" s="2">
        <f t="shared" si="53"/>
        <v>0</v>
      </c>
      <c r="BJ22" s="7">
        <f t="shared" si="53"/>
        <v>0</v>
      </c>
      <c r="BK22" s="1">
        <f t="shared" ref="BK22:BL65" si="54">BC22+BF22</f>
        <v>0</v>
      </c>
      <c r="BL22" s="2">
        <f t="shared" si="54"/>
        <v>0</v>
      </c>
      <c r="BM22" s="2">
        <f t="shared" si="3"/>
        <v>0</v>
      </c>
      <c r="BN22" s="2">
        <f t="shared" si="29"/>
        <v>0</v>
      </c>
      <c r="BO22" s="7">
        <f t="shared" si="30"/>
        <v>0</v>
      </c>
      <c r="BP22" s="2"/>
      <c r="BQ22" s="1">
        <f t="shared" si="4"/>
        <v>0</v>
      </c>
      <c r="BR22" s="4">
        <v>0</v>
      </c>
      <c r="BS22" s="2">
        <f t="shared" si="5"/>
        <v>0</v>
      </c>
      <c r="BT22" s="2">
        <f t="shared" si="6"/>
        <v>0.78043082983844214</v>
      </c>
      <c r="BU22" s="3">
        <f t="shared" si="7"/>
        <v>1</v>
      </c>
      <c r="BV22" s="52" t="str">
        <f t="shared" si="8"/>
        <v/>
      </c>
      <c r="BW22" s="21" t="str">
        <f t="shared" si="9"/>
        <v/>
      </c>
      <c r="BX22" s="21" t="str">
        <f t="shared" si="10"/>
        <v/>
      </c>
      <c r="BY22" s="1">
        <f t="shared" si="11"/>
        <v>0</v>
      </c>
      <c r="BZ22" s="4">
        <v>0</v>
      </c>
      <c r="CA22" s="2">
        <f t="shared" si="12"/>
        <v>0</v>
      </c>
      <c r="CB22" s="2">
        <f t="shared" si="13"/>
        <v>0.78043082983844214</v>
      </c>
      <c r="CC22" s="21">
        <f t="shared" si="14"/>
        <v>1</v>
      </c>
      <c r="CD22" s="2" t="str">
        <f t="shared" si="15"/>
        <v/>
      </c>
      <c r="CE22" s="2" t="str">
        <f t="shared" si="16"/>
        <v/>
      </c>
      <c r="CF22" s="21" t="str">
        <f t="shared" si="17"/>
        <v/>
      </c>
      <c r="CG22" s="15"/>
      <c r="CH22" s="21" t="str">
        <f t="shared" si="18"/>
        <v/>
      </c>
    </row>
    <row r="23" spans="1:86" x14ac:dyDescent="0.25">
      <c r="A23" t="str">
        <f t="shared" si="22"/>
        <v>Travée</v>
      </c>
      <c r="B23" t="b">
        <f t="shared" si="23"/>
        <v>0</v>
      </c>
      <c r="C23">
        <f t="shared" si="31"/>
        <v>3</v>
      </c>
      <c r="D23" t="s">
        <v>96</v>
      </c>
      <c r="E23" t="s">
        <v>45</v>
      </c>
      <c r="F23">
        <v>25</v>
      </c>
      <c r="G23" t="s">
        <v>46</v>
      </c>
      <c r="H23">
        <v>500</v>
      </c>
      <c r="I23">
        <v>220000</v>
      </c>
      <c r="J23">
        <v>1576</v>
      </c>
      <c r="K23">
        <v>1870</v>
      </c>
      <c r="L23">
        <v>1</v>
      </c>
      <c r="M23">
        <v>0.22</v>
      </c>
      <c r="N23">
        <v>2.33</v>
      </c>
      <c r="O23">
        <v>7.4800000000000008E-4</v>
      </c>
      <c r="P23">
        <v>0.04</v>
      </c>
      <c r="Q23">
        <v>1</v>
      </c>
      <c r="R23">
        <v>0</v>
      </c>
      <c r="S23">
        <v>0</v>
      </c>
      <c r="T23">
        <v>1</v>
      </c>
      <c r="U23">
        <v>2.9099999999999999E-5</v>
      </c>
      <c r="V23">
        <v>0</v>
      </c>
      <c r="W23">
        <v>5</v>
      </c>
      <c r="X23">
        <v>40</v>
      </c>
      <c r="Y23">
        <v>15</v>
      </c>
      <c r="Z23">
        <v>0</v>
      </c>
      <c r="AA23">
        <v>40</v>
      </c>
      <c r="AB23">
        <v>15</v>
      </c>
      <c r="AC23">
        <v>0</v>
      </c>
      <c r="AD23">
        <v>40</v>
      </c>
      <c r="AE23">
        <v>15</v>
      </c>
      <c r="AF23">
        <v>76.5</v>
      </c>
      <c r="AH23">
        <v>55</v>
      </c>
      <c r="AI23">
        <v>40</v>
      </c>
      <c r="AJ23">
        <v>15</v>
      </c>
      <c r="AK23">
        <v>7.9670156983384759</v>
      </c>
      <c r="AL23">
        <v>2.5685790088377511</v>
      </c>
      <c r="AM23">
        <v>-311.89132563318401</v>
      </c>
      <c r="AN23">
        <v>-88.156131618057728</v>
      </c>
      <c r="AO23">
        <v>0</v>
      </c>
      <c r="AP23">
        <v>-122.5105927187556</v>
      </c>
      <c r="AQ23">
        <v>76.5</v>
      </c>
      <c r="AR23">
        <v>61.089633333539979</v>
      </c>
      <c r="AS23">
        <v>112.388528668554</v>
      </c>
      <c r="AT23">
        <v>9.3729804778477828</v>
      </c>
      <c r="AU23">
        <v>-435.09331521333542</v>
      </c>
      <c r="AV23">
        <v>0</v>
      </c>
      <c r="AW23">
        <v>-732.51106829655441</v>
      </c>
      <c r="AX23">
        <v>55</v>
      </c>
      <c r="AY23">
        <v>8.2614222546233833</v>
      </c>
      <c r="AZ23">
        <v>-435.14053694589842</v>
      </c>
      <c r="BA23">
        <v>61.089633333539979</v>
      </c>
      <c r="BC23" s="1">
        <f t="shared" si="24"/>
        <v>40</v>
      </c>
      <c r="BD23" s="2">
        <f t="shared" si="25"/>
        <v>7.9670156983384759</v>
      </c>
      <c r="BE23" s="7">
        <f t="shared" si="26"/>
        <v>-311.89132563318401</v>
      </c>
      <c r="BF23" s="1">
        <f t="shared" si="27"/>
        <v>15</v>
      </c>
      <c r="BG23" s="2">
        <f t="shared" si="28"/>
        <v>2.5685790088377511</v>
      </c>
      <c r="BH23" s="2">
        <f t="shared" si="53"/>
        <v>-88.156131618057728</v>
      </c>
      <c r="BI23" s="2">
        <f t="shared" si="53"/>
        <v>0</v>
      </c>
      <c r="BJ23" s="7">
        <f t="shared" si="53"/>
        <v>-122.5105927187556</v>
      </c>
      <c r="BK23" s="1">
        <f t="shared" si="54"/>
        <v>55</v>
      </c>
      <c r="BL23" s="2">
        <f t="shared" si="54"/>
        <v>10.535594707176227</v>
      </c>
      <c r="BM23" s="2">
        <f t="shared" si="3"/>
        <v>400.04745725124172</v>
      </c>
      <c r="BN23" s="2">
        <f t="shared" si="29"/>
        <v>0</v>
      </c>
      <c r="BO23" s="7">
        <f t="shared" si="30"/>
        <v>-122.5105927187556</v>
      </c>
      <c r="BP23" s="2"/>
      <c r="BQ23" s="1">
        <f t="shared" si="4"/>
        <v>55</v>
      </c>
      <c r="BR23" s="4" t="str">
        <f t="shared" ref="BR23" si="55">IF(ISNUMBER(SEARCH("Appui",E23)),0,"0")</f>
        <v>0</v>
      </c>
      <c r="BS23" s="2">
        <f t="shared" si="5"/>
        <v>55</v>
      </c>
      <c r="BT23" s="2">
        <f t="shared" si="6"/>
        <v>61.089633333539979</v>
      </c>
      <c r="BU23" s="3">
        <f t="shared" si="7"/>
        <v>1.1107206060643633</v>
      </c>
      <c r="BV23" s="52">
        <f t="shared" si="8"/>
        <v>109.5</v>
      </c>
      <c r="BW23" s="21">
        <f t="shared" si="9"/>
        <v>138.52458058256983</v>
      </c>
      <c r="BX23" s="21">
        <f t="shared" si="10"/>
        <v>1.265064662854519</v>
      </c>
      <c r="BY23" s="1">
        <f t="shared" si="11"/>
        <v>76.5</v>
      </c>
      <c r="BZ23" s="4" t="str">
        <f t="shared" ref="BZ23" si="56">IF(ISNUMBER(SEARCH("Appui",M23)),0,"0")</f>
        <v>0</v>
      </c>
      <c r="CA23" s="2">
        <f t="shared" si="12"/>
        <v>76.5</v>
      </c>
      <c r="CB23" s="2">
        <f t="shared" si="13"/>
        <v>112.388528668554</v>
      </c>
      <c r="CC23" s="21">
        <f t="shared" si="14"/>
        <v>1.4691310937065882</v>
      </c>
      <c r="CD23" s="2">
        <f t="shared" si="15"/>
        <v>152.32499999999999</v>
      </c>
      <c r="CE23" s="2">
        <f t="shared" si="16"/>
        <v>189.82347591758383</v>
      </c>
      <c r="CF23" s="21">
        <f t="shared" si="17"/>
        <v>1.2461741402762767</v>
      </c>
      <c r="CG23" s="10" t="str">
        <f t="shared" ref="CG23" si="57">IF(C21&lt;C23,"Rive",IF(C25&gt;C23,"Rive","Inter"))</f>
        <v>Rive</v>
      </c>
      <c r="CH23" s="21">
        <f t="shared" si="18"/>
        <v>0.90940148092939332</v>
      </c>
    </row>
    <row r="24" spans="1:86" x14ac:dyDescent="0.25">
      <c r="A24" t="str">
        <f t="shared" si="22"/>
        <v>Appui</v>
      </c>
      <c r="B24" t="b">
        <f t="shared" si="23"/>
        <v>0</v>
      </c>
      <c r="C24">
        <f t="shared" si="31"/>
        <v>3</v>
      </c>
      <c r="D24" t="s">
        <v>96</v>
      </c>
      <c r="E24" t="s">
        <v>47</v>
      </c>
      <c r="F24">
        <v>25</v>
      </c>
      <c r="G24" t="s">
        <v>46</v>
      </c>
      <c r="H24">
        <v>500</v>
      </c>
      <c r="I24">
        <v>220000</v>
      </c>
      <c r="J24">
        <v>1576</v>
      </c>
      <c r="K24">
        <v>1870</v>
      </c>
      <c r="L24">
        <v>1</v>
      </c>
      <c r="M24">
        <v>0.22</v>
      </c>
      <c r="N24">
        <v>2.33</v>
      </c>
      <c r="O24">
        <v>2.0690000000000001E-3</v>
      </c>
      <c r="P24">
        <v>0.04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79</v>
      </c>
      <c r="Y24">
        <v>30</v>
      </c>
      <c r="Z24">
        <v>0</v>
      </c>
      <c r="AA24">
        <v>79</v>
      </c>
      <c r="AB24">
        <v>30</v>
      </c>
      <c r="AC24">
        <v>0</v>
      </c>
      <c r="AD24">
        <v>79</v>
      </c>
      <c r="AE24">
        <v>30</v>
      </c>
      <c r="AF24">
        <v>151.65</v>
      </c>
      <c r="AH24">
        <v>109</v>
      </c>
      <c r="AI24">
        <v>79</v>
      </c>
      <c r="AJ24">
        <v>30</v>
      </c>
      <c r="AK24">
        <v>10.23033177389145</v>
      </c>
      <c r="AL24">
        <v>3.8849361166676379</v>
      </c>
      <c r="AM24">
        <v>-229.13870121553811</v>
      </c>
      <c r="AN24">
        <v>-87.014696664128394</v>
      </c>
      <c r="AO24">
        <v>0</v>
      </c>
      <c r="AP24">
        <v>0</v>
      </c>
      <c r="AQ24">
        <v>151.65</v>
      </c>
      <c r="AR24">
        <v>154.86989449805969</v>
      </c>
      <c r="AS24">
        <v>154.86989449805969</v>
      </c>
      <c r="AT24">
        <v>16.666666666666671</v>
      </c>
      <c r="AU24">
        <v>-439.35913305255423</v>
      </c>
      <c r="AV24">
        <v>0</v>
      </c>
      <c r="AW24">
        <v>0</v>
      </c>
      <c r="AX24">
        <v>109</v>
      </c>
      <c r="AY24">
        <v>9.8427152978796197</v>
      </c>
      <c r="AZ24">
        <v>-327.29217781715488</v>
      </c>
      <c r="BA24">
        <v>154.86989449805969</v>
      </c>
      <c r="BC24" s="1">
        <f t="shared" si="24"/>
        <v>79</v>
      </c>
      <c r="BD24" s="2">
        <f t="shared" si="25"/>
        <v>10.23033177389145</v>
      </c>
      <c r="BE24" s="7">
        <f t="shared" si="26"/>
        <v>-229.13870121553811</v>
      </c>
      <c r="BF24" s="1">
        <f t="shared" si="27"/>
        <v>30</v>
      </c>
      <c r="BG24" s="2">
        <f t="shared" si="28"/>
        <v>3.8849361166676379</v>
      </c>
      <c r="BH24" s="2">
        <f t="shared" si="53"/>
        <v>-87.014696664128394</v>
      </c>
      <c r="BI24" s="2">
        <f t="shared" si="53"/>
        <v>0</v>
      </c>
      <c r="BJ24" s="7">
        <f t="shared" si="53"/>
        <v>0</v>
      </c>
      <c r="BK24" s="1">
        <f t="shared" si="54"/>
        <v>109</v>
      </c>
      <c r="BL24" s="2">
        <f t="shared" si="54"/>
        <v>14.115267890559089</v>
      </c>
      <c r="BM24" s="2">
        <f t="shared" si="3"/>
        <v>316.1533978796665</v>
      </c>
      <c r="BN24" s="2">
        <f t="shared" si="29"/>
        <v>0</v>
      </c>
      <c r="BO24" s="7">
        <f t="shared" si="30"/>
        <v>0</v>
      </c>
      <c r="BP24" s="2"/>
      <c r="BQ24" s="1">
        <f t="shared" si="4"/>
        <v>109</v>
      </c>
      <c r="BR24" s="4">
        <v>0</v>
      </c>
      <c r="BS24" s="2">
        <f t="shared" si="5"/>
        <v>109</v>
      </c>
      <c r="BT24" s="2">
        <f t="shared" si="6"/>
        <v>154.86989449805969</v>
      </c>
      <c r="BU24" s="3">
        <f t="shared" si="7"/>
        <v>1.4208247201656852</v>
      </c>
      <c r="BV24" s="52" t="str">
        <f t="shared" si="8"/>
        <v/>
      </c>
      <c r="BW24" s="21" t="str">
        <f t="shared" si="9"/>
        <v/>
      </c>
      <c r="BX24" s="21" t="str">
        <f t="shared" si="10"/>
        <v/>
      </c>
      <c r="BY24" s="1">
        <f t="shared" si="11"/>
        <v>151.65</v>
      </c>
      <c r="BZ24" s="4">
        <v>0</v>
      </c>
      <c r="CA24" s="2">
        <f t="shared" si="12"/>
        <v>151.65</v>
      </c>
      <c r="CB24" s="2">
        <f t="shared" si="13"/>
        <v>154.86989449805969</v>
      </c>
      <c r="CC24" s="21">
        <f t="shared" si="14"/>
        <v>1.0212324068451017</v>
      </c>
      <c r="CD24" s="2" t="str">
        <f t="shared" si="15"/>
        <v/>
      </c>
      <c r="CE24" s="2" t="str">
        <f t="shared" si="16"/>
        <v/>
      </c>
      <c r="CF24" s="21" t="str">
        <f t="shared" si="17"/>
        <v/>
      </c>
      <c r="CG24" s="15"/>
      <c r="CH24" s="21" t="str">
        <f t="shared" si="18"/>
        <v/>
      </c>
    </row>
    <row r="25" spans="1:86" x14ac:dyDescent="0.25">
      <c r="A25" t="str">
        <f t="shared" si="22"/>
        <v>Travée</v>
      </c>
      <c r="B25" t="b">
        <f t="shared" si="23"/>
        <v>0</v>
      </c>
      <c r="C25">
        <f t="shared" si="31"/>
        <v>3</v>
      </c>
      <c r="D25" t="s">
        <v>96</v>
      </c>
      <c r="E25" t="s">
        <v>48</v>
      </c>
      <c r="F25">
        <v>25</v>
      </c>
      <c r="G25" t="s">
        <v>46</v>
      </c>
      <c r="H25">
        <v>500</v>
      </c>
      <c r="I25">
        <v>220000</v>
      </c>
      <c r="J25">
        <v>1576</v>
      </c>
      <c r="K25">
        <v>1870</v>
      </c>
      <c r="L25">
        <v>1</v>
      </c>
      <c r="M25">
        <v>0.22</v>
      </c>
      <c r="N25">
        <v>2.33</v>
      </c>
      <c r="O25">
        <v>7.4800000000000008E-4</v>
      </c>
      <c r="P25">
        <v>0.04</v>
      </c>
      <c r="Q25">
        <v>1</v>
      </c>
      <c r="R25">
        <v>0</v>
      </c>
      <c r="S25">
        <v>0</v>
      </c>
      <c r="T25">
        <v>1</v>
      </c>
      <c r="U25">
        <v>2.9099999999999999E-5</v>
      </c>
      <c r="V25">
        <v>0</v>
      </c>
      <c r="W25">
        <v>5</v>
      </c>
      <c r="X25">
        <v>8.5</v>
      </c>
      <c r="Y25">
        <v>12</v>
      </c>
      <c r="Z25">
        <v>0</v>
      </c>
      <c r="AA25">
        <v>8.5</v>
      </c>
      <c r="AB25">
        <v>12</v>
      </c>
      <c r="AC25">
        <v>0</v>
      </c>
      <c r="AD25">
        <v>8.5</v>
      </c>
      <c r="AE25">
        <v>12</v>
      </c>
      <c r="AF25">
        <v>29.475000000000001</v>
      </c>
      <c r="AH25">
        <v>20.5</v>
      </c>
      <c r="AI25">
        <v>8.5</v>
      </c>
      <c r="AJ25">
        <v>12</v>
      </c>
      <c r="AK25">
        <v>1.6929908358969279</v>
      </c>
      <c r="AL25">
        <v>2.0548632070702029</v>
      </c>
      <c r="AM25">
        <v>-66.276906697051587</v>
      </c>
      <c r="AN25">
        <v>-70.524905294446185</v>
      </c>
      <c r="AO25">
        <v>0</v>
      </c>
      <c r="AP25">
        <v>-98.008474175004508</v>
      </c>
      <c r="AQ25">
        <v>29.475000000000001</v>
      </c>
      <c r="AR25">
        <v>61.089633333539979</v>
      </c>
      <c r="AS25">
        <v>112.388528668554</v>
      </c>
      <c r="AT25">
        <v>3.707712218290518</v>
      </c>
      <c r="AU25">
        <v>-175.9743348760818</v>
      </c>
      <c r="AV25">
        <v>0</v>
      </c>
      <c r="AW25">
        <v>-248.14693378446481</v>
      </c>
      <c r="AX25">
        <v>20.5</v>
      </c>
      <c r="AY25">
        <v>3.0166789385208062</v>
      </c>
      <c r="AZ25">
        <v>-162.70869998282259</v>
      </c>
      <c r="BA25">
        <v>61.089633333539979</v>
      </c>
      <c r="BC25" s="1">
        <f t="shared" si="24"/>
        <v>8.5</v>
      </c>
      <c r="BD25" s="2">
        <f t="shared" si="25"/>
        <v>1.6929908358969279</v>
      </c>
      <c r="BE25" s="7">
        <f t="shared" si="26"/>
        <v>-66.276906697051587</v>
      </c>
      <c r="BF25" s="1">
        <f t="shared" si="27"/>
        <v>12</v>
      </c>
      <c r="BG25" s="2">
        <f t="shared" si="28"/>
        <v>2.0548632070702029</v>
      </c>
      <c r="BH25" s="2">
        <f t="shared" si="53"/>
        <v>-70.524905294446185</v>
      </c>
      <c r="BI25" s="2">
        <f t="shared" si="53"/>
        <v>0</v>
      </c>
      <c r="BJ25" s="7">
        <f t="shared" si="53"/>
        <v>-98.008474175004508</v>
      </c>
      <c r="BK25" s="1">
        <f t="shared" si="54"/>
        <v>20.5</v>
      </c>
      <c r="BL25" s="2">
        <f t="shared" si="54"/>
        <v>3.7478540429671305</v>
      </c>
      <c r="BM25" s="2">
        <f t="shared" si="3"/>
        <v>136.80181199149777</v>
      </c>
      <c r="BN25" s="2">
        <f t="shared" si="29"/>
        <v>0</v>
      </c>
      <c r="BO25" s="7">
        <f t="shared" si="30"/>
        <v>-98.008474175004508</v>
      </c>
      <c r="BP25" s="2"/>
      <c r="BQ25" s="1">
        <f t="shared" si="4"/>
        <v>20.5</v>
      </c>
      <c r="BR25" s="4" t="str">
        <f t="shared" ref="BR25" si="58">IF(ISNUMBER(SEARCH("Appui",E25)),0,"0")</f>
        <v>0</v>
      </c>
      <c r="BS25" s="2">
        <f t="shared" si="5"/>
        <v>20.5</v>
      </c>
      <c r="BT25" s="2">
        <f t="shared" si="6"/>
        <v>61.089633333539979</v>
      </c>
      <c r="BU25" s="3">
        <f t="shared" si="7"/>
        <v>2.9799821138312184</v>
      </c>
      <c r="BV25" s="52">
        <f t="shared" si="8"/>
        <v>132</v>
      </c>
      <c r="BW25" s="21">
        <f t="shared" si="9"/>
        <v>191.66065109163733</v>
      </c>
      <c r="BX25" s="21">
        <f t="shared" si="10"/>
        <v>1.451974629482101</v>
      </c>
      <c r="BY25" s="1">
        <f t="shared" si="11"/>
        <v>29.475000000000001</v>
      </c>
      <c r="BZ25" s="4" t="str">
        <f t="shared" ref="BZ25" si="59">IF(ISNUMBER(SEARCH("Appui",M25)),0,"0")</f>
        <v>0</v>
      </c>
      <c r="CA25" s="2">
        <f t="shared" si="12"/>
        <v>29.475000000000001</v>
      </c>
      <c r="CB25" s="2">
        <f t="shared" si="13"/>
        <v>112.388528668554</v>
      </c>
      <c r="CC25" s="21">
        <f t="shared" si="14"/>
        <v>3.8130119989331295</v>
      </c>
      <c r="CD25" s="2">
        <f t="shared" si="15"/>
        <v>184.72499999999999</v>
      </c>
      <c r="CE25" s="2">
        <f t="shared" si="16"/>
        <v>242.95954642665134</v>
      </c>
      <c r="CF25" s="21">
        <f t="shared" si="17"/>
        <v>1.3152499468217693</v>
      </c>
      <c r="CG25" s="10" t="str">
        <f t="shared" ref="CG25" si="60">IF(C23&lt;C25,"Rive",IF(C27&gt;C25,"Rive","Inter"))</f>
        <v>Inter</v>
      </c>
      <c r="CH25" s="21">
        <f t="shared" si="18"/>
        <v>1.0375458172507097</v>
      </c>
    </row>
    <row r="26" spans="1:86" x14ac:dyDescent="0.25">
      <c r="A26" t="str">
        <f t="shared" si="22"/>
        <v>Appui</v>
      </c>
      <c r="B26" t="b">
        <f t="shared" si="23"/>
        <v>0</v>
      </c>
      <c r="C26">
        <f t="shared" si="31"/>
        <v>3</v>
      </c>
      <c r="D26" t="s">
        <v>96</v>
      </c>
      <c r="E26" t="s">
        <v>49</v>
      </c>
      <c r="F26">
        <v>25</v>
      </c>
      <c r="G26" t="s">
        <v>46</v>
      </c>
      <c r="H26">
        <v>500</v>
      </c>
      <c r="I26">
        <v>220000</v>
      </c>
      <c r="J26">
        <v>1576</v>
      </c>
      <c r="K26">
        <v>1870</v>
      </c>
      <c r="L26">
        <v>1</v>
      </c>
      <c r="M26">
        <v>0.22</v>
      </c>
      <c r="N26">
        <v>2.33</v>
      </c>
      <c r="O26">
        <v>1.9400000000000001E-3</v>
      </c>
      <c r="P26">
        <v>8.4999999999999992E-2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81</v>
      </c>
      <c r="Y26">
        <v>33</v>
      </c>
      <c r="Z26">
        <v>0</v>
      </c>
      <c r="AA26">
        <v>81</v>
      </c>
      <c r="AB26">
        <v>33</v>
      </c>
      <c r="AC26">
        <v>0</v>
      </c>
      <c r="AD26">
        <v>81</v>
      </c>
      <c r="AE26">
        <v>33</v>
      </c>
      <c r="AF26">
        <v>158.85</v>
      </c>
      <c r="AH26">
        <v>114</v>
      </c>
      <c r="AI26">
        <v>81</v>
      </c>
      <c r="AJ26">
        <v>33</v>
      </c>
      <c r="AK26">
        <v>17.098086261265081</v>
      </c>
      <c r="AL26">
        <v>6.965886995330214</v>
      </c>
      <c r="AM26">
        <v>-336.76495676410741</v>
      </c>
      <c r="AN26">
        <v>-137.20053794093269</v>
      </c>
      <c r="AO26">
        <v>0</v>
      </c>
      <c r="AP26">
        <v>0</v>
      </c>
      <c r="AQ26">
        <v>158.85</v>
      </c>
      <c r="AR26">
        <v>106.272141018135</v>
      </c>
      <c r="AS26">
        <v>106.272141018135</v>
      </c>
      <c r="AT26">
        <v>0</v>
      </c>
      <c r="AU26">
        <v>0</v>
      </c>
      <c r="AV26">
        <v>0</v>
      </c>
      <c r="AW26">
        <v>0</v>
      </c>
      <c r="AX26">
        <v>114</v>
      </c>
      <c r="AY26">
        <v>0</v>
      </c>
      <c r="AZ26">
        <v>0</v>
      </c>
      <c r="BA26">
        <v>106.272141018135</v>
      </c>
      <c r="BC26" s="1">
        <f t="shared" si="24"/>
        <v>81</v>
      </c>
      <c r="BD26" s="2">
        <f t="shared" si="25"/>
        <v>17.098086261265081</v>
      </c>
      <c r="BE26" s="7">
        <f t="shared" si="26"/>
        <v>-336.76495676410741</v>
      </c>
      <c r="BF26" s="1">
        <f t="shared" si="27"/>
        <v>33</v>
      </c>
      <c r="BG26" s="2">
        <f t="shared" si="28"/>
        <v>6.965886995330214</v>
      </c>
      <c r="BH26" s="2">
        <f t="shared" si="53"/>
        <v>-137.20053794093269</v>
      </c>
      <c r="BI26" s="2">
        <f t="shared" si="53"/>
        <v>0</v>
      </c>
      <c r="BJ26" s="7">
        <f t="shared" si="53"/>
        <v>0</v>
      </c>
      <c r="BK26" s="1">
        <f t="shared" si="54"/>
        <v>114</v>
      </c>
      <c r="BL26" s="2">
        <f t="shared" si="54"/>
        <v>24.063973256595297</v>
      </c>
      <c r="BM26" s="2">
        <f t="shared" si="3"/>
        <v>473.9654947050401</v>
      </c>
      <c r="BN26" s="2">
        <f t="shared" si="29"/>
        <v>0</v>
      </c>
      <c r="BO26" s="7">
        <f t="shared" si="30"/>
        <v>0</v>
      </c>
      <c r="BP26" s="2"/>
      <c r="BQ26" s="1">
        <f t="shared" si="4"/>
        <v>114</v>
      </c>
      <c r="BR26" s="4">
        <v>0</v>
      </c>
      <c r="BS26" s="2">
        <f t="shared" si="5"/>
        <v>114</v>
      </c>
      <c r="BT26" s="2">
        <f t="shared" si="6"/>
        <v>106.272141018135</v>
      </c>
      <c r="BU26" s="3">
        <f t="shared" si="7"/>
        <v>0.93221176331697375</v>
      </c>
      <c r="BV26" s="52" t="str">
        <f t="shared" si="8"/>
        <v/>
      </c>
      <c r="BW26" s="21" t="str">
        <f t="shared" si="9"/>
        <v/>
      </c>
      <c r="BX26" s="21" t="str">
        <f t="shared" si="10"/>
        <v/>
      </c>
      <c r="BY26" s="1">
        <f t="shared" si="11"/>
        <v>158.85</v>
      </c>
      <c r="BZ26" s="4">
        <v>0</v>
      </c>
      <c r="CA26" s="2">
        <f t="shared" si="12"/>
        <v>158.85</v>
      </c>
      <c r="CB26" s="2">
        <f t="shared" si="13"/>
        <v>106.272141018135</v>
      </c>
      <c r="CC26" s="21">
        <f t="shared" si="14"/>
        <v>0.66900938632757323</v>
      </c>
      <c r="CD26" s="2" t="str">
        <f t="shared" si="15"/>
        <v/>
      </c>
      <c r="CE26" s="2" t="str">
        <f t="shared" si="16"/>
        <v/>
      </c>
      <c r="CF26" s="21" t="str">
        <f t="shared" si="17"/>
        <v/>
      </c>
      <c r="CG26" s="15"/>
      <c r="CH26" s="21" t="str">
        <f t="shared" si="18"/>
        <v/>
      </c>
    </row>
    <row r="27" spans="1:86" x14ac:dyDescent="0.25">
      <c r="A27" t="str">
        <f t="shared" si="22"/>
        <v>Travée</v>
      </c>
      <c r="B27" t="b">
        <f t="shared" si="23"/>
        <v>0</v>
      </c>
      <c r="C27">
        <f t="shared" si="31"/>
        <v>3</v>
      </c>
      <c r="D27" t="s">
        <v>96</v>
      </c>
      <c r="E27" t="s">
        <v>51</v>
      </c>
      <c r="F27">
        <v>25</v>
      </c>
      <c r="G27" t="s">
        <v>46</v>
      </c>
      <c r="H27">
        <v>500</v>
      </c>
      <c r="I27">
        <v>220000</v>
      </c>
      <c r="J27">
        <v>1576</v>
      </c>
      <c r="K27">
        <v>1870</v>
      </c>
      <c r="L27">
        <v>1</v>
      </c>
      <c r="M27">
        <v>0.22</v>
      </c>
      <c r="N27">
        <v>2.33</v>
      </c>
      <c r="O27">
        <v>1.0460000000000001E-3</v>
      </c>
      <c r="P27">
        <v>0.04</v>
      </c>
      <c r="Q27">
        <v>1</v>
      </c>
      <c r="R27">
        <v>0</v>
      </c>
      <c r="S27">
        <v>0</v>
      </c>
      <c r="T27">
        <v>1</v>
      </c>
      <c r="U27">
        <v>2.9099999999999999E-5</v>
      </c>
      <c r="V27">
        <v>0</v>
      </c>
      <c r="W27">
        <v>5</v>
      </c>
      <c r="X27">
        <v>40</v>
      </c>
      <c r="Y27">
        <v>19</v>
      </c>
      <c r="Z27">
        <v>0</v>
      </c>
      <c r="AA27">
        <v>40</v>
      </c>
      <c r="AB27">
        <v>19</v>
      </c>
      <c r="AC27">
        <v>0</v>
      </c>
      <c r="AD27">
        <v>40</v>
      </c>
      <c r="AE27">
        <v>19</v>
      </c>
      <c r="AF27">
        <v>82.5</v>
      </c>
      <c r="AH27">
        <v>59</v>
      </c>
      <c r="AI27">
        <v>40</v>
      </c>
      <c r="AJ27">
        <v>19</v>
      </c>
      <c r="AK27">
        <v>6.8868901217493868</v>
      </c>
      <c r="AL27">
        <v>2.923805117295196</v>
      </c>
      <c r="AM27">
        <v>-224.82809274429169</v>
      </c>
      <c r="AN27">
        <v>-86.492965786287314</v>
      </c>
      <c r="AO27">
        <v>0</v>
      </c>
      <c r="AP27">
        <v>-120.8263033716796</v>
      </c>
      <c r="AQ27">
        <v>82.5</v>
      </c>
      <c r="AR27">
        <v>83.698138794433987</v>
      </c>
      <c r="AS27">
        <v>133.52224101457551</v>
      </c>
      <c r="AT27">
        <v>8.7985175854047757</v>
      </c>
      <c r="AU27">
        <v>-384.17679285334282</v>
      </c>
      <c r="AV27">
        <v>0</v>
      </c>
      <c r="AW27">
        <v>-547.10026420173256</v>
      </c>
      <c r="AX27">
        <v>59</v>
      </c>
      <c r="AY27">
        <v>7.1959714260565653</v>
      </c>
      <c r="AZ27">
        <v>-339.55671503811561</v>
      </c>
      <c r="BA27">
        <v>83.698138794433987</v>
      </c>
      <c r="BC27" s="1">
        <f t="shared" si="24"/>
        <v>40</v>
      </c>
      <c r="BD27" s="2">
        <f t="shared" si="25"/>
        <v>6.8868901217493868</v>
      </c>
      <c r="BE27" s="7">
        <f t="shared" si="26"/>
        <v>-224.82809274429169</v>
      </c>
      <c r="BF27" s="1">
        <f t="shared" si="27"/>
        <v>19</v>
      </c>
      <c r="BG27" s="2">
        <f t="shared" si="28"/>
        <v>2.923805117295196</v>
      </c>
      <c r="BH27" s="2">
        <f t="shared" si="53"/>
        <v>-86.492965786287314</v>
      </c>
      <c r="BI27" s="2">
        <f t="shared" si="53"/>
        <v>0</v>
      </c>
      <c r="BJ27" s="7">
        <f t="shared" si="53"/>
        <v>-120.8263033716796</v>
      </c>
      <c r="BK27" s="1">
        <f t="shared" si="54"/>
        <v>59</v>
      </c>
      <c r="BL27" s="2">
        <f t="shared" si="54"/>
        <v>9.8106952390445823</v>
      </c>
      <c r="BM27" s="2">
        <f t="shared" si="3"/>
        <v>311.32105853057902</v>
      </c>
      <c r="BN27" s="2">
        <f t="shared" si="29"/>
        <v>0</v>
      </c>
      <c r="BO27" s="7">
        <f t="shared" si="30"/>
        <v>-120.8263033716796</v>
      </c>
      <c r="BP27" s="2"/>
      <c r="BQ27" s="1">
        <f t="shared" si="4"/>
        <v>59</v>
      </c>
      <c r="BR27" s="4" t="str">
        <f t="shared" ref="BR27" si="61">IF(ISNUMBER(SEARCH("Appui",E27)),0,"0")</f>
        <v>0</v>
      </c>
      <c r="BS27" s="2">
        <f t="shared" si="5"/>
        <v>59</v>
      </c>
      <c r="BT27" s="2">
        <f t="shared" si="6"/>
        <v>83.698138794433987</v>
      </c>
      <c r="BU27" s="3">
        <f t="shared" si="7"/>
        <v>1.4186125219395591</v>
      </c>
      <c r="BV27" s="52">
        <f t="shared" si="8"/>
        <v>194</v>
      </c>
      <c r="BW27" s="21">
        <f t="shared" si="9"/>
        <v>209.92080707254033</v>
      </c>
      <c r="BX27" s="21">
        <f t="shared" si="10"/>
        <v>1.0820660158378368</v>
      </c>
      <c r="BY27" s="1">
        <f t="shared" si="11"/>
        <v>82.5</v>
      </c>
      <c r="BZ27" s="4" t="str">
        <f t="shared" ref="BZ27" si="62">IF(ISNUMBER(SEARCH("Appui",M27)),0,"0")</f>
        <v>0</v>
      </c>
      <c r="CA27" s="2">
        <f t="shared" si="12"/>
        <v>82.5</v>
      </c>
      <c r="CB27" s="2">
        <f t="shared" si="13"/>
        <v>133.52224101457551</v>
      </c>
      <c r="CC27" s="21">
        <f t="shared" si="14"/>
        <v>1.618451406237279</v>
      </c>
      <c r="CD27" s="2">
        <f t="shared" si="15"/>
        <v>270.3</v>
      </c>
      <c r="CE27" s="2">
        <f t="shared" si="16"/>
        <v>309.57184544836912</v>
      </c>
      <c r="CF27" s="21">
        <f t="shared" si="17"/>
        <v>1.1452898462758754</v>
      </c>
      <c r="CG27" s="10" t="str">
        <f t="shared" ref="CG27" si="63">IF(C25&lt;C27,"Rive",IF(C29&gt;C27,"Rive","Inter"))</f>
        <v>Inter</v>
      </c>
      <c r="CH27" s="21">
        <f t="shared" si="18"/>
        <v>0.77662155779704145</v>
      </c>
    </row>
    <row r="28" spans="1:86" x14ac:dyDescent="0.25">
      <c r="A28" t="str">
        <f t="shared" si="22"/>
        <v>Appui</v>
      </c>
      <c r="B28" t="b">
        <f t="shared" si="23"/>
        <v>0</v>
      </c>
      <c r="C28">
        <f t="shared" si="31"/>
        <v>3</v>
      </c>
      <c r="D28" t="s">
        <v>96</v>
      </c>
      <c r="E28" t="s">
        <v>52</v>
      </c>
      <c r="F28">
        <v>25</v>
      </c>
      <c r="G28" t="s">
        <v>46</v>
      </c>
      <c r="H28">
        <v>500</v>
      </c>
      <c r="I28">
        <v>220000</v>
      </c>
      <c r="J28">
        <v>1576</v>
      </c>
      <c r="K28">
        <v>1870</v>
      </c>
      <c r="L28">
        <v>1</v>
      </c>
      <c r="M28">
        <v>0.22</v>
      </c>
      <c r="N28">
        <v>2.33</v>
      </c>
      <c r="O28">
        <v>1.9400000000000001E-3</v>
      </c>
      <c r="P28">
        <v>0.04</v>
      </c>
      <c r="Q28">
        <v>1</v>
      </c>
      <c r="R28">
        <v>0</v>
      </c>
      <c r="S28">
        <v>0</v>
      </c>
      <c r="T28">
        <v>1</v>
      </c>
      <c r="U28">
        <v>2.9099999999999999E-5</v>
      </c>
      <c r="V28">
        <v>0</v>
      </c>
      <c r="W28">
        <v>10</v>
      </c>
      <c r="X28">
        <v>115</v>
      </c>
      <c r="Y28">
        <v>41</v>
      </c>
      <c r="Z28">
        <v>0</v>
      </c>
      <c r="AA28">
        <v>115</v>
      </c>
      <c r="AB28">
        <v>41</v>
      </c>
      <c r="AC28">
        <v>0</v>
      </c>
      <c r="AD28">
        <v>115</v>
      </c>
      <c r="AE28">
        <v>41</v>
      </c>
      <c r="AF28">
        <v>216.75</v>
      </c>
      <c r="AH28">
        <v>156</v>
      </c>
      <c r="AI28">
        <v>115</v>
      </c>
      <c r="AJ28">
        <v>41</v>
      </c>
      <c r="AK28">
        <v>15.293094841307891</v>
      </c>
      <c r="AL28">
        <v>4.8434294702006939</v>
      </c>
      <c r="AM28">
        <v>-354.91250212756648</v>
      </c>
      <c r="AN28">
        <v>-100.7482973932941</v>
      </c>
      <c r="AO28">
        <v>0</v>
      </c>
      <c r="AP28">
        <v>-142.97340595859001</v>
      </c>
      <c r="AQ28">
        <v>216.75</v>
      </c>
      <c r="AR28">
        <v>146.17319553807769</v>
      </c>
      <c r="AS28">
        <v>245.82706784945219</v>
      </c>
      <c r="AT28">
        <v>16.557521816576159</v>
      </c>
      <c r="AU28">
        <v>-436.65530538376811</v>
      </c>
      <c r="AV28">
        <v>0</v>
      </c>
      <c r="AW28">
        <v>-1366.7838544430199</v>
      </c>
      <c r="AX28">
        <v>156</v>
      </c>
      <c r="AY28">
        <v>0</v>
      </c>
      <c r="AZ28">
        <v>0</v>
      </c>
      <c r="BA28">
        <v>146.17319553807769</v>
      </c>
      <c r="BC28" s="1">
        <f t="shared" si="24"/>
        <v>115</v>
      </c>
      <c r="BD28" s="2">
        <f t="shared" si="25"/>
        <v>15.293094841307891</v>
      </c>
      <c r="BE28" s="7">
        <f t="shared" si="26"/>
        <v>-354.91250212756648</v>
      </c>
      <c r="BF28" s="1">
        <f t="shared" si="27"/>
        <v>41</v>
      </c>
      <c r="BG28" s="2">
        <f t="shared" si="28"/>
        <v>4.8434294702006939</v>
      </c>
      <c r="BH28" s="2">
        <f t="shared" si="53"/>
        <v>-100.7482973932941</v>
      </c>
      <c r="BI28" s="2">
        <f t="shared" si="53"/>
        <v>0</v>
      </c>
      <c r="BJ28" s="7">
        <f t="shared" si="53"/>
        <v>-142.97340595859001</v>
      </c>
      <c r="BK28" s="1">
        <f t="shared" si="54"/>
        <v>156</v>
      </c>
      <c r="BL28" s="2">
        <f t="shared" si="54"/>
        <v>20.136524311508584</v>
      </c>
      <c r="BM28" s="2">
        <f t="shared" si="3"/>
        <v>455.66079952086056</v>
      </c>
      <c r="BN28" s="2">
        <f t="shared" si="29"/>
        <v>0</v>
      </c>
      <c r="BO28" s="7">
        <f t="shared" si="30"/>
        <v>-142.97340595859001</v>
      </c>
      <c r="BP28" s="2"/>
      <c r="BQ28" s="1">
        <f t="shared" si="4"/>
        <v>156</v>
      </c>
      <c r="BR28" s="4">
        <v>0</v>
      </c>
      <c r="BS28" s="2">
        <f t="shared" si="5"/>
        <v>156</v>
      </c>
      <c r="BT28" s="2">
        <f t="shared" si="6"/>
        <v>146.17319553807769</v>
      </c>
      <c r="BU28" s="3">
        <f t="shared" si="7"/>
        <v>0.93700766370562627</v>
      </c>
      <c r="BV28" s="52" t="str">
        <f t="shared" si="8"/>
        <v/>
      </c>
      <c r="BW28" s="21" t="str">
        <f t="shared" si="9"/>
        <v/>
      </c>
      <c r="BX28" s="21" t="str">
        <f t="shared" si="10"/>
        <v/>
      </c>
      <c r="BY28" s="1">
        <f t="shared" si="11"/>
        <v>216.75</v>
      </c>
      <c r="BZ28" s="4">
        <v>0</v>
      </c>
      <c r="CA28" s="2">
        <f t="shared" si="12"/>
        <v>216.75</v>
      </c>
      <c r="CB28" s="2">
        <f t="shared" si="13"/>
        <v>245.82706784945219</v>
      </c>
      <c r="CC28" s="21">
        <f t="shared" si="14"/>
        <v>1.1341502553607945</v>
      </c>
      <c r="CD28" s="2" t="str">
        <f t="shared" si="15"/>
        <v/>
      </c>
      <c r="CE28" s="2" t="str">
        <f t="shared" si="16"/>
        <v/>
      </c>
      <c r="CF28" s="21" t="str">
        <f t="shared" si="17"/>
        <v/>
      </c>
      <c r="CG28" s="15"/>
      <c r="CH28" s="21" t="str">
        <f t="shared" si="18"/>
        <v/>
      </c>
    </row>
    <row r="29" spans="1:86" x14ac:dyDescent="0.25">
      <c r="A29" t="str">
        <f t="shared" si="22"/>
        <v>Travée</v>
      </c>
      <c r="B29" t="b">
        <f t="shared" si="23"/>
        <v>0</v>
      </c>
      <c r="C29">
        <f t="shared" si="31"/>
        <v>3</v>
      </c>
      <c r="D29" t="s">
        <v>96</v>
      </c>
      <c r="E29" t="s">
        <v>53</v>
      </c>
      <c r="F29">
        <v>25</v>
      </c>
      <c r="G29" t="s">
        <v>46</v>
      </c>
      <c r="H29">
        <v>500</v>
      </c>
      <c r="I29">
        <v>220000</v>
      </c>
      <c r="J29">
        <v>1576</v>
      </c>
      <c r="K29">
        <v>1870</v>
      </c>
      <c r="L29">
        <v>1</v>
      </c>
      <c r="M29">
        <v>0.22</v>
      </c>
      <c r="N29">
        <v>2.33</v>
      </c>
      <c r="O29">
        <v>7.4800000000000008E-4</v>
      </c>
      <c r="P29">
        <v>0.04</v>
      </c>
      <c r="Q29">
        <v>1</v>
      </c>
      <c r="R29">
        <v>0</v>
      </c>
      <c r="S29">
        <v>0</v>
      </c>
      <c r="T29">
        <v>1</v>
      </c>
      <c r="U29">
        <v>2.9099999999999999E-5</v>
      </c>
      <c r="V29">
        <v>0</v>
      </c>
      <c r="W29">
        <v>5</v>
      </c>
      <c r="X29">
        <v>36</v>
      </c>
      <c r="Y29">
        <v>18</v>
      </c>
      <c r="Z29">
        <v>0</v>
      </c>
      <c r="AA29">
        <v>36</v>
      </c>
      <c r="AB29">
        <v>18</v>
      </c>
      <c r="AC29">
        <v>0</v>
      </c>
      <c r="AD29">
        <v>36</v>
      </c>
      <c r="AE29">
        <v>18</v>
      </c>
      <c r="AF29">
        <v>75.599999999999994</v>
      </c>
      <c r="AH29">
        <v>54</v>
      </c>
      <c r="AI29">
        <v>36</v>
      </c>
      <c r="AJ29">
        <v>18</v>
      </c>
      <c r="AK29">
        <v>7.1703141285046366</v>
      </c>
      <c r="AL29">
        <v>3.0822948106053021</v>
      </c>
      <c r="AM29">
        <v>-280.70219306986559</v>
      </c>
      <c r="AN29">
        <v>-105.7873579416693</v>
      </c>
      <c r="AO29">
        <v>0</v>
      </c>
      <c r="AP29">
        <v>-147.0127112625068</v>
      </c>
      <c r="AQ29">
        <v>75.599999999999994</v>
      </c>
      <c r="AR29">
        <v>61.089633333539979</v>
      </c>
      <c r="AS29">
        <v>112.388528668554</v>
      </c>
      <c r="AT29">
        <v>9.1951669087890693</v>
      </c>
      <c r="AU29">
        <v>-435.02049498277398</v>
      </c>
      <c r="AV29">
        <v>0</v>
      </c>
      <c r="AW29">
        <v>-704.80410315110385</v>
      </c>
      <c r="AX29">
        <v>54</v>
      </c>
      <c r="AY29">
        <v>7.5166301386445209</v>
      </c>
      <c r="AZ29">
        <v>-429.83592516083428</v>
      </c>
      <c r="BA29">
        <v>61.089633333539979</v>
      </c>
      <c r="BC29" s="1">
        <f t="shared" si="24"/>
        <v>36</v>
      </c>
      <c r="BD29" s="2">
        <f t="shared" si="25"/>
        <v>7.1703141285046366</v>
      </c>
      <c r="BE29" s="7">
        <f t="shared" si="26"/>
        <v>-280.70219306986559</v>
      </c>
      <c r="BF29" s="1">
        <f t="shared" si="27"/>
        <v>18</v>
      </c>
      <c r="BG29" s="2">
        <f t="shared" si="28"/>
        <v>3.0822948106053021</v>
      </c>
      <c r="BH29" s="2">
        <f t="shared" si="53"/>
        <v>-105.7873579416693</v>
      </c>
      <c r="BI29" s="2">
        <f t="shared" si="53"/>
        <v>0</v>
      </c>
      <c r="BJ29" s="7">
        <f t="shared" si="53"/>
        <v>-147.0127112625068</v>
      </c>
      <c r="BK29" s="1">
        <f t="shared" si="54"/>
        <v>54</v>
      </c>
      <c r="BL29" s="2">
        <f t="shared" si="54"/>
        <v>10.252608939109939</v>
      </c>
      <c r="BM29" s="2">
        <f t="shared" si="3"/>
        <v>386.4895510115349</v>
      </c>
      <c r="BN29" s="2">
        <f t="shared" si="29"/>
        <v>0</v>
      </c>
      <c r="BO29" s="7">
        <f t="shared" si="30"/>
        <v>-147.0127112625068</v>
      </c>
      <c r="BP29" s="2"/>
      <c r="BQ29" s="1">
        <f t="shared" si="4"/>
        <v>54</v>
      </c>
      <c r="BR29" s="4" t="str">
        <f t="shared" ref="BR29" si="64">IF(ISNUMBER(SEARCH("Appui",E29)),0,"0")</f>
        <v>0</v>
      </c>
      <c r="BS29" s="2">
        <f t="shared" si="5"/>
        <v>54</v>
      </c>
      <c r="BT29" s="2">
        <f t="shared" si="6"/>
        <v>61.089633333539979</v>
      </c>
      <c r="BU29" s="3">
        <f t="shared" si="7"/>
        <v>1.1312895061766663</v>
      </c>
      <c r="BV29" s="52">
        <f t="shared" si="8"/>
        <v>200.75</v>
      </c>
      <c r="BW29" s="21">
        <f t="shared" si="9"/>
        <v>207.26282887161767</v>
      </c>
      <c r="BX29" s="21">
        <f t="shared" si="10"/>
        <v>1.0324424850391913</v>
      </c>
      <c r="BY29" s="1">
        <f t="shared" si="11"/>
        <v>75.599999999999994</v>
      </c>
      <c r="BZ29" s="4" t="str">
        <f t="shared" ref="BZ29" si="65">IF(ISNUMBER(SEARCH("Appui",M29)),0,"0")</f>
        <v>0</v>
      </c>
      <c r="CA29" s="2">
        <f t="shared" si="12"/>
        <v>75.599999999999994</v>
      </c>
      <c r="CB29" s="2">
        <f t="shared" si="13"/>
        <v>112.388528668554</v>
      </c>
      <c r="CC29" s="21">
        <f t="shared" si="14"/>
        <v>1.4866207495840478</v>
      </c>
      <c r="CD29" s="2">
        <f t="shared" si="15"/>
        <v>279.60000000000002</v>
      </c>
      <c r="CE29" s="2">
        <f t="shared" si="16"/>
        <v>358.21559651800618</v>
      </c>
      <c r="CF29" s="21">
        <f t="shared" si="17"/>
        <v>1.2811716613662594</v>
      </c>
      <c r="CG29" s="10" t="str">
        <f t="shared" ref="CG29" si="66">IF(C27&lt;C29,"Rive",IF(C31&gt;C29,"Rive","Inter"))</f>
        <v>Inter</v>
      </c>
      <c r="CH29" s="21">
        <f t="shared" si="18"/>
        <v>0.74128336506301018</v>
      </c>
    </row>
    <row r="30" spans="1:86" x14ac:dyDescent="0.25">
      <c r="A30" t="str">
        <f t="shared" si="22"/>
        <v>Appui</v>
      </c>
      <c r="B30" t="b">
        <f t="shared" si="23"/>
        <v>0</v>
      </c>
      <c r="C30">
        <f t="shared" si="31"/>
        <v>3</v>
      </c>
      <c r="D30" t="s">
        <v>96</v>
      </c>
      <c r="E30" t="s">
        <v>54</v>
      </c>
      <c r="F30">
        <v>25</v>
      </c>
      <c r="G30" t="s">
        <v>46</v>
      </c>
      <c r="H30">
        <v>500</v>
      </c>
      <c r="I30">
        <v>220000</v>
      </c>
      <c r="J30">
        <v>1576</v>
      </c>
      <c r="K30">
        <v>1870</v>
      </c>
      <c r="L30">
        <v>1</v>
      </c>
      <c r="M30">
        <v>0.22</v>
      </c>
      <c r="N30">
        <v>2.33</v>
      </c>
      <c r="O30">
        <v>1.9400000000000001E-3</v>
      </c>
      <c r="P30">
        <v>0.04</v>
      </c>
      <c r="Q30">
        <v>1</v>
      </c>
      <c r="R30">
        <v>0</v>
      </c>
      <c r="S30">
        <v>0</v>
      </c>
      <c r="T30">
        <v>1</v>
      </c>
      <c r="U30">
        <v>2.9099999999999999E-5</v>
      </c>
      <c r="V30">
        <v>0</v>
      </c>
      <c r="W30">
        <v>10</v>
      </c>
      <c r="X30">
        <v>100</v>
      </c>
      <c r="Y30">
        <v>37.5</v>
      </c>
      <c r="Z30">
        <v>0</v>
      </c>
      <c r="AA30">
        <v>100</v>
      </c>
      <c r="AB30">
        <v>37.5</v>
      </c>
      <c r="AC30">
        <v>0</v>
      </c>
      <c r="AD30">
        <v>100</v>
      </c>
      <c r="AE30">
        <v>37.5</v>
      </c>
      <c r="AF30">
        <v>191.25</v>
      </c>
      <c r="AH30">
        <v>137.5</v>
      </c>
      <c r="AI30">
        <v>100</v>
      </c>
      <c r="AJ30">
        <v>37.5</v>
      </c>
      <c r="AK30">
        <v>13.29834334026774</v>
      </c>
      <c r="AL30">
        <v>4.4299659788421</v>
      </c>
      <c r="AM30">
        <v>-308.61956706744922</v>
      </c>
      <c r="AN30">
        <v>-92.147832981671471</v>
      </c>
      <c r="AO30">
        <v>0</v>
      </c>
      <c r="AP30">
        <v>-130.76835910846651</v>
      </c>
      <c r="AQ30">
        <v>191.25</v>
      </c>
      <c r="AR30">
        <v>146.17319553807769</v>
      </c>
      <c r="AS30">
        <v>245.82706784945219</v>
      </c>
      <c r="AT30">
        <v>15.164914874781299</v>
      </c>
      <c r="AU30">
        <v>-435.58759660247188</v>
      </c>
      <c r="AV30">
        <v>0</v>
      </c>
      <c r="AW30">
        <v>-950.59030138404455</v>
      </c>
      <c r="AX30">
        <v>137.5</v>
      </c>
      <c r="AY30">
        <v>13.23159831641656</v>
      </c>
      <c r="AZ30">
        <v>-435.3424203973313</v>
      </c>
      <c r="BA30">
        <v>146.17319553807769</v>
      </c>
      <c r="BC30" s="1">
        <f t="shared" si="24"/>
        <v>100</v>
      </c>
      <c r="BD30" s="2">
        <f t="shared" si="25"/>
        <v>13.29834334026774</v>
      </c>
      <c r="BE30" s="7">
        <f t="shared" si="26"/>
        <v>-308.61956706744922</v>
      </c>
      <c r="BF30" s="1">
        <f t="shared" si="27"/>
        <v>37.5</v>
      </c>
      <c r="BG30" s="2">
        <f t="shared" si="28"/>
        <v>4.4299659788421</v>
      </c>
      <c r="BH30" s="2">
        <f t="shared" si="53"/>
        <v>-92.147832981671471</v>
      </c>
      <c r="BI30" s="2">
        <f t="shared" si="53"/>
        <v>0</v>
      </c>
      <c r="BJ30" s="7">
        <f t="shared" si="53"/>
        <v>-130.76835910846651</v>
      </c>
      <c r="BK30" s="1">
        <f t="shared" si="54"/>
        <v>137.5</v>
      </c>
      <c r="BL30" s="2">
        <f t="shared" si="54"/>
        <v>17.72830931910984</v>
      </c>
      <c r="BM30" s="2">
        <f t="shared" si="3"/>
        <v>400.76740004912068</v>
      </c>
      <c r="BN30" s="2">
        <f t="shared" si="29"/>
        <v>0</v>
      </c>
      <c r="BO30" s="7">
        <f t="shared" si="30"/>
        <v>-130.76835910846651</v>
      </c>
      <c r="BP30" s="2"/>
      <c r="BQ30" s="1">
        <f t="shared" si="4"/>
        <v>137.5</v>
      </c>
      <c r="BR30" s="4">
        <v>0</v>
      </c>
      <c r="BS30" s="2">
        <f t="shared" si="5"/>
        <v>137.5</v>
      </c>
      <c r="BT30" s="2">
        <f t="shared" si="6"/>
        <v>146.17319553807769</v>
      </c>
      <c r="BU30" s="3">
        <f t="shared" si="7"/>
        <v>1.0630777857314742</v>
      </c>
      <c r="BV30" s="52" t="str">
        <f t="shared" si="8"/>
        <v/>
      </c>
      <c r="BW30" s="21" t="str">
        <f t="shared" si="9"/>
        <v/>
      </c>
      <c r="BX30" s="21" t="str">
        <f t="shared" si="10"/>
        <v/>
      </c>
      <c r="BY30" s="1">
        <f t="shared" si="11"/>
        <v>191.25</v>
      </c>
      <c r="BZ30" s="4">
        <v>0</v>
      </c>
      <c r="CA30" s="2">
        <f t="shared" si="12"/>
        <v>191.25</v>
      </c>
      <c r="CB30" s="2">
        <f t="shared" si="13"/>
        <v>245.82706784945219</v>
      </c>
      <c r="CC30" s="21">
        <f t="shared" si="14"/>
        <v>1.2853702894089003</v>
      </c>
      <c r="CD30" s="2" t="str">
        <f t="shared" si="15"/>
        <v/>
      </c>
      <c r="CE30" s="2" t="str">
        <f t="shared" si="16"/>
        <v/>
      </c>
      <c r="CF30" s="21" t="str">
        <f t="shared" si="17"/>
        <v/>
      </c>
      <c r="CG30" s="15"/>
      <c r="CH30" s="21" t="str">
        <f t="shared" si="18"/>
        <v/>
      </c>
    </row>
    <row r="31" spans="1:86" x14ac:dyDescent="0.25">
      <c r="A31" t="str">
        <f t="shared" si="22"/>
        <v>Travée</v>
      </c>
      <c r="B31" t="b">
        <f t="shared" si="23"/>
        <v>0</v>
      </c>
      <c r="C31">
        <f t="shared" si="31"/>
        <v>3</v>
      </c>
      <c r="D31" t="s">
        <v>96</v>
      </c>
      <c r="E31" t="s">
        <v>55</v>
      </c>
      <c r="F31">
        <v>25</v>
      </c>
      <c r="G31" t="s">
        <v>46</v>
      </c>
      <c r="H31">
        <v>500</v>
      </c>
      <c r="I31">
        <v>220000</v>
      </c>
      <c r="J31">
        <v>1576</v>
      </c>
      <c r="K31">
        <v>1870</v>
      </c>
      <c r="L31">
        <v>1</v>
      </c>
      <c r="M31">
        <v>0.22</v>
      </c>
      <c r="N31">
        <v>2.33</v>
      </c>
      <c r="O31">
        <v>1.0460000000000001E-3</v>
      </c>
      <c r="P31">
        <v>0.04</v>
      </c>
      <c r="Q31">
        <v>1</v>
      </c>
      <c r="R31">
        <v>0</v>
      </c>
      <c r="S31">
        <v>0</v>
      </c>
      <c r="T31">
        <v>1</v>
      </c>
      <c r="U31">
        <v>2.9099999999999999E-5</v>
      </c>
      <c r="V31">
        <v>0</v>
      </c>
      <c r="W31">
        <v>5</v>
      </c>
      <c r="X31">
        <v>31</v>
      </c>
      <c r="Y31">
        <v>15</v>
      </c>
      <c r="Z31">
        <v>0</v>
      </c>
      <c r="AA31">
        <v>31</v>
      </c>
      <c r="AB31">
        <v>15</v>
      </c>
      <c r="AC31">
        <v>0</v>
      </c>
      <c r="AD31">
        <v>31</v>
      </c>
      <c r="AE31">
        <v>15</v>
      </c>
      <c r="AF31">
        <v>64.349999999999994</v>
      </c>
      <c r="AH31">
        <v>46</v>
      </c>
      <c r="AI31">
        <v>31</v>
      </c>
      <c r="AJ31">
        <v>15</v>
      </c>
      <c r="AK31">
        <v>5.3373398443557791</v>
      </c>
      <c r="AL31">
        <v>2.308267197864629</v>
      </c>
      <c r="AM31">
        <v>-174.24177187682611</v>
      </c>
      <c r="AN31">
        <v>-68.283920357595278</v>
      </c>
      <c r="AO31">
        <v>0</v>
      </c>
      <c r="AP31">
        <v>-95.389186872378659</v>
      </c>
      <c r="AQ31">
        <v>64.349999999999994</v>
      </c>
      <c r="AR31">
        <v>83.698138794433987</v>
      </c>
      <c r="AS31">
        <v>133.52224101457551</v>
      </c>
      <c r="AT31">
        <v>7.0421435166613708</v>
      </c>
      <c r="AU31">
        <v>-299.19779733385582</v>
      </c>
      <c r="AV31">
        <v>0</v>
      </c>
      <c r="AW31">
        <v>-425.72975676497521</v>
      </c>
      <c r="AX31">
        <v>46</v>
      </c>
      <c r="AY31">
        <v>5.718903865787377</v>
      </c>
      <c r="AZ31">
        <v>-264.43708680725462</v>
      </c>
      <c r="BA31">
        <v>83.698138794433987</v>
      </c>
      <c r="BC31" s="1">
        <f t="shared" si="24"/>
        <v>31</v>
      </c>
      <c r="BD31" s="2">
        <f t="shared" si="25"/>
        <v>5.3373398443557791</v>
      </c>
      <c r="BE31" s="7">
        <f t="shared" si="26"/>
        <v>-174.24177187682611</v>
      </c>
      <c r="BF31" s="1">
        <f t="shared" si="27"/>
        <v>15</v>
      </c>
      <c r="BG31" s="2">
        <f t="shared" si="28"/>
        <v>2.308267197864629</v>
      </c>
      <c r="BH31" s="2">
        <f t="shared" si="53"/>
        <v>-68.283920357595278</v>
      </c>
      <c r="BI31" s="2">
        <f t="shared" si="53"/>
        <v>0</v>
      </c>
      <c r="BJ31" s="7">
        <f t="shared" si="53"/>
        <v>-95.389186872378659</v>
      </c>
      <c r="BK31" s="1">
        <f t="shared" si="54"/>
        <v>46</v>
      </c>
      <c r="BL31" s="2">
        <f t="shared" si="54"/>
        <v>7.6456070422204085</v>
      </c>
      <c r="BM31" s="2">
        <f t="shared" si="3"/>
        <v>242.5256922344214</v>
      </c>
      <c r="BN31" s="2">
        <f t="shared" si="29"/>
        <v>0</v>
      </c>
      <c r="BO31" s="7">
        <f t="shared" si="30"/>
        <v>-95.389186872378659</v>
      </c>
      <c r="BP31" s="2"/>
      <c r="BQ31" s="1">
        <f t="shared" si="4"/>
        <v>46</v>
      </c>
      <c r="BR31" s="4" t="str">
        <f t="shared" ref="BR31" si="67">IF(ISNUMBER(SEARCH("Appui",E31)),0,"0")</f>
        <v>0</v>
      </c>
      <c r="BS31" s="2">
        <f t="shared" si="5"/>
        <v>46</v>
      </c>
      <c r="BT31" s="2">
        <f t="shared" si="6"/>
        <v>83.698138794433987</v>
      </c>
      <c r="BU31" s="3">
        <f t="shared" si="7"/>
        <v>1.8195247564007389</v>
      </c>
      <c r="BV31" s="52">
        <f t="shared" si="8"/>
        <v>114.75</v>
      </c>
      <c r="BW31" s="21">
        <f t="shared" si="9"/>
        <v>157.17495197839207</v>
      </c>
      <c r="BX31" s="21">
        <f t="shared" si="10"/>
        <v>1.3697163571101705</v>
      </c>
      <c r="BY31" s="1">
        <f t="shared" si="11"/>
        <v>64.349999999999994</v>
      </c>
      <c r="BZ31" s="4" t="str">
        <f t="shared" ref="BZ31" si="68">IF(ISNUMBER(SEARCH("Appui",M31)),0,"0")</f>
        <v>0</v>
      </c>
      <c r="CA31" s="2">
        <f t="shared" si="12"/>
        <v>64.349999999999994</v>
      </c>
      <c r="CB31" s="2">
        <f t="shared" si="13"/>
        <v>133.52224101457551</v>
      </c>
      <c r="CC31" s="21">
        <f t="shared" si="14"/>
        <v>2.0749377003042038</v>
      </c>
      <c r="CD31" s="2">
        <f t="shared" si="15"/>
        <v>159.97499999999999</v>
      </c>
      <c r="CE31" s="2">
        <f t="shared" si="16"/>
        <v>256.82599035422083</v>
      </c>
      <c r="CF31" s="21">
        <f t="shared" si="17"/>
        <v>1.6054132855397458</v>
      </c>
      <c r="CG31" s="10" t="str">
        <f t="shared" ref="CG31" si="69">IF(C29&lt;C31,"Rive",IF(C33&gt;C31,"Rive","Inter"))</f>
        <v>Rive</v>
      </c>
      <c r="CH31" s="21">
        <f t="shared" si="18"/>
        <v>0.98249696501573425</v>
      </c>
    </row>
    <row r="32" spans="1:86" x14ac:dyDescent="0.25">
      <c r="A32" t="str">
        <f t="shared" si="22"/>
        <v/>
      </c>
      <c r="B32" t="b">
        <f t="shared" si="23"/>
        <v>0</v>
      </c>
      <c r="C32">
        <f t="shared" si="31"/>
        <v>3</v>
      </c>
      <c r="D32" t="s">
        <v>96</v>
      </c>
      <c r="F32">
        <v>25</v>
      </c>
      <c r="G32" t="s">
        <v>46</v>
      </c>
      <c r="H32">
        <v>500</v>
      </c>
      <c r="I32">
        <v>220000</v>
      </c>
      <c r="J32">
        <v>1576</v>
      </c>
      <c r="K32">
        <v>1870</v>
      </c>
      <c r="L32">
        <v>1</v>
      </c>
      <c r="M32">
        <v>0.2</v>
      </c>
      <c r="N32">
        <v>2.2000000000000002</v>
      </c>
      <c r="O32">
        <v>1.0000000000000001E-5</v>
      </c>
      <c r="P32">
        <v>0.03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0.78043082983844214</v>
      </c>
      <c r="AS32">
        <v>0.78043082983844214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0.78043082983844214</v>
      </c>
      <c r="BC32" s="1">
        <f t="shared" si="24"/>
        <v>0</v>
      </c>
      <c r="BD32" s="2">
        <f t="shared" si="25"/>
        <v>0</v>
      </c>
      <c r="BE32" s="7">
        <f t="shared" si="26"/>
        <v>0</v>
      </c>
      <c r="BF32" s="1">
        <f t="shared" si="27"/>
        <v>0</v>
      </c>
      <c r="BG32" s="2">
        <f t="shared" si="28"/>
        <v>0</v>
      </c>
      <c r="BH32" s="2">
        <f t="shared" si="53"/>
        <v>0</v>
      </c>
      <c r="BI32" s="2">
        <f t="shared" si="53"/>
        <v>0</v>
      </c>
      <c r="BJ32" s="7">
        <f t="shared" si="53"/>
        <v>0</v>
      </c>
      <c r="BK32" s="1">
        <f t="shared" si="54"/>
        <v>0</v>
      </c>
      <c r="BL32" s="2">
        <f t="shared" si="54"/>
        <v>0</v>
      </c>
      <c r="BM32" s="2">
        <f t="shared" si="3"/>
        <v>0</v>
      </c>
      <c r="BN32" s="2">
        <f t="shared" si="29"/>
        <v>0</v>
      </c>
      <c r="BO32" s="7">
        <f t="shared" si="30"/>
        <v>0</v>
      </c>
      <c r="BP32" s="2"/>
      <c r="BQ32" s="1">
        <f t="shared" si="4"/>
        <v>0</v>
      </c>
      <c r="BR32" s="4">
        <v>0</v>
      </c>
      <c r="BS32" s="2">
        <f t="shared" si="5"/>
        <v>0</v>
      </c>
      <c r="BT32" s="2">
        <f t="shared" si="6"/>
        <v>0.78043082983844214</v>
      </c>
      <c r="BU32" s="3">
        <f t="shared" si="7"/>
        <v>1</v>
      </c>
      <c r="BV32" s="52" t="str">
        <f t="shared" si="8"/>
        <v/>
      </c>
      <c r="BW32" s="21" t="str">
        <f t="shared" si="9"/>
        <v/>
      </c>
      <c r="BX32" s="21" t="str">
        <f t="shared" si="10"/>
        <v/>
      </c>
      <c r="BY32" s="1">
        <f t="shared" si="11"/>
        <v>0</v>
      </c>
      <c r="BZ32" s="4">
        <v>0</v>
      </c>
      <c r="CA32" s="2">
        <f t="shared" si="12"/>
        <v>0</v>
      </c>
      <c r="CB32" s="2">
        <f t="shared" si="13"/>
        <v>0.78043082983844214</v>
      </c>
      <c r="CC32" s="21">
        <f t="shared" si="14"/>
        <v>1</v>
      </c>
      <c r="CD32" s="2" t="str">
        <f t="shared" si="15"/>
        <v/>
      </c>
      <c r="CE32" s="2" t="str">
        <f t="shared" si="16"/>
        <v/>
      </c>
      <c r="CF32" s="21" t="str">
        <f t="shared" si="17"/>
        <v/>
      </c>
      <c r="CG32" s="15"/>
      <c r="CH32" s="21" t="str">
        <f t="shared" si="18"/>
        <v/>
      </c>
    </row>
    <row r="33" spans="1:86" ht="14.45" customHeight="1" x14ac:dyDescent="0.25">
      <c r="A33" t="str">
        <f t="shared" si="22"/>
        <v>Travée</v>
      </c>
      <c r="B33" t="b">
        <f t="shared" si="23"/>
        <v>1</v>
      </c>
      <c r="C33">
        <f>IF(D33=D31,C31,C31+1)</f>
        <v>4</v>
      </c>
      <c r="D33" t="s">
        <v>101</v>
      </c>
      <c r="E33" t="s">
        <v>45</v>
      </c>
      <c r="F33">
        <v>25</v>
      </c>
      <c r="G33" t="s">
        <v>46</v>
      </c>
      <c r="H33">
        <v>500</v>
      </c>
      <c r="I33">
        <v>220000</v>
      </c>
      <c r="J33">
        <v>1576</v>
      </c>
      <c r="K33">
        <v>1870</v>
      </c>
      <c r="L33">
        <v>1</v>
      </c>
      <c r="M33">
        <v>0.25</v>
      </c>
      <c r="N33">
        <v>2.33</v>
      </c>
      <c r="O33">
        <v>5.9000000000000003E-4</v>
      </c>
      <c r="P33">
        <v>0.04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24</v>
      </c>
      <c r="Y33">
        <v>10</v>
      </c>
      <c r="Z33">
        <v>0</v>
      </c>
      <c r="AA33">
        <v>24</v>
      </c>
      <c r="AB33">
        <v>10</v>
      </c>
      <c r="AC33">
        <v>0</v>
      </c>
      <c r="AD33">
        <v>24</v>
      </c>
      <c r="AE33">
        <v>10</v>
      </c>
      <c r="AF33">
        <v>47.400000000000013</v>
      </c>
      <c r="AH33">
        <v>34</v>
      </c>
      <c r="AI33">
        <v>24</v>
      </c>
      <c r="AJ33">
        <v>10</v>
      </c>
      <c r="AK33">
        <v>4.1811123066574263</v>
      </c>
      <c r="AL33">
        <v>1.7421301277739281</v>
      </c>
      <c r="AM33">
        <v>-201.6887910703702</v>
      </c>
      <c r="AN33">
        <v>-84.036996279320945</v>
      </c>
      <c r="AO33">
        <v>0</v>
      </c>
      <c r="AP33">
        <v>0</v>
      </c>
      <c r="AQ33">
        <v>47.400000000000013</v>
      </c>
      <c r="AR33">
        <v>56.605965021685293</v>
      </c>
      <c r="AS33">
        <v>56.605965021685293</v>
      </c>
      <c r="AT33">
        <v>5.8528480877987716</v>
      </c>
      <c r="AU33">
        <v>-404.88415576759343</v>
      </c>
      <c r="AV33">
        <v>0</v>
      </c>
      <c r="AW33">
        <v>0</v>
      </c>
      <c r="AX33">
        <v>34</v>
      </c>
      <c r="AY33">
        <v>4.2812131556124271</v>
      </c>
      <c r="AZ33">
        <v>-290.1709782561669</v>
      </c>
      <c r="BA33">
        <v>56.605965021685293</v>
      </c>
      <c r="BC33" s="1">
        <f t="shared" si="24"/>
        <v>24</v>
      </c>
      <c r="BD33" s="2">
        <f t="shared" si="25"/>
        <v>4.1811123066574263</v>
      </c>
      <c r="BE33" s="7">
        <f t="shared" si="26"/>
        <v>-201.6887910703702</v>
      </c>
      <c r="BF33" s="1">
        <f t="shared" si="27"/>
        <v>10</v>
      </c>
      <c r="BG33" s="2">
        <f t="shared" si="28"/>
        <v>1.7421301277739281</v>
      </c>
      <c r="BH33" s="2">
        <f t="shared" si="53"/>
        <v>-84.036996279320945</v>
      </c>
      <c r="BI33" s="2">
        <f t="shared" si="53"/>
        <v>0</v>
      </c>
      <c r="BJ33" s="7">
        <f t="shared" si="53"/>
        <v>0</v>
      </c>
      <c r="BK33" s="1">
        <f t="shared" si="54"/>
        <v>34</v>
      </c>
      <c r="BL33" s="2">
        <f t="shared" si="54"/>
        <v>5.9232424344313541</v>
      </c>
      <c r="BM33" s="2">
        <f t="shared" si="3"/>
        <v>285.72578734969113</v>
      </c>
      <c r="BN33" s="2">
        <f t="shared" si="29"/>
        <v>0</v>
      </c>
      <c r="BO33" s="7">
        <f t="shared" si="30"/>
        <v>0</v>
      </c>
      <c r="BP33" s="2"/>
      <c r="BQ33" s="1">
        <f t="shared" si="4"/>
        <v>34</v>
      </c>
      <c r="BR33" s="4" t="str">
        <f t="shared" ref="BR33" si="70">IF(ISNUMBER(SEARCH("Appui",E33)),0,"0")</f>
        <v>0</v>
      </c>
      <c r="BS33" s="2">
        <f t="shared" si="5"/>
        <v>34</v>
      </c>
      <c r="BT33" s="2">
        <f t="shared" si="6"/>
        <v>56.605965021685293</v>
      </c>
      <c r="BU33" s="3">
        <f t="shared" si="7"/>
        <v>1.6648813241672145</v>
      </c>
      <c r="BV33" s="52">
        <f t="shared" si="8"/>
        <v>59.5</v>
      </c>
      <c r="BW33" s="21">
        <f t="shared" si="9"/>
        <v>134.0409122707151</v>
      </c>
      <c r="BX33" s="21">
        <f t="shared" si="10"/>
        <v>2.2527884415246233</v>
      </c>
      <c r="BY33" s="1">
        <f t="shared" si="11"/>
        <v>47.400000000000013</v>
      </c>
      <c r="BZ33" s="4" t="str">
        <f t="shared" ref="BZ33" si="71">IF(ISNUMBER(SEARCH("Appui",M33)),0,"0")</f>
        <v>0</v>
      </c>
      <c r="CA33" s="2">
        <f t="shared" si="12"/>
        <v>47.400000000000013</v>
      </c>
      <c r="CB33" s="2">
        <f t="shared" si="13"/>
        <v>56.605965021685293</v>
      </c>
      <c r="CC33" s="21">
        <f t="shared" si="14"/>
        <v>1.1942186713435712</v>
      </c>
      <c r="CD33" s="2">
        <f t="shared" si="15"/>
        <v>83.212500000000006</v>
      </c>
      <c r="CE33" s="2">
        <f t="shared" si="16"/>
        <v>134.0409122707151</v>
      </c>
      <c r="CF33" s="21">
        <f t="shared" si="17"/>
        <v>1.6108266458851144</v>
      </c>
      <c r="CG33" s="10" t="str">
        <f t="shared" ref="CG33" si="72">IF(C31&lt;C33,"Rive",IF(C35&gt;C33,"Rive","Inter"))</f>
        <v>Rive</v>
      </c>
      <c r="CH33" s="21">
        <f t="shared" si="18"/>
        <v>1.6108266458851144</v>
      </c>
    </row>
    <row r="34" spans="1:86" x14ac:dyDescent="0.25">
      <c r="A34" t="str">
        <f t="shared" si="22"/>
        <v>Appui</v>
      </c>
      <c r="B34" t="b">
        <f t="shared" si="23"/>
        <v>1</v>
      </c>
      <c r="C34">
        <f>IF(D34=D32,C32,C32+1)</f>
        <v>4</v>
      </c>
      <c r="D34" t="s">
        <v>101</v>
      </c>
      <c r="E34" t="s">
        <v>47</v>
      </c>
      <c r="F34">
        <v>25</v>
      </c>
      <c r="G34" t="s">
        <v>46</v>
      </c>
      <c r="H34">
        <v>500</v>
      </c>
      <c r="I34">
        <v>220000</v>
      </c>
      <c r="J34">
        <v>1576</v>
      </c>
      <c r="K34">
        <v>1870</v>
      </c>
      <c r="L34">
        <v>1</v>
      </c>
      <c r="M34">
        <v>0.25</v>
      </c>
      <c r="N34">
        <v>2.33</v>
      </c>
      <c r="O34">
        <v>2.0690000000000001E-3</v>
      </c>
      <c r="P34">
        <v>6.9999999999999993E-2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32.5</v>
      </c>
      <c r="Y34">
        <v>18.5</v>
      </c>
      <c r="Z34">
        <v>0</v>
      </c>
      <c r="AA34">
        <v>32.5</v>
      </c>
      <c r="AB34">
        <v>18.5</v>
      </c>
      <c r="AC34">
        <v>0</v>
      </c>
      <c r="AD34">
        <v>32.5</v>
      </c>
      <c r="AE34">
        <v>18.5</v>
      </c>
      <c r="AF34">
        <v>71.625</v>
      </c>
      <c r="AH34">
        <v>51</v>
      </c>
      <c r="AI34">
        <v>32.5</v>
      </c>
      <c r="AJ34">
        <v>18.5</v>
      </c>
      <c r="AK34">
        <v>4.2086807930566046</v>
      </c>
      <c r="AL34">
        <v>2.395710605278377</v>
      </c>
      <c r="AM34">
        <v>-94.265921386139098</v>
      </c>
      <c r="AN34">
        <v>-53.659062942879181</v>
      </c>
      <c r="AO34">
        <v>0</v>
      </c>
      <c r="AP34">
        <v>0</v>
      </c>
      <c r="AQ34">
        <v>71.625</v>
      </c>
      <c r="AR34">
        <v>154.86989449805961</v>
      </c>
      <c r="AS34">
        <v>154.86989449805961</v>
      </c>
      <c r="AT34">
        <v>6.7637890065540134</v>
      </c>
      <c r="AU34">
        <v>-214.23953397504741</v>
      </c>
      <c r="AV34">
        <v>0</v>
      </c>
      <c r="AW34">
        <v>0</v>
      </c>
      <c r="AX34">
        <v>51</v>
      </c>
      <c r="AY34">
        <v>4.9233755210683734</v>
      </c>
      <c r="AZ34">
        <v>-152.25263149912271</v>
      </c>
      <c r="BA34">
        <v>154.86989449805961</v>
      </c>
      <c r="BC34" s="1">
        <f t="shared" si="24"/>
        <v>32.5</v>
      </c>
      <c r="BD34" s="2">
        <f t="shared" si="25"/>
        <v>4.2086807930566046</v>
      </c>
      <c r="BE34" s="7">
        <f t="shared" si="26"/>
        <v>-94.265921386139098</v>
      </c>
      <c r="BF34" s="1">
        <f t="shared" si="27"/>
        <v>18.5</v>
      </c>
      <c r="BG34" s="2">
        <f t="shared" si="28"/>
        <v>2.395710605278377</v>
      </c>
      <c r="BH34" s="2">
        <f t="shared" si="53"/>
        <v>-53.659062942879181</v>
      </c>
      <c r="BI34" s="2">
        <f t="shared" si="53"/>
        <v>0</v>
      </c>
      <c r="BJ34" s="7">
        <f t="shared" si="53"/>
        <v>0</v>
      </c>
      <c r="BK34" s="1">
        <f t="shared" si="54"/>
        <v>51</v>
      </c>
      <c r="BL34" s="2">
        <f t="shared" si="54"/>
        <v>6.6043913983349816</v>
      </c>
      <c r="BM34" s="2">
        <f t="shared" si="3"/>
        <v>147.92498432901829</v>
      </c>
      <c r="BN34" s="2">
        <f t="shared" si="29"/>
        <v>0</v>
      </c>
      <c r="BO34" s="7">
        <f t="shared" si="30"/>
        <v>0</v>
      </c>
      <c r="BP34" s="2"/>
      <c r="BQ34" s="1">
        <f t="shared" si="4"/>
        <v>51</v>
      </c>
      <c r="BR34" s="4">
        <v>0</v>
      </c>
      <c r="BS34" s="2">
        <f t="shared" si="5"/>
        <v>51</v>
      </c>
      <c r="BT34" s="2">
        <f t="shared" si="6"/>
        <v>154.86989449805961</v>
      </c>
      <c r="BU34" s="3">
        <f t="shared" si="7"/>
        <v>3.0366645980011686</v>
      </c>
      <c r="BV34" s="52" t="str">
        <f t="shared" si="8"/>
        <v/>
      </c>
      <c r="BW34" s="21" t="str">
        <f t="shared" si="9"/>
        <v/>
      </c>
      <c r="BX34" s="21" t="str">
        <f t="shared" si="10"/>
        <v/>
      </c>
      <c r="BY34" s="1">
        <f t="shared" si="11"/>
        <v>71.625</v>
      </c>
      <c r="BZ34" s="4">
        <v>0</v>
      </c>
      <c r="CA34" s="2">
        <f t="shared" si="12"/>
        <v>71.625</v>
      </c>
      <c r="CB34" s="2">
        <f t="shared" si="13"/>
        <v>154.86989449805961</v>
      </c>
      <c r="CC34" s="21">
        <f t="shared" si="14"/>
        <v>2.1622323839170625</v>
      </c>
      <c r="CD34" s="2" t="str">
        <f t="shared" si="15"/>
        <v/>
      </c>
      <c r="CE34" s="2" t="str">
        <f t="shared" si="16"/>
        <v/>
      </c>
      <c r="CF34" s="21" t="str">
        <f t="shared" si="17"/>
        <v/>
      </c>
      <c r="CG34" s="15"/>
      <c r="CH34" s="21" t="str">
        <f t="shared" si="18"/>
        <v/>
      </c>
    </row>
    <row r="35" spans="1:86" x14ac:dyDescent="0.25">
      <c r="A35" t="str">
        <f t="shared" si="22"/>
        <v>Travée</v>
      </c>
      <c r="B35" t="b">
        <f t="shared" si="23"/>
        <v>1</v>
      </c>
      <c r="C35">
        <f>IF(D35="",100000,IF(D35=D34,C34,C34+1))</f>
        <v>4</v>
      </c>
      <c r="D35" t="s">
        <v>101</v>
      </c>
      <c r="E35" t="s">
        <v>48</v>
      </c>
      <c r="F35">
        <v>25</v>
      </c>
      <c r="G35" t="s">
        <v>46</v>
      </c>
      <c r="H35">
        <v>500</v>
      </c>
      <c r="I35">
        <v>220000</v>
      </c>
      <c r="J35">
        <v>1576</v>
      </c>
      <c r="K35">
        <v>1870</v>
      </c>
      <c r="L35">
        <v>1</v>
      </c>
      <c r="M35">
        <v>0.25</v>
      </c>
      <c r="N35">
        <v>2.33</v>
      </c>
      <c r="O35">
        <v>5.9000000000000003E-4</v>
      </c>
      <c r="P35">
        <v>0.04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8</v>
      </c>
      <c r="Z35">
        <v>0</v>
      </c>
      <c r="AA35">
        <v>0</v>
      </c>
      <c r="AB35">
        <v>8</v>
      </c>
      <c r="AC35">
        <v>0</v>
      </c>
      <c r="AD35">
        <v>0</v>
      </c>
      <c r="AE35">
        <v>8</v>
      </c>
      <c r="AF35">
        <v>12</v>
      </c>
      <c r="AH35">
        <v>8</v>
      </c>
      <c r="AI35">
        <v>0</v>
      </c>
      <c r="AJ35">
        <v>8</v>
      </c>
      <c r="AK35">
        <v>0</v>
      </c>
      <c r="AL35">
        <v>1.393704102219143</v>
      </c>
      <c r="AM35">
        <v>0</v>
      </c>
      <c r="AN35">
        <v>-67.229597023456748</v>
      </c>
      <c r="AO35">
        <v>0</v>
      </c>
      <c r="AP35">
        <v>0</v>
      </c>
      <c r="AQ35">
        <v>12</v>
      </c>
      <c r="AR35">
        <v>56.605965021685293</v>
      </c>
      <c r="AS35">
        <v>56.605965021685293</v>
      </c>
      <c r="AT35">
        <v>1.5569143461064601</v>
      </c>
      <c r="AU35">
        <v>-102.2755524343397</v>
      </c>
      <c r="AV35">
        <v>0</v>
      </c>
      <c r="AW35">
        <v>0</v>
      </c>
      <c r="AX35">
        <v>8</v>
      </c>
      <c r="AY35">
        <v>1.043329553309454</v>
      </c>
      <c r="AZ35">
        <v>-68.167690722488899</v>
      </c>
      <c r="BA35">
        <v>56.605965021685293</v>
      </c>
      <c r="BC35" s="1">
        <f t="shared" si="24"/>
        <v>0</v>
      </c>
      <c r="BD35" s="2">
        <f t="shared" si="25"/>
        <v>0</v>
      </c>
      <c r="BE35" s="7">
        <f t="shared" si="26"/>
        <v>0</v>
      </c>
      <c r="BF35" s="1">
        <f t="shared" si="27"/>
        <v>8</v>
      </c>
      <c r="BG35" s="2">
        <f t="shared" si="28"/>
        <v>1.393704102219143</v>
      </c>
      <c r="BH35" s="2">
        <f t="shared" si="53"/>
        <v>-67.229597023456748</v>
      </c>
      <c r="BI35" s="2">
        <f t="shared" si="53"/>
        <v>0</v>
      </c>
      <c r="BJ35" s="7">
        <f t="shared" si="53"/>
        <v>0</v>
      </c>
      <c r="BK35" s="1">
        <f t="shared" si="54"/>
        <v>8</v>
      </c>
      <c r="BL35" s="2">
        <f t="shared" si="54"/>
        <v>1.393704102219143</v>
      </c>
      <c r="BM35" s="2">
        <f t="shared" si="3"/>
        <v>67.229597023456748</v>
      </c>
      <c r="BN35" s="2">
        <f t="shared" si="29"/>
        <v>0</v>
      </c>
      <c r="BO35" s="7">
        <f t="shared" si="30"/>
        <v>0</v>
      </c>
      <c r="BP35" s="2"/>
      <c r="BQ35" s="1">
        <f t="shared" si="4"/>
        <v>8</v>
      </c>
      <c r="BR35" s="4" t="str">
        <f t="shared" ref="BR35" si="73">IF(ISNUMBER(SEARCH("Appui",E35)),0,"0")</f>
        <v>0</v>
      </c>
      <c r="BS35" s="2">
        <f t="shared" si="5"/>
        <v>8</v>
      </c>
      <c r="BT35" s="2">
        <f t="shared" si="6"/>
        <v>56.605965021685293</v>
      </c>
      <c r="BU35" s="3">
        <f t="shared" si="7"/>
        <v>7.0757456277106616</v>
      </c>
      <c r="BV35" s="52">
        <f t="shared" si="8"/>
        <v>59.75</v>
      </c>
      <c r="BW35" s="21">
        <f t="shared" si="9"/>
        <v>193.78871258691146</v>
      </c>
      <c r="BX35" s="21">
        <f t="shared" si="10"/>
        <v>3.2433257336721582</v>
      </c>
      <c r="BY35" s="1">
        <f t="shared" si="11"/>
        <v>12</v>
      </c>
      <c r="BZ35" s="4" t="str">
        <f t="shared" ref="BZ35" si="74">IF(ISNUMBER(SEARCH("Appui",M35)),0,"0")</f>
        <v>0</v>
      </c>
      <c r="CA35" s="2">
        <f t="shared" si="12"/>
        <v>12</v>
      </c>
      <c r="CB35" s="2">
        <f t="shared" si="13"/>
        <v>56.605965021685293</v>
      </c>
      <c r="CC35" s="21">
        <f t="shared" si="14"/>
        <v>4.7171637518071075</v>
      </c>
      <c r="CD35" s="2">
        <f t="shared" si="15"/>
        <v>84.75</v>
      </c>
      <c r="CE35" s="2">
        <f t="shared" si="16"/>
        <v>193.78871258691146</v>
      </c>
      <c r="CF35" s="21">
        <f t="shared" si="17"/>
        <v>2.2865924789016101</v>
      </c>
      <c r="CG35" s="10" t="str">
        <f t="shared" ref="CG35" si="75">IF(C33&lt;C35,"Rive",IF(C37&gt;C35,"Rive","Inter"))</f>
        <v>Inter</v>
      </c>
      <c r="CH35" s="21">
        <f t="shared" si="18"/>
        <v>2.2865924789016101</v>
      </c>
    </row>
    <row r="36" spans="1:86" x14ac:dyDescent="0.25">
      <c r="A36" t="str">
        <f t="shared" si="22"/>
        <v>Appui</v>
      </c>
      <c r="B36" t="b">
        <f t="shared" si="23"/>
        <v>1</v>
      </c>
      <c r="C36">
        <f>IF(D36="",100000,IF(D36=D35,C35,C35+1))</f>
        <v>4</v>
      </c>
      <c r="D36" t="s">
        <v>101</v>
      </c>
      <c r="E36" t="s">
        <v>49</v>
      </c>
      <c r="F36">
        <v>25</v>
      </c>
      <c r="G36" t="s">
        <v>46</v>
      </c>
      <c r="H36">
        <v>500</v>
      </c>
      <c r="I36">
        <v>220000</v>
      </c>
      <c r="J36">
        <v>1576</v>
      </c>
      <c r="K36">
        <v>1870</v>
      </c>
      <c r="L36">
        <v>1</v>
      </c>
      <c r="M36">
        <v>0.25</v>
      </c>
      <c r="N36">
        <v>2.33</v>
      </c>
      <c r="O36">
        <v>1.9400000000000001E-3</v>
      </c>
      <c r="P36">
        <v>9.9999999999999992E-2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32.5</v>
      </c>
      <c r="Y36">
        <v>20</v>
      </c>
      <c r="Z36">
        <v>0</v>
      </c>
      <c r="AA36">
        <v>32.5</v>
      </c>
      <c r="AB36">
        <v>20</v>
      </c>
      <c r="AC36">
        <v>0</v>
      </c>
      <c r="AD36">
        <v>32.5</v>
      </c>
      <c r="AE36">
        <v>20</v>
      </c>
      <c r="AF36">
        <v>73.875</v>
      </c>
      <c r="AH36">
        <v>52.5</v>
      </c>
      <c r="AI36">
        <v>32.5</v>
      </c>
      <c r="AJ36">
        <v>20</v>
      </c>
      <c r="AK36">
        <v>5.7822471394022434</v>
      </c>
      <c r="AL36">
        <v>3.5583059319398389</v>
      </c>
      <c r="AM36">
        <v>-121.1780513031914</v>
      </c>
      <c r="AN36">
        <v>-74.571108494271698</v>
      </c>
      <c r="AO36">
        <v>0</v>
      </c>
      <c r="AP36">
        <v>0</v>
      </c>
      <c r="AQ36">
        <v>73.875</v>
      </c>
      <c r="AR36">
        <v>119.49560063239269</v>
      </c>
      <c r="AS36">
        <v>119.49560063239269</v>
      </c>
      <c r="AT36">
        <v>9.2989445470037406</v>
      </c>
      <c r="AU36">
        <v>-285.2599329853366</v>
      </c>
      <c r="AV36">
        <v>0</v>
      </c>
      <c r="AW36">
        <v>0</v>
      </c>
      <c r="AX36">
        <v>52.5</v>
      </c>
      <c r="AY36">
        <v>6.8409294516552626</v>
      </c>
      <c r="AZ36">
        <v>-202.08054838149249</v>
      </c>
      <c r="BA36">
        <v>119.49560063239269</v>
      </c>
      <c r="BC36" s="1">
        <f t="shared" si="24"/>
        <v>32.5</v>
      </c>
      <c r="BD36" s="2">
        <f t="shared" si="25"/>
        <v>5.7822471394022434</v>
      </c>
      <c r="BE36" s="7">
        <f t="shared" si="26"/>
        <v>-121.1780513031914</v>
      </c>
      <c r="BF36" s="1">
        <f t="shared" si="27"/>
        <v>20</v>
      </c>
      <c r="BG36" s="2">
        <f t="shared" si="28"/>
        <v>3.5583059319398389</v>
      </c>
      <c r="BH36" s="2">
        <f t="shared" si="53"/>
        <v>-74.571108494271698</v>
      </c>
      <c r="BI36" s="2">
        <f t="shared" si="53"/>
        <v>0</v>
      </c>
      <c r="BJ36" s="7">
        <f t="shared" si="53"/>
        <v>0</v>
      </c>
      <c r="BK36" s="1">
        <f t="shared" si="54"/>
        <v>52.5</v>
      </c>
      <c r="BL36" s="2">
        <f t="shared" si="54"/>
        <v>9.3405530713420823</v>
      </c>
      <c r="BM36" s="2">
        <f t="shared" si="3"/>
        <v>195.74915979746311</v>
      </c>
      <c r="BN36" s="2">
        <f t="shared" si="29"/>
        <v>0</v>
      </c>
      <c r="BO36" s="7">
        <f t="shared" si="30"/>
        <v>0</v>
      </c>
      <c r="BP36" s="2"/>
      <c r="BQ36" s="1">
        <f t="shared" si="4"/>
        <v>52.5</v>
      </c>
      <c r="BR36" s="4">
        <v>0</v>
      </c>
      <c r="BS36" s="2">
        <f t="shared" si="5"/>
        <v>52.5</v>
      </c>
      <c r="BT36" s="2">
        <f t="shared" si="6"/>
        <v>119.49560063239269</v>
      </c>
      <c r="BU36" s="3">
        <f t="shared" si="7"/>
        <v>2.2761066787122419</v>
      </c>
      <c r="BV36" s="52" t="str">
        <f t="shared" si="8"/>
        <v/>
      </c>
      <c r="BW36" s="21" t="str">
        <f t="shared" si="9"/>
        <v/>
      </c>
      <c r="BX36" s="21" t="str">
        <f t="shared" si="10"/>
        <v/>
      </c>
      <c r="BY36" s="1">
        <f t="shared" si="11"/>
        <v>73.875</v>
      </c>
      <c r="BZ36" s="4">
        <v>0</v>
      </c>
      <c r="CA36" s="2">
        <f t="shared" si="12"/>
        <v>73.875</v>
      </c>
      <c r="CB36" s="2">
        <f t="shared" si="13"/>
        <v>119.49560063239269</v>
      </c>
      <c r="CC36" s="21">
        <f t="shared" si="14"/>
        <v>1.6175377412168215</v>
      </c>
      <c r="CD36" s="2" t="str">
        <f t="shared" si="15"/>
        <v/>
      </c>
      <c r="CE36" s="2" t="str">
        <f t="shared" si="16"/>
        <v/>
      </c>
      <c r="CF36" s="21" t="str">
        <f t="shared" si="17"/>
        <v/>
      </c>
      <c r="CG36" s="15"/>
      <c r="CH36" s="21" t="str">
        <f t="shared" si="18"/>
        <v/>
      </c>
    </row>
    <row r="37" spans="1:86" x14ac:dyDescent="0.25">
      <c r="A37" t="str">
        <f t="shared" si="22"/>
        <v>Travée</v>
      </c>
      <c r="B37" t="b">
        <f t="shared" si="23"/>
        <v>1</v>
      </c>
      <c r="C37">
        <f t="shared" ref="C37:C65" si="76">IF(D37="",100000,IF(D37=D36,C36,C36+1))</f>
        <v>4</v>
      </c>
      <c r="D37" t="s">
        <v>101</v>
      </c>
      <c r="E37" t="s">
        <v>51</v>
      </c>
      <c r="F37">
        <v>25</v>
      </c>
      <c r="G37" t="s">
        <v>46</v>
      </c>
      <c r="H37">
        <v>500</v>
      </c>
      <c r="I37">
        <v>220000</v>
      </c>
      <c r="J37">
        <v>1576</v>
      </c>
      <c r="K37">
        <v>1870</v>
      </c>
      <c r="L37">
        <v>1</v>
      </c>
      <c r="M37">
        <v>0.25</v>
      </c>
      <c r="N37">
        <v>2.33</v>
      </c>
      <c r="O37">
        <v>9.0000000000000008E-4</v>
      </c>
      <c r="P37">
        <v>0.04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28</v>
      </c>
      <c r="Y37">
        <v>15</v>
      </c>
      <c r="Z37">
        <v>0</v>
      </c>
      <c r="AA37">
        <v>28</v>
      </c>
      <c r="AB37">
        <v>15</v>
      </c>
      <c r="AC37">
        <v>0</v>
      </c>
      <c r="AD37">
        <v>28</v>
      </c>
      <c r="AE37">
        <v>15</v>
      </c>
      <c r="AF37">
        <v>60.3</v>
      </c>
      <c r="AH37">
        <v>43</v>
      </c>
      <c r="AI37">
        <v>28</v>
      </c>
      <c r="AJ37">
        <v>15</v>
      </c>
      <c r="AK37">
        <v>4.0412160609351497</v>
      </c>
      <c r="AL37">
        <v>2.1649371755009739</v>
      </c>
      <c r="AM37">
        <v>-155.59870538667491</v>
      </c>
      <c r="AN37">
        <v>-83.356449314290131</v>
      </c>
      <c r="AO37">
        <v>0</v>
      </c>
      <c r="AP37">
        <v>0</v>
      </c>
      <c r="AQ37">
        <v>60.3</v>
      </c>
      <c r="AR37">
        <v>85.646880764689726</v>
      </c>
      <c r="AS37">
        <v>85.646880764689726</v>
      </c>
      <c r="AT37">
        <v>6.1998468180451987</v>
      </c>
      <c r="AU37">
        <v>-341.85384568850338</v>
      </c>
      <c r="AV37">
        <v>0</v>
      </c>
      <c r="AW37">
        <v>0</v>
      </c>
      <c r="AX37">
        <v>43</v>
      </c>
      <c r="AY37">
        <v>4.5124522349547176</v>
      </c>
      <c r="AZ37">
        <v>-243.52632516522871</v>
      </c>
      <c r="BA37">
        <v>85.646880764689726</v>
      </c>
      <c r="BC37" s="1">
        <f t="shared" si="24"/>
        <v>28</v>
      </c>
      <c r="BD37" s="2">
        <f t="shared" si="25"/>
        <v>4.0412160609351497</v>
      </c>
      <c r="BE37" s="7">
        <f t="shared" si="26"/>
        <v>-155.59870538667491</v>
      </c>
      <c r="BF37" s="1">
        <f t="shared" si="27"/>
        <v>15</v>
      </c>
      <c r="BG37" s="2">
        <f t="shared" si="28"/>
        <v>2.1649371755009739</v>
      </c>
      <c r="BH37" s="2">
        <f t="shared" si="53"/>
        <v>-83.356449314290131</v>
      </c>
      <c r="BI37" s="2">
        <f t="shared" si="53"/>
        <v>0</v>
      </c>
      <c r="BJ37" s="7">
        <f t="shared" si="53"/>
        <v>0</v>
      </c>
      <c r="BK37" s="1">
        <f t="shared" si="54"/>
        <v>43</v>
      </c>
      <c r="BL37" s="2">
        <f t="shared" si="54"/>
        <v>6.2061532364361236</v>
      </c>
      <c r="BM37" s="2">
        <f t="shared" si="3"/>
        <v>238.95515470096504</v>
      </c>
      <c r="BN37" s="2">
        <f t="shared" si="29"/>
        <v>0</v>
      </c>
      <c r="BO37" s="7">
        <f t="shared" si="30"/>
        <v>0</v>
      </c>
      <c r="BQ37" s="1">
        <f t="shared" si="4"/>
        <v>43</v>
      </c>
      <c r="BR37" s="4" t="str">
        <f t="shared" ref="BR37" si="77">IF(ISNUMBER(SEARCH("Appui",E37)),0,"0")</f>
        <v>0</v>
      </c>
      <c r="BS37" s="2">
        <f t="shared" si="5"/>
        <v>43</v>
      </c>
      <c r="BT37" s="2">
        <f t="shared" si="6"/>
        <v>85.646880764689726</v>
      </c>
      <c r="BU37" s="3">
        <f t="shared" si="7"/>
        <v>1.9917879247602261</v>
      </c>
      <c r="BV37" s="52">
        <f t="shared" si="8"/>
        <v>106.5</v>
      </c>
      <c r="BW37" s="21">
        <f t="shared" si="9"/>
        <v>218.48127884992488</v>
      </c>
      <c r="BX37" s="21">
        <f t="shared" si="10"/>
        <v>2.0514674070415482</v>
      </c>
      <c r="BY37" s="1">
        <f t="shared" si="11"/>
        <v>60.3</v>
      </c>
      <c r="BZ37" s="4" t="str">
        <f t="shared" ref="BZ37" si="78">IF(ISNUMBER(SEARCH("Appui",M37)),0,"0")</f>
        <v>0</v>
      </c>
      <c r="CA37" s="2">
        <f t="shared" si="12"/>
        <v>60.3</v>
      </c>
      <c r="CB37" s="2">
        <f t="shared" si="13"/>
        <v>85.646880764689726</v>
      </c>
      <c r="CC37" s="21">
        <f t="shared" si="14"/>
        <v>1.4203462813381382</v>
      </c>
      <c r="CD37" s="2">
        <f t="shared" si="15"/>
        <v>149.13749999999999</v>
      </c>
      <c r="CE37" s="2">
        <f t="shared" si="16"/>
        <v>218.48127884992488</v>
      </c>
      <c r="CF37" s="21">
        <f t="shared" si="17"/>
        <v>1.4649654101076182</v>
      </c>
      <c r="CG37" s="10" t="str">
        <f t="shared" ref="CG37" si="79">IF(C35&lt;C37,"Rive",IF(C39&gt;C37,"Rive","Inter"))</f>
        <v>Inter</v>
      </c>
      <c r="CH37" s="21">
        <f t="shared" si="18"/>
        <v>1.4649654101076182</v>
      </c>
    </row>
    <row r="38" spans="1:86" x14ac:dyDescent="0.25">
      <c r="A38" t="str">
        <f t="shared" si="22"/>
        <v>Appui</v>
      </c>
      <c r="B38" t="b">
        <f t="shared" si="23"/>
        <v>1</v>
      </c>
      <c r="C38">
        <f t="shared" si="76"/>
        <v>4</v>
      </c>
      <c r="D38" t="s">
        <v>101</v>
      </c>
      <c r="E38" t="s">
        <v>52</v>
      </c>
      <c r="F38">
        <v>25</v>
      </c>
      <c r="G38" t="s">
        <v>46</v>
      </c>
      <c r="H38">
        <v>500</v>
      </c>
      <c r="I38">
        <v>220000</v>
      </c>
      <c r="J38">
        <v>1576</v>
      </c>
      <c r="K38">
        <v>1870</v>
      </c>
      <c r="L38">
        <v>1</v>
      </c>
      <c r="M38">
        <v>0.25</v>
      </c>
      <c r="N38">
        <v>2.33</v>
      </c>
      <c r="O38">
        <v>1.9400000000000001E-3</v>
      </c>
      <c r="P38">
        <v>6.9999999999999993E-2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53</v>
      </c>
      <c r="Y38">
        <v>21.5</v>
      </c>
      <c r="Z38">
        <v>0</v>
      </c>
      <c r="AA38">
        <v>53</v>
      </c>
      <c r="AB38">
        <v>21.5</v>
      </c>
      <c r="AC38">
        <v>0</v>
      </c>
      <c r="AD38">
        <v>53</v>
      </c>
      <c r="AE38">
        <v>21.5</v>
      </c>
      <c r="AF38">
        <v>103.8</v>
      </c>
      <c r="AH38">
        <v>74.5</v>
      </c>
      <c r="AI38">
        <v>53</v>
      </c>
      <c r="AJ38">
        <v>21.5</v>
      </c>
      <c r="AK38">
        <v>7.048121970341894</v>
      </c>
      <c r="AL38">
        <v>2.8591438181575581</v>
      </c>
      <c r="AM38">
        <v>-163.56837054574811</v>
      </c>
      <c r="AN38">
        <v>-66.353206919501574</v>
      </c>
      <c r="AO38">
        <v>0</v>
      </c>
      <c r="AP38">
        <v>0</v>
      </c>
      <c r="AQ38">
        <v>103.8</v>
      </c>
      <c r="AR38">
        <v>146.17319553807761</v>
      </c>
      <c r="AS38">
        <v>146.17319553807761</v>
      </c>
      <c r="AT38">
        <v>9.6322781554718375</v>
      </c>
      <c r="AU38">
        <v>-331.24570086740607</v>
      </c>
      <c r="AV38">
        <v>0</v>
      </c>
      <c r="AW38">
        <v>0</v>
      </c>
      <c r="AX38">
        <v>74.5</v>
      </c>
      <c r="AY38">
        <v>7.1707460151360518</v>
      </c>
      <c r="AZ38">
        <v>-236.98769820702961</v>
      </c>
      <c r="BA38">
        <v>146.17319553807761</v>
      </c>
      <c r="BC38" s="1">
        <f t="shared" si="24"/>
        <v>53</v>
      </c>
      <c r="BD38" s="2">
        <f t="shared" si="25"/>
        <v>7.048121970341894</v>
      </c>
      <c r="BE38" s="7">
        <f t="shared" si="26"/>
        <v>-163.56837054574811</v>
      </c>
      <c r="BF38" s="1">
        <f t="shared" si="27"/>
        <v>21.5</v>
      </c>
      <c r="BG38" s="2">
        <f t="shared" si="28"/>
        <v>2.8591438181575581</v>
      </c>
      <c r="BH38" s="2">
        <f t="shared" si="53"/>
        <v>-66.353206919501574</v>
      </c>
      <c r="BI38" s="2">
        <f t="shared" si="53"/>
        <v>0</v>
      </c>
      <c r="BJ38" s="7">
        <f t="shared" si="53"/>
        <v>0</v>
      </c>
      <c r="BK38" s="1">
        <f t="shared" si="54"/>
        <v>74.5</v>
      </c>
      <c r="BL38" s="2">
        <f t="shared" si="54"/>
        <v>9.9072657884994513</v>
      </c>
      <c r="BM38" s="2">
        <f t="shared" si="3"/>
        <v>229.9215774652497</v>
      </c>
      <c r="BN38" s="2">
        <f t="shared" si="29"/>
        <v>0</v>
      </c>
      <c r="BO38" s="7">
        <f t="shared" si="30"/>
        <v>0</v>
      </c>
      <c r="BQ38" s="1">
        <f t="shared" si="4"/>
        <v>74.5</v>
      </c>
      <c r="BR38" s="4">
        <v>0</v>
      </c>
      <c r="BS38" s="2">
        <f t="shared" si="5"/>
        <v>74.5</v>
      </c>
      <c r="BT38" s="2">
        <f t="shared" si="6"/>
        <v>146.17319553807761</v>
      </c>
      <c r="BU38" s="3">
        <f t="shared" si="7"/>
        <v>1.9620563159473505</v>
      </c>
      <c r="BV38" s="52" t="str">
        <f t="shared" si="8"/>
        <v/>
      </c>
      <c r="BW38" s="21" t="str">
        <f t="shared" si="9"/>
        <v/>
      </c>
      <c r="BX38" s="21" t="str">
        <f t="shared" si="10"/>
        <v/>
      </c>
      <c r="BY38" s="1">
        <f t="shared" si="11"/>
        <v>103.8</v>
      </c>
      <c r="BZ38" s="4">
        <v>0</v>
      </c>
      <c r="CA38" s="2">
        <f t="shared" si="12"/>
        <v>103.8</v>
      </c>
      <c r="CB38" s="2">
        <f t="shared" si="13"/>
        <v>146.17319553807761</v>
      </c>
      <c r="CC38" s="21">
        <f t="shared" si="14"/>
        <v>1.4082196101934259</v>
      </c>
      <c r="CD38" s="2" t="str">
        <f t="shared" si="15"/>
        <v/>
      </c>
      <c r="CE38" s="2" t="str">
        <f t="shared" si="16"/>
        <v/>
      </c>
      <c r="CF38" s="21" t="str">
        <f t="shared" si="17"/>
        <v/>
      </c>
      <c r="CG38" s="15"/>
      <c r="CH38" s="21" t="str">
        <f t="shared" si="18"/>
        <v/>
      </c>
    </row>
    <row r="39" spans="1:86" x14ac:dyDescent="0.25">
      <c r="A39" t="str">
        <f t="shared" si="22"/>
        <v>Travée</v>
      </c>
      <c r="B39" t="b">
        <f t="shared" si="23"/>
        <v>1</v>
      </c>
      <c r="C39">
        <f t="shared" si="76"/>
        <v>4</v>
      </c>
      <c r="D39" t="s">
        <v>101</v>
      </c>
      <c r="E39" t="s">
        <v>53</v>
      </c>
      <c r="F39">
        <v>25</v>
      </c>
      <c r="G39" t="s">
        <v>46</v>
      </c>
      <c r="H39">
        <v>500</v>
      </c>
      <c r="I39">
        <v>220000</v>
      </c>
      <c r="J39">
        <v>1576</v>
      </c>
      <c r="K39">
        <v>1870</v>
      </c>
      <c r="L39">
        <v>1</v>
      </c>
      <c r="M39">
        <v>0.25</v>
      </c>
      <c r="N39">
        <v>2.33</v>
      </c>
      <c r="O39">
        <v>5.9900000000000003E-4</v>
      </c>
      <c r="P39">
        <v>0.04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24</v>
      </c>
      <c r="Y39">
        <v>14</v>
      </c>
      <c r="Z39">
        <v>0</v>
      </c>
      <c r="AA39">
        <v>24</v>
      </c>
      <c r="AB39">
        <v>14</v>
      </c>
      <c r="AC39">
        <v>0</v>
      </c>
      <c r="AD39">
        <v>24</v>
      </c>
      <c r="AE39">
        <v>14</v>
      </c>
      <c r="AF39">
        <v>53.400000000000013</v>
      </c>
      <c r="AH39">
        <v>38</v>
      </c>
      <c r="AI39">
        <v>24</v>
      </c>
      <c r="AJ39">
        <v>14</v>
      </c>
      <c r="AK39">
        <v>4.1521443396026561</v>
      </c>
      <c r="AL39">
        <v>2.422084198101548</v>
      </c>
      <c r="AM39">
        <v>-198.71664116225219</v>
      </c>
      <c r="AN39">
        <v>-115.9180406779804</v>
      </c>
      <c r="AO39">
        <v>0</v>
      </c>
      <c r="AP39">
        <v>0</v>
      </c>
      <c r="AQ39">
        <v>53.400000000000013</v>
      </c>
      <c r="AR39">
        <v>57.459219071377731</v>
      </c>
      <c r="AS39">
        <v>57.459219071377731</v>
      </c>
      <c r="AT39">
        <v>10.724192411982971</v>
      </c>
      <c r="AU39">
        <v>-438.96407798634038</v>
      </c>
      <c r="AV39">
        <v>0</v>
      </c>
      <c r="AW39">
        <v>0</v>
      </c>
      <c r="AX39">
        <v>38</v>
      </c>
      <c r="AY39">
        <v>4.7272375820576826</v>
      </c>
      <c r="AZ39">
        <v>-319.65187058375329</v>
      </c>
      <c r="BA39">
        <v>57.459219071377731</v>
      </c>
      <c r="BC39" s="1">
        <f t="shared" si="24"/>
        <v>24</v>
      </c>
      <c r="BD39" s="2">
        <f t="shared" si="25"/>
        <v>4.1521443396026561</v>
      </c>
      <c r="BE39" s="7">
        <f t="shared" si="26"/>
        <v>-198.71664116225219</v>
      </c>
      <c r="BF39" s="1">
        <f t="shared" si="27"/>
        <v>14</v>
      </c>
      <c r="BG39" s="2">
        <f t="shared" si="28"/>
        <v>2.422084198101548</v>
      </c>
      <c r="BH39" s="2">
        <f t="shared" si="53"/>
        <v>-115.9180406779804</v>
      </c>
      <c r="BI39" s="2">
        <f t="shared" si="53"/>
        <v>0</v>
      </c>
      <c r="BJ39" s="7">
        <f t="shared" si="53"/>
        <v>0</v>
      </c>
      <c r="BK39" s="1">
        <f t="shared" si="54"/>
        <v>38</v>
      </c>
      <c r="BL39" s="2">
        <f t="shared" si="54"/>
        <v>6.5742285377042045</v>
      </c>
      <c r="BM39" s="2">
        <f t="shared" si="3"/>
        <v>314.63468184023259</v>
      </c>
      <c r="BN39" s="2">
        <f t="shared" si="29"/>
        <v>0</v>
      </c>
      <c r="BO39" s="7">
        <f t="shared" si="30"/>
        <v>0</v>
      </c>
      <c r="BQ39" s="1">
        <f t="shared" si="4"/>
        <v>38</v>
      </c>
      <c r="BR39" s="4" t="str">
        <f t="shared" ref="BR39" si="80">IF(ISNUMBER(SEARCH("Appui",E39)),0,"0")</f>
        <v>0</v>
      </c>
      <c r="BS39" s="2">
        <f t="shared" si="5"/>
        <v>38</v>
      </c>
      <c r="BT39" s="2">
        <f t="shared" si="6"/>
        <v>57.459219071377731</v>
      </c>
      <c r="BU39" s="3">
        <f t="shared" si="7"/>
        <v>1.5120847124046772</v>
      </c>
      <c r="BV39" s="52">
        <f t="shared" si="8"/>
        <v>104</v>
      </c>
      <c r="BW39" s="21">
        <f t="shared" si="9"/>
        <v>203.63241460945534</v>
      </c>
      <c r="BX39" s="21">
        <f t="shared" si="10"/>
        <v>1.9580039866293784</v>
      </c>
      <c r="BY39" s="1">
        <f t="shared" si="11"/>
        <v>53.400000000000013</v>
      </c>
      <c r="BZ39" s="4" t="str">
        <f t="shared" ref="BZ39" si="81">IF(ISNUMBER(SEARCH("Appui",M39)),0,"0")</f>
        <v>0</v>
      </c>
      <c r="CA39" s="2">
        <f t="shared" si="12"/>
        <v>53.400000000000013</v>
      </c>
      <c r="CB39" s="2">
        <f t="shared" si="13"/>
        <v>57.459219071377731</v>
      </c>
      <c r="CC39" s="21">
        <f t="shared" si="14"/>
        <v>1.076015338415313</v>
      </c>
      <c r="CD39" s="2">
        <f t="shared" si="15"/>
        <v>145.61250000000001</v>
      </c>
      <c r="CE39" s="2">
        <f t="shared" si="16"/>
        <v>203.63241460945534</v>
      </c>
      <c r="CF39" s="21">
        <f t="shared" si="17"/>
        <v>1.3984542165642051</v>
      </c>
      <c r="CG39" s="10" t="str">
        <f t="shared" ref="CG39" si="82">IF(C37&lt;C39,"Rive",IF(C41&gt;C39,"Rive","Inter"))</f>
        <v>Inter</v>
      </c>
      <c r="CH39" s="21">
        <f t="shared" si="18"/>
        <v>1.3984542165642051</v>
      </c>
    </row>
    <row r="40" spans="1:86" x14ac:dyDescent="0.25">
      <c r="A40" t="str">
        <f t="shared" si="22"/>
        <v>Appui</v>
      </c>
      <c r="B40" t="b">
        <f t="shared" si="23"/>
        <v>1</v>
      </c>
      <c r="C40">
        <f t="shared" si="76"/>
        <v>4</v>
      </c>
      <c r="D40" t="s">
        <v>101</v>
      </c>
      <c r="E40" t="s">
        <v>54</v>
      </c>
      <c r="F40">
        <v>25</v>
      </c>
      <c r="G40" t="s">
        <v>46</v>
      </c>
      <c r="H40">
        <v>500</v>
      </c>
      <c r="I40">
        <v>220000</v>
      </c>
      <c r="J40">
        <v>1576</v>
      </c>
      <c r="K40">
        <v>1870</v>
      </c>
      <c r="L40">
        <v>1</v>
      </c>
      <c r="M40">
        <v>0.25</v>
      </c>
      <c r="N40">
        <v>2.33</v>
      </c>
      <c r="O40">
        <v>1.9400000000000001E-3</v>
      </c>
      <c r="P40">
        <v>6.9999999999999993E-2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37.5</v>
      </c>
      <c r="Y40">
        <v>20</v>
      </c>
      <c r="Z40">
        <v>0</v>
      </c>
      <c r="AA40">
        <v>37.5</v>
      </c>
      <c r="AB40">
        <v>20</v>
      </c>
      <c r="AC40">
        <v>0</v>
      </c>
      <c r="AD40">
        <v>37.5</v>
      </c>
      <c r="AE40">
        <v>20</v>
      </c>
      <c r="AF40">
        <v>80.625</v>
      </c>
      <c r="AH40">
        <v>57.5</v>
      </c>
      <c r="AI40">
        <v>37.5</v>
      </c>
      <c r="AJ40">
        <v>20</v>
      </c>
      <c r="AK40">
        <v>4.9868787526003979</v>
      </c>
      <c r="AL40">
        <v>2.659668668053544</v>
      </c>
      <c r="AM40">
        <v>-115.7323376502934</v>
      </c>
      <c r="AN40">
        <v>-61.723913413489818</v>
      </c>
      <c r="AO40">
        <v>0</v>
      </c>
      <c r="AP40">
        <v>0</v>
      </c>
      <c r="AQ40">
        <v>80.625</v>
      </c>
      <c r="AR40">
        <v>146.17319553807761</v>
      </c>
      <c r="AS40">
        <v>146.17319553807761</v>
      </c>
      <c r="AT40">
        <v>7.7040227244251014</v>
      </c>
      <c r="AU40">
        <v>-256.63564150409491</v>
      </c>
      <c r="AV40">
        <v>0</v>
      </c>
      <c r="AW40">
        <v>0</v>
      </c>
      <c r="AX40">
        <v>57.5</v>
      </c>
      <c r="AY40">
        <v>5.6401245281618646</v>
      </c>
      <c r="AZ40">
        <v>-182.6287352039752</v>
      </c>
      <c r="BA40">
        <v>146.17319553807761</v>
      </c>
      <c r="BC40" s="1">
        <f t="shared" si="24"/>
        <v>37.5</v>
      </c>
      <c r="BD40" s="2">
        <f t="shared" si="25"/>
        <v>4.9868787526003979</v>
      </c>
      <c r="BE40" s="7">
        <f t="shared" si="26"/>
        <v>-115.7323376502934</v>
      </c>
      <c r="BF40" s="1">
        <f t="shared" si="27"/>
        <v>20</v>
      </c>
      <c r="BG40" s="2">
        <f t="shared" si="28"/>
        <v>2.659668668053544</v>
      </c>
      <c r="BH40" s="2">
        <f t="shared" si="53"/>
        <v>-61.723913413489818</v>
      </c>
      <c r="BI40" s="2">
        <f t="shared" si="53"/>
        <v>0</v>
      </c>
      <c r="BJ40" s="7">
        <f t="shared" si="53"/>
        <v>0</v>
      </c>
      <c r="BK40" s="1">
        <f t="shared" si="54"/>
        <v>57.5</v>
      </c>
      <c r="BL40" s="2">
        <f t="shared" si="54"/>
        <v>7.6465474206539419</v>
      </c>
      <c r="BM40" s="2">
        <f t="shared" si="3"/>
        <v>177.45625106378321</v>
      </c>
      <c r="BN40" s="2">
        <f t="shared" si="29"/>
        <v>0</v>
      </c>
      <c r="BO40" s="7">
        <f t="shared" si="30"/>
        <v>0</v>
      </c>
      <c r="BQ40" s="1">
        <f t="shared" si="4"/>
        <v>57.5</v>
      </c>
      <c r="BR40" s="4">
        <v>0</v>
      </c>
      <c r="BS40" s="2">
        <f t="shared" si="5"/>
        <v>57.5</v>
      </c>
      <c r="BT40" s="2">
        <f t="shared" si="6"/>
        <v>146.17319553807761</v>
      </c>
      <c r="BU40" s="3">
        <f t="shared" si="7"/>
        <v>2.5421425310970021</v>
      </c>
      <c r="BV40" s="52" t="str">
        <f t="shared" si="8"/>
        <v/>
      </c>
      <c r="BW40" s="21" t="str">
        <f t="shared" si="9"/>
        <v/>
      </c>
      <c r="BX40" s="21" t="str">
        <f t="shared" si="10"/>
        <v/>
      </c>
      <c r="BY40" s="1">
        <f t="shared" si="11"/>
        <v>80.625</v>
      </c>
      <c r="BZ40" s="4">
        <v>0</v>
      </c>
      <c r="CA40" s="2">
        <f t="shared" si="12"/>
        <v>80.625</v>
      </c>
      <c r="CB40" s="2">
        <f t="shared" si="13"/>
        <v>146.17319553807761</v>
      </c>
      <c r="CC40" s="21">
        <f t="shared" si="14"/>
        <v>1.813000874890885</v>
      </c>
      <c r="CD40" s="2" t="str">
        <f t="shared" si="15"/>
        <v/>
      </c>
      <c r="CE40" s="2" t="str">
        <f t="shared" si="16"/>
        <v/>
      </c>
      <c r="CF40" s="21" t="str">
        <f t="shared" si="17"/>
        <v/>
      </c>
      <c r="CG40" s="15"/>
      <c r="CH40" s="21" t="str">
        <f t="shared" si="18"/>
        <v/>
      </c>
    </row>
    <row r="41" spans="1:86" x14ac:dyDescent="0.25">
      <c r="A41" t="str">
        <f t="shared" si="22"/>
        <v>Travée</v>
      </c>
      <c r="B41" t="b">
        <f t="shared" si="23"/>
        <v>1</v>
      </c>
      <c r="C41">
        <f t="shared" si="76"/>
        <v>4</v>
      </c>
      <c r="D41" t="s">
        <v>101</v>
      </c>
      <c r="E41" t="s">
        <v>55</v>
      </c>
      <c r="F41">
        <v>25</v>
      </c>
      <c r="G41" t="s">
        <v>46</v>
      </c>
      <c r="H41">
        <v>500</v>
      </c>
      <c r="I41">
        <v>220000</v>
      </c>
      <c r="J41">
        <v>1576</v>
      </c>
      <c r="K41">
        <v>1870</v>
      </c>
      <c r="L41">
        <v>1</v>
      </c>
      <c r="M41">
        <v>0.25</v>
      </c>
      <c r="N41">
        <v>2.33</v>
      </c>
      <c r="O41">
        <v>9.0000000000000008E-4</v>
      </c>
      <c r="P41">
        <v>0.04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17</v>
      </c>
      <c r="Y41">
        <v>10</v>
      </c>
      <c r="Z41">
        <v>0</v>
      </c>
      <c r="AA41">
        <v>17</v>
      </c>
      <c r="AB41">
        <v>10</v>
      </c>
      <c r="AC41">
        <v>0</v>
      </c>
      <c r="AD41">
        <v>17</v>
      </c>
      <c r="AE41">
        <v>10</v>
      </c>
      <c r="AF41">
        <v>37.950000000000003</v>
      </c>
      <c r="AH41">
        <v>27</v>
      </c>
      <c r="AI41">
        <v>17</v>
      </c>
      <c r="AJ41">
        <v>10</v>
      </c>
      <c r="AK41">
        <v>2.453595465567771</v>
      </c>
      <c r="AL41">
        <v>1.4432914503339811</v>
      </c>
      <c r="AM41">
        <v>-94.470642556195472</v>
      </c>
      <c r="AN41">
        <v>-55.570966209526738</v>
      </c>
      <c r="AO41">
        <v>0</v>
      </c>
      <c r="AP41">
        <v>0</v>
      </c>
      <c r="AQ41">
        <v>37.950000000000003</v>
      </c>
      <c r="AR41">
        <v>85.646880764689726</v>
      </c>
      <c r="AS41">
        <v>85.646880764689726</v>
      </c>
      <c r="AT41">
        <v>4.0054010767752963</v>
      </c>
      <c r="AU41">
        <v>-214.86384556812629</v>
      </c>
      <c r="AV41">
        <v>0</v>
      </c>
      <c r="AW41">
        <v>0</v>
      </c>
      <c r="AX41">
        <v>27</v>
      </c>
      <c r="AY41">
        <v>2.8843722748051288</v>
      </c>
      <c r="AZ41">
        <v>-152.77363588408909</v>
      </c>
      <c r="BA41">
        <v>85.646880764689726</v>
      </c>
      <c r="BC41" s="1">
        <f t="shared" si="24"/>
        <v>17</v>
      </c>
      <c r="BD41" s="2">
        <f t="shared" si="25"/>
        <v>2.453595465567771</v>
      </c>
      <c r="BE41" s="7">
        <f t="shared" si="26"/>
        <v>-94.470642556195472</v>
      </c>
      <c r="BF41" s="1">
        <f t="shared" si="27"/>
        <v>10</v>
      </c>
      <c r="BG41" s="2">
        <f t="shared" si="28"/>
        <v>1.4432914503339811</v>
      </c>
      <c r="BH41" s="2">
        <f t="shared" si="53"/>
        <v>-55.570966209526738</v>
      </c>
      <c r="BI41" s="2">
        <f t="shared" si="53"/>
        <v>0</v>
      </c>
      <c r="BJ41" s="7">
        <f t="shared" si="53"/>
        <v>0</v>
      </c>
      <c r="BK41" s="1">
        <f t="shared" si="54"/>
        <v>27</v>
      </c>
      <c r="BL41" s="2">
        <f t="shared" si="54"/>
        <v>3.8968869159017521</v>
      </c>
      <c r="BM41" s="2">
        <f t="shared" si="3"/>
        <v>150.0416087657222</v>
      </c>
      <c r="BN41" s="2">
        <f t="shared" si="29"/>
        <v>0</v>
      </c>
      <c r="BO41" s="7">
        <f t="shared" si="30"/>
        <v>0</v>
      </c>
      <c r="BQ41" s="1">
        <f t="shared" si="4"/>
        <v>27</v>
      </c>
      <c r="BR41" s="4" t="str">
        <f t="shared" ref="BR41" si="83">IF(ISNUMBER(SEARCH("Appui",E41)),0,"0")</f>
        <v>0</v>
      </c>
      <c r="BS41" s="2">
        <f t="shared" si="5"/>
        <v>27</v>
      </c>
      <c r="BT41" s="2">
        <f t="shared" si="6"/>
        <v>85.646880764689726</v>
      </c>
      <c r="BU41" s="3">
        <f t="shared" si="7"/>
        <v>3.1721066949885084</v>
      </c>
      <c r="BV41" s="52">
        <f t="shared" si="8"/>
        <v>55.75</v>
      </c>
      <c r="BW41" s="21">
        <f t="shared" si="9"/>
        <v>159.12369394864777</v>
      </c>
      <c r="BX41" s="21">
        <f t="shared" si="10"/>
        <v>2.8542366627560138</v>
      </c>
      <c r="BY41" s="1">
        <f t="shared" si="11"/>
        <v>37.950000000000003</v>
      </c>
      <c r="BZ41" s="4" t="str">
        <f t="shared" ref="BZ41" si="84">IF(ISNUMBER(SEARCH("Appui",M41)),0,"0")</f>
        <v>0</v>
      </c>
      <c r="CA41" s="2">
        <f t="shared" si="12"/>
        <v>37.950000000000003</v>
      </c>
      <c r="CB41" s="2">
        <f t="shared" si="13"/>
        <v>85.646880764689726</v>
      </c>
      <c r="CC41" s="21">
        <f t="shared" si="14"/>
        <v>2.2568348027586222</v>
      </c>
      <c r="CD41" s="2">
        <f t="shared" si="15"/>
        <v>78.262500000000003</v>
      </c>
      <c r="CE41" s="2">
        <f t="shared" si="16"/>
        <v>159.12369394864777</v>
      </c>
      <c r="CF41" s="21">
        <f t="shared" si="17"/>
        <v>2.0332048420207349</v>
      </c>
      <c r="CG41" s="10" t="str">
        <f t="shared" ref="CG41" si="85">IF(C39&lt;C41,"Rive",IF(C43&gt;C41,"Rive","Inter"))</f>
        <v>Rive</v>
      </c>
      <c r="CH41" s="21">
        <f t="shared" si="18"/>
        <v>2.0332048420207349</v>
      </c>
    </row>
    <row r="42" spans="1:86" x14ac:dyDescent="0.25">
      <c r="A42" t="str">
        <f t="shared" si="22"/>
        <v/>
      </c>
      <c r="B42" t="b">
        <f t="shared" si="23"/>
        <v>1</v>
      </c>
      <c r="C42">
        <f t="shared" si="76"/>
        <v>4</v>
      </c>
      <c r="D42" t="s">
        <v>101</v>
      </c>
      <c r="F42">
        <v>25</v>
      </c>
      <c r="G42" t="s">
        <v>46</v>
      </c>
      <c r="H42">
        <v>500</v>
      </c>
      <c r="I42">
        <v>220000</v>
      </c>
      <c r="J42">
        <v>1576</v>
      </c>
      <c r="K42">
        <v>1870</v>
      </c>
      <c r="L42">
        <v>1</v>
      </c>
      <c r="M42">
        <v>0.2</v>
      </c>
      <c r="N42">
        <v>2.2000000000000002</v>
      </c>
      <c r="O42">
        <v>1.0000000000000001E-5</v>
      </c>
      <c r="P42">
        <v>0.03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0.78043082983844214</v>
      </c>
      <c r="AS42">
        <v>0.78043082983844214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0.78043082983844214</v>
      </c>
      <c r="BC42" s="1">
        <f t="shared" si="24"/>
        <v>0</v>
      </c>
      <c r="BD42" s="2">
        <f t="shared" si="25"/>
        <v>0</v>
      </c>
      <c r="BE42" s="7">
        <f t="shared" si="26"/>
        <v>0</v>
      </c>
      <c r="BF42" s="1">
        <f t="shared" si="27"/>
        <v>0</v>
      </c>
      <c r="BG42" s="2">
        <f t="shared" si="28"/>
        <v>0</v>
      </c>
      <c r="BH42" s="2">
        <f t="shared" si="53"/>
        <v>0</v>
      </c>
      <c r="BI42" s="2">
        <f t="shared" si="53"/>
        <v>0</v>
      </c>
      <c r="BJ42" s="7">
        <f t="shared" si="53"/>
        <v>0</v>
      </c>
      <c r="BK42" s="1">
        <f t="shared" si="54"/>
        <v>0</v>
      </c>
      <c r="BL42" s="2">
        <f t="shared" si="54"/>
        <v>0</v>
      </c>
      <c r="BM42" s="2">
        <f t="shared" si="3"/>
        <v>0</v>
      </c>
      <c r="BN42" s="2">
        <f t="shared" si="29"/>
        <v>0</v>
      </c>
      <c r="BO42" s="7">
        <f t="shared" si="30"/>
        <v>0</v>
      </c>
      <c r="BQ42" s="1">
        <f t="shared" si="4"/>
        <v>0</v>
      </c>
      <c r="BR42" s="4">
        <v>0</v>
      </c>
      <c r="BS42" s="2">
        <f t="shared" si="5"/>
        <v>0</v>
      </c>
      <c r="BT42" s="2">
        <f t="shared" si="6"/>
        <v>0.78043082983844214</v>
      </c>
      <c r="BU42" s="3">
        <f t="shared" si="7"/>
        <v>1</v>
      </c>
      <c r="BV42" s="52" t="str">
        <f t="shared" si="8"/>
        <v/>
      </c>
      <c r="BW42" s="21" t="str">
        <f t="shared" si="9"/>
        <v/>
      </c>
      <c r="BX42" s="21" t="str">
        <f t="shared" si="10"/>
        <v/>
      </c>
      <c r="BY42" s="1">
        <f t="shared" si="11"/>
        <v>0</v>
      </c>
      <c r="BZ42" s="4">
        <v>0</v>
      </c>
      <c r="CA42" s="2">
        <f t="shared" si="12"/>
        <v>0</v>
      </c>
      <c r="CB42" s="2">
        <f t="shared" si="13"/>
        <v>0.78043082983844214</v>
      </c>
      <c r="CC42" s="21">
        <f t="shared" si="14"/>
        <v>1</v>
      </c>
      <c r="CD42" s="2" t="str">
        <f t="shared" si="15"/>
        <v/>
      </c>
      <c r="CE42" s="2" t="str">
        <f t="shared" si="16"/>
        <v/>
      </c>
      <c r="CF42" s="21" t="str">
        <f t="shared" si="17"/>
        <v/>
      </c>
      <c r="CG42" s="15"/>
      <c r="CH42" s="21" t="str">
        <f t="shared" si="18"/>
        <v/>
      </c>
    </row>
    <row r="43" spans="1:86" x14ac:dyDescent="0.25">
      <c r="A43" t="str">
        <f t="shared" si="22"/>
        <v>Travée</v>
      </c>
      <c r="B43" t="b">
        <f t="shared" si="23"/>
        <v>0</v>
      </c>
      <c r="C43">
        <f t="shared" si="76"/>
        <v>5</v>
      </c>
      <c r="D43" t="s">
        <v>102</v>
      </c>
      <c r="E43" t="s">
        <v>45</v>
      </c>
      <c r="F43">
        <v>25</v>
      </c>
      <c r="G43" t="s">
        <v>46</v>
      </c>
      <c r="H43">
        <v>500</v>
      </c>
      <c r="I43">
        <v>220000</v>
      </c>
      <c r="J43">
        <v>1576</v>
      </c>
      <c r="K43">
        <v>1870</v>
      </c>
      <c r="L43">
        <v>1</v>
      </c>
      <c r="M43">
        <v>0.22</v>
      </c>
      <c r="N43">
        <v>2.33</v>
      </c>
      <c r="O43">
        <v>5.9000000000000003E-4</v>
      </c>
      <c r="P43">
        <v>0.04</v>
      </c>
      <c r="Q43">
        <v>1</v>
      </c>
      <c r="R43">
        <v>0</v>
      </c>
      <c r="S43">
        <v>0</v>
      </c>
      <c r="T43">
        <v>1</v>
      </c>
      <c r="U43">
        <v>2.9099999999999999E-5</v>
      </c>
      <c r="V43">
        <v>0</v>
      </c>
      <c r="W43">
        <v>5</v>
      </c>
      <c r="X43">
        <v>25</v>
      </c>
      <c r="Y43">
        <v>10</v>
      </c>
      <c r="Z43">
        <v>0</v>
      </c>
      <c r="AA43">
        <v>25</v>
      </c>
      <c r="AB43">
        <v>10</v>
      </c>
      <c r="AC43">
        <v>0</v>
      </c>
      <c r="AD43">
        <v>25</v>
      </c>
      <c r="AE43">
        <v>10</v>
      </c>
      <c r="AF43">
        <v>48.75</v>
      </c>
      <c r="AH43">
        <v>35</v>
      </c>
      <c r="AI43">
        <v>25</v>
      </c>
      <c r="AJ43">
        <v>10</v>
      </c>
      <c r="AK43">
        <v>5.5607092580968018</v>
      </c>
      <c r="AL43">
        <v>1.83451657437362</v>
      </c>
      <c r="AM43">
        <v>-245.730106700497</v>
      </c>
      <c r="AN43">
        <v>-69.626333355479076</v>
      </c>
      <c r="AO43">
        <v>0</v>
      </c>
      <c r="AP43">
        <v>-96.458147066699112</v>
      </c>
      <c r="AQ43">
        <v>48.75</v>
      </c>
      <c r="AR43">
        <v>48.381276273140728</v>
      </c>
      <c r="AS43">
        <v>101.1081136342473</v>
      </c>
      <c r="AT43">
        <v>6.3388558715218064</v>
      </c>
      <c r="AU43">
        <v>-344.60983408952342</v>
      </c>
      <c r="AV43">
        <v>0</v>
      </c>
      <c r="AW43">
        <v>-484.116831573502</v>
      </c>
      <c r="AX43">
        <v>35</v>
      </c>
      <c r="AY43">
        <v>5.5305062654595796</v>
      </c>
      <c r="AZ43">
        <v>-350.23638417602291</v>
      </c>
      <c r="BA43">
        <v>48.381276273140728</v>
      </c>
      <c r="BC43" s="1">
        <f t="shared" si="24"/>
        <v>25</v>
      </c>
      <c r="BD43" s="2">
        <f t="shared" si="25"/>
        <v>5.5607092580968018</v>
      </c>
      <c r="BE43" s="7">
        <f t="shared" si="26"/>
        <v>-245.730106700497</v>
      </c>
      <c r="BF43" s="1">
        <f t="shared" si="27"/>
        <v>10</v>
      </c>
      <c r="BG43" s="2">
        <f t="shared" si="28"/>
        <v>1.83451657437362</v>
      </c>
      <c r="BH43" s="2">
        <f t="shared" si="53"/>
        <v>-69.626333355479076</v>
      </c>
      <c r="BI43" s="2">
        <f t="shared" si="53"/>
        <v>0</v>
      </c>
      <c r="BJ43" s="7">
        <f t="shared" si="53"/>
        <v>-96.458147066699112</v>
      </c>
      <c r="BK43" s="1">
        <f t="shared" si="54"/>
        <v>35</v>
      </c>
      <c r="BL43" s="2">
        <f t="shared" si="54"/>
        <v>7.3952258324704214</v>
      </c>
      <c r="BM43" s="2">
        <f t="shared" si="3"/>
        <v>315.35644005597607</v>
      </c>
      <c r="BN43" s="2">
        <f t="shared" si="29"/>
        <v>0</v>
      </c>
      <c r="BO43" s="7">
        <f t="shared" si="30"/>
        <v>-96.458147066699112</v>
      </c>
      <c r="BQ43" s="1">
        <f t="shared" si="4"/>
        <v>35</v>
      </c>
      <c r="BR43" s="4" t="str">
        <f t="shared" ref="BR43" si="86">IF(ISNUMBER(SEARCH("Appui",E43)),0,"0")</f>
        <v>0</v>
      </c>
      <c r="BS43" s="2">
        <f t="shared" si="5"/>
        <v>35</v>
      </c>
      <c r="BT43" s="2">
        <f t="shared" si="6"/>
        <v>48.381276273140728</v>
      </c>
      <c r="BU43" s="3">
        <f t="shared" si="7"/>
        <v>1.3823221792325922</v>
      </c>
      <c r="BV43" s="52">
        <f t="shared" si="8"/>
        <v>74</v>
      </c>
      <c r="BW43" s="21">
        <f t="shared" si="9"/>
        <v>125.81622352217057</v>
      </c>
      <c r="BX43" s="21">
        <f t="shared" si="10"/>
        <v>1.7002192367860889</v>
      </c>
      <c r="BY43" s="1">
        <f t="shared" si="11"/>
        <v>48.75</v>
      </c>
      <c r="BZ43" s="4" t="str">
        <f t="shared" ref="BZ43" si="87">IF(ISNUMBER(SEARCH("Appui",M43)),0,"0")</f>
        <v>0</v>
      </c>
      <c r="CA43" s="2">
        <f t="shared" si="12"/>
        <v>48.75</v>
      </c>
      <c r="CB43" s="2">
        <f t="shared" si="13"/>
        <v>101.1081136342473</v>
      </c>
      <c r="CC43" s="21">
        <f t="shared" si="14"/>
        <v>2.0740125873691753</v>
      </c>
      <c r="CD43" s="2">
        <f t="shared" si="15"/>
        <v>103.125</v>
      </c>
      <c r="CE43" s="2">
        <f t="shared" si="16"/>
        <v>178.54306088327715</v>
      </c>
      <c r="CF43" s="21">
        <f t="shared" si="17"/>
        <v>1.7313266509893541</v>
      </c>
      <c r="CG43" s="10" t="str">
        <f t="shared" ref="CG43" si="88">IF(C41&lt;C43,"Rive",IF(C45&gt;C43,"Rive","Inter"))</f>
        <v>Rive</v>
      </c>
      <c r="CH43" s="21">
        <f t="shared" si="18"/>
        <v>1.2200361068816541</v>
      </c>
    </row>
    <row r="44" spans="1:86" x14ac:dyDescent="0.25">
      <c r="A44" t="str">
        <f t="shared" si="22"/>
        <v>Appui</v>
      </c>
      <c r="B44" t="b">
        <f t="shared" si="23"/>
        <v>0</v>
      </c>
      <c r="C44">
        <f t="shared" si="76"/>
        <v>5</v>
      </c>
      <c r="D44" t="s">
        <v>102</v>
      </c>
      <c r="E44" t="s">
        <v>47</v>
      </c>
      <c r="F44">
        <v>25</v>
      </c>
      <c r="G44" t="s">
        <v>46</v>
      </c>
      <c r="H44">
        <v>500</v>
      </c>
      <c r="I44">
        <v>220000</v>
      </c>
      <c r="J44">
        <v>1576</v>
      </c>
      <c r="K44">
        <v>1870</v>
      </c>
      <c r="L44">
        <v>1</v>
      </c>
      <c r="M44">
        <v>0.22</v>
      </c>
      <c r="N44">
        <v>2.33</v>
      </c>
      <c r="O44">
        <v>2.0690000000000001E-3</v>
      </c>
      <c r="P44">
        <v>0.04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55</v>
      </c>
      <c r="Y44">
        <v>23</v>
      </c>
      <c r="Z44">
        <v>0</v>
      </c>
      <c r="AA44">
        <v>55</v>
      </c>
      <c r="AB44">
        <v>23</v>
      </c>
      <c r="AC44">
        <v>0</v>
      </c>
      <c r="AD44">
        <v>55</v>
      </c>
      <c r="AE44">
        <v>23</v>
      </c>
      <c r="AF44">
        <v>108.75</v>
      </c>
      <c r="AH44">
        <v>78</v>
      </c>
      <c r="AI44">
        <v>55</v>
      </c>
      <c r="AJ44">
        <v>23</v>
      </c>
      <c r="AK44">
        <v>7.1223828805573373</v>
      </c>
      <c r="AL44">
        <v>2.9784510227785219</v>
      </c>
      <c r="AM44">
        <v>-159.52694388423541</v>
      </c>
      <c r="AN44">
        <v>-66.711267442498453</v>
      </c>
      <c r="AO44">
        <v>0</v>
      </c>
      <c r="AP44">
        <v>0</v>
      </c>
      <c r="AQ44">
        <v>108.75</v>
      </c>
      <c r="AR44">
        <v>154.86989449805969</v>
      </c>
      <c r="AS44">
        <v>154.86989449805969</v>
      </c>
      <c r="AT44">
        <v>9.8233198497372953</v>
      </c>
      <c r="AU44">
        <v>-326.53252520410439</v>
      </c>
      <c r="AV44">
        <v>0</v>
      </c>
      <c r="AW44">
        <v>0</v>
      </c>
      <c r="AX44">
        <v>78</v>
      </c>
      <c r="AY44">
        <v>7.3132490345344587</v>
      </c>
      <c r="AZ44">
        <v>-233.45352558547191</v>
      </c>
      <c r="BA44">
        <v>154.86989449805969</v>
      </c>
      <c r="BC44" s="1">
        <f t="shared" si="24"/>
        <v>55</v>
      </c>
      <c r="BD44" s="2">
        <f t="shared" si="25"/>
        <v>7.1223828805573373</v>
      </c>
      <c r="BE44" s="7">
        <f t="shared" si="26"/>
        <v>-159.52694388423541</v>
      </c>
      <c r="BF44" s="1">
        <f t="shared" si="27"/>
        <v>23</v>
      </c>
      <c r="BG44" s="2">
        <f t="shared" si="28"/>
        <v>2.9784510227785219</v>
      </c>
      <c r="BH44" s="2">
        <f t="shared" si="53"/>
        <v>-66.711267442498453</v>
      </c>
      <c r="BI44" s="2">
        <f t="shared" si="53"/>
        <v>0</v>
      </c>
      <c r="BJ44" s="7">
        <f t="shared" si="53"/>
        <v>0</v>
      </c>
      <c r="BK44" s="1">
        <f t="shared" si="54"/>
        <v>78</v>
      </c>
      <c r="BL44" s="2">
        <f t="shared" si="54"/>
        <v>10.100833903335859</v>
      </c>
      <c r="BM44" s="2">
        <f t="shared" si="3"/>
        <v>226.23821132673385</v>
      </c>
      <c r="BN44" s="2">
        <f t="shared" si="29"/>
        <v>0</v>
      </c>
      <c r="BO44" s="7">
        <f t="shared" si="30"/>
        <v>0</v>
      </c>
      <c r="BQ44" s="1">
        <f t="shared" si="4"/>
        <v>78</v>
      </c>
      <c r="BR44" s="4">
        <v>0</v>
      </c>
      <c r="BS44" s="2">
        <f t="shared" si="5"/>
        <v>78</v>
      </c>
      <c r="BT44" s="2">
        <f t="shared" si="6"/>
        <v>154.86989449805969</v>
      </c>
      <c r="BU44" s="3">
        <f t="shared" si="7"/>
        <v>1.9855114679238421</v>
      </c>
      <c r="BV44" s="52" t="str">
        <f t="shared" si="8"/>
        <v/>
      </c>
      <c r="BW44" s="21" t="str">
        <f t="shared" si="9"/>
        <v/>
      </c>
      <c r="BX44" s="21" t="str">
        <f t="shared" si="10"/>
        <v/>
      </c>
      <c r="BY44" s="1">
        <f t="shared" si="11"/>
        <v>108.75</v>
      </c>
      <c r="BZ44" s="4">
        <v>0</v>
      </c>
      <c r="CA44" s="2">
        <f t="shared" si="12"/>
        <v>108.75</v>
      </c>
      <c r="CB44" s="2">
        <f t="shared" si="13"/>
        <v>154.86989449805969</v>
      </c>
      <c r="CC44" s="21">
        <f t="shared" si="14"/>
        <v>1.4240909838902041</v>
      </c>
      <c r="CD44" s="2" t="str">
        <f t="shared" si="15"/>
        <v/>
      </c>
      <c r="CE44" s="2" t="str">
        <f t="shared" si="16"/>
        <v/>
      </c>
      <c r="CF44" s="21" t="str">
        <f t="shared" si="17"/>
        <v/>
      </c>
      <c r="CG44" s="15"/>
      <c r="CH44" s="21" t="str">
        <f t="shared" si="18"/>
        <v/>
      </c>
    </row>
    <row r="45" spans="1:86" x14ac:dyDescent="0.25">
      <c r="A45" t="str">
        <f t="shared" si="22"/>
        <v>Travée</v>
      </c>
      <c r="B45" t="b">
        <f t="shared" si="23"/>
        <v>0</v>
      </c>
      <c r="C45">
        <f>IF(D45="",100000,IF(D45=D43,C43,C43+1))</f>
        <v>5</v>
      </c>
      <c r="D45" t="s">
        <v>102</v>
      </c>
      <c r="E45" t="s">
        <v>48</v>
      </c>
      <c r="F45">
        <v>25</v>
      </c>
      <c r="G45" t="s">
        <v>46</v>
      </c>
      <c r="H45">
        <v>500</v>
      </c>
      <c r="I45">
        <v>220000</v>
      </c>
      <c r="J45">
        <v>1576</v>
      </c>
      <c r="K45">
        <v>1870</v>
      </c>
      <c r="L45">
        <v>1</v>
      </c>
      <c r="M45">
        <v>0.22</v>
      </c>
      <c r="N45">
        <v>2.33</v>
      </c>
      <c r="O45">
        <v>5.9000000000000003E-4</v>
      </c>
      <c r="P45">
        <v>0.04</v>
      </c>
      <c r="Q45">
        <v>1</v>
      </c>
      <c r="R45">
        <v>0</v>
      </c>
      <c r="S45">
        <v>0</v>
      </c>
      <c r="T45">
        <v>1</v>
      </c>
      <c r="U45">
        <v>2.9099999999999999E-5</v>
      </c>
      <c r="V45">
        <v>0</v>
      </c>
      <c r="W45">
        <v>5</v>
      </c>
      <c r="X45">
        <v>12.5</v>
      </c>
      <c r="Y45">
        <v>12</v>
      </c>
      <c r="Z45">
        <v>0</v>
      </c>
      <c r="AA45">
        <v>12.5</v>
      </c>
      <c r="AB45">
        <v>12</v>
      </c>
      <c r="AC45">
        <v>0</v>
      </c>
      <c r="AD45">
        <v>12.5</v>
      </c>
      <c r="AE45">
        <v>12</v>
      </c>
      <c r="AF45">
        <v>34.875</v>
      </c>
      <c r="AH45">
        <v>24.5</v>
      </c>
      <c r="AI45">
        <v>12.5</v>
      </c>
      <c r="AJ45">
        <v>12</v>
      </c>
      <c r="AK45">
        <v>2.7803546290483969</v>
      </c>
      <c r="AL45">
        <v>2.201419889248343</v>
      </c>
      <c r="AM45">
        <v>-122.8650533502485</v>
      </c>
      <c r="AN45">
        <v>-83.551600026574874</v>
      </c>
      <c r="AO45">
        <v>0</v>
      </c>
      <c r="AP45">
        <v>-115.7497764800389</v>
      </c>
      <c r="AQ45">
        <v>34.875</v>
      </c>
      <c r="AR45">
        <v>48.381276273140728</v>
      </c>
      <c r="AS45">
        <v>101.1081136342473</v>
      </c>
      <c r="AT45">
        <v>4.6312969242067163</v>
      </c>
      <c r="AU45">
        <v>-246.31832538195431</v>
      </c>
      <c r="AV45">
        <v>0</v>
      </c>
      <c r="AW45">
        <v>-345.84970419488502</v>
      </c>
      <c r="AX45">
        <v>24.5</v>
      </c>
      <c r="AY45">
        <v>3.9441849047113289</v>
      </c>
      <c r="AZ45">
        <v>-244.9705319279694</v>
      </c>
      <c r="BA45">
        <v>48.381276273140728</v>
      </c>
      <c r="BC45" s="1">
        <f t="shared" si="24"/>
        <v>12.5</v>
      </c>
      <c r="BD45" s="2">
        <f t="shared" si="25"/>
        <v>2.7803546290483969</v>
      </c>
      <c r="BE45" s="7">
        <f t="shared" si="26"/>
        <v>-122.8650533502485</v>
      </c>
      <c r="BF45" s="1">
        <f t="shared" si="27"/>
        <v>12</v>
      </c>
      <c r="BG45" s="2">
        <f t="shared" si="28"/>
        <v>2.201419889248343</v>
      </c>
      <c r="BH45" s="2">
        <f t="shared" si="53"/>
        <v>-83.551600026574874</v>
      </c>
      <c r="BI45" s="2">
        <f t="shared" si="53"/>
        <v>0</v>
      </c>
      <c r="BJ45" s="7">
        <f t="shared" si="53"/>
        <v>-115.7497764800389</v>
      </c>
      <c r="BK45" s="1">
        <f t="shared" si="54"/>
        <v>24.5</v>
      </c>
      <c r="BL45" s="2">
        <f t="shared" si="54"/>
        <v>4.9817745182967403</v>
      </c>
      <c r="BM45" s="2">
        <f t="shared" si="3"/>
        <v>206.41665337682338</v>
      </c>
      <c r="BN45" s="2">
        <f t="shared" si="29"/>
        <v>0</v>
      </c>
      <c r="BO45" s="7">
        <f t="shared" si="30"/>
        <v>-115.7497764800389</v>
      </c>
      <c r="BQ45" s="1">
        <f t="shared" si="4"/>
        <v>24.5</v>
      </c>
      <c r="BR45" s="4" t="str">
        <f t="shared" ref="BR45" si="89">IF(ISNUMBER(SEARCH("Appui",E45)),0,"0")</f>
        <v>0</v>
      </c>
      <c r="BS45" s="2">
        <f t="shared" si="5"/>
        <v>24.5</v>
      </c>
      <c r="BT45" s="2">
        <f t="shared" si="6"/>
        <v>48.381276273140728</v>
      </c>
      <c r="BU45" s="3">
        <f t="shared" si="7"/>
        <v>1.9747459703322745</v>
      </c>
      <c r="BV45" s="52">
        <f t="shared" si="8"/>
        <v>121.25</v>
      </c>
      <c r="BW45" s="21">
        <f t="shared" si="9"/>
        <v>172.379360255759</v>
      </c>
      <c r="BX45" s="21">
        <f t="shared" si="10"/>
        <v>1.4216854454083216</v>
      </c>
      <c r="BY45" s="1">
        <f t="shared" si="11"/>
        <v>34.875</v>
      </c>
      <c r="BZ45" s="4" t="str">
        <f t="shared" ref="BZ45" si="90">IF(ISNUMBER(SEARCH("Appui",M45)),0,"0")</f>
        <v>0</v>
      </c>
      <c r="CA45" s="2">
        <f t="shared" si="12"/>
        <v>34.875</v>
      </c>
      <c r="CB45" s="2">
        <f t="shared" si="13"/>
        <v>101.1081136342473</v>
      </c>
      <c r="CC45" s="21">
        <f t="shared" si="14"/>
        <v>2.8991573801934711</v>
      </c>
      <c r="CD45" s="2">
        <f t="shared" si="15"/>
        <v>169.6875</v>
      </c>
      <c r="CE45" s="2">
        <f t="shared" si="16"/>
        <v>250.2283466050977</v>
      </c>
      <c r="CF45" s="21">
        <f t="shared" si="17"/>
        <v>1.4746421899379607</v>
      </c>
      <c r="CG45" s="10" t="str">
        <f t="shared" ref="CG45" si="91">IF(C43&lt;C45,"Rive",IF(C47&gt;C45,"Rive","Inter"))</f>
        <v>Inter</v>
      </c>
      <c r="CH45" s="21">
        <f t="shared" si="18"/>
        <v>1.0158636331831101</v>
      </c>
    </row>
    <row r="46" spans="1:86" x14ac:dyDescent="0.25">
      <c r="A46" t="str">
        <f t="shared" si="22"/>
        <v>Appui</v>
      </c>
      <c r="B46" t="b">
        <f t="shared" si="23"/>
        <v>0</v>
      </c>
      <c r="C46">
        <f>IF(D46="",100000,IF(D46=D44,C44,C44+1))</f>
        <v>5</v>
      </c>
      <c r="D46" t="s">
        <v>102</v>
      </c>
      <c r="E46" t="s">
        <v>49</v>
      </c>
      <c r="F46">
        <v>25</v>
      </c>
      <c r="G46" t="s">
        <v>46</v>
      </c>
      <c r="H46">
        <v>500</v>
      </c>
      <c r="I46">
        <v>220000</v>
      </c>
      <c r="J46">
        <v>1576</v>
      </c>
      <c r="K46">
        <v>1870</v>
      </c>
      <c r="L46">
        <v>1</v>
      </c>
      <c r="M46">
        <v>0.22</v>
      </c>
      <c r="N46">
        <v>2.33</v>
      </c>
      <c r="O46">
        <v>1.9400000000000001E-3</v>
      </c>
      <c r="P46">
        <v>9.9999999999999992E-2</v>
      </c>
      <c r="Q46">
        <v>1</v>
      </c>
      <c r="R46">
        <v>0</v>
      </c>
      <c r="S46">
        <v>0</v>
      </c>
      <c r="T46">
        <v>1</v>
      </c>
      <c r="U46">
        <v>2.9099999999999999E-5</v>
      </c>
      <c r="V46">
        <v>0</v>
      </c>
      <c r="W46">
        <v>5</v>
      </c>
      <c r="X46">
        <v>82.5</v>
      </c>
      <c r="Y46">
        <v>33</v>
      </c>
      <c r="Z46">
        <v>0</v>
      </c>
      <c r="AA46">
        <v>82.5</v>
      </c>
      <c r="AB46">
        <v>33</v>
      </c>
      <c r="AC46">
        <v>0</v>
      </c>
      <c r="AD46">
        <v>82.5</v>
      </c>
      <c r="AE46">
        <v>33</v>
      </c>
      <c r="AF46">
        <v>160.875</v>
      </c>
      <c r="AH46">
        <v>115.5</v>
      </c>
      <c r="AI46">
        <v>82.5</v>
      </c>
      <c r="AJ46">
        <v>33</v>
      </c>
      <c r="AK46">
        <v>21.024467390259669</v>
      </c>
      <c r="AL46">
        <v>6.9503462605262634</v>
      </c>
      <c r="AM46">
        <v>-387.89456262760041</v>
      </c>
      <c r="AN46">
        <v>-116.5022656971263</v>
      </c>
      <c r="AO46">
        <v>0</v>
      </c>
      <c r="AP46">
        <v>-275.42907966968102</v>
      </c>
      <c r="AQ46">
        <v>160.875</v>
      </c>
      <c r="AR46">
        <v>93.126273467176844</v>
      </c>
      <c r="AS46">
        <v>143.3705714436411</v>
      </c>
      <c r="AT46">
        <v>0</v>
      </c>
      <c r="AU46">
        <v>0</v>
      </c>
      <c r="AV46">
        <v>0</v>
      </c>
      <c r="AW46">
        <v>0</v>
      </c>
      <c r="AX46">
        <v>115.5</v>
      </c>
      <c r="AY46">
        <v>0</v>
      </c>
      <c r="AZ46">
        <v>0</v>
      </c>
      <c r="BA46">
        <v>93.126273467176844</v>
      </c>
      <c r="BC46" s="1">
        <f t="shared" si="24"/>
        <v>82.5</v>
      </c>
      <c r="BD46" s="2">
        <f t="shared" si="25"/>
        <v>21.024467390259669</v>
      </c>
      <c r="BE46" s="7">
        <f t="shared" si="26"/>
        <v>-387.89456262760041</v>
      </c>
      <c r="BF46" s="1">
        <f t="shared" si="27"/>
        <v>33</v>
      </c>
      <c r="BG46" s="2">
        <f t="shared" si="28"/>
        <v>6.9503462605262634</v>
      </c>
      <c r="BH46" s="2">
        <f t="shared" si="53"/>
        <v>-116.5022656971263</v>
      </c>
      <c r="BI46" s="2">
        <f t="shared" si="53"/>
        <v>0</v>
      </c>
      <c r="BJ46" s="7">
        <f t="shared" si="53"/>
        <v>-275.42907966968102</v>
      </c>
      <c r="BK46" s="1">
        <f t="shared" si="54"/>
        <v>115.5</v>
      </c>
      <c r="BL46" s="2">
        <f t="shared" si="54"/>
        <v>27.974813650785933</v>
      </c>
      <c r="BM46" s="2">
        <f t="shared" si="3"/>
        <v>504.3968283247267</v>
      </c>
      <c r="BN46" s="2">
        <f t="shared" si="29"/>
        <v>0</v>
      </c>
      <c r="BO46" s="7">
        <f t="shared" si="30"/>
        <v>-275.42907966968102</v>
      </c>
      <c r="BQ46" s="1">
        <f t="shared" si="4"/>
        <v>115.5</v>
      </c>
      <c r="BR46" s="4">
        <v>0</v>
      </c>
      <c r="BS46" s="2">
        <f t="shared" si="5"/>
        <v>115.5</v>
      </c>
      <c r="BT46" s="2">
        <f t="shared" si="6"/>
        <v>93.126273467176844</v>
      </c>
      <c r="BU46" s="3">
        <f t="shared" si="7"/>
        <v>0.80628808196689905</v>
      </c>
      <c r="BV46" s="52" t="str">
        <f t="shared" si="8"/>
        <v/>
      </c>
      <c r="BW46" s="21" t="str">
        <f t="shared" si="9"/>
        <v/>
      </c>
      <c r="BX46" s="21" t="str">
        <f t="shared" si="10"/>
        <v/>
      </c>
      <c r="BY46" s="1">
        <f t="shared" si="11"/>
        <v>160.875</v>
      </c>
      <c r="BZ46" s="4">
        <v>0</v>
      </c>
      <c r="CA46" s="2">
        <f t="shared" si="12"/>
        <v>160.875</v>
      </c>
      <c r="CB46" s="2">
        <f t="shared" si="13"/>
        <v>143.3705714436411</v>
      </c>
      <c r="CC46" s="21">
        <f t="shared" si="14"/>
        <v>0.89119236328603635</v>
      </c>
      <c r="CD46" s="2" t="str">
        <f t="shared" si="15"/>
        <v/>
      </c>
      <c r="CE46" s="2" t="str">
        <f t="shared" si="16"/>
        <v/>
      </c>
      <c r="CF46" s="21" t="str">
        <f t="shared" si="17"/>
        <v/>
      </c>
      <c r="CG46" s="15"/>
      <c r="CH46" s="21" t="str">
        <f t="shared" si="18"/>
        <v/>
      </c>
    </row>
    <row r="47" spans="1:86" x14ac:dyDescent="0.25">
      <c r="A47" t="str">
        <f t="shared" si="22"/>
        <v>Travée</v>
      </c>
      <c r="B47" t="b">
        <f t="shared" si="23"/>
        <v>0</v>
      </c>
      <c r="C47">
        <f t="shared" si="76"/>
        <v>5</v>
      </c>
      <c r="D47" t="s">
        <v>102</v>
      </c>
      <c r="E47" t="s">
        <v>51</v>
      </c>
      <c r="F47">
        <v>25</v>
      </c>
      <c r="G47" t="s">
        <v>46</v>
      </c>
      <c r="H47">
        <v>500</v>
      </c>
      <c r="I47">
        <v>220000</v>
      </c>
      <c r="J47">
        <v>1576</v>
      </c>
      <c r="K47">
        <v>1870</v>
      </c>
      <c r="L47">
        <v>1</v>
      </c>
      <c r="M47">
        <v>0.22</v>
      </c>
      <c r="N47">
        <v>2.33</v>
      </c>
      <c r="O47">
        <v>9.0000000000000008E-4</v>
      </c>
      <c r="P47">
        <v>0.04</v>
      </c>
      <c r="Q47">
        <v>1</v>
      </c>
      <c r="R47">
        <v>0</v>
      </c>
      <c r="S47">
        <v>0</v>
      </c>
      <c r="T47">
        <v>1</v>
      </c>
      <c r="U47">
        <v>2.9099999999999999E-5</v>
      </c>
      <c r="V47">
        <v>0</v>
      </c>
      <c r="W47">
        <v>5</v>
      </c>
      <c r="X47">
        <v>38</v>
      </c>
      <c r="Y47">
        <v>18</v>
      </c>
      <c r="Z47">
        <v>0</v>
      </c>
      <c r="AA47">
        <v>38</v>
      </c>
      <c r="AB47">
        <v>18</v>
      </c>
      <c r="AC47">
        <v>0</v>
      </c>
      <c r="AD47">
        <v>38</v>
      </c>
      <c r="AE47">
        <v>18</v>
      </c>
      <c r="AF47">
        <v>78.300000000000011</v>
      </c>
      <c r="AH47">
        <v>56</v>
      </c>
      <c r="AI47">
        <v>38</v>
      </c>
      <c r="AJ47">
        <v>18</v>
      </c>
      <c r="AK47">
        <v>7.0061981184769957</v>
      </c>
      <c r="AL47">
        <v>2.9031815759158022</v>
      </c>
      <c r="AM47">
        <v>-247.14612622437059</v>
      </c>
      <c r="AN47">
        <v>-92.113848368713334</v>
      </c>
      <c r="AO47">
        <v>0</v>
      </c>
      <c r="AP47">
        <v>-128.35123481120269</v>
      </c>
      <c r="AQ47">
        <v>78.300000000000011</v>
      </c>
      <c r="AR47">
        <v>72.956084098832122</v>
      </c>
      <c r="AS47">
        <v>123.2273495821628</v>
      </c>
      <c r="AT47">
        <v>8.7439477499276315</v>
      </c>
      <c r="AU47">
        <v>-408.94566676482577</v>
      </c>
      <c r="AV47">
        <v>0</v>
      </c>
      <c r="AW47">
        <v>-580.16807052571721</v>
      </c>
      <c r="AX47">
        <v>56</v>
      </c>
      <c r="AY47">
        <v>7.2610056011847748</v>
      </c>
      <c r="AZ47">
        <v>-372.50957333515407</v>
      </c>
      <c r="BA47">
        <v>72.956084098832122</v>
      </c>
      <c r="BC47" s="1">
        <f t="shared" si="24"/>
        <v>38</v>
      </c>
      <c r="BD47" s="2">
        <f t="shared" si="25"/>
        <v>7.0061981184769957</v>
      </c>
      <c r="BE47" s="7">
        <f t="shared" si="26"/>
        <v>-247.14612622437059</v>
      </c>
      <c r="BF47" s="1">
        <f t="shared" si="27"/>
        <v>18</v>
      </c>
      <c r="BG47" s="2">
        <f t="shared" si="28"/>
        <v>2.9031815759158022</v>
      </c>
      <c r="BH47" s="2">
        <f t="shared" si="53"/>
        <v>-92.113848368713334</v>
      </c>
      <c r="BI47" s="2">
        <f t="shared" si="53"/>
        <v>0</v>
      </c>
      <c r="BJ47" s="7">
        <f t="shared" si="53"/>
        <v>-128.35123481120269</v>
      </c>
      <c r="BK47" s="1">
        <f t="shared" si="54"/>
        <v>56</v>
      </c>
      <c r="BL47" s="2">
        <f t="shared" si="54"/>
        <v>9.909379694392797</v>
      </c>
      <c r="BM47" s="2">
        <f t="shared" si="3"/>
        <v>339.25997459308394</v>
      </c>
      <c r="BN47" s="2">
        <f t="shared" si="29"/>
        <v>0</v>
      </c>
      <c r="BO47" s="7">
        <f t="shared" si="30"/>
        <v>-128.35123481120269</v>
      </c>
      <c r="BQ47" s="1">
        <f t="shared" si="4"/>
        <v>56</v>
      </c>
      <c r="BR47" s="4" t="str">
        <f t="shared" ref="BR47" si="92">IF(ISNUMBER(SEARCH("Appui",E47)),0,"0")</f>
        <v>0</v>
      </c>
      <c r="BS47" s="2">
        <f t="shared" si="5"/>
        <v>56</v>
      </c>
      <c r="BT47" s="2">
        <f t="shared" si="6"/>
        <v>72.956084098832122</v>
      </c>
      <c r="BU47" s="3">
        <f t="shared" si="7"/>
        <v>1.3027872160505736</v>
      </c>
      <c r="BV47" s="52">
        <f t="shared" si="8"/>
        <v>187.5</v>
      </c>
      <c r="BW47" s="21">
        <f t="shared" si="9"/>
        <v>192.60581860145939</v>
      </c>
      <c r="BX47" s="21">
        <f t="shared" si="10"/>
        <v>1.0272310325411167</v>
      </c>
      <c r="BY47" s="1">
        <f t="shared" si="11"/>
        <v>78.300000000000011</v>
      </c>
      <c r="BZ47" s="4" t="str">
        <f t="shared" ref="BZ47" si="93">IF(ISNUMBER(SEARCH("Appui",M47)),0,"0")</f>
        <v>0</v>
      </c>
      <c r="CA47" s="2">
        <f t="shared" si="12"/>
        <v>78.300000000000011</v>
      </c>
      <c r="CB47" s="2">
        <f t="shared" si="13"/>
        <v>123.2273495821628</v>
      </c>
      <c r="CC47" s="21">
        <f t="shared" si="14"/>
        <v>1.5737847967070597</v>
      </c>
      <c r="CD47" s="2">
        <f t="shared" si="15"/>
        <v>261.22500000000002</v>
      </c>
      <c r="CE47" s="2">
        <f t="shared" si="16"/>
        <v>317.82616922870943</v>
      </c>
      <c r="CF47" s="21">
        <f t="shared" si="17"/>
        <v>1.2166759277584818</v>
      </c>
      <c r="CG47" s="10" t="str">
        <f t="shared" ref="CG47" si="94">IF(C45&lt;C47,"Rive",IF(C49&gt;C47,"Rive","Inter"))</f>
        <v>Inter</v>
      </c>
      <c r="CH47" s="21">
        <f t="shared" si="18"/>
        <v>0.73731770926006079</v>
      </c>
    </row>
    <row r="48" spans="1:86" x14ac:dyDescent="0.25">
      <c r="A48" t="str">
        <f t="shared" si="22"/>
        <v>Appui</v>
      </c>
      <c r="B48" t="b">
        <f t="shared" si="23"/>
        <v>0</v>
      </c>
      <c r="C48">
        <f t="shared" si="76"/>
        <v>5</v>
      </c>
      <c r="D48" t="s">
        <v>102</v>
      </c>
      <c r="E48" t="s">
        <v>52</v>
      </c>
      <c r="F48">
        <v>25</v>
      </c>
      <c r="G48" t="s">
        <v>46</v>
      </c>
      <c r="H48">
        <v>500</v>
      </c>
      <c r="I48">
        <v>220000</v>
      </c>
      <c r="J48">
        <v>1576</v>
      </c>
      <c r="K48">
        <v>1870</v>
      </c>
      <c r="L48">
        <v>1</v>
      </c>
      <c r="M48">
        <v>0.22</v>
      </c>
      <c r="N48">
        <v>2.33</v>
      </c>
      <c r="O48">
        <v>1.9400000000000001E-3</v>
      </c>
      <c r="P48">
        <v>0.04</v>
      </c>
      <c r="Q48">
        <v>1</v>
      </c>
      <c r="R48">
        <v>0</v>
      </c>
      <c r="S48">
        <v>0</v>
      </c>
      <c r="T48">
        <v>1</v>
      </c>
      <c r="U48">
        <v>2.9099999999999999E-5</v>
      </c>
      <c r="V48">
        <v>0</v>
      </c>
      <c r="W48">
        <v>10</v>
      </c>
      <c r="X48">
        <v>108.5</v>
      </c>
      <c r="Y48">
        <v>39</v>
      </c>
      <c r="Z48">
        <v>0</v>
      </c>
      <c r="AA48">
        <v>108.5</v>
      </c>
      <c r="AB48">
        <v>39</v>
      </c>
      <c r="AC48">
        <v>0</v>
      </c>
      <c r="AD48">
        <v>108.5</v>
      </c>
      <c r="AE48">
        <v>39</v>
      </c>
      <c r="AF48">
        <v>204.97499999999999</v>
      </c>
      <c r="AH48">
        <v>147.5</v>
      </c>
      <c r="AI48">
        <v>108.5</v>
      </c>
      <c r="AJ48">
        <v>39</v>
      </c>
      <c r="AK48">
        <v>14.42870252419049</v>
      </c>
      <c r="AL48">
        <v>4.6071646179957826</v>
      </c>
      <c r="AM48">
        <v>-334.85223026818232</v>
      </c>
      <c r="AN48">
        <v>-95.833746300938287</v>
      </c>
      <c r="AO48">
        <v>0</v>
      </c>
      <c r="AP48">
        <v>-135.99909347280521</v>
      </c>
      <c r="AQ48">
        <v>204.97499999999999</v>
      </c>
      <c r="AR48">
        <v>146.17319553807769</v>
      </c>
      <c r="AS48">
        <v>245.82706784945219</v>
      </c>
      <c r="AT48">
        <v>16.09289209125226</v>
      </c>
      <c r="AU48">
        <v>-436.15463516772758</v>
      </c>
      <c r="AV48">
        <v>0</v>
      </c>
      <c r="AW48">
        <v>-1171.445463503924</v>
      </c>
      <c r="AX48">
        <v>147.5</v>
      </c>
      <c r="AY48">
        <v>0</v>
      </c>
      <c r="AZ48">
        <v>0</v>
      </c>
      <c r="BA48">
        <v>146.17319553807769</v>
      </c>
      <c r="BC48" s="1">
        <f t="shared" si="24"/>
        <v>108.5</v>
      </c>
      <c r="BD48" s="2">
        <f t="shared" si="25"/>
        <v>14.42870252419049</v>
      </c>
      <c r="BE48" s="7">
        <f t="shared" si="26"/>
        <v>-334.85223026818232</v>
      </c>
      <c r="BF48" s="1">
        <f t="shared" si="27"/>
        <v>39</v>
      </c>
      <c r="BG48" s="2">
        <f t="shared" si="28"/>
        <v>4.6071646179957826</v>
      </c>
      <c r="BH48" s="2">
        <f t="shared" si="53"/>
        <v>-95.833746300938287</v>
      </c>
      <c r="BI48" s="2">
        <f t="shared" si="53"/>
        <v>0</v>
      </c>
      <c r="BJ48" s="7">
        <f t="shared" si="53"/>
        <v>-135.99909347280521</v>
      </c>
      <c r="BK48" s="1">
        <f t="shared" si="54"/>
        <v>147.5</v>
      </c>
      <c r="BL48" s="2">
        <f t="shared" si="54"/>
        <v>19.035867142186273</v>
      </c>
      <c r="BM48" s="2">
        <f t="shared" si="3"/>
        <v>430.68597656912061</v>
      </c>
      <c r="BN48" s="2">
        <f t="shared" si="29"/>
        <v>0</v>
      </c>
      <c r="BO48" s="7">
        <f t="shared" si="30"/>
        <v>-135.99909347280521</v>
      </c>
      <c r="BQ48" s="1">
        <f t="shared" si="4"/>
        <v>147.5</v>
      </c>
      <c r="BR48" s="4">
        <v>0</v>
      </c>
      <c r="BS48" s="2">
        <f t="shared" si="5"/>
        <v>147.5</v>
      </c>
      <c r="BT48" s="2">
        <f t="shared" si="6"/>
        <v>146.17319553807769</v>
      </c>
      <c r="BU48" s="3">
        <f t="shared" si="7"/>
        <v>0.99100471551239111</v>
      </c>
      <c r="BV48" s="52" t="str">
        <f t="shared" si="8"/>
        <v/>
      </c>
      <c r="BW48" s="21" t="str">
        <f t="shared" si="9"/>
        <v/>
      </c>
      <c r="BX48" s="21" t="str">
        <f t="shared" si="10"/>
        <v/>
      </c>
      <c r="BY48" s="1">
        <f t="shared" si="11"/>
        <v>204.97499999999999</v>
      </c>
      <c r="BZ48" s="4">
        <v>0</v>
      </c>
      <c r="CA48" s="2">
        <f t="shared" si="12"/>
        <v>204.97499999999999</v>
      </c>
      <c r="CB48" s="2">
        <f t="shared" si="13"/>
        <v>245.82706784945219</v>
      </c>
      <c r="CC48" s="21">
        <f t="shared" si="14"/>
        <v>1.1993026849589081</v>
      </c>
      <c r="CD48" s="2" t="str">
        <f t="shared" si="15"/>
        <v/>
      </c>
      <c r="CE48" s="2" t="str">
        <f t="shared" si="16"/>
        <v/>
      </c>
      <c r="CF48" s="21" t="str">
        <f t="shared" si="17"/>
        <v/>
      </c>
      <c r="CG48" s="15"/>
      <c r="CH48" s="21" t="str">
        <f t="shared" si="18"/>
        <v/>
      </c>
    </row>
    <row r="49" spans="1:86" x14ac:dyDescent="0.25">
      <c r="A49" t="str">
        <f t="shared" si="22"/>
        <v>Travée</v>
      </c>
      <c r="B49" t="b">
        <f t="shared" si="23"/>
        <v>0</v>
      </c>
      <c r="C49">
        <f t="shared" si="76"/>
        <v>5</v>
      </c>
      <c r="D49" t="s">
        <v>102</v>
      </c>
      <c r="E49" t="s">
        <v>53</v>
      </c>
      <c r="F49">
        <v>25</v>
      </c>
      <c r="G49" t="s">
        <v>46</v>
      </c>
      <c r="H49">
        <v>500</v>
      </c>
      <c r="I49">
        <v>220000</v>
      </c>
      <c r="J49">
        <v>1576</v>
      </c>
      <c r="K49">
        <v>1870</v>
      </c>
      <c r="L49">
        <v>1</v>
      </c>
      <c r="M49">
        <v>0.22</v>
      </c>
      <c r="N49">
        <v>2.33</v>
      </c>
      <c r="O49">
        <v>5.9900000000000003E-4</v>
      </c>
      <c r="P49">
        <v>0.04</v>
      </c>
      <c r="Q49">
        <v>1</v>
      </c>
      <c r="R49">
        <v>0</v>
      </c>
      <c r="S49">
        <v>0</v>
      </c>
      <c r="T49">
        <v>1</v>
      </c>
      <c r="U49">
        <v>2.9099999999999999E-5</v>
      </c>
      <c r="V49">
        <v>0</v>
      </c>
      <c r="W49">
        <v>5</v>
      </c>
      <c r="X49">
        <v>35</v>
      </c>
      <c r="Y49">
        <v>18</v>
      </c>
      <c r="Z49">
        <v>0</v>
      </c>
      <c r="AA49">
        <v>35</v>
      </c>
      <c r="AB49">
        <v>18</v>
      </c>
      <c r="AC49">
        <v>0</v>
      </c>
      <c r="AD49">
        <v>35</v>
      </c>
      <c r="AE49">
        <v>18</v>
      </c>
      <c r="AF49">
        <v>74.25</v>
      </c>
      <c r="AH49">
        <v>53</v>
      </c>
      <c r="AI49">
        <v>35</v>
      </c>
      <c r="AJ49">
        <v>18</v>
      </c>
      <c r="AK49">
        <v>7.7274081641953716</v>
      </c>
      <c r="AL49">
        <v>3.288270886721524</v>
      </c>
      <c r="AM49">
        <v>-338.99020179139001</v>
      </c>
      <c r="AN49">
        <v>-124.0166197446317</v>
      </c>
      <c r="AO49">
        <v>0</v>
      </c>
      <c r="AP49">
        <v>-171.84086742398949</v>
      </c>
      <c r="AQ49">
        <v>74.25</v>
      </c>
      <c r="AR49">
        <v>49.106980465041353</v>
      </c>
      <c r="AS49">
        <v>101.75100117421459</v>
      </c>
      <c r="AT49">
        <v>10.222907814884961</v>
      </c>
      <c r="AU49">
        <v>-435.7813545086438</v>
      </c>
      <c r="AV49">
        <v>0</v>
      </c>
      <c r="AW49">
        <v>-990.77990313628231</v>
      </c>
      <c r="AX49">
        <v>53</v>
      </c>
      <c r="AY49">
        <v>0</v>
      </c>
      <c r="AZ49">
        <v>0</v>
      </c>
      <c r="BA49">
        <v>49.106980465041353</v>
      </c>
      <c r="BC49" s="1">
        <f t="shared" si="24"/>
        <v>35</v>
      </c>
      <c r="BD49" s="2">
        <f t="shared" si="25"/>
        <v>7.7274081641953716</v>
      </c>
      <c r="BE49" s="7">
        <f t="shared" si="26"/>
        <v>-338.99020179139001</v>
      </c>
      <c r="BF49" s="1">
        <f t="shared" si="27"/>
        <v>18</v>
      </c>
      <c r="BG49" s="2">
        <f t="shared" si="28"/>
        <v>3.288270886721524</v>
      </c>
      <c r="BH49" s="2">
        <f t="shared" si="53"/>
        <v>-124.0166197446317</v>
      </c>
      <c r="BI49" s="2">
        <f t="shared" si="53"/>
        <v>0</v>
      </c>
      <c r="BJ49" s="7">
        <f t="shared" si="53"/>
        <v>-171.84086742398949</v>
      </c>
      <c r="BK49" s="1">
        <f t="shared" si="54"/>
        <v>53</v>
      </c>
      <c r="BL49" s="2">
        <f t="shared" si="54"/>
        <v>11.015679050916896</v>
      </c>
      <c r="BM49" s="2">
        <f t="shared" si="3"/>
        <v>463.00682153602168</v>
      </c>
      <c r="BN49" s="2">
        <f t="shared" si="29"/>
        <v>0</v>
      </c>
      <c r="BO49" s="7">
        <f t="shared" si="30"/>
        <v>-171.84086742398949</v>
      </c>
      <c r="BQ49" s="1">
        <f t="shared" si="4"/>
        <v>53</v>
      </c>
      <c r="BR49" s="4" t="str">
        <f t="shared" ref="BR49" si="95">IF(ISNUMBER(SEARCH("Appui",E49)),0,"0")</f>
        <v>0</v>
      </c>
      <c r="BS49" s="2">
        <f t="shared" si="5"/>
        <v>53</v>
      </c>
      <c r="BT49" s="2">
        <f t="shared" si="6"/>
        <v>49.106980465041353</v>
      </c>
      <c r="BU49" s="3">
        <f t="shared" si="7"/>
        <v>0.92654680122719535</v>
      </c>
      <c r="BV49" s="52">
        <f t="shared" si="8"/>
        <v>191.75</v>
      </c>
      <c r="BW49" s="21">
        <f t="shared" si="9"/>
        <v>195.28017600311904</v>
      </c>
      <c r="BX49" s="21">
        <f t="shared" si="10"/>
        <v>1.0184103051010118</v>
      </c>
      <c r="BY49" s="1">
        <f t="shared" si="11"/>
        <v>74.25</v>
      </c>
      <c r="BZ49" s="4" t="str">
        <f t="shared" ref="BZ49" si="96">IF(ISNUMBER(SEARCH("Appui",M49)),0,"0")</f>
        <v>0</v>
      </c>
      <c r="CA49" s="2">
        <f t="shared" si="12"/>
        <v>74.25</v>
      </c>
      <c r="CB49" s="2">
        <f t="shared" si="13"/>
        <v>101.75100117421459</v>
      </c>
      <c r="CC49" s="21">
        <f t="shared" si="14"/>
        <v>1.3703838541981763</v>
      </c>
      <c r="CD49" s="2">
        <f t="shared" si="15"/>
        <v>267.11250000000001</v>
      </c>
      <c r="CE49" s="2">
        <f t="shared" si="16"/>
        <v>347.57806902366679</v>
      </c>
      <c r="CF49" s="21">
        <f t="shared" si="17"/>
        <v>1.3012422444612917</v>
      </c>
      <c r="CG49" s="10" t="str">
        <f t="shared" ref="CG49" si="97">IF(C47&lt;C49,"Rive",IF(C51&gt;C49,"Rive","Inter"))</f>
        <v>Inter</v>
      </c>
      <c r="CH49" s="21">
        <f t="shared" si="18"/>
        <v>0.73107838833120509</v>
      </c>
    </row>
    <row r="50" spans="1:86" x14ac:dyDescent="0.25">
      <c r="A50" t="str">
        <f t="shared" si="22"/>
        <v>Appui</v>
      </c>
      <c r="B50" t="b">
        <f t="shared" si="23"/>
        <v>0</v>
      </c>
      <c r="C50">
        <f t="shared" si="76"/>
        <v>5</v>
      </c>
      <c r="D50" t="s">
        <v>102</v>
      </c>
      <c r="E50" t="s">
        <v>54</v>
      </c>
      <c r="F50">
        <v>25</v>
      </c>
      <c r="G50" t="s">
        <v>46</v>
      </c>
      <c r="H50">
        <v>500</v>
      </c>
      <c r="I50">
        <v>220000</v>
      </c>
      <c r="J50">
        <v>1576</v>
      </c>
      <c r="K50">
        <v>1870</v>
      </c>
      <c r="L50">
        <v>1</v>
      </c>
      <c r="M50">
        <v>0.22</v>
      </c>
      <c r="N50">
        <v>2.33</v>
      </c>
      <c r="O50">
        <v>1.9400000000000001E-3</v>
      </c>
      <c r="P50">
        <v>0.04</v>
      </c>
      <c r="Q50">
        <v>1</v>
      </c>
      <c r="R50">
        <v>0</v>
      </c>
      <c r="S50">
        <v>0</v>
      </c>
      <c r="T50">
        <v>1</v>
      </c>
      <c r="U50">
        <v>2.9099999999999999E-5</v>
      </c>
      <c r="V50">
        <v>0</v>
      </c>
      <c r="W50">
        <v>10</v>
      </c>
      <c r="X50">
        <v>95</v>
      </c>
      <c r="Y50">
        <v>35</v>
      </c>
      <c r="Z50">
        <v>0</v>
      </c>
      <c r="AA50">
        <v>95</v>
      </c>
      <c r="AB50">
        <v>35</v>
      </c>
      <c r="AC50">
        <v>0</v>
      </c>
      <c r="AD50">
        <v>95</v>
      </c>
      <c r="AE50">
        <v>35</v>
      </c>
      <c r="AF50">
        <v>180.75</v>
      </c>
      <c r="AH50">
        <v>130</v>
      </c>
      <c r="AI50">
        <v>95</v>
      </c>
      <c r="AJ50">
        <v>35</v>
      </c>
      <c r="AK50">
        <v>12.63342617325433</v>
      </c>
      <c r="AL50">
        <v>4.1346349135859572</v>
      </c>
      <c r="AM50">
        <v>-293.18858871407667</v>
      </c>
      <c r="AN50">
        <v>-86.004644116226686</v>
      </c>
      <c r="AO50">
        <v>0</v>
      </c>
      <c r="AP50">
        <v>-122.0504685012354</v>
      </c>
      <c r="AQ50">
        <v>180.75</v>
      </c>
      <c r="AR50">
        <v>146.17319553807769</v>
      </c>
      <c r="AS50">
        <v>245.82706784945219</v>
      </c>
      <c r="AT50">
        <v>14.213651412890369</v>
      </c>
      <c r="AU50">
        <v>-435.16447362207202</v>
      </c>
      <c r="AV50">
        <v>0</v>
      </c>
      <c r="AW50">
        <v>-785.99116181384284</v>
      </c>
      <c r="AX50">
        <v>130</v>
      </c>
      <c r="AY50">
        <v>11.624589130173071</v>
      </c>
      <c r="AZ50">
        <v>-416.16741377075152</v>
      </c>
      <c r="BA50">
        <v>146.17319553807769</v>
      </c>
      <c r="BC50" s="1">
        <f t="shared" si="24"/>
        <v>95</v>
      </c>
      <c r="BD50" s="2">
        <f t="shared" si="25"/>
        <v>12.63342617325433</v>
      </c>
      <c r="BE50" s="7">
        <f t="shared" si="26"/>
        <v>-293.18858871407667</v>
      </c>
      <c r="BF50" s="1">
        <f t="shared" si="27"/>
        <v>35</v>
      </c>
      <c r="BG50" s="2">
        <f t="shared" si="28"/>
        <v>4.1346349135859572</v>
      </c>
      <c r="BH50" s="2">
        <f t="shared" si="53"/>
        <v>-86.004644116226686</v>
      </c>
      <c r="BI50" s="2">
        <f t="shared" si="53"/>
        <v>0</v>
      </c>
      <c r="BJ50" s="7">
        <f t="shared" si="53"/>
        <v>-122.0504685012354</v>
      </c>
      <c r="BK50" s="1">
        <f t="shared" si="54"/>
        <v>130</v>
      </c>
      <c r="BL50" s="2">
        <f t="shared" si="54"/>
        <v>16.768061086840287</v>
      </c>
      <c r="BM50" s="2">
        <f t="shared" si="3"/>
        <v>379.19323283030337</v>
      </c>
      <c r="BN50" s="2">
        <f t="shared" si="29"/>
        <v>0</v>
      </c>
      <c r="BO50" s="7">
        <f t="shared" si="30"/>
        <v>-122.0504685012354</v>
      </c>
      <c r="BQ50" s="1">
        <f t="shared" si="4"/>
        <v>130</v>
      </c>
      <c r="BR50" s="4">
        <v>0</v>
      </c>
      <c r="BS50" s="2">
        <f t="shared" si="5"/>
        <v>130</v>
      </c>
      <c r="BT50" s="2">
        <f t="shared" si="6"/>
        <v>146.17319553807769</v>
      </c>
      <c r="BU50" s="3">
        <f t="shared" si="7"/>
        <v>1.1244091964467515</v>
      </c>
      <c r="BV50" s="52" t="str">
        <f t="shared" si="8"/>
        <v/>
      </c>
      <c r="BW50" s="21" t="str">
        <f t="shared" si="9"/>
        <v/>
      </c>
      <c r="BX50" s="21" t="str">
        <f t="shared" si="10"/>
        <v/>
      </c>
      <c r="BY50" s="1">
        <f t="shared" si="11"/>
        <v>180.75</v>
      </c>
      <c r="BZ50" s="4">
        <v>0</v>
      </c>
      <c r="CA50" s="2">
        <f t="shared" si="12"/>
        <v>180.75</v>
      </c>
      <c r="CB50" s="2">
        <f t="shared" si="13"/>
        <v>245.82706784945219</v>
      </c>
      <c r="CC50" s="21">
        <f t="shared" si="14"/>
        <v>1.3600391029015335</v>
      </c>
      <c r="CD50" s="2" t="str">
        <f t="shared" si="15"/>
        <v/>
      </c>
      <c r="CE50" s="2" t="str">
        <f t="shared" si="16"/>
        <v/>
      </c>
      <c r="CF50" s="21" t="str">
        <f t="shared" si="17"/>
        <v/>
      </c>
      <c r="CG50" s="15"/>
      <c r="CH50" s="21" t="str">
        <f t="shared" si="18"/>
        <v/>
      </c>
    </row>
    <row r="51" spans="1:86" x14ac:dyDescent="0.25">
      <c r="A51" t="str">
        <f t="shared" si="22"/>
        <v>Travée</v>
      </c>
      <c r="B51" t="b">
        <f t="shared" si="23"/>
        <v>0</v>
      </c>
      <c r="C51">
        <f t="shared" si="76"/>
        <v>5</v>
      </c>
      <c r="D51" t="s">
        <v>102</v>
      </c>
      <c r="E51" t="s">
        <v>55</v>
      </c>
      <c r="F51">
        <v>25</v>
      </c>
      <c r="G51" t="s">
        <v>46</v>
      </c>
      <c r="H51">
        <v>500</v>
      </c>
      <c r="I51">
        <v>220000</v>
      </c>
      <c r="J51">
        <v>1576</v>
      </c>
      <c r="K51">
        <v>1870</v>
      </c>
      <c r="L51">
        <v>1</v>
      </c>
      <c r="M51">
        <v>0.22</v>
      </c>
      <c r="N51">
        <v>2.33</v>
      </c>
      <c r="O51">
        <v>9.0000000000000008E-4</v>
      </c>
      <c r="P51">
        <v>0.04</v>
      </c>
      <c r="Q51">
        <v>1</v>
      </c>
      <c r="R51">
        <v>0</v>
      </c>
      <c r="S51">
        <v>0</v>
      </c>
      <c r="T51">
        <v>1</v>
      </c>
      <c r="U51">
        <v>2.9099999999999999E-5</v>
      </c>
      <c r="V51">
        <v>0</v>
      </c>
      <c r="W51">
        <v>5</v>
      </c>
      <c r="X51">
        <v>27</v>
      </c>
      <c r="Y51">
        <v>13</v>
      </c>
      <c r="Z51">
        <v>0</v>
      </c>
      <c r="AA51">
        <v>27</v>
      </c>
      <c r="AB51">
        <v>13</v>
      </c>
      <c r="AC51">
        <v>0</v>
      </c>
      <c r="AD51">
        <v>27</v>
      </c>
      <c r="AE51">
        <v>13</v>
      </c>
      <c r="AF51">
        <v>55.95</v>
      </c>
      <c r="AH51">
        <v>40</v>
      </c>
      <c r="AI51">
        <v>27</v>
      </c>
      <c r="AJ51">
        <v>13</v>
      </c>
      <c r="AK51">
        <v>4.9780885802964683</v>
      </c>
      <c r="AL51">
        <v>2.0967422492725238</v>
      </c>
      <c r="AM51">
        <v>-175.6038237042838</v>
      </c>
      <c r="AN51">
        <v>-66.526668266292916</v>
      </c>
      <c r="AO51">
        <v>0</v>
      </c>
      <c r="AP51">
        <v>-92.698114030313022</v>
      </c>
      <c r="AQ51">
        <v>55.95</v>
      </c>
      <c r="AR51">
        <v>72.956084098832122</v>
      </c>
      <c r="AS51">
        <v>123.2273495821628</v>
      </c>
      <c r="AT51">
        <v>6.4522570748928976</v>
      </c>
      <c r="AU51">
        <v>-291.75997752419443</v>
      </c>
      <c r="AV51">
        <v>0</v>
      </c>
      <c r="AW51">
        <v>-413.48687255186559</v>
      </c>
      <c r="AX51">
        <v>40</v>
      </c>
      <c r="AY51">
        <v>5.3218106357590633</v>
      </c>
      <c r="AZ51">
        <v>-265.6565779920823</v>
      </c>
      <c r="BA51">
        <v>72.956084098832122</v>
      </c>
      <c r="BC51" s="1">
        <f t="shared" si="24"/>
        <v>27</v>
      </c>
      <c r="BD51" s="2">
        <f t="shared" si="25"/>
        <v>4.9780885802964683</v>
      </c>
      <c r="BE51" s="7">
        <f t="shared" si="26"/>
        <v>-175.6038237042838</v>
      </c>
      <c r="BF51" s="1">
        <f t="shared" si="27"/>
        <v>13</v>
      </c>
      <c r="BG51" s="2">
        <f t="shared" si="28"/>
        <v>2.0967422492725238</v>
      </c>
      <c r="BH51" s="2">
        <f t="shared" si="53"/>
        <v>-66.526668266292916</v>
      </c>
      <c r="BI51" s="2">
        <f t="shared" si="53"/>
        <v>0</v>
      </c>
      <c r="BJ51" s="7">
        <f t="shared" si="53"/>
        <v>-92.698114030313022</v>
      </c>
      <c r="BK51" s="1">
        <f t="shared" si="54"/>
        <v>40</v>
      </c>
      <c r="BL51" s="2">
        <f t="shared" si="54"/>
        <v>7.0748308295689917</v>
      </c>
      <c r="BM51" s="2">
        <f t="shared" si="3"/>
        <v>242.13049197057671</v>
      </c>
      <c r="BN51" s="2">
        <f t="shared" si="29"/>
        <v>0</v>
      </c>
      <c r="BO51" s="7">
        <f t="shared" si="30"/>
        <v>-92.698114030313022</v>
      </c>
      <c r="BQ51" s="1">
        <f t="shared" si="4"/>
        <v>40</v>
      </c>
      <c r="BR51" s="4" t="str">
        <f t="shared" ref="BR51" si="98">IF(ISNUMBER(SEARCH("Appui",E51)),0,"0")</f>
        <v>0</v>
      </c>
      <c r="BS51" s="2">
        <f t="shared" si="5"/>
        <v>40</v>
      </c>
      <c r="BT51" s="2">
        <f t="shared" si="6"/>
        <v>72.956084098832122</v>
      </c>
      <c r="BU51" s="3">
        <f t="shared" si="7"/>
        <v>1.8239021024708031</v>
      </c>
      <c r="BV51" s="52">
        <f t="shared" si="8"/>
        <v>105</v>
      </c>
      <c r="BW51" s="21">
        <f t="shared" si="9"/>
        <v>146.43289728279018</v>
      </c>
      <c r="BX51" s="21">
        <f t="shared" si="10"/>
        <v>1.3945990217408588</v>
      </c>
      <c r="BY51" s="1">
        <f t="shared" si="11"/>
        <v>55.95</v>
      </c>
      <c r="BZ51" s="4" t="str">
        <f t="shared" ref="BZ51" si="99">IF(ISNUMBER(SEARCH("Appui",M51)),0,"0")</f>
        <v>0</v>
      </c>
      <c r="CA51" s="2">
        <f t="shared" si="12"/>
        <v>55.95</v>
      </c>
      <c r="CB51" s="2">
        <f t="shared" si="13"/>
        <v>123.2273495821628</v>
      </c>
      <c r="CC51" s="21">
        <f t="shared" si="14"/>
        <v>2.2024548629519711</v>
      </c>
      <c r="CD51" s="2">
        <f t="shared" si="15"/>
        <v>146.32499999999999</v>
      </c>
      <c r="CE51" s="2">
        <f t="shared" si="16"/>
        <v>246.53109892180811</v>
      </c>
      <c r="CF51" s="21">
        <f t="shared" si="17"/>
        <v>1.684818718071472</v>
      </c>
      <c r="CG51" s="10" t="str">
        <f t="shared" ref="CG51" si="100">IF(C49&lt;C51,"Rive",IF(C53&gt;C51,"Rive","Inter"))</f>
        <v>Rive</v>
      </c>
      <c r="CH51" s="21">
        <f t="shared" si="18"/>
        <v>1.0007373810544349</v>
      </c>
    </row>
    <row r="52" spans="1:86" x14ac:dyDescent="0.25">
      <c r="A52" t="str">
        <f t="shared" si="22"/>
        <v/>
      </c>
      <c r="B52" t="b">
        <f t="shared" si="23"/>
        <v>0</v>
      </c>
      <c r="C52">
        <f t="shared" si="76"/>
        <v>5</v>
      </c>
      <c r="D52" t="s">
        <v>102</v>
      </c>
      <c r="F52">
        <v>25</v>
      </c>
      <c r="G52" t="s">
        <v>46</v>
      </c>
      <c r="H52">
        <v>500</v>
      </c>
      <c r="I52">
        <v>220000</v>
      </c>
      <c r="J52">
        <v>1576</v>
      </c>
      <c r="K52">
        <v>1870</v>
      </c>
      <c r="L52">
        <v>1</v>
      </c>
      <c r="M52">
        <v>0.2</v>
      </c>
      <c r="N52">
        <v>2.2000000000000002</v>
      </c>
      <c r="O52">
        <v>1.0000000000000001E-5</v>
      </c>
      <c r="P52">
        <v>0.03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0.78043082983844214</v>
      </c>
      <c r="AS52">
        <v>0.78043082983844214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0.78043082983844214</v>
      </c>
      <c r="BC52" s="1">
        <f t="shared" si="24"/>
        <v>0</v>
      </c>
      <c r="BD52" s="2">
        <f t="shared" si="25"/>
        <v>0</v>
      </c>
      <c r="BE52" s="7">
        <f t="shared" si="26"/>
        <v>0</v>
      </c>
      <c r="BF52" s="1">
        <f t="shared" si="27"/>
        <v>0</v>
      </c>
      <c r="BG52" s="2">
        <f t="shared" si="28"/>
        <v>0</v>
      </c>
      <c r="BH52" s="2">
        <f t="shared" si="53"/>
        <v>0</v>
      </c>
      <c r="BI52" s="2">
        <f t="shared" si="53"/>
        <v>0</v>
      </c>
      <c r="BJ52" s="7">
        <f t="shared" si="53"/>
        <v>0</v>
      </c>
      <c r="BK52" s="1">
        <f t="shared" si="54"/>
        <v>0</v>
      </c>
      <c r="BL52" s="2">
        <f t="shared" si="54"/>
        <v>0</v>
      </c>
      <c r="BM52" s="2">
        <f t="shared" si="3"/>
        <v>0</v>
      </c>
      <c r="BN52" s="2">
        <f t="shared" si="29"/>
        <v>0</v>
      </c>
      <c r="BO52" s="7">
        <f t="shared" si="30"/>
        <v>0</v>
      </c>
      <c r="BQ52" s="1">
        <f t="shared" si="4"/>
        <v>0</v>
      </c>
      <c r="BR52" s="4">
        <v>0</v>
      </c>
      <c r="BS52" s="2">
        <f t="shared" si="5"/>
        <v>0</v>
      </c>
      <c r="BT52" s="2">
        <f t="shared" si="6"/>
        <v>0.78043082983844214</v>
      </c>
      <c r="BU52" s="3">
        <f t="shared" si="7"/>
        <v>1</v>
      </c>
      <c r="BV52" s="52" t="str">
        <f t="shared" si="8"/>
        <v/>
      </c>
      <c r="BW52" s="21" t="str">
        <f t="shared" si="9"/>
        <v/>
      </c>
      <c r="BX52" s="21" t="str">
        <f t="shared" si="10"/>
        <v/>
      </c>
      <c r="BY52" s="1">
        <f t="shared" si="11"/>
        <v>0</v>
      </c>
      <c r="BZ52" s="4">
        <v>0</v>
      </c>
      <c r="CA52" s="2">
        <f t="shared" si="12"/>
        <v>0</v>
      </c>
      <c r="CB52" s="2">
        <f t="shared" si="13"/>
        <v>0.78043082983844214</v>
      </c>
      <c r="CC52" s="21">
        <f t="shared" si="14"/>
        <v>1</v>
      </c>
      <c r="CD52" s="2" t="str">
        <f t="shared" si="15"/>
        <v/>
      </c>
      <c r="CE52" s="2" t="str">
        <f t="shared" si="16"/>
        <v/>
      </c>
      <c r="CF52" s="21" t="str">
        <f t="shared" si="17"/>
        <v/>
      </c>
      <c r="CG52" s="15"/>
      <c r="CH52" s="21" t="str">
        <f t="shared" si="18"/>
        <v/>
      </c>
    </row>
    <row r="53" spans="1:86" x14ac:dyDescent="0.25">
      <c r="A53" t="str">
        <f t="shared" si="22"/>
        <v>Travée</v>
      </c>
      <c r="B53" t="b">
        <f t="shared" si="23"/>
        <v>1</v>
      </c>
      <c r="C53">
        <f t="shared" si="76"/>
        <v>6</v>
      </c>
      <c r="D53" t="s">
        <v>103</v>
      </c>
      <c r="E53" t="s">
        <v>45</v>
      </c>
      <c r="F53">
        <v>25</v>
      </c>
      <c r="G53" t="s">
        <v>46</v>
      </c>
      <c r="H53">
        <v>500</v>
      </c>
      <c r="I53">
        <v>220000</v>
      </c>
      <c r="J53">
        <v>1576</v>
      </c>
      <c r="K53">
        <v>1870</v>
      </c>
      <c r="L53">
        <v>1</v>
      </c>
      <c r="M53">
        <v>0.25</v>
      </c>
      <c r="N53">
        <v>2.6</v>
      </c>
      <c r="O53">
        <v>3.3280000000000001E-4</v>
      </c>
      <c r="P53">
        <v>0.04</v>
      </c>
      <c r="Q53">
        <v>1</v>
      </c>
      <c r="R53">
        <v>0</v>
      </c>
      <c r="S53">
        <v>0</v>
      </c>
      <c r="T53">
        <v>1</v>
      </c>
      <c r="U53">
        <v>2.9099999999999999E-5</v>
      </c>
      <c r="V53">
        <v>0</v>
      </c>
      <c r="W53">
        <v>15</v>
      </c>
      <c r="X53">
        <v>36</v>
      </c>
      <c r="Y53">
        <v>13</v>
      </c>
      <c r="Z53">
        <v>0</v>
      </c>
      <c r="AA53">
        <v>36</v>
      </c>
      <c r="AB53">
        <v>13</v>
      </c>
      <c r="AC53">
        <v>0</v>
      </c>
      <c r="AD53">
        <v>36</v>
      </c>
      <c r="AE53">
        <v>13</v>
      </c>
      <c r="AF53">
        <v>68.099999999999994</v>
      </c>
      <c r="AH53">
        <v>49</v>
      </c>
      <c r="AI53">
        <v>36</v>
      </c>
      <c r="AJ53">
        <v>13</v>
      </c>
      <c r="AK53">
        <v>7.7359965369857262</v>
      </c>
      <c r="AL53">
        <v>1.552903081323955</v>
      </c>
      <c r="AM53">
        <v>-530.26405010286658</v>
      </c>
      <c r="AN53">
        <v>-62.637570496142267</v>
      </c>
      <c r="AO53">
        <v>0</v>
      </c>
      <c r="AP53">
        <v>-84.092820184862703</v>
      </c>
      <c r="AQ53">
        <v>68.099999999999994</v>
      </c>
      <c r="AR53">
        <v>32.175182924605153</v>
      </c>
      <c r="AS53">
        <v>221.1742373319743</v>
      </c>
      <c r="AT53">
        <v>5.7731789559281861</v>
      </c>
      <c r="AU53">
        <v>-331.21405660818073</v>
      </c>
      <c r="AV53">
        <v>0</v>
      </c>
      <c r="AW53">
        <v>-449.78548171631661</v>
      </c>
      <c r="AX53">
        <v>49</v>
      </c>
      <c r="AY53">
        <v>0</v>
      </c>
      <c r="AZ53">
        <v>0</v>
      </c>
      <c r="BA53">
        <v>32.175182924605153</v>
      </c>
      <c r="BC53" s="1">
        <f t="shared" si="24"/>
        <v>36</v>
      </c>
      <c r="BD53" s="2">
        <f t="shared" si="25"/>
        <v>7.7359965369857262</v>
      </c>
      <c r="BE53" s="7">
        <f t="shared" si="26"/>
        <v>-530.26405010286658</v>
      </c>
      <c r="BF53" s="1">
        <f t="shared" si="27"/>
        <v>13</v>
      </c>
      <c r="BG53" s="2">
        <f t="shared" si="28"/>
        <v>1.552903081323955</v>
      </c>
      <c r="BH53" s="2">
        <f t="shared" si="53"/>
        <v>-62.637570496142267</v>
      </c>
      <c r="BI53" s="2">
        <f t="shared" si="53"/>
        <v>0</v>
      </c>
      <c r="BJ53" s="7">
        <f t="shared" si="53"/>
        <v>-84.092820184862703</v>
      </c>
      <c r="BK53" s="1">
        <f t="shared" si="54"/>
        <v>49</v>
      </c>
      <c r="BL53" s="2">
        <f t="shared" si="54"/>
        <v>9.2888996183096815</v>
      </c>
      <c r="BM53" s="2">
        <f t="shared" si="3"/>
        <v>592.90162059900888</v>
      </c>
      <c r="BN53" s="2">
        <f t="shared" si="29"/>
        <v>0</v>
      </c>
      <c r="BO53" s="7">
        <f t="shared" si="30"/>
        <v>-84.092820184862703</v>
      </c>
      <c r="BP53">
        <v>0</v>
      </c>
      <c r="BQ53" s="1">
        <f t="shared" si="4"/>
        <v>49</v>
      </c>
      <c r="BR53" s="4" t="str">
        <f t="shared" ref="BR53" si="101">IF(ISNUMBER(SEARCH("Appui",E53)),0,"0")</f>
        <v>0</v>
      </c>
      <c r="BS53" s="2">
        <f t="shared" si="5"/>
        <v>49</v>
      </c>
      <c r="BT53" s="2">
        <f t="shared" si="6"/>
        <v>32.175182924605153</v>
      </c>
      <c r="BU53" s="3">
        <f t="shared" si="7"/>
        <v>0.65663638621643172</v>
      </c>
      <c r="BV53" s="52">
        <f t="shared" si="8"/>
        <v>118.5</v>
      </c>
      <c r="BW53" s="21">
        <f t="shared" si="9"/>
        <v>111.53992848414315</v>
      </c>
      <c r="BX53" s="21">
        <f t="shared" si="10"/>
        <v>0.94126521927546958</v>
      </c>
      <c r="BY53" s="1">
        <f t="shared" si="11"/>
        <v>68.099999999999994</v>
      </c>
      <c r="BZ53" s="4" t="str">
        <f t="shared" ref="BZ53" si="102">IF(ISNUMBER(SEARCH("Appui",M53)),0,"0")</f>
        <v>0</v>
      </c>
      <c r="CA53" s="2">
        <f t="shared" si="12"/>
        <v>68.099999999999994</v>
      </c>
      <c r="CB53" s="2">
        <f t="shared" si="13"/>
        <v>221.1742373319743</v>
      </c>
      <c r="CC53" s="21">
        <f t="shared" si="14"/>
        <v>3.2477861575913995</v>
      </c>
      <c r="CD53" s="2">
        <f t="shared" si="15"/>
        <v>164.47499999999999</v>
      </c>
      <c r="CE53" s="2">
        <f t="shared" si="16"/>
        <v>328.21968724919776</v>
      </c>
      <c r="CF53" s="21">
        <f t="shared" si="17"/>
        <v>1.9955597339972504</v>
      </c>
      <c r="CG53" s="10" t="str">
        <f t="shared" ref="CG53" si="103">IF(C51&lt;C53,"Rive",IF(C55&gt;C53,"Rive","Inter"))</f>
        <v>Rive</v>
      </c>
      <c r="CH53" s="21">
        <f t="shared" si="18"/>
        <v>0.67815733992487093</v>
      </c>
    </row>
    <row r="54" spans="1:86" x14ac:dyDescent="0.25">
      <c r="A54" t="str">
        <f t="shared" si="22"/>
        <v>Appui</v>
      </c>
      <c r="B54" t="b">
        <f t="shared" si="23"/>
        <v>1</v>
      </c>
      <c r="C54">
        <f t="shared" si="76"/>
        <v>6</v>
      </c>
      <c r="D54" t="s">
        <v>103</v>
      </c>
      <c r="E54" t="s">
        <v>47</v>
      </c>
      <c r="F54">
        <v>25</v>
      </c>
      <c r="G54" t="s">
        <v>46</v>
      </c>
      <c r="H54">
        <v>500</v>
      </c>
      <c r="I54">
        <v>220000</v>
      </c>
      <c r="J54">
        <v>1576</v>
      </c>
      <c r="K54">
        <v>1870</v>
      </c>
      <c r="L54">
        <v>1</v>
      </c>
      <c r="M54">
        <v>0.25</v>
      </c>
      <c r="N54">
        <v>2.6</v>
      </c>
      <c r="O54">
        <v>2.0999999999999999E-3</v>
      </c>
      <c r="P54">
        <v>6.9999999999999993E-2</v>
      </c>
      <c r="Q54">
        <v>1</v>
      </c>
      <c r="R54">
        <v>0</v>
      </c>
      <c r="S54">
        <v>0</v>
      </c>
      <c r="T54">
        <v>1</v>
      </c>
      <c r="U54">
        <v>2.9099999999999999E-5</v>
      </c>
      <c r="V54">
        <v>0</v>
      </c>
      <c r="W54">
        <v>5</v>
      </c>
      <c r="X54">
        <v>105</v>
      </c>
      <c r="Y54">
        <v>34</v>
      </c>
      <c r="Z54">
        <v>0</v>
      </c>
      <c r="AA54">
        <v>105</v>
      </c>
      <c r="AB54">
        <v>34</v>
      </c>
      <c r="AC54">
        <v>0</v>
      </c>
      <c r="AD54">
        <v>105</v>
      </c>
      <c r="AE54">
        <v>34</v>
      </c>
      <c r="AF54">
        <v>192.75</v>
      </c>
      <c r="AH54">
        <v>139</v>
      </c>
      <c r="AI54">
        <v>105</v>
      </c>
      <c r="AJ54">
        <v>34</v>
      </c>
      <c r="AK54">
        <v>12.675005293006469</v>
      </c>
      <c r="AL54">
        <v>3.7620455659942791</v>
      </c>
      <c r="AM54">
        <v>-299.01831872764399</v>
      </c>
      <c r="AN54">
        <v>-83.627444062092849</v>
      </c>
      <c r="AO54">
        <v>0</v>
      </c>
      <c r="AP54">
        <v>-137.9899061489873</v>
      </c>
      <c r="AQ54">
        <v>192.75</v>
      </c>
      <c r="AR54">
        <v>158.72949111907599</v>
      </c>
      <c r="AS54">
        <v>214.0908998344469</v>
      </c>
      <c r="AT54">
        <v>15.096194352575569</v>
      </c>
      <c r="AU54">
        <v>-435.98568657788758</v>
      </c>
      <c r="AV54">
        <v>0</v>
      </c>
      <c r="AW54">
        <v>-1288.296770638319</v>
      </c>
      <c r="AX54">
        <v>139</v>
      </c>
      <c r="AY54">
        <v>11.3332737886501</v>
      </c>
      <c r="AZ54">
        <v>-410.23239459464321</v>
      </c>
      <c r="BA54">
        <v>158.72949111907599</v>
      </c>
      <c r="BC54" s="1">
        <f t="shared" si="24"/>
        <v>105</v>
      </c>
      <c r="BD54" s="2">
        <f t="shared" si="25"/>
        <v>12.675005293006469</v>
      </c>
      <c r="BE54" s="7">
        <f t="shared" si="26"/>
        <v>-299.01831872764399</v>
      </c>
      <c r="BF54" s="1">
        <f t="shared" si="27"/>
        <v>34</v>
      </c>
      <c r="BG54" s="2">
        <f t="shared" si="28"/>
        <v>3.7620455659942791</v>
      </c>
      <c r="BH54" s="2">
        <f t="shared" si="53"/>
        <v>-83.627444062092849</v>
      </c>
      <c r="BI54" s="2">
        <f t="shared" si="53"/>
        <v>0</v>
      </c>
      <c r="BJ54" s="7">
        <f t="shared" si="53"/>
        <v>-137.9899061489873</v>
      </c>
      <c r="BK54" s="1">
        <f t="shared" si="54"/>
        <v>139</v>
      </c>
      <c r="BL54" s="2">
        <f t="shared" si="54"/>
        <v>16.437050859000749</v>
      </c>
      <c r="BM54" s="2">
        <f t="shared" si="3"/>
        <v>382.64576278973686</v>
      </c>
      <c r="BN54" s="2">
        <f t="shared" si="29"/>
        <v>0</v>
      </c>
      <c r="BO54" s="7">
        <f t="shared" si="30"/>
        <v>-137.9899061489873</v>
      </c>
      <c r="BQ54" s="1">
        <f t="shared" si="4"/>
        <v>139</v>
      </c>
      <c r="BR54" s="4">
        <v>0</v>
      </c>
      <c r="BS54" s="2">
        <f t="shared" si="5"/>
        <v>139</v>
      </c>
      <c r="BT54" s="2">
        <f t="shared" si="6"/>
        <v>158.72949111907599</v>
      </c>
      <c r="BU54" s="3">
        <f t="shared" si="7"/>
        <v>1.1419387850293237</v>
      </c>
      <c r="BV54" s="52" t="str">
        <f t="shared" si="8"/>
        <v/>
      </c>
      <c r="BW54" s="21" t="str">
        <f t="shared" si="9"/>
        <v/>
      </c>
      <c r="BX54" s="21" t="str">
        <f t="shared" si="10"/>
        <v/>
      </c>
      <c r="BY54" s="1">
        <f t="shared" si="11"/>
        <v>192.75</v>
      </c>
      <c r="BZ54" s="4">
        <v>0</v>
      </c>
      <c r="CA54" s="2">
        <f t="shared" si="12"/>
        <v>192.75</v>
      </c>
      <c r="CB54" s="2">
        <f t="shared" si="13"/>
        <v>214.0908998344469</v>
      </c>
      <c r="CC54" s="21">
        <f t="shared" si="14"/>
        <v>1.1107180276754702</v>
      </c>
      <c r="CD54" s="2" t="str">
        <f t="shared" si="15"/>
        <v/>
      </c>
      <c r="CE54" s="2" t="str">
        <f t="shared" si="16"/>
        <v/>
      </c>
      <c r="CF54" s="21" t="str">
        <f t="shared" si="17"/>
        <v/>
      </c>
      <c r="CG54" s="15"/>
      <c r="CH54" s="21" t="str">
        <f t="shared" si="18"/>
        <v/>
      </c>
    </row>
    <row r="55" spans="1:86" x14ac:dyDescent="0.25">
      <c r="A55" t="str">
        <f t="shared" si="22"/>
        <v>Travée</v>
      </c>
      <c r="B55" t="b">
        <f t="shared" si="23"/>
        <v>1</v>
      </c>
      <c r="C55">
        <f t="shared" si="76"/>
        <v>6</v>
      </c>
      <c r="D55" t="s">
        <v>103</v>
      </c>
      <c r="E55" t="s">
        <v>48</v>
      </c>
      <c r="F55">
        <v>25</v>
      </c>
      <c r="G55" t="s">
        <v>46</v>
      </c>
      <c r="H55">
        <v>500</v>
      </c>
      <c r="I55">
        <v>220000</v>
      </c>
      <c r="J55">
        <v>1576</v>
      </c>
      <c r="K55">
        <v>1870</v>
      </c>
      <c r="L55">
        <v>1</v>
      </c>
      <c r="M55">
        <v>0.25</v>
      </c>
      <c r="N55">
        <v>2.6</v>
      </c>
      <c r="O55">
        <v>3.3280000000000001E-4</v>
      </c>
      <c r="P55">
        <v>0.04</v>
      </c>
      <c r="Q55">
        <v>1</v>
      </c>
      <c r="R55">
        <v>0</v>
      </c>
      <c r="S55">
        <v>0</v>
      </c>
      <c r="T55">
        <v>1</v>
      </c>
      <c r="U55">
        <v>2.9099999999999999E-5</v>
      </c>
      <c r="V55">
        <v>0</v>
      </c>
      <c r="W55">
        <v>15</v>
      </c>
      <c r="X55">
        <v>32</v>
      </c>
      <c r="Y55">
        <v>15</v>
      </c>
      <c r="Z55">
        <v>0</v>
      </c>
      <c r="AA55">
        <v>32</v>
      </c>
      <c r="AB55">
        <v>15</v>
      </c>
      <c r="AC55">
        <v>0</v>
      </c>
      <c r="AD55">
        <v>32</v>
      </c>
      <c r="AE55">
        <v>15</v>
      </c>
      <c r="AF55">
        <v>65.7</v>
      </c>
      <c r="AH55">
        <v>47</v>
      </c>
      <c r="AI55">
        <v>32</v>
      </c>
      <c r="AJ55">
        <v>15</v>
      </c>
      <c r="AK55">
        <v>6.8764413662095203</v>
      </c>
      <c r="AL55">
        <v>1.791811247681486</v>
      </c>
      <c r="AM55">
        <v>-471.3458223136592</v>
      </c>
      <c r="AN55">
        <v>-72.274119803241064</v>
      </c>
      <c r="AO55">
        <v>0</v>
      </c>
      <c r="AP55">
        <v>-97.030177136380004</v>
      </c>
      <c r="AQ55">
        <v>65.7</v>
      </c>
      <c r="AR55">
        <v>32.175182924605153</v>
      </c>
      <c r="AS55">
        <v>221.1742373319743</v>
      </c>
      <c r="AT55">
        <v>5.5832543423165264</v>
      </c>
      <c r="AU55">
        <v>-319.5171497372969</v>
      </c>
      <c r="AV55">
        <v>0</v>
      </c>
      <c r="AW55">
        <v>-433.87999702125632</v>
      </c>
      <c r="AX55">
        <v>47</v>
      </c>
      <c r="AY55">
        <v>0</v>
      </c>
      <c r="AZ55">
        <v>0</v>
      </c>
      <c r="BA55">
        <v>32.175182924605153</v>
      </c>
      <c r="BC55" s="1">
        <f t="shared" si="24"/>
        <v>32</v>
      </c>
      <c r="BD55" s="2">
        <f t="shared" si="25"/>
        <v>6.8764413662095203</v>
      </c>
      <c r="BE55" s="7">
        <f t="shared" si="26"/>
        <v>-471.3458223136592</v>
      </c>
      <c r="BF55" s="1">
        <f t="shared" si="27"/>
        <v>15</v>
      </c>
      <c r="BG55" s="2">
        <f t="shared" si="28"/>
        <v>1.791811247681486</v>
      </c>
      <c r="BH55" s="2">
        <f t="shared" si="53"/>
        <v>-72.274119803241064</v>
      </c>
      <c r="BI55" s="2">
        <f t="shared" si="53"/>
        <v>0</v>
      </c>
      <c r="BJ55" s="7">
        <f t="shared" si="53"/>
        <v>-97.030177136380004</v>
      </c>
      <c r="BK55" s="1">
        <f t="shared" si="54"/>
        <v>47</v>
      </c>
      <c r="BL55" s="2">
        <f t="shared" si="54"/>
        <v>8.6682526138910063</v>
      </c>
      <c r="BM55" s="2">
        <f t="shared" si="3"/>
        <v>543.61994211690023</v>
      </c>
      <c r="BN55" s="2">
        <f t="shared" si="29"/>
        <v>0</v>
      </c>
      <c r="BO55" s="7">
        <f t="shared" si="30"/>
        <v>-97.030177136380004</v>
      </c>
      <c r="BQ55" s="1">
        <f t="shared" si="4"/>
        <v>47</v>
      </c>
      <c r="BR55" s="4" t="str">
        <f t="shared" ref="BR55" si="104">IF(ISNUMBER(SEARCH("Appui",E55)),0,"0")</f>
        <v>0</v>
      </c>
      <c r="BS55" s="2">
        <f t="shared" si="5"/>
        <v>47</v>
      </c>
      <c r="BT55" s="2">
        <f t="shared" si="6"/>
        <v>32.175182924605153</v>
      </c>
      <c r="BU55" s="3">
        <f t="shared" si="7"/>
        <v>0.68457836009798201</v>
      </c>
      <c r="BV55" s="52">
        <f t="shared" si="8"/>
        <v>188.75</v>
      </c>
      <c r="BW55" s="21">
        <f t="shared" si="9"/>
        <v>201.00189585496872</v>
      </c>
      <c r="BX55" s="21">
        <f t="shared" si="10"/>
        <v>1.0649107065163905</v>
      </c>
      <c r="BY55" s="1">
        <f t="shared" si="11"/>
        <v>65.7</v>
      </c>
      <c r="BZ55" s="4" t="str">
        <f t="shared" ref="BZ55" si="105">IF(ISNUMBER(SEARCH("Appui",M55)),0,"0")</f>
        <v>0</v>
      </c>
      <c r="CA55" s="2">
        <f t="shared" si="12"/>
        <v>65.7</v>
      </c>
      <c r="CB55" s="2">
        <f t="shared" si="13"/>
        <v>221.1742373319743</v>
      </c>
      <c r="CC55" s="21">
        <f t="shared" si="14"/>
        <v>3.3664267478230485</v>
      </c>
      <c r="CD55" s="2">
        <f t="shared" si="15"/>
        <v>262.46249999999998</v>
      </c>
      <c r="CE55" s="2">
        <f t="shared" si="16"/>
        <v>445.20166202295263</v>
      </c>
      <c r="CF55" s="21">
        <f t="shared" si="17"/>
        <v>1.6962486527521177</v>
      </c>
      <c r="CG55" s="10" t="str">
        <f t="shared" ref="CG55" si="106">IF(C53&lt;C55,"Rive",IF(C57&gt;C55,"Rive","Inter"))</f>
        <v>Inter</v>
      </c>
      <c r="CH55" s="21">
        <f t="shared" si="18"/>
        <v>0.76583091243499068</v>
      </c>
    </row>
    <row r="56" spans="1:86" x14ac:dyDescent="0.25">
      <c r="A56" t="str">
        <f t="shared" si="22"/>
        <v>Appui</v>
      </c>
      <c r="B56" t="b">
        <f t="shared" si="23"/>
        <v>1</v>
      </c>
      <c r="C56">
        <f t="shared" si="76"/>
        <v>6</v>
      </c>
      <c r="D56" t="s">
        <v>103</v>
      </c>
      <c r="E56" t="s">
        <v>49</v>
      </c>
      <c r="F56">
        <v>25</v>
      </c>
      <c r="G56" t="s">
        <v>46</v>
      </c>
      <c r="H56">
        <v>500</v>
      </c>
      <c r="I56">
        <v>220000</v>
      </c>
      <c r="J56">
        <v>1576</v>
      </c>
      <c r="K56">
        <v>1870</v>
      </c>
      <c r="L56">
        <v>1</v>
      </c>
      <c r="M56">
        <v>0.25</v>
      </c>
      <c r="N56">
        <v>2.6</v>
      </c>
      <c r="O56">
        <v>2.3999999999999998E-3</v>
      </c>
      <c r="P56">
        <v>6.9999999999999993E-2</v>
      </c>
      <c r="Q56">
        <v>1</v>
      </c>
      <c r="R56">
        <v>0</v>
      </c>
      <c r="S56">
        <v>0</v>
      </c>
      <c r="T56">
        <v>1</v>
      </c>
      <c r="U56">
        <v>2.9099999999999999E-5</v>
      </c>
      <c r="V56">
        <v>0</v>
      </c>
      <c r="W56">
        <v>5</v>
      </c>
      <c r="X56">
        <v>106.5</v>
      </c>
      <c r="Y56">
        <v>38</v>
      </c>
      <c r="Z56">
        <v>0</v>
      </c>
      <c r="AA56">
        <v>106.5</v>
      </c>
      <c r="AB56">
        <v>38</v>
      </c>
      <c r="AC56">
        <v>0</v>
      </c>
      <c r="AD56">
        <v>106.5</v>
      </c>
      <c r="AE56">
        <v>38</v>
      </c>
      <c r="AF56">
        <v>200.77500000000001</v>
      </c>
      <c r="AH56">
        <v>144.5</v>
      </c>
      <c r="AI56">
        <v>106.5</v>
      </c>
      <c r="AJ56">
        <v>38</v>
      </c>
      <c r="AK56">
        <v>12.16843072383028</v>
      </c>
      <c r="AL56">
        <v>4.0282831148825098</v>
      </c>
      <c r="AM56">
        <v>-266.65321393343061</v>
      </c>
      <c r="AN56">
        <v>-83.496533900076429</v>
      </c>
      <c r="AO56">
        <v>0</v>
      </c>
      <c r="AP56">
        <v>-138.5135746626847</v>
      </c>
      <c r="AQ56">
        <v>200.77500000000001</v>
      </c>
      <c r="AR56">
        <v>178.9239347416511</v>
      </c>
      <c r="AS56">
        <v>233.96394954750971</v>
      </c>
      <c r="AT56">
        <v>14.42297085382179</v>
      </c>
      <c r="AU56">
        <v>-435.30034402737817</v>
      </c>
      <c r="AV56">
        <v>0</v>
      </c>
      <c r="AW56">
        <v>-990.10096773123621</v>
      </c>
      <c r="AX56">
        <v>144.5</v>
      </c>
      <c r="AY56">
        <v>11.246228371449501</v>
      </c>
      <c r="AZ56">
        <v>-375.51629353007053</v>
      </c>
      <c r="BA56">
        <v>178.9239347416511</v>
      </c>
      <c r="BC56" s="1">
        <f t="shared" si="24"/>
        <v>106.5</v>
      </c>
      <c r="BD56" s="2">
        <f t="shared" si="25"/>
        <v>12.16843072383028</v>
      </c>
      <c r="BE56" s="7">
        <f t="shared" si="26"/>
        <v>-266.65321393343061</v>
      </c>
      <c r="BF56" s="1">
        <f t="shared" si="27"/>
        <v>38</v>
      </c>
      <c r="BG56" s="2">
        <f t="shared" si="28"/>
        <v>4.0282831148825098</v>
      </c>
      <c r="BH56" s="2">
        <f t="shared" si="53"/>
        <v>-83.496533900076429</v>
      </c>
      <c r="BI56" s="2">
        <f t="shared" si="53"/>
        <v>0</v>
      </c>
      <c r="BJ56" s="7">
        <f t="shared" si="53"/>
        <v>-138.5135746626847</v>
      </c>
      <c r="BK56" s="1">
        <f t="shared" si="54"/>
        <v>144.5</v>
      </c>
      <c r="BL56" s="2">
        <f t="shared" si="54"/>
        <v>16.196713838712789</v>
      </c>
      <c r="BM56" s="2">
        <f t="shared" si="3"/>
        <v>350.14974783350704</v>
      </c>
      <c r="BN56" s="2">
        <f t="shared" si="29"/>
        <v>0</v>
      </c>
      <c r="BO56" s="7">
        <f t="shared" si="30"/>
        <v>-138.5135746626847</v>
      </c>
      <c r="BQ56" s="1">
        <f t="shared" si="4"/>
        <v>144.5</v>
      </c>
      <c r="BR56" s="4">
        <v>0</v>
      </c>
      <c r="BS56" s="2">
        <f t="shared" si="5"/>
        <v>144.5</v>
      </c>
      <c r="BT56" s="2">
        <f t="shared" si="6"/>
        <v>178.9239347416511</v>
      </c>
      <c r="BU56" s="3">
        <f t="shared" si="7"/>
        <v>1.2382279220875507</v>
      </c>
      <c r="BV56" s="52" t="str">
        <f t="shared" si="8"/>
        <v/>
      </c>
      <c r="BW56" s="21" t="str">
        <f t="shared" si="9"/>
        <v/>
      </c>
      <c r="BX56" s="21" t="str">
        <f t="shared" si="10"/>
        <v/>
      </c>
      <c r="BY56" s="1">
        <f t="shared" si="11"/>
        <v>200.77500000000001</v>
      </c>
      <c r="BZ56" s="4">
        <v>0</v>
      </c>
      <c r="CA56" s="2">
        <f t="shared" si="12"/>
        <v>200.77500000000001</v>
      </c>
      <c r="CB56" s="2">
        <f t="shared" si="13"/>
        <v>233.96394954750971</v>
      </c>
      <c r="CC56" s="21">
        <f t="shared" si="14"/>
        <v>1.1653041939858533</v>
      </c>
      <c r="CD56" s="2" t="str">
        <f t="shared" si="15"/>
        <v/>
      </c>
      <c r="CE56" s="2" t="str">
        <f t="shared" si="16"/>
        <v/>
      </c>
      <c r="CF56" s="21" t="str">
        <f t="shared" si="17"/>
        <v/>
      </c>
      <c r="CG56" s="15"/>
      <c r="CH56" s="21" t="str">
        <f t="shared" si="18"/>
        <v/>
      </c>
    </row>
    <row r="57" spans="1:86" x14ac:dyDescent="0.25">
      <c r="A57" t="str">
        <f t="shared" si="22"/>
        <v>Travée</v>
      </c>
      <c r="B57" t="b">
        <f t="shared" si="23"/>
        <v>1</v>
      </c>
      <c r="C57">
        <f>IF(D57="",100000,IF(D57=D55,C55,C55+1))</f>
        <v>6</v>
      </c>
      <c r="D57" t="s">
        <v>103</v>
      </c>
      <c r="E57" t="s">
        <v>51</v>
      </c>
      <c r="F57">
        <v>25</v>
      </c>
      <c r="G57" t="s">
        <v>46</v>
      </c>
      <c r="H57">
        <v>500</v>
      </c>
      <c r="I57">
        <v>220000</v>
      </c>
      <c r="J57">
        <v>1576</v>
      </c>
      <c r="K57">
        <v>1870</v>
      </c>
      <c r="L57">
        <v>1</v>
      </c>
      <c r="M57">
        <v>0.25</v>
      </c>
      <c r="N57">
        <v>2.6</v>
      </c>
      <c r="O57">
        <v>3.3280000000000001E-4</v>
      </c>
      <c r="P57">
        <v>0.04</v>
      </c>
      <c r="Q57">
        <v>1</v>
      </c>
      <c r="R57">
        <v>0</v>
      </c>
      <c r="S57">
        <v>0</v>
      </c>
      <c r="T57">
        <v>1</v>
      </c>
      <c r="U57">
        <v>2.9099999999999999E-5</v>
      </c>
      <c r="V57">
        <v>0</v>
      </c>
      <c r="W57">
        <v>15</v>
      </c>
      <c r="X57">
        <v>38</v>
      </c>
      <c r="Y57">
        <v>17</v>
      </c>
      <c r="Z57">
        <v>0</v>
      </c>
      <c r="AA57">
        <v>38</v>
      </c>
      <c r="AB57">
        <v>17</v>
      </c>
      <c r="AC57">
        <v>0</v>
      </c>
      <c r="AD57">
        <v>38</v>
      </c>
      <c r="AE57">
        <v>17</v>
      </c>
      <c r="AF57">
        <v>76.800000000000011</v>
      </c>
      <c r="AH57">
        <v>55</v>
      </c>
      <c r="AI57">
        <v>38</v>
      </c>
      <c r="AJ57">
        <v>17</v>
      </c>
      <c r="AK57">
        <v>8.1657741223738007</v>
      </c>
      <c r="AL57">
        <v>2.030719414039019</v>
      </c>
      <c r="AM57">
        <v>-559.72316399747035</v>
      </c>
      <c r="AN57">
        <v>-81.91066911033991</v>
      </c>
      <c r="AO57">
        <v>0</v>
      </c>
      <c r="AP57">
        <v>-109.96753408789741</v>
      </c>
      <c r="AQ57">
        <v>76.800000000000011</v>
      </c>
      <c r="AR57">
        <v>32.175182924605153</v>
      </c>
      <c r="AS57">
        <v>221.1742373319743</v>
      </c>
      <c r="AT57">
        <v>6.4527297573128024</v>
      </c>
      <c r="AU57">
        <v>-373.6313118469443</v>
      </c>
      <c r="AV57">
        <v>0</v>
      </c>
      <c r="AW57">
        <v>-507.47929553397381</v>
      </c>
      <c r="AX57">
        <v>55</v>
      </c>
      <c r="AY57">
        <v>0</v>
      </c>
      <c r="AZ57">
        <v>0</v>
      </c>
      <c r="BA57">
        <v>32.175182924605153</v>
      </c>
      <c r="BC57" s="1">
        <f t="shared" si="24"/>
        <v>38</v>
      </c>
      <c r="BD57" s="2">
        <f t="shared" si="25"/>
        <v>8.1657741223738007</v>
      </c>
      <c r="BE57" s="7">
        <f t="shared" si="26"/>
        <v>-559.72316399747035</v>
      </c>
      <c r="BF57" s="1">
        <f t="shared" si="27"/>
        <v>17</v>
      </c>
      <c r="BG57" s="2">
        <f t="shared" si="28"/>
        <v>2.030719414039019</v>
      </c>
      <c r="BH57" s="2">
        <f t="shared" si="53"/>
        <v>-81.91066911033991</v>
      </c>
      <c r="BI57" s="2">
        <f t="shared" si="53"/>
        <v>0</v>
      </c>
      <c r="BJ57" s="7">
        <f t="shared" si="53"/>
        <v>-109.96753408789741</v>
      </c>
      <c r="BK57" s="1">
        <f t="shared" si="54"/>
        <v>55</v>
      </c>
      <c r="BL57" s="2">
        <f t="shared" si="54"/>
        <v>10.19649353641282</v>
      </c>
      <c r="BM57" s="2">
        <f t="shared" si="3"/>
        <v>641.63383310781023</v>
      </c>
      <c r="BN57" s="2">
        <f t="shared" si="29"/>
        <v>0</v>
      </c>
      <c r="BO57" s="7">
        <f t="shared" si="30"/>
        <v>-109.96753408789741</v>
      </c>
      <c r="BQ57" s="1">
        <f t="shared" si="4"/>
        <v>55</v>
      </c>
      <c r="BR57" s="4" t="str">
        <f t="shared" ref="BR57" si="107">IF(ISNUMBER(SEARCH("Appui",E57)),0,"0")</f>
        <v>0</v>
      </c>
      <c r="BS57" s="2">
        <f t="shared" si="5"/>
        <v>55</v>
      </c>
      <c r="BT57" s="2">
        <f t="shared" si="6"/>
        <v>32.175182924605153</v>
      </c>
      <c r="BU57" s="3">
        <f t="shared" si="7"/>
        <v>0.58500332590191184</v>
      </c>
      <c r="BV57" s="52">
        <f t="shared" si="8"/>
        <v>207.75</v>
      </c>
      <c r="BW57" s="21">
        <f t="shared" si="9"/>
        <v>193.7463355826531</v>
      </c>
      <c r="BX57" s="21">
        <f t="shared" si="10"/>
        <v>0.93259367308136276</v>
      </c>
      <c r="BY57" s="1">
        <f t="shared" si="11"/>
        <v>76.800000000000011</v>
      </c>
      <c r="BZ57" s="4" t="str">
        <f t="shared" ref="BZ57" si="108">IF(ISNUMBER(SEARCH("Appui",M57)),0,"0")</f>
        <v>0</v>
      </c>
      <c r="CA57" s="2">
        <f t="shared" si="12"/>
        <v>76.800000000000011</v>
      </c>
      <c r="CB57" s="2">
        <f t="shared" si="13"/>
        <v>221.1742373319743</v>
      </c>
      <c r="CC57" s="21">
        <f t="shared" si="14"/>
        <v>2.8798728819267483</v>
      </c>
      <c r="CD57" s="2">
        <f t="shared" si="15"/>
        <v>289.05</v>
      </c>
      <c r="CE57" s="2">
        <f t="shared" si="16"/>
        <v>468.14934099629932</v>
      </c>
      <c r="CF57" s="21">
        <f t="shared" si="17"/>
        <v>1.6196137034987002</v>
      </c>
      <c r="CG57" s="10" t="str">
        <f t="shared" ref="CG57" si="109">IF(C55&lt;C57,"Rive",IF(C59&gt;C57,"Rive","Inter"))</f>
        <v>Inter</v>
      </c>
      <c r="CH57" s="21">
        <f t="shared" si="18"/>
        <v>0.67028657873258291</v>
      </c>
    </row>
    <row r="58" spans="1:86" x14ac:dyDescent="0.25">
      <c r="A58" t="str">
        <f t="shared" si="22"/>
        <v>Appui</v>
      </c>
      <c r="B58" t="b">
        <f t="shared" si="23"/>
        <v>1</v>
      </c>
      <c r="C58">
        <f>IF(D58="",100000,IF(D58=D56,C56,C56+1))</f>
        <v>6</v>
      </c>
      <c r="D58" t="s">
        <v>103</v>
      </c>
      <c r="E58" t="s">
        <v>52</v>
      </c>
      <c r="F58">
        <v>25</v>
      </c>
      <c r="G58" t="s">
        <v>46</v>
      </c>
      <c r="H58">
        <v>500</v>
      </c>
      <c r="I58">
        <v>220000</v>
      </c>
      <c r="J58">
        <v>1576</v>
      </c>
      <c r="K58">
        <v>1870</v>
      </c>
      <c r="L58">
        <v>1</v>
      </c>
      <c r="M58">
        <v>0.25</v>
      </c>
      <c r="N58">
        <v>2.6</v>
      </c>
      <c r="O58">
        <v>2.0999999999999999E-3</v>
      </c>
      <c r="P58">
        <v>8.4999999999999992E-2</v>
      </c>
      <c r="Q58">
        <v>1</v>
      </c>
      <c r="R58">
        <v>0</v>
      </c>
      <c r="S58">
        <v>0</v>
      </c>
      <c r="T58">
        <v>1</v>
      </c>
      <c r="U58">
        <v>2.9099999999999999E-5</v>
      </c>
      <c r="V58">
        <v>0</v>
      </c>
      <c r="W58">
        <v>10</v>
      </c>
      <c r="X58">
        <v>118.5</v>
      </c>
      <c r="Y58">
        <v>42.5</v>
      </c>
      <c r="Z58">
        <v>0</v>
      </c>
      <c r="AA58">
        <v>118.5</v>
      </c>
      <c r="AB58">
        <v>42.5</v>
      </c>
      <c r="AC58">
        <v>0</v>
      </c>
      <c r="AD58">
        <v>118.5</v>
      </c>
      <c r="AE58">
        <v>42.5</v>
      </c>
      <c r="AF58">
        <v>223.72499999999999</v>
      </c>
      <c r="AH58">
        <v>161</v>
      </c>
      <c r="AI58">
        <v>118.5</v>
      </c>
      <c r="AJ58">
        <v>42.5</v>
      </c>
      <c r="AK58">
        <v>16.42873018445901</v>
      </c>
      <c r="AL58">
        <v>4.8250753605029697</v>
      </c>
      <c r="AM58">
        <v>-369.29323359892959</v>
      </c>
      <c r="AN58">
        <v>-95.411184357666912</v>
      </c>
      <c r="AO58">
        <v>0</v>
      </c>
      <c r="AP58">
        <v>-176.39204385516021</v>
      </c>
      <c r="AQ58">
        <v>223.72499999999999</v>
      </c>
      <c r="AR58">
        <v>144.2183705744448</v>
      </c>
      <c r="AS58">
        <v>259.9862577811403</v>
      </c>
      <c r="AT58">
        <v>15.94265866493744</v>
      </c>
      <c r="AU58">
        <v>-435.72668474892322</v>
      </c>
      <c r="AV58">
        <v>0</v>
      </c>
      <c r="AW58">
        <v>-1336.7631444065371</v>
      </c>
      <c r="AX58">
        <v>161</v>
      </c>
      <c r="AY58">
        <v>0</v>
      </c>
      <c r="AZ58">
        <v>0</v>
      </c>
      <c r="BA58">
        <v>144.2183705744448</v>
      </c>
      <c r="BC58" s="1">
        <f t="shared" si="24"/>
        <v>118.5</v>
      </c>
      <c r="BD58" s="2">
        <f t="shared" si="25"/>
        <v>16.42873018445901</v>
      </c>
      <c r="BE58" s="7">
        <f t="shared" si="26"/>
        <v>-369.29323359892959</v>
      </c>
      <c r="BF58" s="1">
        <f t="shared" si="27"/>
        <v>42.5</v>
      </c>
      <c r="BG58" s="2">
        <f t="shared" si="28"/>
        <v>4.8250753605029697</v>
      </c>
      <c r="BH58" s="2">
        <f t="shared" si="53"/>
        <v>-95.411184357666912</v>
      </c>
      <c r="BI58" s="2">
        <f t="shared" si="53"/>
        <v>0</v>
      </c>
      <c r="BJ58" s="7">
        <f t="shared" si="53"/>
        <v>-176.39204385516021</v>
      </c>
      <c r="BK58" s="1">
        <f t="shared" si="54"/>
        <v>161</v>
      </c>
      <c r="BL58" s="2">
        <f t="shared" si="54"/>
        <v>21.253805544961978</v>
      </c>
      <c r="BM58" s="2">
        <f t="shared" si="3"/>
        <v>464.7044179565965</v>
      </c>
      <c r="BN58" s="2">
        <f t="shared" si="29"/>
        <v>0</v>
      </c>
      <c r="BO58" s="7">
        <f t="shared" si="30"/>
        <v>-176.39204385516021</v>
      </c>
      <c r="BQ58" s="1">
        <f t="shared" si="4"/>
        <v>161</v>
      </c>
      <c r="BR58" s="4">
        <v>0</v>
      </c>
      <c r="BS58" s="2">
        <f t="shared" si="5"/>
        <v>161</v>
      </c>
      <c r="BT58" s="2">
        <f t="shared" si="6"/>
        <v>144.2183705744448</v>
      </c>
      <c r="BU58" s="3">
        <f t="shared" si="7"/>
        <v>0.89576627685990562</v>
      </c>
      <c r="BV58" s="52" t="str">
        <f t="shared" si="8"/>
        <v/>
      </c>
      <c r="BW58" s="21" t="str">
        <f t="shared" si="9"/>
        <v/>
      </c>
      <c r="BX58" s="21" t="str">
        <f t="shared" si="10"/>
        <v/>
      </c>
      <c r="BY58" s="1">
        <f t="shared" si="11"/>
        <v>223.72499999999999</v>
      </c>
      <c r="BZ58" s="4">
        <v>0</v>
      </c>
      <c r="CA58" s="2">
        <f t="shared" si="12"/>
        <v>223.72499999999999</v>
      </c>
      <c r="CB58" s="2">
        <f t="shared" si="13"/>
        <v>259.9862577811403</v>
      </c>
      <c r="CC58" s="21">
        <f t="shared" si="14"/>
        <v>1.1620795967421624</v>
      </c>
      <c r="CD58" s="2" t="str">
        <f t="shared" si="15"/>
        <v/>
      </c>
      <c r="CE58" s="2" t="str">
        <f t="shared" si="16"/>
        <v/>
      </c>
      <c r="CF58" s="21" t="str">
        <f t="shared" si="17"/>
        <v/>
      </c>
      <c r="CG58" s="15"/>
      <c r="CH58" s="21" t="str">
        <f t="shared" si="18"/>
        <v/>
      </c>
    </row>
    <row r="59" spans="1:86" x14ac:dyDescent="0.25">
      <c r="A59" t="str">
        <f t="shared" si="22"/>
        <v>Travée</v>
      </c>
      <c r="B59" t="b">
        <f t="shared" si="23"/>
        <v>1</v>
      </c>
      <c r="C59">
        <f t="shared" si="76"/>
        <v>6</v>
      </c>
      <c r="D59" t="s">
        <v>103</v>
      </c>
      <c r="E59" t="s">
        <v>53</v>
      </c>
      <c r="F59">
        <v>25</v>
      </c>
      <c r="G59" t="s">
        <v>46</v>
      </c>
      <c r="H59">
        <v>500</v>
      </c>
      <c r="I59">
        <v>220000</v>
      </c>
      <c r="J59">
        <v>1576</v>
      </c>
      <c r="K59">
        <v>1870</v>
      </c>
      <c r="L59">
        <v>1</v>
      </c>
      <c r="M59">
        <v>0.25</v>
      </c>
      <c r="N59">
        <v>2.6</v>
      </c>
      <c r="O59">
        <v>3.3280000000000001E-4</v>
      </c>
      <c r="P59">
        <v>0.04</v>
      </c>
      <c r="Q59">
        <v>1</v>
      </c>
      <c r="R59">
        <v>0</v>
      </c>
      <c r="S59">
        <v>0</v>
      </c>
      <c r="T59">
        <v>1</v>
      </c>
      <c r="U59">
        <v>2.9099999999999999E-5</v>
      </c>
      <c r="V59">
        <v>0</v>
      </c>
      <c r="W59">
        <v>15</v>
      </c>
      <c r="X59">
        <v>41</v>
      </c>
      <c r="Y59">
        <v>18</v>
      </c>
      <c r="Z59">
        <v>0</v>
      </c>
      <c r="AA59">
        <v>41</v>
      </c>
      <c r="AB59">
        <v>18</v>
      </c>
      <c r="AC59">
        <v>0</v>
      </c>
      <c r="AD59">
        <v>41</v>
      </c>
      <c r="AE59">
        <v>18</v>
      </c>
      <c r="AF59">
        <v>82.35</v>
      </c>
      <c r="AH59">
        <v>59</v>
      </c>
      <c r="AI59">
        <v>41</v>
      </c>
      <c r="AJ59">
        <v>18</v>
      </c>
      <c r="AK59">
        <v>8.8104405004559627</v>
      </c>
      <c r="AL59">
        <v>2.1501734972177848</v>
      </c>
      <c r="AM59">
        <v>-603.91183483937584</v>
      </c>
      <c r="AN59">
        <v>-86.728943763889319</v>
      </c>
      <c r="AO59">
        <v>0</v>
      </c>
      <c r="AP59">
        <v>-116.4362125636561</v>
      </c>
      <c r="AQ59">
        <v>82.35</v>
      </c>
      <c r="AR59">
        <v>32.175182924605153</v>
      </c>
      <c r="AS59">
        <v>221.1742373319743</v>
      </c>
      <c r="AT59">
        <v>6.8787956519535349</v>
      </c>
      <c r="AU59">
        <v>-400.70390667575202</v>
      </c>
      <c r="AV59">
        <v>0</v>
      </c>
      <c r="AW59">
        <v>-544.31449859727059</v>
      </c>
      <c r="AX59">
        <v>59</v>
      </c>
      <c r="AY59">
        <v>0</v>
      </c>
      <c r="AZ59">
        <v>0</v>
      </c>
      <c r="BA59">
        <v>32.175182924605153</v>
      </c>
      <c r="BC59" s="1">
        <f t="shared" si="24"/>
        <v>41</v>
      </c>
      <c r="BD59" s="2">
        <f t="shared" si="25"/>
        <v>8.8104405004559627</v>
      </c>
      <c r="BE59" s="7">
        <f t="shared" si="26"/>
        <v>-603.91183483937584</v>
      </c>
      <c r="BF59" s="1">
        <f t="shared" si="27"/>
        <v>18</v>
      </c>
      <c r="BG59" s="2">
        <f t="shared" si="28"/>
        <v>2.1501734972177848</v>
      </c>
      <c r="BH59" s="2">
        <f t="shared" si="53"/>
        <v>-86.728943763889319</v>
      </c>
      <c r="BI59" s="2">
        <f t="shared" si="53"/>
        <v>0</v>
      </c>
      <c r="BJ59" s="7">
        <f t="shared" si="53"/>
        <v>-116.4362125636561</v>
      </c>
      <c r="BK59" s="1">
        <f t="shared" si="54"/>
        <v>59</v>
      </c>
      <c r="BL59" s="2">
        <f t="shared" si="54"/>
        <v>10.960613997673747</v>
      </c>
      <c r="BM59" s="2">
        <f t="shared" si="3"/>
        <v>690.64077860326518</v>
      </c>
      <c r="BN59" s="2">
        <f t="shared" si="29"/>
        <v>0</v>
      </c>
      <c r="BO59" s="7">
        <f t="shared" si="30"/>
        <v>-116.4362125636561</v>
      </c>
      <c r="BQ59" s="1">
        <f t="shared" si="4"/>
        <v>59</v>
      </c>
      <c r="BR59" s="4" t="str">
        <f t="shared" ref="BR59" si="110">IF(ISNUMBER(SEARCH("Appui",E59)),0,"0")</f>
        <v>0</v>
      </c>
      <c r="BS59" s="2">
        <f t="shared" si="5"/>
        <v>59</v>
      </c>
      <c r="BT59" s="2">
        <f t="shared" si="6"/>
        <v>32.175182924605153</v>
      </c>
      <c r="BU59" s="3">
        <f t="shared" si="7"/>
        <v>0.54534208346788393</v>
      </c>
      <c r="BV59" s="52">
        <f t="shared" si="8"/>
        <v>220</v>
      </c>
      <c r="BW59" s="21">
        <f t="shared" si="9"/>
        <v>183.64911377136553</v>
      </c>
      <c r="BX59" s="21">
        <f t="shared" si="10"/>
        <v>0.83476869896075245</v>
      </c>
      <c r="BY59" s="1">
        <f t="shared" si="11"/>
        <v>82.35</v>
      </c>
      <c r="BZ59" s="4" t="str">
        <f t="shared" ref="BZ59" si="111">IF(ISNUMBER(SEARCH("Appui",M59)),0,"0")</f>
        <v>0</v>
      </c>
      <c r="CA59" s="2">
        <f t="shared" si="12"/>
        <v>82.35</v>
      </c>
      <c r="CB59" s="2">
        <f t="shared" si="13"/>
        <v>221.1742373319743</v>
      </c>
      <c r="CC59" s="21">
        <f t="shared" si="14"/>
        <v>2.6857830884271321</v>
      </c>
      <c r="CD59" s="2">
        <f t="shared" si="15"/>
        <v>306.07499999999999</v>
      </c>
      <c r="CE59" s="2">
        <f t="shared" si="16"/>
        <v>488.11060976831243</v>
      </c>
      <c r="CF59" s="21">
        <f t="shared" si="17"/>
        <v>1.5947418435622396</v>
      </c>
      <c r="CG59" s="10" t="str">
        <f t="shared" ref="CG59" si="112">IF(C57&lt;C59,"Rive",IF(C61&gt;C59,"Rive","Inter"))</f>
        <v>Inter</v>
      </c>
      <c r="CH59" s="21">
        <f t="shared" si="18"/>
        <v>0.6000134404030566</v>
      </c>
    </row>
    <row r="60" spans="1:86" x14ac:dyDescent="0.25">
      <c r="A60" t="str">
        <f t="shared" si="22"/>
        <v>Appui</v>
      </c>
      <c r="B60" t="b">
        <f t="shared" si="23"/>
        <v>1</v>
      </c>
      <c r="C60">
        <f t="shared" si="76"/>
        <v>6</v>
      </c>
      <c r="D60" t="s">
        <v>103</v>
      </c>
      <c r="E60" t="s">
        <v>54</v>
      </c>
      <c r="F60">
        <v>25</v>
      </c>
      <c r="G60" t="s">
        <v>46</v>
      </c>
      <c r="H60">
        <v>500</v>
      </c>
      <c r="I60">
        <v>220000</v>
      </c>
      <c r="J60">
        <v>1576</v>
      </c>
      <c r="K60">
        <v>1870</v>
      </c>
      <c r="L60">
        <v>1</v>
      </c>
      <c r="M60">
        <v>0.25</v>
      </c>
      <c r="N60">
        <v>2.6</v>
      </c>
      <c r="O60">
        <v>2.0999999999999999E-3</v>
      </c>
      <c r="P60">
        <v>6.9999999999999993E-2</v>
      </c>
      <c r="Q60">
        <v>1</v>
      </c>
      <c r="R60">
        <v>0</v>
      </c>
      <c r="S60">
        <v>0</v>
      </c>
      <c r="T60">
        <v>1</v>
      </c>
      <c r="U60">
        <v>2.9099999999999999E-5</v>
      </c>
      <c r="V60">
        <v>0</v>
      </c>
      <c r="W60">
        <v>10</v>
      </c>
      <c r="X60">
        <v>118.5</v>
      </c>
      <c r="Y60">
        <v>42.5</v>
      </c>
      <c r="Z60">
        <v>0</v>
      </c>
      <c r="AA60">
        <v>118.5</v>
      </c>
      <c r="AB60">
        <v>42.5</v>
      </c>
      <c r="AC60">
        <v>0</v>
      </c>
      <c r="AD60">
        <v>118.5</v>
      </c>
      <c r="AE60">
        <v>42.5</v>
      </c>
      <c r="AF60">
        <v>223.72499999999999</v>
      </c>
      <c r="AH60">
        <v>161</v>
      </c>
      <c r="AI60">
        <v>118.5</v>
      </c>
      <c r="AJ60">
        <v>42.5</v>
      </c>
      <c r="AK60">
        <v>14.30464883067873</v>
      </c>
      <c r="AL60">
        <v>4.3749199360085136</v>
      </c>
      <c r="AM60">
        <v>-337.463531135484</v>
      </c>
      <c r="AN60">
        <v>-91.899961808736052</v>
      </c>
      <c r="AO60">
        <v>0</v>
      </c>
      <c r="AP60">
        <v>-152.2943514707882</v>
      </c>
      <c r="AQ60">
        <v>223.72499999999999</v>
      </c>
      <c r="AR60">
        <v>158.72949111907599</v>
      </c>
      <c r="AS60">
        <v>273.88648709153603</v>
      </c>
      <c r="AT60">
        <v>15.210206002026361</v>
      </c>
      <c r="AU60">
        <v>-435.6301393889164</v>
      </c>
      <c r="AV60">
        <v>0</v>
      </c>
      <c r="AW60">
        <v>-1140.860081773624</v>
      </c>
      <c r="AX60">
        <v>161</v>
      </c>
      <c r="AY60">
        <v>0</v>
      </c>
      <c r="AZ60">
        <v>0</v>
      </c>
      <c r="BA60">
        <v>158.72949111907599</v>
      </c>
      <c r="BC60" s="1">
        <f t="shared" si="24"/>
        <v>118.5</v>
      </c>
      <c r="BD60" s="2">
        <f t="shared" si="25"/>
        <v>14.30464883067873</v>
      </c>
      <c r="BE60" s="7">
        <f t="shared" si="26"/>
        <v>-337.463531135484</v>
      </c>
      <c r="BF60" s="1">
        <f t="shared" si="27"/>
        <v>42.5</v>
      </c>
      <c r="BG60" s="2">
        <f t="shared" si="28"/>
        <v>4.3749199360085136</v>
      </c>
      <c r="BH60" s="2">
        <f t="shared" si="53"/>
        <v>-91.899961808736052</v>
      </c>
      <c r="BI60" s="2">
        <f t="shared" si="53"/>
        <v>0</v>
      </c>
      <c r="BJ60" s="7">
        <f t="shared" si="53"/>
        <v>-152.2943514707882</v>
      </c>
      <c r="BK60" s="1">
        <f t="shared" si="54"/>
        <v>161</v>
      </c>
      <c r="BL60" s="2">
        <f t="shared" si="54"/>
        <v>18.679568766687243</v>
      </c>
      <c r="BM60" s="2">
        <f t="shared" si="3"/>
        <v>429.36349294422007</v>
      </c>
      <c r="BN60" s="2">
        <f t="shared" si="29"/>
        <v>0</v>
      </c>
      <c r="BO60" s="7">
        <f t="shared" si="30"/>
        <v>-152.2943514707882</v>
      </c>
      <c r="BQ60" s="1">
        <f t="shared" si="4"/>
        <v>161</v>
      </c>
      <c r="BR60" s="4">
        <v>0</v>
      </c>
      <c r="BS60" s="2">
        <f t="shared" si="5"/>
        <v>161</v>
      </c>
      <c r="BT60" s="2">
        <f t="shared" si="6"/>
        <v>158.72949111907599</v>
      </c>
      <c r="BU60" s="3">
        <f t="shared" si="7"/>
        <v>0.9858974603669316</v>
      </c>
      <c r="BV60" s="52" t="str">
        <f t="shared" si="8"/>
        <v/>
      </c>
      <c r="BW60" s="21" t="str">
        <f t="shared" si="9"/>
        <v/>
      </c>
      <c r="BX60" s="21" t="str">
        <f t="shared" si="10"/>
        <v/>
      </c>
      <c r="BY60" s="1">
        <f t="shared" si="11"/>
        <v>223.72499999999999</v>
      </c>
      <c r="BZ60" s="4">
        <v>0</v>
      </c>
      <c r="CA60" s="2">
        <f t="shared" si="12"/>
        <v>223.72499999999999</v>
      </c>
      <c r="CB60" s="2">
        <f t="shared" si="13"/>
        <v>273.88648709153603</v>
      </c>
      <c r="CC60" s="21">
        <f t="shared" si="14"/>
        <v>1.2242104686178836</v>
      </c>
      <c r="CD60" s="2" t="str">
        <f t="shared" si="15"/>
        <v/>
      </c>
      <c r="CE60" s="2" t="str">
        <f t="shared" si="16"/>
        <v/>
      </c>
      <c r="CF60" s="21" t="str">
        <f t="shared" si="17"/>
        <v/>
      </c>
      <c r="CG60" s="15"/>
      <c r="CH60" s="21" t="str">
        <f t="shared" si="18"/>
        <v/>
      </c>
    </row>
    <row r="61" spans="1:86" x14ac:dyDescent="0.25">
      <c r="A61" t="str">
        <f t="shared" si="22"/>
        <v>Travée</v>
      </c>
      <c r="B61" t="b">
        <f t="shared" si="23"/>
        <v>1</v>
      </c>
      <c r="C61">
        <f t="shared" si="76"/>
        <v>6</v>
      </c>
      <c r="D61" t="s">
        <v>103</v>
      </c>
      <c r="E61" t="s">
        <v>55</v>
      </c>
      <c r="F61">
        <v>25</v>
      </c>
      <c r="G61" t="s">
        <v>46</v>
      </c>
      <c r="H61">
        <v>500</v>
      </c>
      <c r="I61">
        <v>220000</v>
      </c>
      <c r="J61">
        <v>1576</v>
      </c>
      <c r="K61">
        <v>1870</v>
      </c>
      <c r="L61">
        <v>1</v>
      </c>
      <c r="M61">
        <v>0.25</v>
      </c>
      <c r="N61">
        <v>2.6</v>
      </c>
      <c r="O61">
        <v>3.3280000000000001E-4</v>
      </c>
      <c r="P61">
        <v>0.04</v>
      </c>
      <c r="Q61">
        <v>1</v>
      </c>
      <c r="R61">
        <v>0</v>
      </c>
      <c r="S61">
        <v>0</v>
      </c>
      <c r="T61">
        <v>1</v>
      </c>
      <c r="U61">
        <v>2.9099999999999999E-5</v>
      </c>
      <c r="V61">
        <v>0</v>
      </c>
      <c r="W61">
        <v>15</v>
      </c>
      <c r="X61">
        <v>41</v>
      </c>
      <c r="Y61">
        <v>18</v>
      </c>
      <c r="Z61">
        <v>0</v>
      </c>
      <c r="AA61">
        <v>41</v>
      </c>
      <c r="AB61">
        <v>18</v>
      </c>
      <c r="AC61">
        <v>0</v>
      </c>
      <c r="AD61">
        <v>41</v>
      </c>
      <c r="AE61">
        <v>18</v>
      </c>
      <c r="AF61">
        <v>82.35</v>
      </c>
      <c r="AH61">
        <v>59</v>
      </c>
      <c r="AI61">
        <v>41</v>
      </c>
      <c r="AJ61">
        <v>18</v>
      </c>
      <c r="AK61">
        <v>8.8104405004559627</v>
      </c>
      <c r="AL61">
        <v>2.1501734972177848</v>
      </c>
      <c r="AM61">
        <v>-603.91183483937584</v>
      </c>
      <c r="AN61">
        <v>-86.728943763889319</v>
      </c>
      <c r="AO61">
        <v>0</v>
      </c>
      <c r="AP61">
        <v>-116.4362125636561</v>
      </c>
      <c r="AQ61">
        <v>82.35</v>
      </c>
      <c r="AR61">
        <v>32.175182924605153</v>
      </c>
      <c r="AS61">
        <v>221.1742373319743</v>
      </c>
      <c r="AT61">
        <v>6.8787956519535349</v>
      </c>
      <c r="AU61">
        <v>-400.70390667575202</v>
      </c>
      <c r="AV61">
        <v>0</v>
      </c>
      <c r="AW61">
        <v>-544.31449859727059</v>
      </c>
      <c r="AX61">
        <v>59</v>
      </c>
      <c r="AY61">
        <v>0</v>
      </c>
      <c r="AZ61">
        <v>0</v>
      </c>
      <c r="BA61">
        <v>32.175182924605153</v>
      </c>
      <c r="BC61" s="1">
        <f t="shared" si="24"/>
        <v>41</v>
      </c>
      <c r="BD61" s="2">
        <f t="shared" si="25"/>
        <v>8.8104405004559627</v>
      </c>
      <c r="BE61" s="7">
        <f t="shared" si="26"/>
        <v>-603.91183483937584</v>
      </c>
      <c r="BF61" s="1">
        <f t="shared" si="27"/>
        <v>18</v>
      </c>
      <c r="BG61" s="2">
        <f t="shared" si="28"/>
        <v>2.1501734972177848</v>
      </c>
      <c r="BH61" s="2">
        <f t="shared" si="53"/>
        <v>-86.728943763889319</v>
      </c>
      <c r="BI61" s="2">
        <f t="shared" si="53"/>
        <v>0</v>
      </c>
      <c r="BJ61" s="7">
        <f t="shared" si="53"/>
        <v>-116.4362125636561</v>
      </c>
      <c r="BK61" s="1">
        <f t="shared" si="54"/>
        <v>59</v>
      </c>
      <c r="BL61" s="2">
        <f t="shared" si="54"/>
        <v>10.960613997673747</v>
      </c>
      <c r="BM61" s="2">
        <f t="shared" si="3"/>
        <v>690.64077860326518</v>
      </c>
      <c r="BN61" s="2">
        <f t="shared" si="29"/>
        <v>0</v>
      </c>
      <c r="BO61" s="7">
        <f t="shared" si="30"/>
        <v>-116.4362125636561</v>
      </c>
      <c r="BQ61" s="1">
        <f t="shared" si="4"/>
        <v>59</v>
      </c>
      <c r="BR61" s="4" t="str">
        <f t="shared" ref="BR61" si="113">IF(ISNUMBER(SEARCH("Appui",E61)),0,"0")</f>
        <v>0</v>
      </c>
      <c r="BS61" s="2">
        <f t="shared" si="5"/>
        <v>59</v>
      </c>
      <c r="BT61" s="2">
        <f t="shared" si="6"/>
        <v>32.175182924605153</v>
      </c>
      <c r="BU61" s="3">
        <f t="shared" si="7"/>
        <v>0.54534208346788393</v>
      </c>
      <c r="BV61" s="52">
        <f t="shared" si="8"/>
        <v>220</v>
      </c>
      <c r="BW61" s="21">
        <f t="shared" si="9"/>
        <v>201.00189585496872</v>
      </c>
      <c r="BX61" s="21">
        <f t="shared" si="10"/>
        <v>0.91364498115894877</v>
      </c>
      <c r="BY61" s="1">
        <f t="shared" si="11"/>
        <v>82.35</v>
      </c>
      <c r="BZ61" s="4" t="str">
        <f t="shared" ref="BZ61" si="114">IF(ISNUMBER(SEARCH("Appui",M61)),0,"0")</f>
        <v>0</v>
      </c>
      <c r="CA61" s="2">
        <f t="shared" si="12"/>
        <v>82.35</v>
      </c>
      <c r="CB61" s="2">
        <f t="shared" si="13"/>
        <v>221.1742373319743</v>
      </c>
      <c r="CC61" s="21">
        <f t="shared" si="14"/>
        <v>2.6857830884271321</v>
      </c>
      <c r="CD61" s="2">
        <f t="shared" si="15"/>
        <v>306.07499999999999</v>
      </c>
      <c r="CE61" s="2">
        <f t="shared" si="16"/>
        <v>475.09945565149712</v>
      </c>
      <c r="CF61" s="21">
        <f t="shared" si="17"/>
        <v>1.5522321511116464</v>
      </c>
      <c r="CG61" s="10" t="str">
        <f t="shared" ref="CG61" si="115">IF(C59&lt;C61,"Rive",IF(C63&gt;C61,"Rive","Inter"))</f>
        <v>Inter</v>
      </c>
      <c r="CH61" s="21">
        <f t="shared" si="18"/>
        <v>0.65670798286357501</v>
      </c>
    </row>
    <row r="62" spans="1:86" x14ac:dyDescent="0.25">
      <c r="A62" t="str">
        <f t="shared" si="22"/>
        <v>Appui</v>
      </c>
      <c r="B62" t="b">
        <f t="shared" si="23"/>
        <v>1</v>
      </c>
      <c r="C62">
        <f>IF(D62="",100000,IF(D62=D60,C60,C60+1))</f>
        <v>6</v>
      </c>
      <c r="D62" t="s">
        <v>103</v>
      </c>
      <c r="E62" t="s">
        <v>56</v>
      </c>
      <c r="F62">
        <v>25</v>
      </c>
      <c r="G62" t="s">
        <v>46</v>
      </c>
      <c r="H62">
        <v>500</v>
      </c>
      <c r="I62">
        <v>220000</v>
      </c>
      <c r="J62">
        <v>1576</v>
      </c>
      <c r="K62">
        <v>1870</v>
      </c>
      <c r="L62">
        <v>1</v>
      </c>
      <c r="M62">
        <v>0.25</v>
      </c>
      <c r="N62">
        <v>2.6</v>
      </c>
      <c r="O62">
        <v>2.3999999999999998E-3</v>
      </c>
      <c r="P62">
        <v>6.9999999999999993E-2</v>
      </c>
      <c r="Q62">
        <v>1</v>
      </c>
      <c r="R62">
        <v>0</v>
      </c>
      <c r="S62">
        <v>0</v>
      </c>
      <c r="T62">
        <v>1</v>
      </c>
      <c r="U62">
        <v>2.9099999999999999E-5</v>
      </c>
      <c r="V62">
        <v>0</v>
      </c>
      <c r="W62">
        <v>5</v>
      </c>
      <c r="X62">
        <v>118.5</v>
      </c>
      <c r="Y62">
        <v>42.5</v>
      </c>
      <c r="Z62">
        <v>0</v>
      </c>
      <c r="AA62">
        <v>118.5</v>
      </c>
      <c r="AB62">
        <v>42.5</v>
      </c>
      <c r="AC62">
        <v>0</v>
      </c>
      <c r="AD62">
        <v>118.5</v>
      </c>
      <c r="AE62">
        <v>42.5</v>
      </c>
      <c r="AF62">
        <v>223.72499999999999</v>
      </c>
      <c r="AH62">
        <v>161</v>
      </c>
      <c r="AI62">
        <v>118.5</v>
      </c>
      <c r="AJ62">
        <v>42.5</v>
      </c>
      <c r="AK62">
        <v>13.53952150961398</v>
      </c>
      <c r="AL62">
        <v>4.505316536857312</v>
      </c>
      <c r="AM62">
        <v>-296.69864648931002</v>
      </c>
      <c r="AN62">
        <v>-93.384282011139945</v>
      </c>
      <c r="AO62">
        <v>0</v>
      </c>
      <c r="AP62">
        <v>-154.91649872523249</v>
      </c>
      <c r="AQ62">
        <v>223.72499999999999</v>
      </c>
      <c r="AR62">
        <v>178.9239347416511</v>
      </c>
      <c r="AS62">
        <v>233.96394954750971</v>
      </c>
      <c r="AT62">
        <v>16.34016654266242</v>
      </c>
      <c r="AU62">
        <v>-436.62730448172442</v>
      </c>
      <c r="AV62">
        <v>0</v>
      </c>
      <c r="AW62">
        <v>-1586.441308526227</v>
      </c>
      <c r="AX62">
        <v>161</v>
      </c>
      <c r="AY62">
        <v>12.266411125131579</v>
      </c>
      <c r="AZ62">
        <v>-419.13028237610342</v>
      </c>
      <c r="BA62">
        <v>178.9239347416511</v>
      </c>
      <c r="BC62" s="1">
        <f t="shared" si="24"/>
        <v>118.5</v>
      </c>
      <c r="BD62" s="2">
        <f t="shared" si="25"/>
        <v>13.53952150961398</v>
      </c>
      <c r="BE62" s="7">
        <f t="shared" si="26"/>
        <v>-296.69864648931002</v>
      </c>
      <c r="BF62" s="1">
        <f t="shared" si="27"/>
        <v>42.5</v>
      </c>
      <c r="BG62" s="2">
        <f t="shared" si="28"/>
        <v>4.505316536857312</v>
      </c>
      <c r="BH62" s="2">
        <f t="shared" si="53"/>
        <v>-93.384282011139945</v>
      </c>
      <c r="BI62" s="2">
        <f t="shared" si="53"/>
        <v>0</v>
      </c>
      <c r="BJ62" s="7">
        <f t="shared" si="53"/>
        <v>-154.91649872523249</v>
      </c>
      <c r="BK62" s="1">
        <f t="shared" si="54"/>
        <v>161</v>
      </c>
      <c r="BL62" s="2">
        <f t="shared" si="54"/>
        <v>18.044838046471291</v>
      </c>
      <c r="BM62" s="2">
        <f t="shared" si="3"/>
        <v>390.08292850044995</v>
      </c>
      <c r="BN62" s="2">
        <f t="shared" si="29"/>
        <v>0</v>
      </c>
      <c r="BO62" s="7">
        <f t="shared" si="30"/>
        <v>-154.91649872523249</v>
      </c>
      <c r="BQ62" s="1">
        <f t="shared" si="4"/>
        <v>161</v>
      </c>
      <c r="BR62" s="4">
        <v>0</v>
      </c>
      <c r="BS62" s="2">
        <f t="shared" si="5"/>
        <v>161</v>
      </c>
      <c r="BT62" s="2">
        <f t="shared" si="6"/>
        <v>178.9239347416511</v>
      </c>
      <c r="BU62" s="3">
        <f t="shared" si="7"/>
        <v>1.1113287872152242</v>
      </c>
      <c r="BV62" s="52" t="str">
        <f t="shared" si="8"/>
        <v/>
      </c>
      <c r="BW62" s="21" t="str">
        <f t="shared" si="9"/>
        <v/>
      </c>
      <c r="BX62" s="21" t="str">
        <f t="shared" si="10"/>
        <v/>
      </c>
      <c r="BY62" s="1">
        <f t="shared" si="11"/>
        <v>223.72499999999999</v>
      </c>
      <c r="BZ62" s="4">
        <v>0</v>
      </c>
      <c r="CA62" s="2">
        <f t="shared" si="12"/>
        <v>223.72499999999999</v>
      </c>
      <c r="CB62" s="2">
        <f t="shared" si="13"/>
        <v>233.96394954750971</v>
      </c>
      <c r="CC62" s="21">
        <f t="shared" si="14"/>
        <v>1.0457657818639388</v>
      </c>
      <c r="CD62" s="2" t="str">
        <f t="shared" si="15"/>
        <v/>
      </c>
      <c r="CE62" s="2" t="str">
        <f t="shared" si="16"/>
        <v/>
      </c>
      <c r="CF62" s="21" t="str">
        <f t="shared" si="17"/>
        <v/>
      </c>
      <c r="CG62" s="15"/>
      <c r="CH62" s="21" t="str">
        <f t="shared" si="18"/>
        <v/>
      </c>
    </row>
    <row r="63" spans="1:86" x14ac:dyDescent="0.25">
      <c r="A63" t="str">
        <f t="shared" si="22"/>
        <v>Travée</v>
      </c>
      <c r="B63" t="b">
        <f t="shared" si="23"/>
        <v>1</v>
      </c>
      <c r="C63">
        <f t="shared" si="76"/>
        <v>6</v>
      </c>
      <c r="D63" t="s">
        <v>103</v>
      </c>
      <c r="E63" t="s">
        <v>57</v>
      </c>
      <c r="F63">
        <v>25</v>
      </c>
      <c r="G63" t="s">
        <v>46</v>
      </c>
      <c r="H63">
        <v>500</v>
      </c>
      <c r="I63">
        <v>220000</v>
      </c>
      <c r="J63">
        <v>1576</v>
      </c>
      <c r="K63">
        <v>1870</v>
      </c>
      <c r="L63">
        <v>1</v>
      </c>
      <c r="M63">
        <v>0.25</v>
      </c>
      <c r="N63">
        <v>2.6</v>
      </c>
      <c r="O63">
        <v>3.3280000000000001E-4</v>
      </c>
      <c r="P63">
        <v>0.04</v>
      </c>
      <c r="Q63">
        <v>1</v>
      </c>
      <c r="R63">
        <v>0</v>
      </c>
      <c r="S63">
        <v>0</v>
      </c>
      <c r="T63">
        <v>1</v>
      </c>
      <c r="U63">
        <v>2.9099999999999999E-5</v>
      </c>
      <c r="V63">
        <v>0</v>
      </c>
      <c r="W63">
        <v>15</v>
      </c>
      <c r="X63">
        <v>41</v>
      </c>
      <c r="Y63">
        <v>18</v>
      </c>
      <c r="Z63">
        <v>0</v>
      </c>
      <c r="AA63">
        <v>41</v>
      </c>
      <c r="AB63">
        <v>18</v>
      </c>
      <c r="AC63">
        <v>0</v>
      </c>
      <c r="AD63">
        <v>41</v>
      </c>
      <c r="AE63">
        <v>18</v>
      </c>
      <c r="AF63">
        <v>82.35</v>
      </c>
      <c r="AH63">
        <v>59</v>
      </c>
      <c r="AI63">
        <v>41</v>
      </c>
      <c r="AJ63">
        <v>18</v>
      </c>
      <c r="AK63">
        <v>8.8104405004559627</v>
      </c>
      <c r="AL63">
        <v>2.1501734972177848</v>
      </c>
      <c r="AM63">
        <v>-603.91183483937584</v>
      </c>
      <c r="AN63">
        <v>-86.728943763889319</v>
      </c>
      <c r="AO63">
        <v>0</v>
      </c>
      <c r="AP63">
        <v>-116.4362125636561</v>
      </c>
      <c r="AQ63">
        <v>82.35</v>
      </c>
      <c r="AR63">
        <v>32.175182924605153</v>
      </c>
      <c r="AS63">
        <v>221.1742373319743</v>
      </c>
      <c r="AT63">
        <v>6.8787956519535349</v>
      </c>
      <c r="AU63">
        <v>-400.70390667575202</v>
      </c>
      <c r="AV63">
        <v>0</v>
      </c>
      <c r="AW63">
        <v>-544.31449859727059</v>
      </c>
      <c r="AX63">
        <v>59</v>
      </c>
      <c r="AY63">
        <v>0</v>
      </c>
      <c r="AZ63">
        <v>0</v>
      </c>
      <c r="BA63">
        <v>32.175182924605153</v>
      </c>
      <c r="BC63" s="1">
        <f t="shared" si="24"/>
        <v>41</v>
      </c>
      <c r="BD63" s="2">
        <f t="shared" si="25"/>
        <v>8.8104405004559627</v>
      </c>
      <c r="BE63" s="7">
        <f t="shared" si="26"/>
        <v>-603.91183483937584</v>
      </c>
      <c r="BF63" s="1">
        <f t="shared" si="27"/>
        <v>18</v>
      </c>
      <c r="BG63" s="2">
        <f t="shared" si="28"/>
        <v>2.1501734972177848</v>
      </c>
      <c r="BH63" s="2">
        <f t="shared" si="53"/>
        <v>-86.728943763889319</v>
      </c>
      <c r="BI63" s="2">
        <f t="shared" si="53"/>
        <v>0</v>
      </c>
      <c r="BJ63" s="7">
        <f t="shared" si="53"/>
        <v>-116.4362125636561</v>
      </c>
      <c r="BK63" s="1">
        <f t="shared" si="54"/>
        <v>59</v>
      </c>
      <c r="BL63" s="2">
        <f t="shared" si="54"/>
        <v>10.960613997673747</v>
      </c>
      <c r="BM63" s="2">
        <f t="shared" si="3"/>
        <v>690.64077860326518</v>
      </c>
      <c r="BN63" s="2">
        <f t="shared" si="29"/>
        <v>0</v>
      </c>
      <c r="BO63" s="7">
        <f t="shared" si="30"/>
        <v>-116.4362125636561</v>
      </c>
      <c r="BQ63" s="1">
        <f t="shared" si="4"/>
        <v>59</v>
      </c>
      <c r="BR63" s="4" t="str">
        <f t="shared" ref="BR63" si="116">IF(ISNUMBER(SEARCH("Appui",E63)),0,"0")</f>
        <v>0</v>
      </c>
      <c r="BS63" s="2">
        <f t="shared" si="5"/>
        <v>59</v>
      </c>
      <c r="BT63" s="2">
        <f t="shared" si="6"/>
        <v>32.175182924605153</v>
      </c>
      <c r="BU63" s="3">
        <f t="shared" si="7"/>
        <v>0.54534208346788393</v>
      </c>
      <c r="BV63" s="52">
        <f t="shared" si="8"/>
        <v>220</v>
      </c>
      <c r="BW63" s="21">
        <f t="shared" si="9"/>
        <v>174.23195648271843</v>
      </c>
      <c r="BX63" s="21">
        <f t="shared" si="10"/>
        <v>0.79196343855781104</v>
      </c>
      <c r="BY63" s="1">
        <f t="shared" si="11"/>
        <v>82.35</v>
      </c>
      <c r="BZ63" s="4" t="str">
        <f t="shared" ref="BZ63" si="117">IF(ISNUMBER(SEARCH("Appui",M63)),0,"0")</f>
        <v>0</v>
      </c>
      <c r="CA63" s="2">
        <f t="shared" si="12"/>
        <v>82.35</v>
      </c>
      <c r="CB63" s="2">
        <f t="shared" si="13"/>
        <v>221.1742373319743</v>
      </c>
      <c r="CC63" s="21">
        <f t="shared" si="14"/>
        <v>2.6857830884271321</v>
      </c>
      <c r="CD63" s="2">
        <f t="shared" si="15"/>
        <v>306.07499999999999</v>
      </c>
      <c r="CE63" s="2">
        <f t="shared" si="16"/>
        <v>390.7510182930169</v>
      </c>
      <c r="CF63" s="21">
        <f t="shared" si="17"/>
        <v>1.2766512073609961</v>
      </c>
      <c r="CG63" s="10" t="str">
        <f t="shared" ref="CG63" si="118">IF(C61&lt;C63,"Rive",IF(C65&gt;C63,"Rive","Inter"))</f>
        <v>Rive</v>
      </c>
      <c r="CH63" s="21">
        <f t="shared" si="18"/>
        <v>0.56924595763364683</v>
      </c>
    </row>
    <row r="64" spans="1:86" x14ac:dyDescent="0.25">
      <c r="A64" t="str">
        <f t="shared" si="22"/>
        <v>Appui</v>
      </c>
      <c r="B64" t="b">
        <f t="shared" si="23"/>
        <v>1</v>
      </c>
      <c r="C64">
        <f t="shared" si="76"/>
        <v>6</v>
      </c>
      <c r="D64" t="s">
        <v>103</v>
      </c>
      <c r="E64" t="s">
        <v>97</v>
      </c>
      <c r="F64">
        <v>25</v>
      </c>
      <c r="G64" t="s">
        <v>46</v>
      </c>
      <c r="H64">
        <v>500</v>
      </c>
      <c r="I64">
        <v>220000</v>
      </c>
      <c r="J64">
        <v>1576</v>
      </c>
      <c r="K64">
        <v>1870</v>
      </c>
      <c r="L64">
        <v>1</v>
      </c>
      <c r="M64">
        <v>0.25</v>
      </c>
      <c r="N64">
        <v>2.6</v>
      </c>
      <c r="O64">
        <v>1.3338E-3</v>
      </c>
      <c r="P64">
        <v>6.9999999999999993E-2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1</v>
      </c>
      <c r="X64">
        <v>118.5</v>
      </c>
      <c r="Y64">
        <v>42.5</v>
      </c>
      <c r="Z64">
        <v>0</v>
      </c>
      <c r="AA64">
        <v>118.5</v>
      </c>
      <c r="AB64">
        <v>42.5</v>
      </c>
      <c r="AC64">
        <v>0</v>
      </c>
      <c r="AD64">
        <v>118.5</v>
      </c>
      <c r="AE64">
        <v>42.5</v>
      </c>
      <c r="AF64">
        <v>223.72499999999999</v>
      </c>
      <c r="AH64">
        <v>161</v>
      </c>
      <c r="AI64">
        <v>118.5</v>
      </c>
      <c r="AJ64">
        <v>42.5</v>
      </c>
      <c r="AK64">
        <v>17.276056462533798</v>
      </c>
      <c r="AL64">
        <v>6.1960540055500921</v>
      </c>
      <c r="AM64">
        <v>-524.12468679584185</v>
      </c>
      <c r="AN64">
        <v>-187.97720834450021</v>
      </c>
      <c r="AO64">
        <v>0</v>
      </c>
      <c r="AP64">
        <v>0</v>
      </c>
      <c r="AQ64">
        <v>223.72499999999999</v>
      </c>
      <c r="AR64">
        <v>105.1896123745755</v>
      </c>
      <c r="AS64">
        <v>105.1896123745755</v>
      </c>
      <c r="AT64">
        <v>0</v>
      </c>
      <c r="AU64">
        <v>0</v>
      </c>
      <c r="AV64">
        <v>0</v>
      </c>
      <c r="AW64">
        <v>0</v>
      </c>
      <c r="AX64">
        <v>161</v>
      </c>
      <c r="AY64">
        <v>0</v>
      </c>
      <c r="AZ64">
        <v>0</v>
      </c>
      <c r="BA64">
        <v>105.1896123745755</v>
      </c>
      <c r="BC64" s="1">
        <f t="shared" si="24"/>
        <v>118.5</v>
      </c>
      <c r="BD64" s="2">
        <f t="shared" si="25"/>
        <v>17.276056462533798</v>
      </c>
      <c r="BE64" s="7">
        <f t="shared" si="26"/>
        <v>-524.12468679584185</v>
      </c>
      <c r="BF64" s="1">
        <f t="shared" si="27"/>
        <v>42.5</v>
      </c>
      <c r="BG64" s="2">
        <f t="shared" si="28"/>
        <v>6.1960540055500921</v>
      </c>
      <c r="BH64" s="2">
        <f t="shared" si="53"/>
        <v>-187.97720834450021</v>
      </c>
      <c r="BI64" s="2">
        <f t="shared" si="53"/>
        <v>0</v>
      </c>
      <c r="BJ64" s="7">
        <f t="shared" si="53"/>
        <v>0</v>
      </c>
      <c r="BK64" s="1">
        <f t="shared" si="54"/>
        <v>161</v>
      </c>
      <c r="BL64" s="2">
        <f t="shared" si="54"/>
        <v>23.472110468083891</v>
      </c>
      <c r="BM64" s="2">
        <f t="shared" si="3"/>
        <v>712.10189514034209</v>
      </c>
      <c r="BN64" s="2">
        <f t="shared" si="29"/>
        <v>0</v>
      </c>
      <c r="BO64" s="7">
        <f t="shared" si="30"/>
        <v>0</v>
      </c>
      <c r="BQ64" s="1">
        <f t="shared" si="4"/>
        <v>161</v>
      </c>
      <c r="BR64" s="4">
        <v>0</v>
      </c>
      <c r="BS64" s="2">
        <f t="shared" si="5"/>
        <v>161</v>
      </c>
      <c r="BT64" s="2">
        <f t="shared" si="6"/>
        <v>105.1896123745755</v>
      </c>
      <c r="BU64" s="3">
        <f t="shared" si="7"/>
        <v>0.65335162965574844</v>
      </c>
      <c r="BV64" s="52" t="str">
        <f t="shared" si="8"/>
        <v/>
      </c>
      <c r="BW64" s="21" t="str">
        <f t="shared" si="9"/>
        <v/>
      </c>
      <c r="BX64" s="21" t="str">
        <f t="shared" si="10"/>
        <v/>
      </c>
      <c r="BY64" s="1">
        <f t="shared" si="11"/>
        <v>223.72499999999999</v>
      </c>
      <c r="BZ64" s="4">
        <v>0</v>
      </c>
      <c r="CA64" s="2">
        <f t="shared" si="12"/>
        <v>223.72499999999999</v>
      </c>
      <c r="CB64" s="2">
        <f t="shared" si="13"/>
        <v>105.1896123745755</v>
      </c>
      <c r="CC64" s="21">
        <f t="shared" si="14"/>
        <v>0.47017370599877306</v>
      </c>
      <c r="CD64" s="2" t="str">
        <f t="shared" si="15"/>
        <v/>
      </c>
      <c r="CE64" s="2" t="str">
        <f t="shared" si="16"/>
        <v/>
      </c>
      <c r="CF64" s="21" t="str">
        <f t="shared" si="17"/>
        <v/>
      </c>
      <c r="CG64" s="15"/>
      <c r="CH64" s="21" t="str">
        <f t="shared" si="18"/>
        <v/>
      </c>
    </row>
    <row r="65" spans="1:87" x14ac:dyDescent="0.25">
      <c r="A65" t="str">
        <f t="shared" si="22"/>
        <v/>
      </c>
      <c r="B65" t="b">
        <f t="shared" si="23"/>
        <v>0</v>
      </c>
      <c r="C65">
        <f t="shared" si="76"/>
        <v>7</v>
      </c>
      <c r="D65" t="s">
        <v>128</v>
      </c>
      <c r="F65">
        <v>25</v>
      </c>
      <c r="G65" t="s">
        <v>46</v>
      </c>
      <c r="H65">
        <v>500</v>
      </c>
      <c r="I65">
        <v>220000</v>
      </c>
      <c r="J65">
        <v>1576</v>
      </c>
      <c r="K65">
        <v>1870</v>
      </c>
      <c r="L65">
        <v>1</v>
      </c>
      <c r="M65">
        <v>0.2</v>
      </c>
      <c r="N65">
        <v>2.2000000000000002</v>
      </c>
      <c r="O65">
        <v>1E-4</v>
      </c>
      <c r="P65">
        <v>0.03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7.8043083003984339</v>
      </c>
      <c r="AS65">
        <v>7.8043083003984339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7.8043083003984339</v>
      </c>
      <c r="BC65" s="1">
        <f t="shared" si="24"/>
        <v>0</v>
      </c>
      <c r="BD65" s="2">
        <f t="shared" si="25"/>
        <v>0</v>
      </c>
      <c r="BE65" s="7">
        <f t="shared" si="26"/>
        <v>0</v>
      </c>
      <c r="BF65" s="1">
        <f t="shared" si="27"/>
        <v>0</v>
      </c>
      <c r="BG65" s="2">
        <f t="shared" si="28"/>
        <v>0</v>
      </c>
      <c r="BH65" s="2">
        <f t="shared" si="53"/>
        <v>0</v>
      </c>
      <c r="BI65" s="2">
        <f t="shared" si="53"/>
        <v>0</v>
      </c>
      <c r="BJ65" s="7">
        <f t="shared" si="53"/>
        <v>0</v>
      </c>
      <c r="BK65" s="1">
        <f t="shared" si="54"/>
        <v>0</v>
      </c>
      <c r="BL65" s="2">
        <f t="shared" si="54"/>
        <v>0</v>
      </c>
      <c r="BM65" s="2">
        <f t="shared" si="3"/>
        <v>0</v>
      </c>
      <c r="BN65" s="2">
        <f t="shared" si="29"/>
        <v>0</v>
      </c>
      <c r="BO65" s="7">
        <f t="shared" si="30"/>
        <v>0</v>
      </c>
      <c r="BQ65" s="1">
        <f t="shared" si="4"/>
        <v>0</v>
      </c>
      <c r="BR65" s="4" t="str">
        <f t="shared" ref="BR65" si="119">IF(ISNUMBER(SEARCH("Appui",E65)),0,"0")</f>
        <v>0</v>
      </c>
      <c r="BS65" s="2">
        <f t="shared" si="5"/>
        <v>0</v>
      </c>
      <c r="BT65" s="2">
        <f t="shared" si="6"/>
        <v>7.8043083003984339</v>
      </c>
      <c r="BU65" s="3">
        <f t="shared" si="7"/>
        <v>1</v>
      </c>
      <c r="BV65" s="52" t="str">
        <f t="shared" si="8"/>
        <v/>
      </c>
      <c r="BW65" s="21" t="str">
        <f t="shared" si="9"/>
        <v/>
      </c>
      <c r="BX65" s="21" t="str">
        <f t="shared" si="10"/>
        <v/>
      </c>
      <c r="BY65" s="1">
        <f t="shared" si="11"/>
        <v>0</v>
      </c>
      <c r="BZ65" s="4" t="str">
        <f t="shared" ref="BZ65" si="120">IF(ISNUMBER(SEARCH("Appui",M65)),0,"0")</f>
        <v>0</v>
      </c>
      <c r="CA65" s="2">
        <f t="shared" si="12"/>
        <v>0</v>
      </c>
      <c r="CB65" s="2">
        <f t="shared" si="13"/>
        <v>7.8043083003984339</v>
      </c>
      <c r="CC65" s="21">
        <f t="shared" si="14"/>
        <v>1</v>
      </c>
      <c r="CD65" s="2" t="str">
        <f t="shared" si="15"/>
        <v/>
      </c>
      <c r="CE65" s="2" t="str">
        <f t="shared" si="16"/>
        <v/>
      </c>
      <c r="CF65" s="21" t="str">
        <f t="shared" si="17"/>
        <v/>
      </c>
      <c r="CG65" s="10" t="str">
        <f t="shared" ref="CG65" si="121">IF(C63&lt;C65,"Rive",IF(C67&gt;C65,"Rive","Inter"))</f>
        <v>Rive</v>
      </c>
      <c r="CH65" s="21" t="str">
        <f t="shared" si="18"/>
        <v/>
      </c>
    </row>
    <row r="66" spans="1:87" x14ac:dyDescent="0.25"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5"/>
      <c r="Z66" s="4"/>
      <c r="AA66" s="2"/>
      <c r="AB66" s="2"/>
      <c r="AC66" s="13"/>
      <c r="AD66" s="2"/>
      <c r="AE66" s="2"/>
      <c r="AF66" s="2"/>
      <c r="AG66" s="2"/>
      <c r="AH66" s="7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1"/>
      <c r="AY66" s="2"/>
      <c r="AZ66" s="2"/>
      <c r="BA66" s="2"/>
      <c r="BC66" s="1"/>
      <c r="BD66" s="2"/>
      <c r="BE66" s="7"/>
      <c r="BF66" s="1"/>
      <c r="BG66" s="2"/>
      <c r="BH66" s="2"/>
      <c r="BI66" s="2"/>
      <c r="BJ66" s="7"/>
      <c r="BK66" s="1"/>
      <c r="BL66" s="2"/>
      <c r="BM66" s="2"/>
      <c r="BN66" s="2"/>
      <c r="BO66" s="7"/>
      <c r="BQ66" s="1"/>
      <c r="BR66" s="4"/>
      <c r="BS66" s="2"/>
      <c r="BT66" s="2"/>
      <c r="BU66" s="3"/>
      <c r="BV66" s="52"/>
      <c r="BW66" s="21"/>
      <c r="BX66" s="21"/>
      <c r="BY66" s="1"/>
      <c r="BZ66" s="4"/>
      <c r="CA66" s="2"/>
      <c r="CB66" s="2"/>
      <c r="CC66" s="21"/>
      <c r="CD66" s="2"/>
      <c r="CE66" s="2"/>
      <c r="CF66" s="21"/>
      <c r="CG66" s="15"/>
      <c r="CH66" s="21"/>
    </row>
    <row r="67" spans="1:87" x14ac:dyDescent="0.25">
      <c r="D67" s="5"/>
      <c r="F67" s="5"/>
      <c r="K67" s="10"/>
      <c r="L67" s="12"/>
      <c r="M67" s="5"/>
      <c r="N67" s="10"/>
      <c r="O67" s="5"/>
      <c r="Q67" s="10"/>
      <c r="R67" s="8"/>
      <c r="U67" s="9"/>
      <c r="W67" s="10"/>
      <c r="X67" s="5"/>
      <c r="Z67" s="4"/>
      <c r="AA67" s="2"/>
      <c r="AB67" s="2"/>
      <c r="AC67" s="13"/>
      <c r="AD67" s="2"/>
      <c r="AE67" s="2"/>
      <c r="AF67" s="2"/>
      <c r="AG67" s="2"/>
      <c r="AH67" s="7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1"/>
      <c r="AY67" s="2"/>
      <c r="AZ67" s="2"/>
      <c r="BA67" s="2"/>
      <c r="BC67" s="1"/>
      <c r="BD67" s="2"/>
      <c r="BE67" s="7"/>
      <c r="BF67" s="1"/>
      <c r="BG67" s="2"/>
      <c r="BH67" s="2"/>
      <c r="BI67" s="2"/>
      <c r="BJ67" s="7"/>
      <c r="BK67" s="1"/>
      <c r="BL67" s="2"/>
      <c r="BM67" s="2"/>
      <c r="BN67" s="2"/>
      <c r="BO67" s="7"/>
      <c r="BQ67" s="1"/>
      <c r="BR67" s="4"/>
      <c r="BS67" s="2"/>
      <c r="BT67" s="2"/>
      <c r="BU67" s="3"/>
      <c r="BV67" s="52"/>
      <c r="BW67" s="21"/>
      <c r="BX67" s="21"/>
      <c r="BY67" s="1"/>
      <c r="BZ67" s="4"/>
      <c r="CA67" s="2"/>
      <c r="CB67" s="2"/>
      <c r="CC67" s="21" t="str">
        <f t="shared" ref="CC67:CC68" si="122">IFERROR(IF(CB67=0,"",CB67/CA67),1)</f>
        <v/>
      </c>
      <c r="CD67" s="2"/>
      <c r="CE67" s="2"/>
      <c r="CF67" s="21"/>
      <c r="CG67" s="10"/>
      <c r="CH67" s="21"/>
    </row>
    <row r="68" spans="1:87" ht="15.75" thickBot="1" x14ac:dyDescent="0.3">
      <c r="Z68" s="4"/>
      <c r="BC68" s="1"/>
      <c r="BD68" s="2"/>
      <c r="BE68" s="7"/>
      <c r="BF68" s="1"/>
      <c r="BG68" s="2"/>
      <c r="BH68" s="2"/>
      <c r="BI68" s="2"/>
      <c r="BJ68" s="7"/>
      <c r="BK68" s="1"/>
      <c r="BL68" s="2"/>
      <c r="BM68" s="2"/>
      <c r="BN68" s="2"/>
      <c r="BO68" s="7"/>
      <c r="BQ68" s="53"/>
      <c r="BR68" s="54"/>
      <c r="BS68" s="55"/>
      <c r="BT68" s="55"/>
      <c r="BU68" s="56"/>
      <c r="BV68" s="57"/>
      <c r="BW68" s="58"/>
      <c r="BX68" s="58"/>
      <c r="BY68" s="53"/>
      <c r="BZ68" s="54"/>
      <c r="CA68" s="55"/>
      <c r="CB68" s="55"/>
      <c r="CC68" s="58" t="str">
        <f t="shared" si="122"/>
        <v/>
      </c>
      <c r="CD68" s="55"/>
      <c r="CE68" s="55"/>
      <c r="CF68" s="58"/>
      <c r="CG68" s="59"/>
      <c r="CH68" s="21"/>
    </row>
    <row r="71" spans="1:87" x14ac:dyDescent="0.25">
      <c r="CI71" s="51" t="s">
        <v>126</v>
      </c>
    </row>
  </sheetData>
  <mergeCells count="19">
    <mergeCell ref="CF5:CG5"/>
    <mergeCell ref="BF3:BJ4"/>
    <mergeCell ref="BK3:BO3"/>
    <mergeCell ref="BQ3:BU4"/>
    <mergeCell ref="BY3:CG4"/>
    <mergeCell ref="G4:H4"/>
    <mergeCell ref="I4:K4"/>
    <mergeCell ref="R4:T4"/>
    <mergeCell ref="U4:W4"/>
    <mergeCell ref="BC1:CG1"/>
    <mergeCell ref="BC2:BO2"/>
    <mergeCell ref="BQ2:CG2"/>
    <mergeCell ref="F3:K3"/>
    <mergeCell ref="M3:N4"/>
    <mergeCell ref="O3:Q4"/>
    <mergeCell ref="R3:W3"/>
    <mergeCell ref="AA3:AH4"/>
    <mergeCell ref="AI3:BA4"/>
    <mergeCell ref="BC3:BE4"/>
  </mergeCells>
  <conditionalFormatting sqref="D6:D67">
    <cfRule type="expression" dxfId="95" priority="20">
      <formula>$B6=FALSE</formula>
    </cfRule>
  </conditionalFormatting>
  <conditionalFormatting sqref="BL6:BL68">
    <cfRule type="cellIs" dxfId="94" priority="17" operator="greaterThan">
      <formula>$BL$4</formula>
    </cfRule>
  </conditionalFormatting>
  <conditionalFormatting sqref="BM6:BN68">
    <cfRule type="cellIs" dxfId="93" priority="18" operator="greaterThan">
      <formula>$BM$4</formula>
    </cfRule>
  </conditionalFormatting>
  <conditionalFormatting sqref="BO6:BP7 BP8:BP9 BO8:BO68 BP11:BP36">
    <cfRule type="expression" dxfId="92" priority="19">
      <formula>ABS($BO6)&gt;$BO$4</formula>
    </cfRule>
  </conditionalFormatting>
  <conditionalFormatting sqref="BP10">
    <cfRule type="expression" dxfId="91" priority="21">
      <formula>ABS($BP10)&gt;$BO$4</formula>
    </cfRule>
  </conditionalFormatting>
  <conditionalFormatting sqref="BR6:BR68">
    <cfRule type="expression" dxfId="90" priority="12">
      <formula>$A6="Travée"</formula>
    </cfRule>
  </conditionalFormatting>
  <conditionalFormatting sqref="BU6:BU68">
    <cfRule type="cellIs" dxfId="89" priority="5" operator="equal">
      <formula>""</formula>
    </cfRule>
    <cfRule type="cellIs" dxfId="88" priority="6" operator="lessThan">
      <formula>1</formula>
    </cfRule>
  </conditionalFormatting>
  <conditionalFormatting sqref="BV6:BX65">
    <cfRule type="cellIs" dxfId="87" priority="4" operator="equal">
      <formula>""</formula>
    </cfRule>
  </conditionalFormatting>
  <conditionalFormatting sqref="BV66:BX68">
    <cfRule type="cellIs" dxfId="86" priority="15" operator="equal">
      <formula>""</formula>
    </cfRule>
  </conditionalFormatting>
  <conditionalFormatting sqref="BX6:BX7 BV8:BX8 BX9 BV10:BX10 BX11 BV12:BX12 BX13 BV14:BX14 BX15 BV16:BX16 BX17 BV18:BX18 BX19 BV20:BX20 BX21 BV22:BX22 BX23 BV24:BX24 BX25 BV26:BX26 BX27 BV28:BX28 BX29 BV30:BX30 BX31 BV32:BX32 BX33 BV34:BX34 BX35 BV36:BX36 BX37 BV38:BX38 BX39 BV40:BX40 BX41 BV42:BX42 BX43 BV44:BX44 BX45 BV46:BX46 BX47 BV48:BX48 BX49 BV50:BX50 BX51 BV52:BX52 BX53 BV54:BX54 BX55 BV56:BX56 BX57 BV58:BX58 BX59 BV60:BX60 BX61 BV62:BX62 BX63 BV64:BX64 BX65">
    <cfRule type="cellIs" dxfId="85" priority="10" operator="equal">
      <formula>""</formula>
    </cfRule>
  </conditionalFormatting>
  <conditionalFormatting sqref="BX6:BX65">
    <cfRule type="cellIs" dxfId="84" priority="9" operator="lessThan">
      <formula>1</formula>
    </cfRule>
  </conditionalFormatting>
  <conditionalFormatting sqref="BX67:BX68">
    <cfRule type="cellIs" dxfId="83" priority="14" operator="lessThan">
      <formula>1</formula>
    </cfRule>
  </conditionalFormatting>
  <conditionalFormatting sqref="BZ6:BZ68">
    <cfRule type="expression" dxfId="82" priority="3">
      <formula>$A6="Travée"</formula>
    </cfRule>
  </conditionalFormatting>
  <conditionalFormatting sqref="CC6:CC68">
    <cfRule type="cellIs" dxfId="81" priority="2" operator="lessThan">
      <formula>1</formula>
    </cfRule>
  </conditionalFormatting>
  <conditionalFormatting sqref="CC6:CF68">
    <cfRule type="cellIs" dxfId="80" priority="1" operator="equal">
      <formula>""</formula>
    </cfRule>
  </conditionalFormatting>
  <conditionalFormatting sqref="CF6:CF65">
    <cfRule type="cellIs" dxfId="79" priority="11" operator="lessThan">
      <formula>IF($CG6="Rive",1.15,IF($CG6="Inter",1.1,0))</formula>
    </cfRule>
  </conditionalFormatting>
  <conditionalFormatting sqref="CF66:CF68">
    <cfRule type="cellIs" dxfId="78" priority="16" operator="lessThan">
      <formula>IF($CG66="Rive",1.15,IF($CG66="Inter",1.1,0))</formula>
    </cfRule>
  </conditionalFormatting>
  <conditionalFormatting sqref="CF6:CH67">
    <cfRule type="cellIs" dxfId="77" priority="8" operator="equal">
      <formula>""</formula>
    </cfRule>
  </conditionalFormatting>
  <conditionalFormatting sqref="CH6:CH68">
    <cfRule type="cellIs" dxfId="76" priority="7" operator="lessThan">
      <formula>0.63</formula>
    </cfRule>
  </conditionalFormatting>
  <conditionalFormatting sqref="CH68:CH69 BV67:BX68 CF68:CG68">
    <cfRule type="cellIs" dxfId="75" priority="13" operator="equal">
      <formula>""</formula>
    </cfRule>
  </conditionalFormatting>
  <pageMargins left="0.7" right="0.7" top="0.75" bottom="0.75" header="0.3" footer="0.3"/>
  <pageSetup paperSize="8" scale="6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F578-6726-4164-8762-30CC76D76990}">
  <sheetPr>
    <pageSetUpPr fitToPage="1"/>
  </sheetPr>
  <dimension ref="A1:BZ67"/>
  <sheetViews>
    <sheetView zoomScaleNormal="100" workbookViewId="0">
      <pane xSplit="5" topLeftCell="R1" activePane="topRight" state="frozen"/>
      <selection activeCell="AM48" sqref="AM48"/>
      <selection pane="topRight" activeCell="BN6" sqref="BN6:BY6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5.85546875" bestFit="1" customWidth="1"/>
    <col min="7" max="7" width="3.42578125" bestFit="1" customWidth="1"/>
    <col min="8" max="8" width="3.85546875" bestFit="1" customWidth="1"/>
    <col min="9" max="9" width="6.85546875" bestFit="1" customWidth="1"/>
    <col min="10" max="11" width="4.8554687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4" width="4.140625" bestFit="1" customWidth="1"/>
    <col min="25" max="25" width="3.85546875" bestFit="1" customWidth="1"/>
    <col min="26" max="26" width="4.5703125" bestFit="1" customWidth="1"/>
    <col min="27" max="27" width="4.14062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5" width="3.85546875" customWidth="1" outlineLevel="1"/>
    <col min="36" max="36" width="8" customWidth="1" outlineLevel="1"/>
    <col min="37" max="39" width="4.85546875" customWidth="1" outlineLevel="1"/>
    <col min="40" max="42" width="4.140625" customWidth="1" outlineLevel="1"/>
    <col min="43" max="43" width="3.85546875" customWidth="1" outlineLevel="1"/>
    <col min="44" max="44" width="4.85546875" customWidth="1" outlineLevel="1"/>
    <col min="45" max="45" width="5.28515625" customWidth="1" outlineLevel="1"/>
    <col min="46" max="46" width="5.85546875" customWidth="1" outlineLevel="1"/>
    <col min="47" max="48" width="4.140625" customWidth="1" outlineLevel="1"/>
    <col min="49" max="50" width="4.85546875" customWidth="1" outlineLevel="1"/>
    <col min="51" max="51" width="2.85546875" customWidth="1"/>
    <col min="52" max="52" width="6.42578125" customWidth="1"/>
    <col min="53" max="53" width="3.42578125" bestFit="1" customWidth="1"/>
    <col min="54" max="54" width="5.85546875" customWidth="1"/>
    <col min="55" max="56" width="3.42578125" bestFit="1" customWidth="1"/>
    <col min="57" max="57" width="4.85546875" bestFit="1" customWidth="1"/>
    <col min="58" max="59" width="4.42578125" bestFit="1" customWidth="1"/>
    <col min="60" max="60" width="3.85546875" bestFit="1" customWidth="1"/>
    <col min="61" max="61" width="4.28515625" bestFit="1" customWidth="1"/>
    <col min="62" max="64" width="5.28515625" bestFit="1" customWidth="1"/>
    <col min="66" max="66" width="4.140625" bestFit="1" customWidth="1"/>
    <col min="67" max="67" width="10.28515625" bestFit="1" customWidth="1"/>
    <col min="68" max="69" width="4.140625" bestFit="1" customWidth="1"/>
    <col min="70" max="70" width="6.7109375" customWidth="1"/>
    <col min="71" max="72" width="4.140625" bestFit="1" customWidth="1"/>
    <col min="73" max="73" width="7.42578125" bestFit="1" customWidth="1"/>
    <col min="74" max="75" width="4.140625" bestFit="1" customWidth="1"/>
    <col min="76" max="76" width="5.7109375" bestFit="1" customWidth="1"/>
    <col min="77" max="77" width="5" bestFit="1" customWidth="1"/>
    <col min="79" max="79" width="9.140625" bestFit="1" customWidth="1"/>
  </cols>
  <sheetData>
    <row r="1" spans="1:78" ht="15.75" thickBot="1" x14ac:dyDescent="0.3">
      <c r="AZ1" s="80" t="s">
        <v>67</v>
      </c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2"/>
    </row>
    <row r="2" spans="1:78" ht="15.75" thickBot="1" x14ac:dyDescent="0.3">
      <c r="AZ2" s="67" t="s">
        <v>78</v>
      </c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79"/>
      <c r="BM2" s="6"/>
      <c r="BN2" s="67" t="s">
        <v>79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9"/>
    </row>
    <row r="3" spans="1:78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61" t="s">
        <v>68</v>
      </c>
      <c r="Y3" s="62"/>
      <c r="Z3" s="62"/>
      <c r="AA3" s="62"/>
      <c r="AB3" s="62"/>
      <c r="AC3" s="62"/>
      <c r="AD3" s="62"/>
      <c r="AE3" s="63"/>
      <c r="AF3" s="67" t="s">
        <v>67</v>
      </c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Z3" s="83" t="s">
        <v>87</v>
      </c>
      <c r="BA3" s="62"/>
      <c r="BB3" s="63"/>
      <c r="BC3" s="83" t="s">
        <v>88</v>
      </c>
      <c r="BD3" s="62"/>
      <c r="BE3" s="62"/>
      <c r="BF3" s="62"/>
      <c r="BG3" s="63"/>
      <c r="BH3" s="71" t="s">
        <v>77</v>
      </c>
      <c r="BI3" s="72"/>
      <c r="BJ3" s="72"/>
      <c r="BK3" s="72"/>
      <c r="BL3" s="73"/>
      <c r="BN3" s="83" t="s">
        <v>89</v>
      </c>
      <c r="BO3" s="62"/>
      <c r="BP3" s="62"/>
      <c r="BQ3" s="62"/>
      <c r="BR3" s="63"/>
      <c r="BS3" s="83" t="s">
        <v>90</v>
      </c>
      <c r="BT3" s="62"/>
      <c r="BU3" s="62"/>
      <c r="BV3" s="62"/>
      <c r="BW3" s="62"/>
      <c r="BX3" s="62"/>
      <c r="BY3" s="63"/>
    </row>
    <row r="4" spans="1:78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64"/>
      <c r="Y4" s="65"/>
      <c r="Z4" s="65"/>
      <c r="AA4" s="65"/>
      <c r="AB4" s="65"/>
      <c r="AC4" s="65"/>
      <c r="AD4" s="65"/>
      <c r="AE4" s="66"/>
      <c r="AF4" s="67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Z4" s="64"/>
      <c r="BA4" s="65"/>
      <c r="BB4" s="66"/>
      <c r="BC4" s="64"/>
      <c r="BD4" s="65"/>
      <c r="BE4" s="65"/>
      <c r="BF4" s="65"/>
      <c r="BG4" s="66"/>
      <c r="BH4" s="23"/>
      <c r="BI4" s="24">
        <f>0.6*F7</f>
        <v>15</v>
      </c>
      <c r="BJ4" s="24">
        <f>0.8*H7</f>
        <v>400</v>
      </c>
      <c r="BK4" s="24">
        <f>0.8*H7</f>
        <v>400</v>
      </c>
      <c r="BL4" s="25">
        <f>MIN(J7,0.9*0.8*H7)</f>
        <v>360.00000000000006</v>
      </c>
      <c r="BM4" s="14"/>
      <c r="BN4" s="64"/>
      <c r="BO4" s="65"/>
      <c r="BP4" s="65"/>
      <c r="BQ4" s="65"/>
      <c r="BR4" s="66"/>
      <c r="BS4" s="64"/>
      <c r="BT4" s="65"/>
      <c r="BU4" s="65"/>
      <c r="BV4" s="65"/>
      <c r="BW4" s="65"/>
      <c r="BX4" s="65"/>
      <c r="BY4" s="66"/>
    </row>
    <row r="5" spans="1:78" ht="81.75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31" t="s">
        <v>69</v>
      </c>
      <c r="Y5" s="32" t="s">
        <v>70</v>
      </c>
      <c r="Z5" s="32" t="s">
        <v>71</v>
      </c>
      <c r="AA5" s="32" t="s">
        <v>20</v>
      </c>
      <c r="AB5" s="32" t="s">
        <v>21</v>
      </c>
      <c r="AC5" s="32" t="s">
        <v>22</v>
      </c>
      <c r="AD5" s="32" t="s">
        <v>23</v>
      </c>
      <c r="AE5" s="33" t="s">
        <v>24</v>
      </c>
      <c r="AF5" s="34" t="s">
        <v>25</v>
      </c>
      <c r="AG5" s="35" t="s">
        <v>26</v>
      </c>
      <c r="AH5" s="35" t="s">
        <v>27</v>
      </c>
      <c r="AI5" s="35" t="s">
        <v>28</v>
      </c>
      <c r="AJ5" s="35" t="s">
        <v>29</v>
      </c>
      <c r="AK5" s="35" t="s">
        <v>30</v>
      </c>
      <c r="AL5" s="35" t="s">
        <v>31</v>
      </c>
      <c r="AM5" s="35" t="s">
        <v>32</v>
      </c>
      <c r="AN5" s="35" t="s">
        <v>33</v>
      </c>
      <c r="AO5" s="35" t="s">
        <v>34</v>
      </c>
      <c r="AP5" s="35" t="s">
        <v>35</v>
      </c>
      <c r="AQ5" s="35" t="s">
        <v>36</v>
      </c>
      <c r="AR5" s="35" t="s">
        <v>37</v>
      </c>
      <c r="AS5" s="35" t="s">
        <v>38</v>
      </c>
      <c r="AT5" s="36" t="s">
        <v>39</v>
      </c>
      <c r="AU5" s="37" t="s">
        <v>40</v>
      </c>
      <c r="AV5" s="35" t="s">
        <v>42</v>
      </c>
      <c r="AW5" s="35" t="s">
        <v>43</v>
      </c>
      <c r="AX5" s="35" t="s">
        <v>41</v>
      </c>
      <c r="AY5" s="20"/>
      <c r="AZ5" s="16" t="s">
        <v>72</v>
      </c>
      <c r="BA5" s="18" t="s">
        <v>73</v>
      </c>
      <c r="BB5" s="17" t="s">
        <v>74</v>
      </c>
      <c r="BC5" s="18" t="s">
        <v>72</v>
      </c>
      <c r="BD5" s="18" t="s">
        <v>73</v>
      </c>
      <c r="BE5" s="18" t="s">
        <v>74</v>
      </c>
      <c r="BF5" s="18" t="s">
        <v>75</v>
      </c>
      <c r="BG5" s="17" t="s">
        <v>76</v>
      </c>
      <c r="BH5" s="16" t="s">
        <v>72</v>
      </c>
      <c r="BI5" s="18" t="s">
        <v>73</v>
      </c>
      <c r="BJ5" s="18" t="s">
        <v>74</v>
      </c>
      <c r="BK5" s="18" t="s">
        <v>75</v>
      </c>
      <c r="BL5" s="17" t="s">
        <v>76</v>
      </c>
      <c r="BM5" s="18"/>
      <c r="BN5" s="16" t="s">
        <v>80</v>
      </c>
      <c r="BO5" s="19" t="s">
        <v>66</v>
      </c>
      <c r="BP5" s="18" t="s">
        <v>82</v>
      </c>
      <c r="BQ5" s="18" t="s">
        <v>81</v>
      </c>
      <c r="BR5" s="17" t="s">
        <v>83</v>
      </c>
      <c r="BS5" s="16" t="s">
        <v>80</v>
      </c>
      <c r="BT5" s="18" t="s">
        <v>81</v>
      </c>
      <c r="BU5" s="20"/>
      <c r="BV5" s="18" t="s">
        <v>84</v>
      </c>
      <c r="BW5" s="18" t="s">
        <v>85</v>
      </c>
      <c r="BX5" s="77" t="s">
        <v>86</v>
      </c>
      <c r="BY5" s="78"/>
    </row>
    <row r="6" spans="1:78" x14ac:dyDescent="0.25">
      <c r="A6" t="str">
        <f>IF(ISNUMBER(SEARCH("Appui",E6)),"Appui",IF(ISNUMBER(SEARCH("Travée",E6)),"Travée",""))</f>
        <v>Travée</v>
      </c>
      <c r="B6" t="b">
        <f>MOD(C6,2)=0</f>
        <v>0</v>
      </c>
      <c r="C6">
        <v>1</v>
      </c>
      <c r="D6" s="5" t="s">
        <v>104</v>
      </c>
      <c r="E6" t="s">
        <v>45</v>
      </c>
      <c r="F6" s="5">
        <v>25</v>
      </c>
      <c r="G6" t="s">
        <v>46</v>
      </c>
      <c r="H6">
        <v>500</v>
      </c>
      <c r="I6">
        <v>170000</v>
      </c>
      <c r="J6">
        <v>1300</v>
      </c>
      <c r="K6" s="10">
        <v>1445</v>
      </c>
      <c r="L6" s="12">
        <v>1</v>
      </c>
      <c r="M6" s="5">
        <v>0.26</v>
      </c>
      <c r="N6" s="10">
        <v>5.35</v>
      </c>
      <c r="O6" s="5">
        <v>1.3878E-3</v>
      </c>
      <c r="P6">
        <v>0.04</v>
      </c>
      <c r="Q6" s="10">
        <v>1</v>
      </c>
      <c r="R6" s="8">
        <v>0</v>
      </c>
      <c r="S6">
        <v>0</v>
      </c>
      <c r="T6">
        <v>1</v>
      </c>
      <c r="U6" s="9">
        <v>2.8800000000000001E-4</v>
      </c>
      <c r="V6">
        <v>0</v>
      </c>
      <c r="W6" s="10">
        <v>1</v>
      </c>
      <c r="X6" s="1">
        <v>57.756160000000001</v>
      </c>
      <c r="Y6" s="2">
        <v>17.543679999999998</v>
      </c>
      <c r="Z6" s="13">
        <v>0</v>
      </c>
      <c r="AA6" s="2">
        <v>57.756160000000001</v>
      </c>
      <c r="AB6" s="2">
        <v>17.543679999999998</v>
      </c>
      <c r="AC6" s="2">
        <v>98.56</v>
      </c>
      <c r="AD6" s="2"/>
      <c r="AE6" s="7">
        <v>75.299840000000003</v>
      </c>
      <c r="AF6" s="2">
        <v>57.756160000000001</v>
      </c>
      <c r="AG6" s="2">
        <v>17.543679999999998</v>
      </c>
      <c r="AH6" s="2">
        <v>4.0322116337661367</v>
      </c>
      <c r="AI6" s="2">
        <v>1.089953946246867</v>
      </c>
      <c r="AJ6" s="2">
        <v>-196.86799206682849</v>
      </c>
      <c r="AK6" s="2">
        <v>-47.862808529588129</v>
      </c>
      <c r="AL6" s="2">
        <v>0</v>
      </c>
      <c r="AM6" s="2">
        <v>-49.150696303818357</v>
      </c>
      <c r="AN6" s="2">
        <v>98.56</v>
      </c>
      <c r="AO6" s="2">
        <v>139.5608127713233</v>
      </c>
      <c r="AP6" s="2">
        <v>232.15232434433051</v>
      </c>
      <c r="AQ6" s="2">
        <v>4.4174588751246544</v>
      </c>
      <c r="AR6" s="2">
        <v>-272.8510338512487</v>
      </c>
      <c r="AS6" s="2">
        <v>0</v>
      </c>
      <c r="AT6" s="2">
        <v>-282.91311056483403</v>
      </c>
      <c r="AU6" s="1">
        <v>75.299840000000003</v>
      </c>
      <c r="AV6" s="2">
        <v>3.8159028373493018</v>
      </c>
      <c r="AW6" s="2">
        <v>-260.60626198277089</v>
      </c>
      <c r="AX6" s="2">
        <v>139.5608127713233</v>
      </c>
      <c r="AZ6" s="1">
        <f>AF6</f>
        <v>57.756160000000001</v>
      </c>
      <c r="BA6" s="2">
        <f>AH6</f>
        <v>4.0322116337661367</v>
      </c>
      <c r="BB6" s="7">
        <f>AJ6</f>
        <v>-196.86799206682849</v>
      </c>
      <c r="BC6" s="1">
        <f>AG6</f>
        <v>17.543679999999998</v>
      </c>
      <c r="BD6" s="2">
        <f>AI6</f>
        <v>1.089953946246867</v>
      </c>
      <c r="BE6" s="2">
        <f t="shared" ref="BE6" si="0">AK6</f>
        <v>-47.862808529588129</v>
      </c>
      <c r="BF6" s="2">
        <f t="shared" ref="BF6" si="1">AL6</f>
        <v>0</v>
      </c>
      <c r="BG6" s="7">
        <f t="shared" ref="BG6" si="2">AM6</f>
        <v>-49.150696303818357</v>
      </c>
      <c r="BH6" s="1">
        <f t="shared" ref="BH6" si="3">AZ6+BC6</f>
        <v>75.299840000000003</v>
      </c>
      <c r="BI6" s="2">
        <f t="shared" ref="BI6" si="4">BA6+BD6</f>
        <v>5.1221655800130037</v>
      </c>
      <c r="BJ6" s="2">
        <f t="shared" ref="BJ6" si="5">ABS(BB6+BE6)</f>
        <v>244.73080059641663</v>
      </c>
      <c r="BK6" s="2">
        <f>ABS(BF6)</f>
        <v>0</v>
      </c>
      <c r="BL6" s="7">
        <f>BG6</f>
        <v>-49.150696303818357</v>
      </c>
      <c r="BM6" s="2"/>
      <c r="BN6" s="1">
        <f>AU6</f>
        <v>75.299840000000003</v>
      </c>
      <c r="BO6" s="4" t="str">
        <f t="shared" ref="BO6" si="6">IF(ISNUMBER(SEARCH("Appui",E6)),0,"0")</f>
        <v>0</v>
      </c>
      <c r="BP6" s="2">
        <f t="shared" ref="BP6" si="7">IF(ISNUMBER(SEARCH("Appui",E6)),BN6+BO6*BN6,IF(C5&lt;C6,BN6-BO7*BN7/2,IF(C6&lt;C7,BN6-(BO5*BN5)/2,BN6-(BO7*BN7+BO5*BN5)/2)))</f>
        <v>75.299840000000003</v>
      </c>
      <c r="BQ6" s="2">
        <f>AX6</f>
        <v>139.5608127713233</v>
      </c>
      <c r="BR6" s="3">
        <f t="shared" ref="BR6" si="8">BP6/BQ6</f>
        <v>0.53954859179117987</v>
      </c>
      <c r="BS6" s="1">
        <f>AN6</f>
        <v>98.56</v>
      </c>
      <c r="BT6" s="2">
        <f>AP6</f>
        <v>232.15232434433051</v>
      </c>
      <c r="BU6" s="21">
        <f t="shared" ref="BU6" si="9">BS6/BT6</f>
        <v>0.42454883998410836</v>
      </c>
      <c r="BV6" s="2">
        <f>IF(ISNUMBER(SEARCH("Travée",E6)),BS6+(IF(C5&lt;C6,0,BS5)+IF(C7&gt;C6,0,BS7))/2,"")</f>
        <v>134.31</v>
      </c>
      <c r="BW6" s="2">
        <f>IF(ISNUMBER(SEARCH("Travée",E6)),BT6+(IF(C5&lt;C6,0,BT5)+IF(C7&gt;C6,0,BT7))/2,"")</f>
        <v>232.15232434433051</v>
      </c>
      <c r="BX6" s="21">
        <f t="shared" ref="BX6" si="10">IF(ISNUMBER(SEARCH("Travée",E6)),BW6/BV6,"")</f>
        <v>1.7284813070086404</v>
      </c>
      <c r="BY6" s="10" t="str">
        <f>IF(C4&lt;C6,"Rive",IF(C8&gt;C6,"Rive","Inter"))</f>
        <v>Rive</v>
      </c>
    </row>
    <row r="7" spans="1:78" x14ac:dyDescent="0.25">
      <c r="A7" t="str">
        <f>IF(ISNUMBER(SEARCH("Appui",E7)),"Appui",IF(ISNUMBER(SEARCH("Travée",E7)),"Travée",""))</f>
        <v>Appui</v>
      </c>
      <c r="B7" t="b">
        <f>MOD(C7,2)=0</f>
        <v>0</v>
      </c>
      <c r="C7">
        <v>1</v>
      </c>
      <c r="D7" s="5" t="s">
        <v>104</v>
      </c>
      <c r="E7" t="s">
        <v>47</v>
      </c>
      <c r="F7" s="5">
        <v>25</v>
      </c>
      <c r="G7" t="s">
        <v>46</v>
      </c>
      <c r="H7">
        <v>500</v>
      </c>
      <c r="I7">
        <v>170000</v>
      </c>
      <c r="J7">
        <v>1300</v>
      </c>
      <c r="K7" s="10">
        <v>1445</v>
      </c>
      <c r="L7" s="12">
        <v>1</v>
      </c>
      <c r="M7" s="5">
        <v>0.25</v>
      </c>
      <c r="N7" s="10">
        <v>5.35</v>
      </c>
      <c r="O7" s="5">
        <v>0</v>
      </c>
      <c r="P7">
        <v>6.9999999999999993E-2</v>
      </c>
      <c r="Q7" s="10">
        <v>1</v>
      </c>
      <c r="R7" s="8">
        <v>0</v>
      </c>
      <c r="S7">
        <v>0</v>
      </c>
      <c r="T7">
        <v>1</v>
      </c>
      <c r="U7" s="9">
        <v>0</v>
      </c>
      <c r="V7">
        <v>0</v>
      </c>
      <c r="W7" s="10">
        <v>1</v>
      </c>
      <c r="X7" s="1">
        <v>41.899000000000001</v>
      </c>
      <c r="Y7" s="2">
        <v>12.727</v>
      </c>
      <c r="Z7" s="13">
        <v>0</v>
      </c>
      <c r="AA7" s="2">
        <v>41.899000000000001</v>
      </c>
      <c r="AB7" s="2">
        <v>12.727</v>
      </c>
      <c r="AC7" s="2">
        <v>71.5</v>
      </c>
      <c r="AD7" s="2"/>
      <c r="AE7" s="7">
        <v>54.625999999999998</v>
      </c>
      <c r="AF7" s="2">
        <v>41.899000000000001</v>
      </c>
      <c r="AG7" s="2">
        <v>12.727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71.5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1">
        <v>54.625999999999998</v>
      </c>
      <c r="AV7" s="2">
        <v>0</v>
      </c>
      <c r="AW7" s="2">
        <v>0</v>
      </c>
      <c r="AX7" s="2">
        <v>0</v>
      </c>
      <c r="AZ7" s="1">
        <f>AF7</f>
        <v>41.899000000000001</v>
      </c>
      <c r="BA7" s="2">
        <f>AH7</f>
        <v>0</v>
      </c>
      <c r="BB7" s="7">
        <f>AJ7</f>
        <v>0</v>
      </c>
      <c r="BC7" s="1">
        <f>AG7</f>
        <v>12.727</v>
      </c>
      <c r="BD7" s="2">
        <f>AI7</f>
        <v>0</v>
      </c>
      <c r="BE7" s="2">
        <f t="shared" ref="BE7:BG15" si="11">AK7</f>
        <v>0</v>
      </c>
      <c r="BF7" s="2">
        <f t="shared" si="11"/>
        <v>0</v>
      </c>
      <c r="BG7" s="7">
        <f t="shared" si="11"/>
        <v>0</v>
      </c>
      <c r="BH7" s="1">
        <f t="shared" ref="BH7:BI15" si="12">AZ7+BC7</f>
        <v>54.626000000000005</v>
      </c>
      <c r="BI7" s="2">
        <f t="shared" si="12"/>
        <v>0</v>
      </c>
      <c r="BJ7" s="2">
        <f t="shared" ref="BJ7:BJ15" si="13">ABS(BB7+BE7)</f>
        <v>0</v>
      </c>
      <c r="BK7" s="2">
        <f>ABS(BF7)</f>
        <v>0</v>
      </c>
      <c r="BL7" s="7">
        <f>BG7</f>
        <v>0</v>
      </c>
      <c r="BM7" s="2"/>
      <c r="BN7" s="1">
        <f>AU7</f>
        <v>54.625999999999998</v>
      </c>
      <c r="BO7" s="4">
        <v>0</v>
      </c>
      <c r="BP7" s="2">
        <f t="shared" ref="BP7:BP67" si="14">IF(ISNUMBER(SEARCH("Appui",E7)),BN7+BO7*BN7,IF(C6&lt;C7,BN7-BO8*BN8/2,IF(C7&lt;C8,BN7-(BO6*BN6)/2,BN7-(BO8*BN8+BO6*BN6)/2)))</f>
        <v>54.625999999999998</v>
      </c>
      <c r="BQ7" s="2">
        <f>AX7</f>
        <v>0</v>
      </c>
      <c r="BR7" s="3" t="e">
        <f t="shared" ref="BR7:BR66" si="15">BP7/BQ7</f>
        <v>#DIV/0!</v>
      </c>
      <c r="BS7" s="1">
        <f>AN7</f>
        <v>71.5</v>
      </c>
      <c r="BT7" s="2">
        <f>AP7</f>
        <v>0</v>
      </c>
      <c r="BU7" s="21" t="e">
        <f>BS7/BT7</f>
        <v>#DIV/0!</v>
      </c>
      <c r="BV7" s="2" t="str">
        <f>IF(ISNUMBER(SEARCH("Travée",E7)),BS7+(IF(C6&lt;C7,0,BS6)+IF(C8&gt;C7,0,BS8))/2,"")</f>
        <v/>
      </c>
      <c r="BW7" s="2" t="str">
        <f>IF(ISNUMBER(SEARCH("Travée",E7)),BT7+(IF(C6&lt;C7,0,BT6)+IF(C8&gt;C7,0,BT8))/2,"")</f>
        <v/>
      </c>
      <c r="BX7" s="21" t="str">
        <f>IF(ISNUMBER(SEARCH("Travée",E7)),BW7/BV7,"")</f>
        <v/>
      </c>
      <c r="BY7" s="15"/>
    </row>
    <row r="8" spans="1:78" x14ac:dyDescent="0.25">
      <c r="A8" t="str">
        <f t="shared" ref="A8:A66" si="16">IF(ISNUMBER(SEARCH("Appui",E8)),"Appui",IF(ISNUMBER(SEARCH("Travée",E8)),"Travée",""))</f>
        <v>Travée</v>
      </c>
      <c r="B8" t="b">
        <f t="shared" ref="B8:B66" si="17">MOD(C8,2)=0</f>
        <v>0</v>
      </c>
      <c r="C8">
        <f>IF(D8=D7,C7,C7+1)</f>
        <v>1</v>
      </c>
      <c r="D8" s="5" t="s">
        <v>104</v>
      </c>
      <c r="E8" t="s">
        <v>48</v>
      </c>
      <c r="F8" s="5">
        <v>25</v>
      </c>
      <c r="G8" t="s">
        <v>46</v>
      </c>
      <c r="H8">
        <v>500</v>
      </c>
      <c r="I8">
        <v>170000</v>
      </c>
      <c r="J8">
        <v>1300</v>
      </c>
      <c r="K8" s="10">
        <v>1445</v>
      </c>
      <c r="L8" s="12">
        <v>1</v>
      </c>
      <c r="M8" s="5">
        <v>0.23499999999999999</v>
      </c>
      <c r="N8" s="10">
        <v>4.1749999999999998</v>
      </c>
      <c r="O8" s="5">
        <v>2.1545000000000002E-3</v>
      </c>
      <c r="P8">
        <v>0.04</v>
      </c>
      <c r="Q8" s="10">
        <v>1</v>
      </c>
      <c r="R8" s="8">
        <v>0</v>
      </c>
      <c r="S8">
        <v>0</v>
      </c>
      <c r="T8">
        <v>1</v>
      </c>
      <c r="U8" s="9">
        <v>2.8800000000000001E-4</v>
      </c>
      <c r="V8">
        <v>0</v>
      </c>
      <c r="W8" s="10">
        <v>1</v>
      </c>
      <c r="X8" s="1">
        <v>82.508800000000008</v>
      </c>
      <c r="Y8" s="2">
        <v>25.0624</v>
      </c>
      <c r="Z8" s="13">
        <v>0</v>
      </c>
      <c r="AA8" s="2">
        <v>82.508800000000008</v>
      </c>
      <c r="AB8" s="2">
        <v>25.0624</v>
      </c>
      <c r="AC8" s="2">
        <v>140.80000000000001</v>
      </c>
      <c r="AD8" s="2"/>
      <c r="AE8" s="7">
        <v>107.5712</v>
      </c>
      <c r="AF8" s="2">
        <v>82.508800000000008</v>
      </c>
      <c r="AG8" s="2">
        <v>25.0624</v>
      </c>
      <c r="AH8" s="2">
        <v>6.5979235326448418</v>
      </c>
      <c r="AI8" s="2">
        <v>1.8400150149987029</v>
      </c>
      <c r="AJ8" s="2">
        <v>-208.0436921230731</v>
      </c>
      <c r="AK8" s="2">
        <v>-54.096304436985001</v>
      </c>
      <c r="AL8" s="2">
        <v>0</v>
      </c>
      <c r="AM8" s="2">
        <v>-57.45257290185932</v>
      </c>
      <c r="AN8" s="2">
        <v>140.80000000000001</v>
      </c>
      <c r="AO8" s="2">
        <v>185.37580294423111</v>
      </c>
      <c r="AP8" s="2">
        <v>264.58731399830748</v>
      </c>
      <c r="AQ8" s="2">
        <v>7.3453955457539823</v>
      </c>
      <c r="AR8" s="2">
        <v>-310.76050053829442</v>
      </c>
      <c r="AS8" s="2">
        <v>0</v>
      </c>
      <c r="AT8" s="2">
        <v>-335.91631020983328</v>
      </c>
      <c r="AU8" s="1">
        <v>107.5712</v>
      </c>
      <c r="AV8" s="2">
        <v>6.1748739630418434</v>
      </c>
      <c r="AW8" s="2">
        <v>-277.7955462225471</v>
      </c>
      <c r="AX8" s="2">
        <v>185.37580294423111</v>
      </c>
      <c r="AZ8" s="1">
        <f>AF8</f>
        <v>82.508800000000008</v>
      </c>
      <c r="BA8" s="2">
        <f>AH8</f>
        <v>6.5979235326448418</v>
      </c>
      <c r="BB8" s="7">
        <f>AJ8</f>
        <v>-208.0436921230731</v>
      </c>
      <c r="BC8" s="1">
        <f>AG8</f>
        <v>25.0624</v>
      </c>
      <c r="BD8" s="2">
        <f>AI8</f>
        <v>1.8400150149987029</v>
      </c>
      <c r="BE8" s="2">
        <f t="shared" si="11"/>
        <v>-54.096304436985001</v>
      </c>
      <c r="BF8" s="2">
        <f t="shared" si="11"/>
        <v>0</v>
      </c>
      <c r="BG8" s="7">
        <f t="shared" si="11"/>
        <v>-57.45257290185932</v>
      </c>
      <c r="BH8" s="1">
        <f t="shared" si="12"/>
        <v>107.5712</v>
      </c>
      <c r="BI8" s="2">
        <f t="shared" si="12"/>
        <v>8.4379385476435438</v>
      </c>
      <c r="BJ8" s="2">
        <f t="shared" si="13"/>
        <v>262.13999656005808</v>
      </c>
      <c r="BK8" s="2">
        <f t="shared" ref="BK8:BK15" si="18">ABS(BF8)</f>
        <v>0</v>
      </c>
      <c r="BL8" s="7">
        <f t="shared" ref="BL8:BL15" si="19">BG8</f>
        <v>-57.45257290185932</v>
      </c>
      <c r="BM8" s="2"/>
      <c r="BN8" s="1">
        <f>AU8</f>
        <v>107.5712</v>
      </c>
      <c r="BO8" s="4" t="str">
        <f t="shared" ref="BO8:BO10" si="20">IF(ISNUMBER(SEARCH("Appui",E8)),0,"0")</f>
        <v>0</v>
      </c>
      <c r="BP8" s="2">
        <f t="shared" si="14"/>
        <v>107.5712</v>
      </c>
      <c r="BQ8" s="2">
        <f>AX8</f>
        <v>185.37580294423111</v>
      </c>
      <c r="BR8" s="3">
        <f t="shared" si="15"/>
        <v>0.58028716958470561</v>
      </c>
      <c r="BS8" s="1">
        <f>AN8</f>
        <v>140.80000000000001</v>
      </c>
      <c r="BT8" s="2">
        <f>AP8</f>
        <v>264.58731399830748</v>
      </c>
      <c r="BU8" s="21">
        <f t="shared" ref="BU8:BU66" si="21">BS8/BT8</f>
        <v>0.53214947410857605</v>
      </c>
      <c r="BV8" s="2">
        <f>IF(ISNUMBER(SEARCH("Travée",E8)),BS8+(IF(C7&lt;C8,0,BS7)+IF(C9&gt;C8,0,BS9))/2,"")</f>
        <v>212.3</v>
      </c>
      <c r="BW8" s="2">
        <f>IF(ISNUMBER(SEARCH("Travée",E8)),BT8+(IF(C7&lt;C8,0,BT7)+IF(C9&gt;C8,0,BT9))/2,"")</f>
        <v>264.58731399830748</v>
      </c>
      <c r="BX8" s="21">
        <f t="shared" ref="BX8:BX66" si="22">IF(ISNUMBER(SEARCH("Travée",E8)),BW8/BV8,"")</f>
        <v>1.2462897503453012</v>
      </c>
      <c r="BY8" s="10" t="str">
        <f>IF(C6&lt;C8,"Rive",IF(C10&gt;C8,"Rive","Inter"))</f>
        <v>Inter</v>
      </c>
    </row>
    <row r="9" spans="1:78" x14ac:dyDescent="0.25">
      <c r="A9" t="str">
        <f t="shared" si="16"/>
        <v>Appui</v>
      </c>
      <c r="B9" t="b">
        <f t="shared" si="17"/>
        <v>0</v>
      </c>
      <c r="C9">
        <f t="shared" ref="C9:C32" si="23">IF(D9=D8,C8,C8+1)</f>
        <v>1</v>
      </c>
      <c r="D9" s="5" t="s">
        <v>104</v>
      </c>
      <c r="E9" t="s">
        <v>49</v>
      </c>
      <c r="F9" s="5">
        <v>25</v>
      </c>
      <c r="G9" t="s">
        <v>46</v>
      </c>
      <c r="H9">
        <v>500</v>
      </c>
      <c r="I9">
        <v>170000</v>
      </c>
      <c r="J9">
        <v>1300</v>
      </c>
      <c r="K9" s="10">
        <v>1445</v>
      </c>
      <c r="L9" s="12">
        <v>1</v>
      </c>
      <c r="M9" s="5">
        <v>0.22</v>
      </c>
      <c r="N9" s="10">
        <v>3</v>
      </c>
      <c r="O9" s="5">
        <v>0</v>
      </c>
      <c r="P9">
        <v>0.04</v>
      </c>
      <c r="Q9" s="10">
        <v>1</v>
      </c>
      <c r="R9" s="8">
        <v>0</v>
      </c>
      <c r="S9">
        <v>0</v>
      </c>
      <c r="T9">
        <v>1</v>
      </c>
      <c r="U9" s="9">
        <v>0</v>
      </c>
      <c r="V9">
        <v>0</v>
      </c>
      <c r="W9" s="10">
        <v>1</v>
      </c>
      <c r="X9" s="1">
        <v>41.899000000000001</v>
      </c>
      <c r="Y9" s="2">
        <v>12.727</v>
      </c>
      <c r="Z9" s="13">
        <v>0</v>
      </c>
      <c r="AA9" s="2">
        <v>41.899000000000001</v>
      </c>
      <c r="AB9" s="2">
        <v>12.727</v>
      </c>
      <c r="AC9" s="2">
        <v>71.5</v>
      </c>
      <c r="AD9" s="2"/>
      <c r="AE9" s="7">
        <v>54.625999999999998</v>
      </c>
      <c r="AF9" s="2">
        <v>41.899000000000001</v>
      </c>
      <c r="AG9" s="2">
        <v>12.727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71.5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1">
        <v>54.625999999999998</v>
      </c>
      <c r="AV9" s="2">
        <v>0</v>
      </c>
      <c r="AW9" s="2">
        <v>0</v>
      </c>
      <c r="AX9" s="2">
        <v>0</v>
      </c>
      <c r="AZ9" s="1">
        <f>AF9</f>
        <v>41.899000000000001</v>
      </c>
      <c r="BA9" s="2">
        <f>AH9</f>
        <v>0</v>
      </c>
      <c r="BB9" s="7">
        <f>AJ9</f>
        <v>0</v>
      </c>
      <c r="BC9" s="1">
        <f>AG9</f>
        <v>12.727</v>
      </c>
      <c r="BD9" s="2">
        <f>AI9</f>
        <v>0</v>
      </c>
      <c r="BE9" s="2">
        <f t="shared" si="11"/>
        <v>0</v>
      </c>
      <c r="BF9" s="2">
        <f t="shared" si="11"/>
        <v>0</v>
      </c>
      <c r="BG9" s="7">
        <f t="shared" si="11"/>
        <v>0</v>
      </c>
      <c r="BH9" s="1">
        <f t="shared" si="12"/>
        <v>54.626000000000005</v>
      </c>
      <c r="BI9" s="2">
        <f t="shared" si="12"/>
        <v>0</v>
      </c>
      <c r="BJ9" s="2">
        <f t="shared" si="13"/>
        <v>0</v>
      </c>
      <c r="BK9" s="2">
        <f t="shared" si="18"/>
        <v>0</v>
      </c>
      <c r="BL9" s="7">
        <f t="shared" si="19"/>
        <v>0</v>
      </c>
      <c r="BM9" s="2"/>
      <c r="BN9" s="1">
        <f>AU9</f>
        <v>54.625999999999998</v>
      </c>
      <c r="BO9" s="4">
        <v>0</v>
      </c>
      <c r="BP9" s="2">
        <f t="shared" si="14"/>
        <v>54.625999999999998</v>
      </c>
      <c r="BQ9" s="2">
        <f>AX9</f>
        <v>0</v>
      </c>
      <c r="BR9" s="3" t="e">
        <f t="shared" si="15"/>
        <v>#DIV/0!</v>
      </c>
      <c r="BS9" s="1">
        <f t="shared" ref="BS9:BS66" si="24">AN9</f>
        <v>71.5</v>
      </c>
      <c r="BT9" s="2">
        <f t="shared" ref="BT9:BT66" si="25">AP9</f>
        <v>0</v>
      </c>
      <c r="BU9" s="21" t="e">
        <f t="shared" si="21"/>
        <v>#DIV/0!</v>
      </c>
      <c r="BV9" s="2" t="str">
        <f t="shared" ref="BV9:BV66" si="26">IF(ISNUMBER(SEARCH("Travée",E9)),BS9+(IF(C8&lt;C9,0,BS8)+IF(C10&gt;C9,0,BS10))/2,"")</f>
        <v/>
      </c>
      <c r="BW9" s="2" t="str">
        <f t="shared" ref="BW9:BW66" si="27">IF(ISNUMBER(SEARCH("Travée",E9)),BT9+(IF(C8&lt;C9,0,BT8)+IF(C10&gt;C9,0,BT10))/2,"")</f>
        <v/>
      </c>
      <c r="BX9" s="21" t="str">
        <f t="shared" si="22"/>
        <v/>
      </c>
      <c r="BY9" s="15"/>
    </row>
    <row r="10" spans="1:78" x14ac:dyDescent="0.25">
      <c r="A10" t="str">
        <f t="shared" si="16"/>
        <v>Travée</v>
      </c>
      <c r="B10" t="b">
        <f t="shared" si="17"/>
        <v>0</v>
      </c>
      <c r="C10">
        <f t="shared" si="23"/>
        <v>1</v>
      </c>
      <c r="D10" s="5" t="s">
        <v>104</v>
      </c>
      <c r="E10" t="s">
        <v>51</v>
      </c>
      <c r="F10" s="5">
        <v>25</v>
      </c>
      <c r="G10" t="s">
        <v>46</v>
      </c>
      <c r="H10">
        <v>500</v>
      </c>
      <c r="I10">
        <v>170000</v>
      </c>
      <c r="J10">
        <v>1300</v>
      </c>
      <c r="K10" s="10">
        <v>1445</v>
      </c>
      <c r="L10" s="12">
        <v>1</v>
      </c>
      <c r="M10" s="5">
        <v>0.23499999999999999</v>
      </c>
      <c r="N10" s="10">
        <v>3</v>
      </c>
      <c r="O10" s="5">
        <v>3.8400000000000001E-4</v>
      </c>
      <c r="P10">
        <v>0.04</v>
      </c>
      <c r="Q10" s="10">
        <v>1</v>
      </c>
      <c r="R10" s="8">
        <v>0</v>
      </c>
      <c r="S10">
        <v>0</v>
      </c>
      <c r="T10">
        <v>1</v>
      </c>
      <c r="U10" s="9">
        <v>2.8800000000000001E-4</v>
      </c>
      <c r="V10">
        <v>0</v>
      </c>
      <c r="W10" s="10">
        <v>1</v>
      </c>
      <c r="X10" s="1">
        <v>0.75007999999999997</v>
      </c>
      <c r="Y10" s="2">
        <v>0.22783999999999999</v>
      </c>
      <c r="Z10" s="13">
        <v>0</v>
      </c>
      <c r="AA10" s="2">
        <v>0.75007999999999997</v>
      </c>
      <c r="AB10" s="2">
        <v>0.22783999999999999</v>
      </c>
      <c r="AC10" s="2">
        <v>1.28</v>
      </c>
      <c r="AD10" s="2"/>
      <c r="AE10" s="7">
        <v>0.9779199999999999</v>
      </c>
      <c r="AF10" s="2">
        <v>0.75007999999999997</v>
      </c>
      <c r="AG10" s="2">
        <v>0.22783999999999999</v>
      </c>
      <c r="AH10" s="2">
        <v>0.15657695067640851</v>
      </c>
      <c r="AI10" s="2">
        <v>3.3144623271977751E-2</v>
      </c>
      <c r="AJ10" s="2">
        <v>-10.322733406276321</v>
      </c>
      <c r="AK10" s="2">
        <v>-1.613079518236185</v>
      </c>
      <c r="AL10" s="2">
        <v>0</v>
      </c>
      <c r="AM10" s="2">
        <v>-1.689093144855951</v>
      </c>
      <c r="AN10" s="2">
        <v>1.28</v>
      </c>
      <c r="AO10" s="2">
        <v>34.441460869565063</v>
      </c>
      <c r="AP10" s="2">
        <v>125.1268291458684</v>
      </c>
      <c r="AQ10" s="2">
        <v>0.13968777065913041</v>
      </c>
      <c r="AR10" s="2">
        <v>-9.1852328799650618</v>
      </c>
      <c r="AS10" s="2">
        <v>0</v>
      </c>
      <c r="AT10" s="2">
        <v>-9.7018605068433601</v>
      </c>
      <c r="AU10" s="1">
        <v>0.9779199999999999</v>
      </c>
      <c r="AV10" s="2">
        <v>0.15181599347983871</v>
      </c>
      <c r="AW10" s="2">
        <v>-13.60228827782394</v>
      </c>
      <c r="AX10" s="2">
        <v>34.441460869565063</v>
      </c>
      <c r="AZ10" s="1">
        <f t="shared" ref="AZ10:AZ15" si="28">AF10</f>
        <v>0.75007999999999997</v>
      </c>
      <c r="BA10" s="2">
        <f t="shared" ref="BA10:BA15" si="29">AH10</f>
        <v>0.15657695067640851</v>
      </c>
      <c r="BB10" s="7">
        <f t="shared" ref="BB10:BB15" si="30">AJ10</f>
        <v>-10.322733406276321</v>
      </c>
      <c r="BC10" s="1">
        <f t="shared" ref="BC10:BC15" si="31">AG10</f>
        <v>0.22783999999999999</v>
      </c>
      <c r="BD10" s="2">
        <f t="shared" ref="BD10:BD15" si="32">AI10</f>
        <v>3.3144623271977751E-2</v>
      </c>
      <c r="BE10" s="2">
        <f t="shared" si="11"/>
        <v>-1.613079518236185</v>
      </c>
      <c r="BF10" s="2">
        <f t="shared" si="11"/>
        <v>0</v>
      </c>
      <c r="BG10" s="7">
        <f t="shared" si="11"/>
        <v>-1.689093144855951</v>
      </c>
      <c r="BH10" s="1">
        <f t="shared" si="12"/>
        <v>0.9779199999999999</v>
      </c>
      <c r="BI10" s="2">
        <f t="shared" si="12"/>
        <v>0.18972157394838626</v>
      </c>
      <c r="BJ10" s="2">
        <f t="shared" si="13"/>
        <v>11.935812924512506</v>
      </c>
      <c r="BK10" s="2">
        <f t="shared" si="18"/>
        <v>0</v>
      </c>
      <c r="BL10" s="7">
        <f t="shared" si="19"/>
        <v>-1.689093144855951</v>
      </c>
      <c r="BM10" s="2"/>
      <c r="BN10" s="1">
        <f>AU10</f>
        <v>0.9779199999999999</v>
      </c>
      <c r="BO10" s="4" t="str">
        <f t="shared" si="20"/>
        <v>0</v>
      </c>
      <c r="BP10" s="2">
        <f t="shared" si="14"/>
        <v>0.9779199999999999</v>
      </c>
      <c r="BQ10" s="2">
        <f t="shared" ref="BQ10:BQ66" si="33">AX10</f>
        <v>34.441460869565063</v>
      </c>
      <c r="BR10" s="3">
        <f t="shared" si="15"/>
        <v>2.8393685265080029E-2</v>
      </c>
      <c r="BS10" s="1">
        <f t="shared" si="24"/>
        <v>1.28</v>
      </c>
      <c r="BT10" s="2">
        <f t="shared" si="25"/>
        <v>125.1268291458684</v>
      </c>
      <c r="BU10" s="21">
        <f t="shared" si="21"/>
        <v>1.0229620687565107E-2</v>
      </c>
      <c r="BV10" s="2">
        <f t="shared" si="26"/>
        <v>37.58</v>
      </c>
      <c r="BW10" s="2">
        <f>IF(ISNUMBER(SEARCH("Travée",E10)),BT10+(IF(C9&lt;C10,0,BT9)+IF(C11&gt;C10,0,BT11))/2,"")</f>
        <v>125.1268291458684</v>
      </c>
      <c r="BX10" s="21">
        <f>IF(ISNUMBER(SEARCH("Travée",E10)),BW10/BV10,"")</f>
        <v>3.3296122710449283</v>
      </c>
      <c r="BY10" s="10" t="str">
        <f t="shared" ref="BY10" si="34">IF(C8&lt;C10,"Rive",IF(C12&gt;C10,"Rive","Inter"))</f>
        <v>Inter</v>
      </c>
      <c r="BZ10" t="b">
        <f>SUM(BN7:BN10)&lt;=SUM(BP7:BP10)</f>
        <v>1</v>
      </c>
    </row>
    <row r="11" spans="1:78" x14ac:dyDescent="0.25">
      <c r="A11" t="str">
        <f t="shared" si="16"/>
        <v>Appui</v>
      </c>
      <c r="B11" t="b">
        <f t="shared" si="17"/>
        <v>0</v>
      </c>
      <c r="C11">
        <f t="shared" si="23"/>
        <v>1</v>
      </c>
      <c r="D11" s="5" t="s">
        <v>104</v>
      </c>
      <c r="E11" t="s">
        <v>52</v>
      </c>
      <c r="F11" s="5">
        <v>25</v>
      </c>
      <c r="G11" t="s">
        <v>46</v>
      </c>
      <c r="H11">
        <v>500</v>
      </c>
      <c r="I11">
        <v>170000</v>
      </c>
      <c r="J11">
        <v>1300</v>
      </c>
      <c r="K11" s="10">
        <v>1445</v>
      </c>
      <c r="L11" s="12">
        <v>1</v>
      </c>
      <c r="M11" s="5">
        <v>0.25</v>
      </c>
      <c r="N11" s="10">
        <v>3</v>
      </c>
      <c r="O11" s="5">
        <v>0</v>
      </c>
      <c r="P11">
        <v>6.9999999999999993E-2</v>
      </c>
      <c r="Q11" s="10">
        <v>1</v>
      </c>
      <c r="R11" s="8">
        <v>0</v>
      </c>
      <c r="S11">
        <v>0</v>
      </c>
      <c r="T11">
        <v>1</v>
      </c>
      <c r="U11" s="9">
        <v>0</v>
      </c>
      <c r="V11">
        <v>0</v>
      </c>
      <c r="W11" s="10">
        <v>1</v>
      </c>
      <c r="X11" s="1">
        <v>0.64460000000000006</v>
      </c>
      <c r="Y11" s="2">
        <v>0.1958</v>
      </c>
      <c r="Z11" s="13">
        <v>0.25</v>
      </c>
      <c r="AA11" s="2">
        <v>0.48344999999999999</v>
      </c>
      <c r="AB11" s="2">
        <v>0.35694999999999999</v>
      </c>
      <c r="AC11" s="2">
        <v>1.1000000000000001</v>
      </c>
      <c r="AD11" s="2"/>
      <c r="AE11" s="7">
        <v>0.84040000000000004</v>
      </c>
      <c r="AF11" s="2">
        <v>0.48344999999999999</v>
      </c>
      <c r="AG11" s="2">
        <v>0.35694999999999999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1.1000000000000001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1">
        <v>0.84040000000000004</v>
      </c>
      <c r="AV11" s="2">
        <v>0</v>
      </c>
      <c r="AW11" s="2">
        <v>0</v>
      </c>
      <c r="AX11" s="2">
        <v>0</v>
      </c>
      <c r="AZ11" s="1">
        <f t="shared" si="28"/>
        <v>0.48344999999999999</v>
      </c>
      <c r="BA11" s="2">
        <f t="shared" si="29"/>
        <v>0</v>
      </c>
      <c r="BB11" s="7">
        <f t="shared" si="30"/>
        <v>0</v>
      </c>
      <c r="BC11" s="1">
        <f t="shared" si="31"/>
        <v>0.35694999999999999</v>
      </c>
      <c r="BD11" s="2">
        <f t="shared" si="32"/>
        <v>0</v>
      </c>
      <c r="BE11" s="2">
        <f t="shared" si="11"/>
        <v>0</v>
      </c>
      <c r="BF11" s="2">
        <f t="shared" si="11"/>
        <v>0</v>
      </c>
      <c r="BG11" s="7">
        <f t="shared" si="11"/>
        <v>0</v>
      </c>
      <c r="BH11" s="1">
        <f t="shared" si="12"/>
        <v>0.84040000000000004</v>
      </c>
      <c r="BI11" s="2">
        <f t="shared" si="12"/>
        <v>0</v>
      </c>
      <c r="BJ11" s="2">
        <f t="shared" si="13"/>
        <v>0</v>
      </c>
      <c r="BK11" s="2">
        <f t="shared" si="18"/>
        <v>0</v>
      </c>
      <c r="BL11" s="7">
        <f t="shared" si="19"/>
        <v>0</v>
      </c>
      <c r="BM11" s="2"/>
      <c r="BN11" s="1">
        <f t="shared" ref="BN11:BN66" si="35">AU11</f>
        <v>0.84040000000000004</v>
      </c>
      <c r="BO11" s="4">
        <v>0</v>
      </c>
      <c r="BP11" s="2">
        <f t="shared" si="14"/>
        <v>0.84040000000000004</v>
      </c>
      <c r="BQ11" s="2">
        <f t="shared" si="33"/>
        <v>0</v>
      </c>
      <c r="BR11" s="3" t="e">
        <f t="shared" ref="BR11:BR56" si="36">BP11/BQ11</f>
        <v>#DIV/0!</v>
      </c>
      <c r="BS11" s="1">
        <f t="shared" ref="BS11:BS56" si="37">AN11</f>
        <v>1.1000000000000001</v>
      </c>
      <c r="BT11" s="2">
        <f t="shared" ref="BT11:BT56" si="38">AP11</f>
        <v>0</v>
      </c>
      <c r="BU11" s="21" t="e">
        <f t="shared" ref="BU11:BU56" si="39">BS11/BT11</f>
        <v>#DIV/0!</v>
      </c>
      <c r="BV11" s="2" t="str">
        <f t="shared" ref="BV11:BV56" si="40">IF(ISNUMBER(SEARCH("Travée",E11)),BS11+(IF(C10&lt;C11,0,BS10)+IF(C12&gt;C11,0,BS12))/2,"")</f>
        <v/>
      </c>
      <c r="BW11" s="2" t="str">
        <f t="shared" ref="BW11:BW56" si="41">IF(ISNUMBER(SEARCH("Travée",E11)),BT11+(IF(C10&lt;C11,0,BT10)+IF(C12&gt;C11,0,BT12))/2,"")</f>
        <v/>
      </c>
      <c r="BX11" s="21" t="str">
        <f t="shared" ref="BX11:BX56" si="42">IF(ISNUMBER(SEARCH("Travée",E11)),BW11/BV11,"")</f>
        <v/>
      </c>
      <c r="BY11" s="15"/>
    </row>
    <row r="12" spans="1:78" x14ac:dyDescent="0.25">
      <c r="A12" t="str">
        <f t="shared" si="16"/>
        <v>Travée</v>
      </c>
      <c r="B12" t="b">
        <f t="shared" si="17"/>
        <v>0</v>
      </c>
      <c r="C12">
        <f t="shared" si="23"/>
        <v>1</v>
      </c>
      <c r="D12" s="5" t="s">
        <v>104</v>
      </c>
      <c r="E12" t="s">
        <v>53</v>
      </c>
      <c r="F12" s="5">
        <v>25</v>
      </c>
      <c r="G12" t="s">
        <v>46</v>
      </c>
      <c r="H12">
        <v>500</v>
      </c>
      <c r="I12">
        <v>170000</v>
      </c>
      <c r="J12">
        <v>1300</v>
      </c>
      <c r="K12" s="10">
        <v>1445</v>
      </c>
      <c r="L12" s="12">
        <v>1</v>
      </c>
      <c r="M12" s="5">
        <v>0.23499999999999999</v>
      </c>
      <c r="N12" s="10">
        <v>3</v>
      </c>
      <c r="O12" s="5">
        <v>3.8400000000000001E-4</v>
      </c>
      <c r="P12">
        <v>0.04</v>
      </c>
      <c r="Q12" s="10">
        <v>1</v>
      </c>
      <c r="R12" s="8">
        <v>0</v>
      </c>
      <c r="S12">
        <v>0</v>
      </c>
      <c r="T12">
        <v>1</v>
      </c>
      <c r="U12" s="9">
        <v>2.8800000000000001E-4</v>
      </c>
      <c r="V12">
        <v>0</v>
      </c>
      <c r="W12" s="10">
        <v>1</v>
      </c>
      <c r="X12" s="1">
        <v>0.75007999999999997</v>
      </c>
      <c r="Y12" s="2">
        <v>0.22783999999999999</v>
      </c>
      <c r="Z12" s="13">
        <v>0.5</v>
      </c>
      <c r="AA12" s="2">
        <v>0.37503999999999998</v>
      </c>
      <c r="AB12" s="2">
        <v>0.60287999999999997</v>
      </c>
      <c r="AC12" s="2">
        <v>1.28</v>
      </c>
      <c r="AD12" s="2"/>
      <c r="AE12" s="7">
        <v>0.9779199999999999</v>
      </c>
      <c r="AF12" s="2">
        <v>0.37503999999999998</v>
      </c>
      <c r="AG12" s="2">
        <v>0.60287999999999997</v>
      </c>
      <c r="AH12" s="2">
        <v>7.8302175179609093E-2</v>
      </c>
      <c r="AI12" s="2">
        <v>8.8105698964923707E-2</v>
      </c>
      <c r="AJ12" s="2">
        <v>-5.1612436986087369</v>
      </c>
      <c r="AK12" s="2">
        <v>-4.2878042369848792</v>
      </c>
      <c r="AL12" s="2">
        <v>0</v>
      </c>
      <c r="AM12" s="2">
        <v>-4.4898623522255772</v>
      </c>
      <c r="AN12" s="2">
        <v>1.28</v>
      </c>
      <c r="AO12" s="2">
        <v>34.441460869565063</v>
      </c>
      <c r="AP12" s="2">
        <v>125.1268291458684</v>
      </c>
      <c r="AQ12" s="2">
        <v>0.13968777065913041</v>
      </c>
      <c r="AR12" s="2">
        <v>-9.1852328799650618</v>
      </c>
      <c r="AS12" s="2">
        <v>0</v>
      </c>
      <c r="AT12" s="2">
        <v>-9.7018605068433601</v>
      </c>
      <c r="AU12" s="1">
        <v>0.9779199999999999</v>
      </c>
      <c r="AV12" s="2">
        <v>0.15181599347983871</v>
      </c>
      <c r="AW12" s="2">
        <v>-13.60228827782394</v>
      </c>
      <c r="AX12" s="2">
        <v>34.441460869565063</v>
      </c>
      <c r="AZ12" s="1">
        <f t="shared" si="28"/>
        <v>0.37503999999999998</v>
      </c>
      <c r="BA12" s="2">
        <f t="shared" si="29"/>
        <v>7.8302175179609093E-2</v>
      </c>
      <c r="BB12" s="7">
        <f t="shared" si="30"/>
        <v>-5.1612436986087369</v>
      </c>
      <c r="BC12" s="1">
        <f t="shared" si="31"/>
        <v>0.60287999999999997</v>
      </c>
      <c r="BD12" s="2">
        <f t="shared" si="32"/>
        <v>8.8105698964923707E-2</v>
      </c>
      <c r="BE12" s="2">
        <f t="shared" si="11"/>
        <v>-4.2878042369848792</v>
      </c>
      <c r="BF12" s="2">
        <f t="shared" si="11"/>
        <v>0</v>
      </c>
      <c r="BG12" s="7">
        <f t="shared" si="11"/>
        <v>-4.4898623522255772</v>
      </c>
      <c r="BH12" s="1">
        <f t="shared" si="12"/>
        <v>0.9779199999999999</v>
      </c>
      <c r="BI12" s="2">
        <f t="shared" si="12"/>
        <v>0.16640787414453279</v>
      </c>
      <c r="BJ12" s="2">
        <f t="shared" si="13"/>
        <v>9.4490479355936152</v>
      </c>
      <c r="BK12" s="2">
        <f t="shared" si="18"/>
        <v>0</v>
      </c>
      <c r="BL12" s="7">
        <f t="shared" si="19"/>
        <v>-4.4898623522255772</v>
      </c>
      <c r="BM12" s="2"/>
      <c r="BN12" s="1">
        <f t="shared" si="35"/>
        <v>0.9779199999999999</v>
      </c>
      <c r="BO12" s="4" t="str">
        <f t="shared" ref="BO12" si="43">IF(ISNUMBER(SEARCH("Appui",E12)),0,"0")</f>
        <v>0</v>
      </c>
      <c r="BP12" s="2">
        <f t="shared" si="14"/>
        <v>0.9779199999999999</v>
      </c>
      <c r="BQ12" s="2">
        <f t="shared" ref="BQ12:BQ56" si="44">AX12</f>
        <v>34.441460869565063</v>
      </c>
      <c r="BR12" s="3">
        <f t="shared" si="36"/>
        <v>2.8393685265080029E-2</v>
      </c>
      <c r="BS12" s="1">
        <f t="shared" si="37"/>
        <v>1.28</v>
      </c>
      <c r="BT12" s="2">
        <f t="shared" si="38"/>
        <v>125.1268291458684</v>
      </c>
      <c r="BU12" s="21">
        <f t="shared" si="39"/>
        <v>1.0229620687565107E-2</v>
      </c>
      <c r="BV12" s="2">
        <f t="shared" si="40"/>
        <v>33.33</v>
      </c>
      <c r="BW12" s="2">
        <f t="shared" si="41"/>
        <v>137.86285656399781</v>
      </c>
      <c r="BX12" s="21">
        <f t="shared" si="42"/>
        <v>4.1362993268526198</v>
      </c>
      <c r="BY12" s="10" t="str">
        <f t="shared" ref="BY12" si="45">IF(C10&lt;C12,"Rive",IF(C14&gt;C12,"Rive","Inter"))</f>
        <v>Inter</v>
      </c>
    </row>
    <row r="13" spans="1:78" x14ac:dyDescent="0.25">
      <c r="A13" t="str">
        <f t="shared" si="16"/>
        <v>Appui</v>
      </c>
      <c r="B13" t="b">
        <f t="shared" si="17"/>
        <v>0</v>
      </c>
      <c r="C13">
        <f t="shared" si="23"/>
        <v>1</v>
      </c>
      <c r="D13" s="5" t="s">
        <v>104</v>
      </c>
      <c r="E13" t="s">
        <v>54</v>
      </c>
      <c r="F13" s="5">
        <v>25</v>
      </c>
      <c r="G13" t="s">
        <v>46</v>
      </c>
      <c r="H13">
        <v>500</v>
      </c>
      <c r="I13">
        <v>170000</v>
      </c>
      <c r="J13">
        <v>1300</v>
      </c>
      <c r="K13" s="10">
        <v>1445</v>
      </c>
      <c r="L13" s="12">
        <v>1</v>
      </c>
      <c r="M13" s="5">
        <v>0.22</v>
      </c>
      <c r="N13" s="10">
        <v>3</v>
      </c>
      <c r="O13" s="5">
        <v>0</v>
      </c>
      <c r="P13">
        <v>0.04</v>
      </c>
      <c r="Q13" s="10">
        <v>1</v>
      </c>
      <c r="R13" s="8">
        <v>3.0799666758620691E-4</v>
      </c>
      <c r="S13">
        <v>0.04</v>
      </c>
      <c r="T13">
        <v>1</v>
      </c>
      <c r="U13" s="9">
        <v>0</v>
      </c>
      <c r="V13">
        <v>0</v>
      </c>
      <c r="W13" s="10">
        <v>1</v>
      </c>
      <c r="X13" s="1">
        <v>36.917999999999999</v>
      </c>
      <c r="Y13" s="2">
        <v>11.214</v>
      </c>
      <c r="Z13" s="13">
        <v>0.5</v>
      </c>
      <c r="AA13" s="2">
        <v>18.459</v>
      </c>
      <c r="AB13" s="2">
        <v>29.672999999999998</v>
      </c>
      <c r="AC13" s="2">
        <v>63</v>
      </c>
      <c r="AD13" s="2"/>
      <c r="AE13" s="7">
        <v>48.131999999999998</v>
      </c>
      <c r="AF13" s="2">
        <v>18.459</v>
      </c>
      <c r="AG13" s="2">
        <v>29.672999999999998</v>
      </c>
      <c r="AH13" s="2">
        <v>0</v>
      </c>
      <c r="AI13" s="2">
        <v>7.7068369204015807</v>
      </c>
      <c r="AJ13" s="2">
        <v>0</v>
      </c>
      <c r="AK13" s="2">
        <v>-551.09777586528355</v>
      </c>
      <c r="AL13" s="2">
        <v>-551.09777586528355</v>
      </c>
      <c r="AM13" s="2">
        <v>0</v>
      </c>
      <c r="AN13" s="2">
        <v>63</v>
      </c>
      <c r="AO13" s="2">
        <v>0</v>
      </c>
      <c r="AP13" s="2">
        <v>25.47205483625882</v>
      </c>
      <c r="AQ13" s="2">
        <v>0</v>
      </c>
      <c r="AR13" s="2">
        <v>0</v>
      </c>
      <c r="AS13" s="2">
        <v>0</v>
      </c>
      <c r="AT13" s="2">
        <v>0</v>
      </c>
      <c r="AU13" s="1">
        <v>48.131999999999998</v>
      </c>
      <c r="AV13" s="2">
        <v>0</v>
      </c>
      <c r="AW13" s="2">
        <v>0</v>
      </c>
      <c r="AX13" s="2">
        <v>25.47205483625882</v>
      </c>
      <c r="AZ13" s="1">
        <f t="shared" si="28"/>
        <v>18.459</v>
      </c>
      <c r="BA13" s="2">
        <f t="shared" si="29"/>
        <v>0</v>
      </c>
      <c r="BB13" s="7">
        <f t="shared" si="30"/>
        <v>0</v>
      </c>
      <c r="BC13" s="1">
        <f t="shared" si="31"/>
        <v>29.672999999999998</v>
      </c>
      <c r="BD13" s="2">
        <f t="shared" si="32"/>
        <v>7.7068369204015807</v>
      </c>
      <c r="BE13" s="2">
        <f t="shared" si="11"/>
        <v>-551.09777586528355</v>
      </c>
      <c r="BF13" s="2">
        <f t="shared" si="11"/>
        <v>-551.09777586528355</v>
      </c>
      <c r="BG13" s="7">
        <f t="shared" si="11"/>
        <v>0</v>
      </c>
      <c r="BH13" s="1">
        <f t="shared" si="12"/>
        <v>48.131999999999998</v>
      </c>
      <c r="BI13" s="2">
        <f t="shared" si="12"/>
        <v>7.7068369204015807</v>
      </c>
      <c r="BJ13" s="2">
        <f t="shared" si="13"/>
        <v>551.09777586528355</v>
      </c>
      <c r="BK13" s="2">
        <f t="shared" si="18"/>
        <v>551.09777586528355</v>
      </c>
      <c r="BL13" s="7">
        <f t="shared" si="19"/>
        <v>0</v>
      </c>
      <c r="BM13" s="2"/>
      <c r="BN13" s="1">
        <f t="shared" si="35"/>
        <v>48.131999999999998</v>
      </c>
      <c r="BO13" s="4">
        <v>0</v>
      </c>
      <c r="BP13" s="2">
        <f t="shared" si="14"/>
        <v>48.131999999999998</v>
      </c>
      <c r="BQ13" s="2">
        <f t="shared" si="44"/>
        <v>25.47205483625882</v>
      </c>
      <c r="BR13" s="3">
        <f t="shared" si="36"/>
        <v>1.8896002034152863</v>
      </c>
      <c r="BS13" s="1">
        <f t="shared" si="37"/>
        <v>63</v>
      </c>
      <c r="BT13" s="2">
        <f t="shared" si="38"/>
        <v>25.47205483625882</v>
      </c>
      <c r="BU13" s="21">
        <f t="shared" si="39"/>
        <v>2.4732986955697469</v>
      </c>
      <c r="BV13" s="2" t="str">
        <f t="shared" si="40"/>
        <v/>
      </c>
      <c r="BW13" s="2" t="str">
        <f t="shared" si="41"/>
        <v/>
      </c>
      <c r="BX13" s="21" t="str">
        <f t="shared" si="42"/>
        <v/>
      </c>
      <c r="BY13" s="15"/>
    </row>
    <row r="14" spans="1:78" x14ac:dyDescent="0.25">
      <c r="A14" t="str">
        <f t="shared" si="16"/>
        <v>Travée</v>
      </c>
      <c r="B14" t="b">
        <f t="shared" si="17"/>
        <v>0</v>
      </c>
      <c r="C14">
        <f t="shared" si="23"/>
        <v>1</v>
      </c>
      <c r="D14" s="5" t="s">
        <v>104</v>
      </c>
      <c r="E14" t="s">
        <v>55</v>
      </c>
      <c r="F14" s="5">
        <v>25</v>
      </c>
      <c r="G14" t="s">
        <v>46</v>
      </c>
      <c r="H14">
        <v>500</v>
      </c>
      <c r="I14">
        <v>170000</v>
      </c>
      <c r="J14">
        <v>1300</v>
      </c>
      <c r="K14" s="10">
        <v>1445</v>
      </c>
      <c r="L14" s="12">
        <v>1</v>
      </c>
      <c r="M14" s="5">
        <v>0.23499999999999999</v>
      </c>
      <c r="N14" s="10">
        <v>4.1749999999999998</v>
      </c>
      <c r="O14" s="5">
        <v>1.6169999999999999E-3</v>
      </c>
      <c r="P14">
        <v>0.04</v>
      </c>
      <c r="Q14" s="10">
        <v>1</v>
      </c>
      <c r="R14" s="8">
        <v>0</v>
      </c>
      <c r="S14">
        <v>0</v>
      </c>
      <c r="T14">
        <v>1</v>
      </c>
      <c r="U14" s="9">
        <v>2.8800000000000001E-4</v>
      </c>
      <c r="V14">
        <v>0</v>
      </c>
      <c r="W14" s="10">
        <v>1</v>
      </c>
      <c r="X14" s="1">
        <v>58.599999999999987</v>
      </c>
      <c r="Y14" s="2">
        <v>17.8</v>
      </c>
      <c r="Z14" s="13">
        <v>0.5</v>
      </c>
      <c r="AA14" s="2">
        <v>29.3</v>
      </c>
      <c r="AB14" s="2">
        <v>47.099999999999987</v>
      </c>
      <c r="AC14" s="2">
        <v>100</v>
      </c>
      <c r="AD14" s="2"/>
      <c r="AE14" s="7">
        <v>76.399999999999991</v>
      </c>
      <c r="AF14" s="2">
        <v>29.3</v>
      </c>
      <c r="AG14" s="2">
        <v>47.099999999999987</v>
      </c>
      <c r="AH14" s="2">
        <v>2.6495077306657828</v>
      </c>
      <c r="AI14" s="2">
        <v>3.81802279419251</v>
      </c>
      <c r="AJ14" s="2">
        <v>-97.764395881827454</v>
      </c>
      <c r="AK14" s="2">
        <v>-128.40291477135489</v>
      </c>
      <c r="AL14" s="2">
        <v>0</v>
      </c>
      <c r="AM14" s="2">
        <v>-135.760635108043</v>
      </c>
      <c r="AN14" s="2">
        <v>100</v>
      </c>
      <c r="AO14" s="2">
        <v>142.6007553479555</v>
      </c>
      <c r="AP14" s="2">
        <v>223.2548662552509</v>
      </c>
      <c r="AQ14" s="2">
        <v>5.8323052687657917</v>
      </c>
      <c r="AR14" s="2">
        <v>-277.65811666077161</v>
      </c>
      <c r="AS14" s="2">
        <v>0</v>
      </c>
      <c r="AT14" s="2">
        <v>-297.93342571038562</v>
      </c>
      <c r="AU14" s="1">
        <v>76.399999999999991</v>
      </c>
      <c r="AV14" s="2">
        <v>4.9993461638780401</v>
      </c>
      <c r="AW14" s="2">
        <v>-260.0774683009389</v>
      </c>
      <c r="AX14" s="2">
        <v>142.6007553479555</v>
      </c>
      <c r="AZ14" s="1">
        <f t="shared" si="28"/>
        <v>29.3</v>
      </c>
      <c r="BA14" s="2">
        <f t="shared" si="29"/>
        <v>2.6495077306657828</v>
      </c>
      <c r="BB14" s="7">
        <f t="shared" si="30"/>
        <v>-97.764395881827454</v>
      </c>
      <c r="BC14" s="1">
        <f t="shared" si="31"/>
        <v>47.099999999999987</v>
      </c>
      <c r="BD14" s="2">
        <f t="shared" si="32"/>
        <v>3.81802279419251</v>
      </c>
      <c r="BE14" s="2">
        <f t="shared" si="11"/>
        <v>-128.40291477135489</v>
      </c>
      <c r="BF14" s="2">
        <f t="shared" si="11"/>
        <v>0</v>
      </c>
      <c r="BG14" s="7">
        <f t="shared" si="11"/>
        <v>-135.760635108043</v>
      </c>
      <c r="BH14" s="1">
        <f t="shared" si="12"/>
        <v>76.399999999999991</v>
      </c>
      <c r="BI14" s="2">
        <f t="shared" si="12"/>
        <v>6.4675305248582928</v>
      </c>
      <c r="BJ14" s="2">
        <f t="shared" si="13"/>
        <v>226.16731065318234</v>
      </c>
      <c r="BK14" s="2">
        <f t="shared" si="18"/>
        <v>0</v>
      </c>
      <c r="BL14" s="7">
        <f t="shared" si="19"/>
        <v>-135.760635108043</v>
      </c>
      <c r="BM14" s="2"/>
      <c r="BN14" s="1">
        <f t="shared" si="35"/>
        <v>76.399999999999991</v>
      </c>
      <c r="BO14" s="4" t="str">
        <f t="shared" ref="BO14" si="46">IF(ISNUMBER(SEARCH("Appui",E14)),0,"0")</f>
        <v>0</v>
      </c>
      <c r="BP14" s="2">
        <f t="shared" si="14"/>
        <v>76.399999999999991</v>
      </c>
      <c r="BQ14" s="2">
        <f t="shared" si="44"/>
        <v>142.6007553479555</v>
      </c>
      <c r="BR14" s="3">
        <f t="shared" si="36"/>
        <v>0.53576153796365822</v>
      </c>
      <c r="BS14" s="1">
        <f t="shared" si="37"/>
        <v>100</v>
      </c>
      <c r="BT14" s="2">
        <f t="shared" si="38"/>
        <v>223.2548662552509</v>
      </c>
      <c r="BU14" s="21">
        <f t="shared" si="39"/>
        <v>0.44791856803545943</v>
      </c>
      <c r="BV14" s="2">
        <f t="shared" si="40"/>
        <v>156.5</v>
      </c>
      <c r="BW14" s="2">
        <f t="shared" si="41"/>
        <v>265.76808453819797</v>
      </c>
      <c r="BX14" s="21">
        <f t="shared" si="42"/>
        <v>1.6981986232472714</v>
      </c>
      <c r="BY14" s="10" t="str">
        <f t="shared" ref="BY14" si="47">IF(C12&lt;C14,"Rive",IF(C16&gt;C14,"Rive","Inter"))</f>
        <v>Inter</v>
      </c>
    </row>
    <row r="15" spans="1:78" x14ac:dyDescent="0.25">
      <c r="A15" t="str">
        <f t="shared" si="16"/>
        <v>Appui</v>
      </c>
      <c r="B15" t="b">
        <f t="shared" si="17"/>
        <v>0</v>
      </c>
      <c r="C15">
        <f t="shared" si="23"/>
        <v>1</v>
      </c>
      <c r="D15" s="5" t="s">
        <v>104</v>
      </c>
      <c r="E15" t="s">
        <v>56</v>
      </c>
      <c r="F15" s="5">
        <v>25</v>
      </c>
      <c r="G15" t="s">
        <v>46</v>
      </c>
      <c r="H15">
        <v>500</v>
      </c>
      <c r="I15">
        <v>170000</v>
      </c>
      <c r="J15">
        <v>1300</v>
      </c>
      <c r="K15" s="10">
        <v>1445</v>
      </c>
      <c r="L15" s="12">
        <v>1</v>
      </c>
      <c r="M15" s="5">
        <v>0.25</v>
      </c>
      <c r="N15" s="10">
        <v>5.35</v>
      </c>
      <c r="O15" s="5">
        <v>0</v>
      </c>
      <c r="P15">
        <v>6.9999999999999993E-2</v>
      </c>
      <c r="Q15" s="10">
        <v>1</v>
      </c>
      <c r="R15" s="8">
        <v>6.1599333517241381E-4</v>
      </c>
      <c r="S15">
        <v>0.04</v>
      </c>
      <c r="T15">
        <v>1</v>
      </c>
      <c r="U15" s="9">
        <v>0</v>
      </c>
      <c r="V15">
        <v>0</v>
      </c>
      <c r="W15" s="10">
        <v>1</v>
      </c>
      <c r="X15" s="1">
        <v>29.3</v>
      </c>
      <c r="Y15" s="2">
        <v>8.9</v>
      </c>
      <c r="Z15" s="13">
        <v>0.5</v>
      </c>
      <c r="AA15" s="2">
        <v>14.65</v>
      </c>
      <c r="AB15" s="2">
        <v>23.55</v>
      </c>
      <c r="AC15" s="2">
        <v>50</v>
      </c>
      <c r="AD15" s="2"/>
      <c r="AE15" s="7">
        <v>38.200000000000003</v>
      </c>
      <c r="AF15" s="2">
        <v>14.65</v>
      </c>
      <c r="AG15" s="2">
        <v>23.55</v>
      </c>
      <c r="AH15" s="2">
        <v>0</v>
      </c>
      <c r="AI15" s="2">
        <v>2.58074994946876</v>
      </c>
      <c r="AJ15" s="2">
        <v>0</v>
      </c>
      <c r="AK15" s="2">
        <v>-158.07940042029671</v>
      </c>
      <c r="AL15" s="2">
        <v>-187.1590186233241</v>
      </c>
      <c r="AM15" s="2">
        <v>0</v>
      </c>
      <c r="AN15" s="2">
        <v>50</v>
      </c>
      <c r="AO15" s="2">
        <v>0</v>
      </c>
      <c r="AP15" s="2">
        <v>59.554381729635352</v>
      </c>
      <c r="AQ15" s="2">
        <v>3.9099350847603609</v>
      </c>
      <c r="AR15" s="2">
        <v>-337.16613597099018</v>
      </c>
      <c r="AS15" s="2">
        <v>-401.70224895858121</v>
      </c>
      <c r="AT15" s="2">
        <v>0</v>
      </c>
      <c r="AU15" s="1">
        <v>38.200000000000003</v>
      </c>
      <c r="AV15" s="2">
        <v>3.0187639728769811</v>
      </c>
      <c r="AW15" s="2">
        <v>-257.53851385940249</v>
      </c>
      <c r="AX15" s="2">
        <v>59.554381729635352</v>
      </c>
      <c r="AZ15" s="1">
        <f t="shared" si="28"/>
        <v>14.65</v>
      </c>
      <c r="BA15" s="2">
        <f t="shared" si="29"/>
        <v>0</v>
      </c>
      <c r="BB15" s="7">
        <f t="shared" si="30"/>
        <v>0</v>
      </c>
      <c r="BC15" s="1">
        <f t="shared" si="31"/>
        <v>23.55</v>
      </c>
      <c r="BD15" s="2">
        <f t="shared" si="32"/>
        <v>2.58074994946876</v>
      </c>
      <c r="BE15" s="2">
        <f t="shared" si="11"/>
        <v>-158.07940042029671</v>
      </c>
      <c r="BF15" s="2">
        <f t="shared" si="11"/>
        <v>-187.1590186233241</v>
      </c>
      <c r="BG15" s="7">
        <f t="shared" si="11"/>
        <v>0</v>
      </c>
      <c r="BH15" s="1">
        <f t="shared" si="12"/>
        <v>38.200000000000003</v>
      </c>
      <c r="BI15" s="2">
        <f t="shared" si="12"/>
        <v>2.58074994946876</v>
      </c>
      <c r="BJ15" s="2">
        <f t="shared" si="13"/>
        <v>158.07940042029671</v>
      </c>
      <c r="BK15" s="2">
        <f t="shared" si="18"/>
        <v>187.1590186233241</v>
      </c>
      <c r="BL15" s="7">
        <f t="shared" si="19"/>
        <v>0</v>
      </c>
      <c r="BM15" s="2"/>
      <c r="BN15" s="1">
        <f t="shared" si="35"/>
        <v>38.200000000000003</v>
      </c>
      <c r="BO15" s="4">
        <v>0</v>
      </c>
      <c r="BP15" s="2">
        <f t="shared" si="14"/>
        <v>38.200000000000003</v>
      </c>
      <c r="BQ15" s="2">
        <f t="shared" si="44"/>
        <v>59.554381729635352</v>
      </c>
      <c r="BR15" s="3">
        <f t="shared" si="36"/>
        <v>0.64143055289231532</v>
      </c>
      <c r="BS15" s="1">
        <f t="shared" si="37"/>
        <v>50</v>
      </c>
      <c r="BT15" s="2">
        <f t="shared" si="38"/>
        <v>59.554381729635352</v>
      </c>
      <c r="BU15" s="21">
        <f t="shared" si="39"/>
        <v>0.83956878650826594</v>
      </c>
      <c r="BV15" s="2" t="str">
        <f t="shared" si="40"/>
        <v/>
      </c>
      <c r="BW15" s="2" t="str">
        <f t="shared" si="41"/>
        <v/>
      </c>
      <c r="BX15" s="21" t="str">
        <f t="shared" si="42"/>
        <v/>
      </c>
      <c r="BY15" s="15"/>
    </row>
    <row r="16" spans="1:78" x14ac:dyDescent="0.25">
      <c r="A16" t="str">
        <f t="shared" si="16"/>
        <v>Travée</v>
      </c>
      <c r="B16" t="b">
        <f t="shared" si="17"/>
        <v>0</v>
      </c>
      <c r="C16">
        <f t="shared" si="23"/>
        <v>1</v>
      </c>
      <c r="D16" s="5" t="s">
        <v>104</v>
      </c>
      <c r="E16" t="s">
        <v>57</v>
      </c>
      <c r="F16" s="5">
        <v>25</v>
      </c>
      <c r="G16" t="s">
        <v>46</v>
      </c>
      <c r="H16">
        <v>500</v>
      </c>
      <c r="I16">
        <v>170000</v>
      </c>
      <c r="J16">
        <v>1300</v>
      </c>
      <c r="K16" s="10">
        <v>1445</v>
      </c>
      <c r="L16" s="12">
        <v>1</v>
      </c>
      <c r="M16" s="5">
        <v>0.26</v>
      </c>
      <c r="N16" s="10">
        <v>5.35</v>
      </c>
      <c r="O16" s="5">
        <v>1.3878E-3</v>
      </c>
      <c r="P16">
        <v>0.04</v>
      </c>
      <c r="Q16" s="10">
        <v>1</v>
      </c>
      <c r="R16" s="8">
        <v>0</v>
      </c>
      <c r="S16">
        <v>0</v>
      </c>
      <c r="T16">
        <v>1</v>
      </c>
      <c r="U16" s="9">
        <v>0</v>
      </c>
      <c r="V16">
        <v>0</v>
      </c>
      <c r="W16" s="10">
        <v>1</v>
      </c>
      <c r="X16" s="1">
        <v>49.81</v>
      </c>
      <c r="Y16" s="2">
        <v>15.13</v>
      </c>
      <c r="Z16" s="13">
        <v>0.5</v>
      </c>
      <c r="AA16" s="2">
        <v>24.905000000000001</v>
      </c>
      <c r="AB16" s="2">
        <v>40.034999999999997</v>
      </c>
      <c r="AC16" s="2">
        <v>85</v>
      </c>
      <c r="AD16" s="2"/>
      <c r="AE16" s="7">
        <v>64.94</v>
      </c>
      <c r="AF16" s="2">
        <v>24.905000000000001</v>
      </c>
      <c r="AG16" s="2">
        <v>40.034999999999997</v>
      </c>
      <c r="AH16" s="2">
        <v>1.7387276221089769</v>
      </c>
      <c r="AI16" s="2">
        <v>2.7950194881000909</v>
      </c>
      <c r="AJ16" s="2">
        <v>-84.89133180641447</v>
      </c>
      <c r="AK16" s="2">
        <v>-136.46354020758091</v>
      </c>
      <c r="AL16" s="2">
        <v>0</v>
      </c>
      <c r="AM16" s="2">
        <v>0</v>
      </c>
      <c r="AN16" s="2">
        <v>85</v>
      </c>
      <c r="AO16" s="2">
        <v>139.5608127713233</v>
      </c>
      <c r="AP16" s="2">
        <v>139.5608127713233</v>
      </c>
      <c r="AQ16" s="2">
        <v>4.284290604022873</v>
      </c>
      <c r="AR16" s="2">
        <v>-294.24399119328729</v>
      </c>
      <c r="AS16" s="2">
        <v>0</v>
      </c>
      <c r="AT16" s="2">
        <v>0</v>
      </c>
      <c r="AU16" s="1">
        <v>64.94</v>
      </c>
      <c r="AV16" s="2">
        <v>3.3096200902342199</v>
      </c>
      <c r="AW16" s="2">
        <v>-224.69836061713801</v>
      </c>
      <c r="AX16" s="2">
        <v>139.5608127713233</v>
      </c>
      <c r="AZ16" s="1">
        <f t="shared" ref="AZ16" si="48">AF16</f>
        <v>24.905000000000001</v>
      </c>
      <c r="BA16" s="2">
        <f t="shared" ref="BA16" si="49">AH16</f>
        <v>1.7387276221089769</v>
      </c>
      <c r="BB16" s="7">
        <f t="shared" ref="BB16" si="50">AJ16</f>
        <v>-84.89133180641447</v>
      </c>
      <c r="BC16" s="1">
        <f t="shared" ref="BC16" si="51">AG16</f>
        <v>40.034999999999997</v>
      </c>
      <c r="BD16" s="2">
        <f t="shared" ref="BD16" si="52">AI16</f>
        <v>2.7950194881000909</v>
      </c>
      <c r="BE16" s="2">
        <f t="shared" ref="BE16" si="53">AK16</f>
        <v>-136.46354020758091</v>
      </c>
      <c r="BF16" s="2">
        <f t="shared" ref="BF16" si="54">AL16</f>
        <v>0</v>
      </c>
      <c r="BG16" s="7">
        <f t="shared" ref="BG16" si="55">AM16</f>
        <v>0</v>
      </c>
      <c r="BH16" s="1">
        <f t="shared" ref="BH16" si="56">AZ16+BC16</f>
        <v>64.94</v>
      </c>
      <c r="BI16" s="2">
        <f t="shared" ref="BI16" si="57">BA16+BD16</f>
        <v>4.5337471102090676</v>
      </c>
      <c r="BJ16" s="2">
        <f t="shared" ref="BJ16" si="58">ABS(BB16+BE16)</f>
        <v>221.35487201399536</v>
      </c>
      <c r="BK16" s="2">
        <f t="shared" ref="BK16" si="59">ABS(BF16)</f>
        <v>0</v>
      </c>
      <c r="BL16" s="7">
        <f t="shared" ref="BL16" si="60">BG16</f>
        <v>0</v>
      </c>
      <c r="BM16" s="2"/>
      <c r="BN16" s="1"/>
      <c r="BO16" s="4" t="str">
        <f t="shared" ref="BO16" si="61">IF(ISNUMBER(SEARCH("Appui",E16)),0,"0")</f>
        <v>0</v>
      </c>
      <c r="BP16" s="2">
        <f t="shared" si="14"/>
        <v>0</v>
      </c>
      <c r="BQ16" s="2">
        <f t="shared" si="44"/>
        <v>139.5608127713233</v>
      </c>
      <c r="BR16" s="3">
        <f t="shared" si="36"/>
        <v>0</v>
      </c>
      <c r="BS16" s="1">
        <f t="shared" si="37"/>
        <v>85</v>
      </c>
      <c r="BT16" s="2">
        <f t="shared" si="38"/>
        <v>139.5608127713233</v>
      </c>
      <c r="BU16" s="21">
        <f t="shared" si="39"/>
        <v>0.60905348938656834</v>
      </c>
      <c r="BV16" s="2">
        <f t="shared" si="40"/>
        <v>110</v>
      </c>
      <c r="BW16" s="2">
        <f t="shared" si="41"/>
        <v>169.33800363614097</v>
      </c>
      <c r="BX16" s="21">
        <f t="shared" si="42"/>
        <v>1.5394363966921907</v>
      </c>
      <c r="BY16" s="10" t="str">
        <f t="shared" ref="BY16" si="62">IF(C14&lt;C16,"Rive",IF(C18&gt;C16,"Rive","Inter"))</f>
        <v>Rive</v>
      </c>
    </row>
    <row r="17" spans="1:77" x14ac:dyDescent="0.25">
      <c r="A17" t="str">
        <f t="shared" si="16"/>
        <v/>
      </c>
      <c r="B17" t="b">
        <f t="shared" si="17"/>
        <v>0</v>
      </c>
      <c r="C17">
        <f>IF(D17=D15,C15,C15+1)</f>
        <v>1</v>
      </c>
      <c r="D17" s="5" t="s">
        <v>104</v>
      </c>
      <c r="F17" s="5"/>
      <c r="K17" s="10"/>
      <c r="L17" s="12"/>
      <c r="M17" s="5"/>
      <c r="N17" s="10"/>
      <c r="O17" s="5"/>
      <c r="Q17" s="10"/>
      <c r="R17" s="8"/>
      <c r="U17" s="9"/>
      <c r="W17" s="10"/>
      <c r="X17" s="1"/>
      <c r="Y17" s="2"/>
      <c r="Z17" s="13"/>
      <c r="AA17" s="2"/>
      <c r="AB17" s="2"/>
      <c r="AC17" s="2"/>
      <c r="AD17" s="2"/>
      <c r="AE17" s="7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"/>
      <c r="AV17" s="2"/>
      <c r="AW17" s="2"/>
      <c r="AX17" s="2"/>
      <c r="AZ17" s="1">
        <f t="shared" ref="AZ17:AZ56" si="63">AF17</f>
        <v>0</v>
      </c>
      <c r="BA17" s="2">
        <f t="shared" ref="BA17:BA56" si="64">AH17</f>
        <v>0</v>
      </c>
      <c r="BB17" s="7">
        <f t="shared" ref="BB17:BB56" si="65">AJ17</f>
        <v>0</v>
      </c>
      <c r="BC17" s="1">
        <f t="shared" ref="BC17:BC56" si="66">AG17</f>
        <v>0</v>
      </c>
      <c r="BD17" s="2">
        <f t="shared" ref="BD17:BD56" si="67">AI17</f>
        <v>0</v>
      </c>
      <c r="BE17" s="2">
        <f t="shared" ref="BE17:BE56" si="68">AK17</f>
        <v>0</v>
      </c>
      <c r="BF17" s="2">
        <f t="shared" ref="BF17:BF56" si="69">AL17</f>
        <v>0</v>
      </c>
      <c r="BG17" s="7">
        <f t="shared" ref="BG17:BG56" si="70">AM17</f>
        <v>0</v>
      </c>
      <c r="BH17" s="1">
        <f t="shared" ref="BH17:BH56" si="71">AZ17+BC17</f>
        <v>0</v>
      </c>
      <c r="BI17" s="2">
        <f t="shared" ref="BI17:BI56" si="72">BA17+BD17</f>
        <v>0</v>
      </c>
      <c r="BJ17" s="2">
        <f t="shared" ref="BJ17:BJ56" si="73">ABS(BB17+BE17)</f>
        <v>0</v>
      </c>
      <c r="BK17" s="2">
        <f t="shared" ref="BK17:BK56" si="74">ABS(BF17)</f>
        <v>0</v>
      </c>
      <c r="BL17" s="7">
        <f t="shared" ref="BL17:BL56" si="75">BG17</f>
        <v>0</v>
      </c>
      <c r="BM17" s="2"/>
      <c r="BN17" s="1"/>
      <c r="BO17" s="4">
        <v>0</v>
      </c>
      <c r="BP17" s="2">
        <f t="shared" si="14"/>
        <v>0</v>
      </c>
      <c r="BQ17" s="2">
        <f t="shared" si="44"/>
        <v>0</v>
      </c>
      <c r="BR17" s="3" t="e">
        <f t="shared" si="36"/>
        <v>#DIV/0!</v>
      </c>
      <c r="BS17" s="1">
        <f t="shared" si="37"/>
        <v>0</v>
      </c>
      <c r="BT17" s="2">
        <f t="shared" si="38"/>
        <v>0</v>
      </c>
      <c r="BU17" s="21" t="e">
        <f t="shared" si="39"/>
        <v>#DIV/0!</v>
      </c>
      <c r="BV17" s="2" t="str">
        <f t="shared" si="40"/>
        <v/>
      </c>
      <c r="BW17" s="2" t="str">
        <f t="shared" si="41"/>
        <v/>
      </c>
      <c r="BX17" s="21" t="str">
        <f t="shared" si="42"/>
        <v/>
      </c>
      <c r="BY17" s="15"/>
    </row>
    <row r="18" spans="1:77" x14ac:dyDescent="0.25">
      <c r="A18" t="str">
        <f t="shared" si="16"/>
        <v>Travée</v>
      </c>
      <c r="B18" t="b">
        <f t="shared" si="17"/>
        <v>1</v>
      </c>
      <c r="C18">
        <f t="shared" si="23"/>
        <v>2</v>
      </c>
      <c r="D18" s="5" t="s">
        <v>105</v>
      </c>
      <c r="E18" t="s">
        <v>45</v>
      </c>
      <c r="F18" s="5">
        <v>25</v>
      </c>
      <c r="G18" t="s">
        <v>46</v>
      </c>
      <c r="H18">
        <v>500</v>
      </c>
      <c r="I18">
        <v>170000</v>
      </c>
      <c r="J18">
        <v>1300</v>
      </c>
      <c r="K18" s="10">
        <v>1445</v>
      </c>
      <c r="L18" s="12">
        <v>1</v>
      </c>
      <c r="M18" s="5">
        <v>0.26</v>
      </c>
      <c r="N18" s="10">
        <v>5.3</v>
      </c>
      <c r="O18" s="5">
        <v>1.3621E-3</v>
      </c>
      <c r="P18">
        <v>0.04</v>
      </c>
      <c r="Q18" s="10">
        <v>1</v>
      </c>
      <c r="R18" s="8">
        <v>0</v>
      </c>
      <c r="S18">
        <v>0</v>
      </c>
      <c r="T18">
        <v>1</v>
      </c>
      <c r="U18" s="9">
        <v>2.8800000000000001E-4</v>
      </c>
      <c r="V18">
        <v>0</v>
      </c>
      <c r="W18" s="10">
        <v>1</v>
      </c>
      <c r="X18" s="1">
        <v>41.02</v>
      </c>
      <c r="Y18" s="2">
        <v>12.46</v>
      </c>
      <c r="Z18" s="13">
        <v>0</v>
      </c>
      <c r="AA18" s="2">
        <v>41.02</v>
      </c>
      <c r="AB18" s="2">
        <v>12.46</v>
      </c>
      <c r="AC18" s="2">
        <v>70</v>
      </c>
      <c r="AD18" s="2"/>
      <c r="AE18" s="7">
        <v>53.48</v>
      </c>
      <c r="AF18" s="2">
        <v>41.02</v>
      </c>
      <c r="AG18" s="2">
        <v>12.46</v>
      </c>
      <c r="AH18" s="2">
        <v>2.9028401124917371</v>
      </c>
      <c r="AI18" s="2">
        <v>0.78329174038936922</v>
      </c>
      <c r="AJ18" s="2">
        <v>-142.43613476725889</v>
      </c>
      <c r="AK18" s="2">
        <v>-34.498542436016109</v>
      </c>
      <c r="AL18" s="2">
        <v>0</v>
      </c>
      <c r="AM18" s="2">
        <v>-35.424542729139773</v>
      </c>
      <c r="AN18" s="2">
        <v>70</v>
      </c>
      <c r="AO18" s="2">
        <v>136.9899254721916</v>
      </c>
      <c r="AP18" s="2">
        <v>229.79418275084899</v>
      </c>
      <c r="AQ18" s="2">
        <v>3.2180878819737879</v>
      </c>
      <c r="AR18" s="2">
        <v>-196.53025812588101</v>
      </c>
      <c r="AS18" s="2">
        <v>0</v>
      </c>
      <c r="AT18" s="2">
        <v>-203.7114556221151</v>
      </c>
      <c r="AU18" s="1">
        <v>53.48</v>
      </c>
      <c r="AV18" s="2">
        <v>2.77857313089295</v>
      </c>
      <c r="AW18" s="2">
        <v>-188.44540331087819</v>
      </c>
      <c r="AX18" s="2">
        <v>136.9899254721916</v>
      </c>
      <c r="AZ18" s="1">
        <f t="shared" si="63"/>
        <v>41.02</v>
      </c>
      <c r="BA18" s="2">
        <f t="shared" si="64"/>
        <v>2.9028401124917371</v>
      </c>
      <c r="BB18" s="7">
        <f t="shared" si="65"/>
        <v>-142.43613476725889</v>
      </c>
      <c r="BC18" s="1">
        <f t="shared" si="66"/>
        <v>12.46</v>
      </c>
      <c r="BD18" s="2">
        <f t="shared" si="67"/>
        <v>0.78329174038936922</v>
      </c>
      <c r="BE18" s="2">
        <f t="shared" si="68"/>
        <v>-34.498542436016109</v>
      </c>
      <c r="BF18" s="2">
        <f t="shared" si="69"/>
        <v>0</v>
      </c>
      <c r="BG18" s="7">
        <f t="shared" si="70"/>
        <v>-35.424542729139773</v>
      </c>
      <c r="BH18" s="1">
        <f t="shared" si="71"/>
        <v>53.480000000000004</v>
      </c>
      <c r="BI18" s="2">
        <f t="shared" si="72"/>
        <v>3.6861318528811062</v>
      </c>
      <c r="BJ18" s="2">
        <f t="shared" si="73"/>
        <v>176.93467720327499</v>
      </c>
      <c r="BK18" s="2">
        <f t="shared" si="74"/>
        <v>0</v>
      </c>
      <c r="BL18" s="7">
        <f t="shared" si="75"/>
        <v>-35.424542729139773</v>
      </c>
      <c r="BM18" s="2"/>
      <c r="BN18" s="1">
        <f t="shared" si="35"/>
        <v>53.48</v>
      </c>
      <c r="BO18" s="4" t="str">
        <f t="shared" ref="BO18" si="76">IF(ISNUMBER(SEARCH("Appui",E18)),0,"0")</f>
        <v>0</v>
      </c>
      <c r="BP18" s="2">
        <f t="shared" si="14"/>
        <v>53.48</v>
      </c>
      <c r="BQ18" s="2">
        <f t="shared" si="44"/>
        <v>136.9899254721916</v>
      </c>
      <c r="BR18" s="3">
        <f t="shared" si="36"/>
        <v>0.3903936717657111</v>
      </c>
      <c r="BS18" s="1">
        <f t="shared" si="37"/>
        <v>70</v>
      </c>
      <c r="BT18" s="2">
        <f t="shared" si="38"/>
        <v>229.79418275084899</v>
      </c>
      <c r="BU18" s="21">
        <f t="shared" si="39"/>
        <v>0.30462041798462969</v>
      </c>
      <c r="BV18" s="2">
        <f t="shared" si="40"/>
        <v>109.5</v>
      </c>
      <c r="BW18" s="2">
        <f t="shared" si="41"/>
        <v>229.79418275084899</v>
      </c>
      <c r="BX18" s="21">
        <f t="shared" si="42"/>
        <v>2.0985770114232785</v>
      </c>
      <c r="BY18" s="10" t="str">
        <f t="shared" ref="BY18" si="77">IF(C16&lt;C18,"Rive",IF(C20&gt;C18,"Rive","Inter"))</f>
        <v>Rive</v>
      </c>
    </row>
    <row r="19" spans="1:77" x14ac:dyDescent="0.25">
      <c r="A19" t="str">
        <f t="shared" si="16"/>
        <v>Appui</v>
      </c>
      <c r="B19" t="b">
        <f t="shared" si="17"/>
        <v>1</v>
      </c>
      <c r="C19">
        <f t="shared" si="23"/>
        <v>2</v>
      </c>
      <c r="D19" s="5" t="s">
        <v>105</v>
      </c>
      <c r="E19" t="s">
        <v>47</v>
      </c>
      <c r="F19" s="5">
        <v>25</v>
      </c>
      <c r="G19" t="s">
        <v>46</v>
      </c>
      <c r="H19">
        <v>500</v>
      </c>
      <c r="I19">
        <v>170000</v>
      </c>
      <c r="J19">
        <v>1300</v>
      </c>
      <c r="K19" s="10">
        <v>1445</v>
      </c>
      <c r="L19" s="12">
        <v>1</v>
      </c>
      <c r="M19" s="5">
        <v>0.25</v>
      </c>
      <c r="N19" s="10">
        <v>5.3</v>
      </c>
      <c r="O19" s="5">
        <v>0</v>
      </c>
      <c r="P19">
        <v>6.9999999999999993E-2</v>
      </c>
      <c r="Q19" s="10">
        <v>1</v>
      </c>
      <c r="R19" s="8">
        <v>0</v>
      </c>
      <c r="S19">
        <v>0</v>
      </c>
      <c r="T19">
        <v>1</v>
      </c>
      <c r="U19" s="9">
        <v>0</v>
      </c>
      <c r="V19">
        <v>0</v>
      </c>
      <c r="W19" s="10">
        <v>1</v>
      </c>
      <c r="X19" s="1">
        <v>46.293999999999997</v>
      </c>
      <c r="Y19" s="2">
        <v>14.061999999999999</v>
      </c>
      <c r="Z19" s="13">
        <v>0</v>
      </c>
      <c r="AA19" s="2">
        <v>46.293999999999997</v>
      </c>
      <c r="AB19" s="2">
        <v>14.061999999999999</v>
      </c>
      <c r="AC19" s="2">
        <v>79</v>
      </c>
      <c r="AD19" s="2"/>
      <c r="AE19" s="7">
        <v>60.355999999999987</v>
      </c>
      <c r="AF19" s="2">
        <v>46.293999999999997</v>
      </c>
      <c r="AG19" s="2">
        <v>14.061999999999999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79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1">
        <v>60.355999999999987</v>
      </c>
      <c r="AV19" s="2">
        <v>0</v>
      </c>
      <c r="AW19" s="2">
        <v>0</v>
      </c>
      <c r="AX19" s="2">
        <v>0</v>
      </c>
      <c r="AZ19" s="1">
        <f t="shared" si="63"/>
        <v>46.293999999999997</v>
      </c>
      <c r="BA19" s="2">
        <f t="shared" si="64"/>
        <v>0</v>
      </c>
      <c r="BB19" s="7">
        <f t="shared" si="65"/>
        <v>0</v>
      </c>
      <c r="BC19" s="1">
        <f t="shared" si="66"/>
        <v>14.061999999999999</v>
      </c>
      <c r="BD19" s="2">
        <f t="shared" si="67"/>
        <v>0</v>
      </c>
      <c r="BE19" s="2">
        <f t="shared" si="68"/>
        <v>0</v>
      </c>
      <c r="BF19" s="2">
        <f t="shared" si="69"/>
        <v>0</v>
      </c>
      <c r="BG19" s="7">
        <f t="shared" si="70"/>
        <v>0</v>
      </c>
      <c r="BH19" s="1">
        <f t="shared" si="71"/>
        <v>60.355999999999995</v>
      </c>
      <c r="BI19" s="2">
        <f t="shared" si="72"/>
        <v>0</v>
      </c>
      <c r="BJ19" s="2">
        <f t="shared" si="73"/>
        <v>0</v>
      </c>
      <c r="BK19" s="2">
        <f t="shared" si="74"/>
        <v>0</v>
      </c>
      <c r="BL19" s="7">
        <f t="shared" si="75"/>
        <v>0</v>
      </c>
      <c r="BM19" s="2"/>
      <c r="BN19" s="1">
        <f t="shared" si="35"/>
        <v>60.355999999999987</v>
      </c>
      <c r="BO19" s="4">
        <v>0</v>
      </c>
      <c r="BP19" s="2">
        <f t="shared" si="14"/>
        <v>60.355999999999987</v>
      </c>
      <c r="BQ19" s="2">
        <f t="shared" si="44"/>
        <v>0</v>
      </c>
      <c r="BR19" s="3" t="e">
        <f t="shared" si="36"/>
        <v>#DIV/0!</v>
      </c>
      <c r="BS19" s="1">
        <f t="shared" si="37"/>
        <v>79</v>
      </c>
      <c r="BT19" s="2">
        <f t="shared" si="38"/>
        <v>0</v>
      </c>
      <c r="BU19" s="21" t="e">
        <f t="shared" si="39"/>
        <v>#DIV/0!</v>
      </c>
      <c r="BV19" s="2" t="str">
        <f t="shared" si="40"/>
        <v/>
      </c>
      <c r="BW19" s="2" t="str">
        <f t="shared" si="41"/>
        <v/>
      </c>
      <c r="BX19" s="21" t="str">
        <f t="shared" si="42"/>
        <v/>
      </c>
      <c r="BY19" s="15"/>
    </row>
    <row r="20" spans="1:77" x14ac:dyDescent="0.25">
      <c r="A20" t="str">
        <f t="shared" si="16"/>
        <v>Travée</v>
      </c>
      <c r="B20" t="b">
        <f t="shared" si="17"/>
        <v>1</v>
      </c>
      <c r="C20">
        <f t="shared" si="23"/>
        <v>2</v>
      </c>
      <c r="D20" s="5" t="s">
        <v>105</v>
      </c>
      <c r="E20" t="s">
        <v>48</v>
      </c>
      <c r="F20" s="5">
        <v>25</v>
      </c>
      <c r="G20" t="s">
        <v>46</v>
      </c>
      <c r="H20">
        <v>500</v>
      </c>
      <c r="I20">
        <v>170000</v>
      </c>
      <c r="J20">
        <v>1300</v>
      </c>
      <c r="K20" s="10">
        <v>1445</v>
      </c>
      <c r="L20" s="12">
        <v>1</v>
      </c>
      <c r="M20" s="5">
        <v>0.23499999999999999</v>
      </c>
      <c r="N20" s="10">
        <v>5.3</v>
      </c>
      <c r="O20" s="5">
        <v>2.7188999999999998E-3</v>
      </c>
      <c r="P20">
        <v>0.04</v>
      </c>
      <c r="Q20" s="10">
        <v>1</v>
      </c>
      <c r="R20" s="8">
        <v>0</v>
      </c>
      <c r="S20">
        <v>0</v>
      </c>
      <c r="T20">
        <v>1</v>
      </c>
      <c r="U20" s="9">
        <v>2.8800000000000001E-4</v>
      </c>
      <c r="V20">
        <v>0</v>
      </c>
      <c r="W20" s="10">
        <v>1</v>
      </c>
      <c r="X20" s="1">
        <v>92.587999999999994</v>
      </c>
      <c r="Y20" s="2">
        <v>28.123999999999999</v>
      </c>
      <c r="Z20" s="13">
        <v>0</v>
      </c>
      <c r="AA20" s="2">
        <v>92.587999999999994</v>
      </c>
      <c r="AB20" s="2">
        <v>28.123999999999999</v>
      </c>
      <c r="AC20" s="2">
        <v>158</v>
      </c>
      <c r="AD20" s="2"/>
      <c r="AE20" s="7">
        <v>120.712</v>
      </c>
      <c r="AF20" s="2">
        <v>92.587999999999994</v>
      </c>
      <c r="AG20" s="2">
        <v>28.123999999999999</v>
      </c>
      <c r="AH20" s="2">
        <v>5.8481515472668866</v>
      </c>
      <c r="AI20" s="2">
        <v>1.657409209438955</v>
      </c>
      <c r="AJ20" s="2">
        <v>-184.96006219932539</v>
      </c>
      <c r="AK20" s="2">
        <v>-49.580275329128249</v>
      </c>
      <c r="AL20" s="2">
        <v>0</v>
      </c>
      <c r="AM20" s="2">
        <v>-52.624230439951923</v>
      </c>
      <c r="AN20" s="2">
        <v>158</v>
      </c>
      <c r="AO20" s="2">
        <v>234.05165478922521</v>
      </c>
      <c r="AP20" s="2">
        <v>310.58247259053883</v>
      </c>
      <c r="AQ20" s="2">
        <v>6.669355750269764</v>
      </c>
      <c r="AR20" s="2">
        <v>-284.77486827053127</v>
      </c>
      <c r="AS20" s="2">
        <v>0</v>
      </c>
      <c r="AT20" s="2">
        <v>-307.43939353910707</v>
      </c>
      <c r="AU20" s="1">
        <v>120.712</v>
      </c>
      <c r="AV20" s="2">
        <v>5.5164106309888554</v>
      </c>
      <c r="AW20" s="2">
        <v>-246.8383739347172</v>
      </c>
      <c r="AX20" s="2">
        <v>234.05165478922521</v>
      </c>
      <c r="AZ20" s="1">
        <f t="shared" si="63"/>
        <v>92.587999999999994</v>
      </c>
      <c r="BA20" s="2">
        <f t="shared" si="64"/>
        <v>5.8481515472668866</v>
      </c>
      <c r="BB20" s="7">
        <f t="shared" si="65"/>
        <v>-184.96006219932539</v>
      </c>
      <c r="BC20" s="1">
        <f t="shared" si="66"/>
        <v>28.123999999999999</v>
      </c>
      <c r="BD20" s="2">
        <f t="shared" si="67"/>
        <v>1.657409209438955</v>
      </c>
      <c r="BE20" s="2">
        <f t="shared" si="68"/>
        <v>-49.580275329128249</v>
      </c>
      <c r="BF20" s="2">
        <f t="shared" si="69"/>
        <v>0</v>
      </c>
      <c r="BG20" s="7">
        <f t="shared" si="70"/>
        <v>-52.624230439951923</v>
      </c>
      <c r="BH20" s="1">
        <f t="shared" si="71"/>
        <v>120.71199999999999</v>
      </c>
      <c r="BI20" s="2">
        <f t="shared" si="72"/>
        <v>7.505560756705842</v>
      </c>
      <c r="BJ20" s="2">
        <f t="shared" si="73"/>
        <v>234.54033752845365</v>
      </c>
      <c r="BK20" s="2">
        <f t="shared" si="74"/>
        <v>0</v>
      </c>
      <c r="BL20" s="7">
        <f t="shared" si="75"/>
        <v>-52.624230439951923</v>
      </c>
      <c r="BM20" s="2"/>
      <c r="BN20" s="1">
        <f t="shared" si="35"/>
        <v>120.712</v>
      </c>
      <c r="BO20" s="4" t="str">
        <f t="shared" ref="BO20" si="78">IF(ISNUMBER(SEARCH("Appui",E20)),0,"0")</f>
        <v>0</v>
      </c>
      <c r="BP20" s="2">
        <f t="shared" si="14"/>
        <v>120.712</v>
      </c>
      <c r="BQ20" s="2">
        <f t="shared" si="44"/>
        <v>234.05165478922521</v>
      </c>
      <c r="BR20" s="3">
        <f t="shared" si="36"/>
        <v>0.51574939775028283</v>
      </c>
      <c r="BS20" s="1">
        <f t="shared" si="37"/>
        <v>158</v>
      </c>
      <c r="BT20" s="2">
        <f t="shared" si="38"/>
        <v>310.58247259053883</v>
      </c>
      <c r="BU20" s="21">
        <f t="shared" si="39"/>
        <v>0.50872156011296144</v>
      </c>
      <c r="BV20" s="2">
        <f t="shared" si="40"/>
        <v>232.5</v>
      </c>
      <c r="BW20" s="2">
        <f t="shared" si="41"/>
        <v>310.58247259053883</v>
      </c>
      <c r="BX20" s="21">
        <f t="shared" si="42"/>
        <v>1.3358385917872637</v>
      </c>
      <c r="BY20" s="10" t="str">
        <f t="shared" ref="BY20" si="79">IF(C18&lt;C20,"Rive",IF(C22&gt;C20,"Rive","Inter"))</f>
        <v>Inter</v>
      </c>
    </row>
    <row r="21" spans="1:77" x14ac:dyDescent="0.25">
      <c r="A21" t="str">
        <f t="shared" si="16"/>
        <v>Appui</v>
      </c>
      <c r="B21" t="b">
        <f t="shared" si="17"/>
        <v>1</v>
      </c>
      <c r="C21">
        <f t="shared" si="23"/>
        <v>2</v>
      </c>
      <c r="D21" s="5" t="s">
        <v>105</v>
      </c>
      <c r="E21" t="s">
        <v>49</v>
      </c>
      <c r="F21" s="5">
        <v>25</v>
      </c>
      <c r="G21" t="s">
        <v>46</v>
      </c>
      <c r="H21">
        <v>500</v>
      </c>
      <c r="I21">
        <v>170000</v>
      </c>
      <c r="J21">
        <v>1300</v>
      </c>
      <c r="K21" s="10">
        <v>1445</v>
      </c>
      <c r="L21" s="12">
        <v>1</v>
      </c>
      <c r="M21" s="5">
        <v>0.22</v>
      </c>
      <c r="N21" s="10">
        <v>5.3</v>
      </c>
      <c r="O21" s="5">
        <v>0</v>
      </c>
      <c r="P21">
        <v>0.04</v>
      </c>
      <c r="Q21" s="10">
        <v>1</v>
      </c>
      <c r="R21" s="8">
        <v>0</v>
      </c>
      <c r="S21">
        <v>0</v>
      </c>
      <c r="T21">
        <v>1</v>
      </c>
      <c r="U21" s="9">
        <v>0</v>
      </c>
      <c r="V21">
        <v>0</v>
      </c>
      <c r="W21" s="10">
        <v>1</v>
      </c>
      <c r="X21" s="1">
        <v>41.02</v>
      </c>
      <c r="Y21" s="2">
        <v>12.46</v>
      </c>
      <c r="Z21" s="13">
        <v>0</v>
      </c>
      <c r="AA21" s="2">
        <v>41.02</v>
      </c>
      <c r="AB21" s="2">
        <v>12.46</v>
      </c>
      <c r="AC21" s="2">
        <v>70</v>
      </c>
      <c r="AD21" s="2"/>
      <c r="AE21" s="7">
        <v>53.48</v>
      </c>
      <c r="AF21" s="2">
        <v>41.02</v>
      </c>
      <c r="AG21" s="2">
        <v>12.46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70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1">
        <v>53.48</v>
      </c>
      <c r="AV21" s="2">
        <v>0</v>
      </c>
      <c r="AW21" s="2">
        <v>0</v>
      </c>
      <c r="AX21" s="2">
        <v>0</v>
      </c>
      <c r="AZ21" s="1">
        <f t="shared" si="63"/>
        <v>41.02</v>
      </c>
      <c r="BA21" s="2">
        <f t="shared" si="64"/>
        <v>0</v>
      </c>
      <c r="BB21" s="7">
        <f t="shared" si="65"/>
        <v>0</v>
      </c>
      <c r="BC21" s="1">
        <f t="shared" si="66"/>
        <v>12.46</v>
      </c>
      <c r="BD21" s="2">
        <f t="shared" si="67"/>
        <v>0</v>
      </c>
      <c r="BE21" s="2">
        <f t="shared" si="68"/>
        <v>0</v>
      </c>
      <c r="BF21" s="2">
        <f t="shared" si="69"/>
        <v>0</v>
      </c>
      <c r="BG21" s="7">
        <f t="shared" si="70"/>
        <v>0</v>
      </c>
      <c r="BH21" s="1">
        <f t="shared" si="71"/>
        <v>53.480000000000004</v>
      </c>
      <c r="BI21" s="2">
        <f t="shared" si="72"/>
        <v>0</v>
      </c>
      <c r="BJ21" s="2">
        <f t="shared" si="73"/>
        <v>0</v>
      </c>
      <c r="BK21" s="2">
        <f t="shared" si="74"/>
        <v>0</v>
      </c>
      <c r="BL21" s="7">
        <f t="shared" si="75"/>
        <v>0</v>
      </c>
      <c r="BM21" s="2"/>
      <c r="BN21" s="1">
        <f t="shared" ref="BN21" si="80">AU21</f>
        <v>53.48</v>
      </c>
      <c r="BO21" s="4">
        <v>0</v>
      </c>
      <c r="BP21" s="2">
        <f t="shared" si="14"/>
        <v>53.48</v>
      </c>
      <c r="BQ21" s="2">
        <f t="shared" si="44"/>
        <v>0</v>
      </c>
      <c r="BR21" s="3" t="e">
        <f t="shared" si="36"/>
        <v>#DIV/0!</v>
      </c>
      <c r="BS21" s="1">
        <f t="shared" si="37"/>
        <v>70</v>
      </c>
      <c r="BT21" s="2">
        <f t="shared" si="38"/>
        <v>0</v>
      </c>
      <c r="BU21" s="21" t="e">
        <f t="shared" si="39"/>
        <v>#DIV/0!</v>
      </c>
      <c r="BV21" s="2" t="str">
        <f t="shared" si="40"/>
        <v/>
      </c>
      <c r="BW21" s="2" t="str">
        <f t="shared" si="41"/>
        <v/>
      </c>
      <c r="BX21" s="21" t="str">
        <f t="shared" si="42"/>
        <v/>
      </c>
      <c r="BY21" s="15"/>
    </row>
    <row r="22" spans="1:77" x14ac:dyDescent="0.25">
      <c r="A22" t="str">
        <f t="shared" si="16"/>
        <v>Travée</v>
      </c>
      <c r="B22" t="b">
        <f t="shared" si="17"/>
        <v>1</v>
      </c>
      <c r="C22">
        <f>IF(D22=D20,C20,C20+1)</f>
        <v>2</v>
      </c>
      <c r="D22" s="5" t="s">
        <v>105</v>
      </c>
      <c r="E22" t="s">
        <v>51</v>
      </c>
      <c r="F22" s="5">
        <v>25</v>
      </c>
      <c r="G22" t="s">
        <v>46</v>
      </c>
      <c r="H22">
        <v>500</v>
      </c>
      <c r="I22">
        <v>170000</v>
      </c>
      <c r="J22">
        <v>1300</v>
      </c>
      <c r="K22" s="10">
        <v>1445</v>
      </c>
      <c r="L22" s="12">
        <v>1</v>
      </c>
      <c r="M22" s="5">
        <v>0.23499999999999999</v>
      </c>
      <c r="N22" s="10">
        <v>5.3</v>
      </c>
      <c r="O22" s="5">
        <v>6.7840000000000001E-4</v>
      </c>
      <c r="P22">
        <v>0.04</v>
      </c>
      <c r="Q22" s="10">
        <v>1</v>
      </c>
      <c r="R22" s="8">
        <v>0</v>
      </c>
      <c r="S22">
        <v>0</v>
      </c>
      <c r="T22">
        <v>1</v>
      </c>
      <c r="U22" s="9">
        <v>0</v>
      </c>
      <c r="V22">
        <v>0</v>
      </c>
      <c r="W22" s="10">
        <v>1</v>
      </c>
      <c r="X22" s="1">
        <v>0</v>
      </c>
      <c r="Y22" s="2">
        <v>0</v>
      </c>
      <c r="Z22" s="13">
        <v>0</v>
      </c>
      <c r="AA22" s="2">
        <v>0</v>
      </c>
      <c r="AB22" s="2">
        <v>0</v>
      </c>
      <c r="AC22" s="2">
        <v>0</v>
      </c>
      <c r="AD22" s="2"/>
      <c r="AE22" s="7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60.846580869564939</v>
      </c>
      <c r="AP22" s="2">
        <v>60.846580869564939</v>
      </c>
      <c r="AQ22" s="2">
        <v>0</v>
      </c>
      <c r="AR22" s="2">
        <v>0</v>
      </c>
      <c r="AS22" s="2">
        <v>0</v>
      </c>
      <c r="AT22" s="2">
        <v>0</v>
      </c>
      <c r="AU22" s="1">
        <v>0</v>
      </c>
      <c r="AV22" s="2">
        <v>0</v>
      </c>
      <c r="AW22" s="2">
        <v>0</v>
      </c>
      <c r="AX22" s="2">
        <v>60.846580869564939</v>
      </c>
      <c r="AZ22" s="1">
        <f t="shared" si="63"/>
        <v>0</v>
      </c>
      <c r="BA22" s="2">
        <f t="shared" si="64"/>
        <v>0</v>
      </c>
      <c r="BB22" s="7">
        <f t="shared" si="65"/>
        <v>0</v>
      </c>
      <c r="BC22" s="1">
        <f t="shared" si="66"/>
        <v>0</v>
      </c>
      <c r="BD22" s="2">
        <f t="shared" si="67"/>
        <v>0</v>
      </c>
      <c r="BE22" s="2">
        <f t="shared" si="68"/>
        <v>0</v>
      </c>
      <c r="BF22" s="2">
        <f t="shared" si="69"/>
        <v>0</v>
      </c>
      <c r="BG22" s="7">
        <f t="shared" si="70"/>
        <v>0</v>
      </c>
      <c r="BH22" s="1">
        <f t="shared" si="71"/>
        <v>0</v>
      </c>
      <c r="BI22" s="2">
        <f t="shared" si="72"/>
        <v>0</v>
      </c>
      <c r="BJ22" s="2">
        <f t="shared" si="73"/>
        <v>0</v>
      </c>
      <c r="BK22" s="2">
        <f t="shared" si="74"/>
        <v>0</v>
      </c>
      <c r="BL22" s="7">
        <f t="shared" si="75"/>
        <v>0</v>
      </c>
      <c r="BM22" s="2"/>
      <c r="BN22" s="1">
        <f t="shared" si="35"/>
        <v>0</v>
      </c>
      <c r="BO22" s="4" t="str">
        <f t="shared" ref="BO22" si="81">IF(ISNUMBER(SEARCH("Appui",E22)),0,"0")</f>
        <v>0</v>
      </c>
      <c r="BP22" s="2">
        <f t="shared" si="14"/>
        <v>0</v>
      </c>
      <c r="BQ22" s="2">
        <f t="shared" si="44"/>
        <v>60.846580869564939</v>
      </c>
      <c r="BR22" s="3">
        <f t="shared" si="36"/>
        <v>0</v>
      </c>
      <c r="BS22" s="1">
        <f t="shared" si="37"/>
        <v>0</v>
      </c>
      <c r="BT22" s="2">
        <f t="shared" si="38"/>
        <v>60.846580869564939</v>
      </c>
      <c r="BU22" s="21">
        <f t="shared" si="39"/>
        <v>0</v>
      </c>
      <c r="BV22" s="2">
        <f t="shared" si="40"/>
        <v>35</v>
      </c>
      <c r="BW22" s="2">
        <f t="shared" si="41"/>
        <v>60.846580869564939</v>
      </c>
      <c r="BX22" s="21">
        <f t="shared" si="42"/>
        <v>1.7384737391304268</v>
      </c>
      <c r="BY22" s="10" t="str">
        <f t="shared" ref="BY22" si="82">IF(C20&lt;C22,"Rive",IF(C24&gt;C22,"Rive","Inter"))</f>
        <v>Inter</v>
      </c>
    </row>
    <row r="23" spans="1:77" x14ac:dyDescent="0.25">
      <c r="A23" t="str">
        <f t="shared" si="16"/>
        <v>Appui</v>
      </c>
      <c r="B23" t="b">
        <f t="shared" si="17"/>
        <v>1</v>
      </c>
      <c r="C23">
        <f t="shared" si="23"/>
        <v>2</v>
      </c>
      <c r="D23" s="5" t="s">
        <v>105</v>
      </c>
      <c r="E23" t="s">
        <v>52</v>
      </c>
      <c r="F23" s="5">
        <v>25</v>
      </c>
      <c r="G23" t="s">
        <v>46</v>
      </c>
      <c r="H23">
        <v>500</v>
      </c>
      <c r="I23">
        <v>170000</v>
      </c>
      <c r="J23">
        <v>1300</v>
      </c>
      <c r="K23" s="10">
        <v>1445</v>
      </c>
      <c r="L23" s="12">
        <v>1</v>
      </c>
      <c r="M23" s="5">
        <v>0.25</v>
      </c>
      <c r="N23" s="10">
        <v>5.3</v>
      </c>
      <c r="O23" s="5">
        <v>0</v>
      </c>
      <c r="P23">
        <v>6.9999999999999993E-2</v>
      </c>
      <c r="Q23" s="10">
        <v>1</v>
      </c>
      <c r="R23" s="8">
        <v>0</v>
      </c>
      <c r="S23">
        <v>0</v>
      </c>
      <c r="T23">
        <v>1</v>
      </c>
      <c r="U23" s="9">
        <v>0</v>
      </c>
      <c r="V23">
        <v>0</v>
      </c>
      <c r="W23" s="10">
        <v>1</v>
      </c>
      <c r="X23" s="1">
        <v>0</v>
      </c>
      <c r="Y23" s="2">
        <v>0</v>
      </c>
      <c r="Z23" s="13">
        <v>0</v>
      </c>
      <c r="AA23" s="2">
        <v>0</v>
      </c>
      <c r="AB23" s="2">
        <v>0</v>
      </c>
      <c r="AC23" s="2">
        <v>0</v>
      </c>
      <c r="AD23" s="2"/>
      <c r="AE23" s="7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1">
        <v>0</v>
      </c>
      <c r="AV23" s="2">
        <v>0</v>
      </c>
      <c r="AW23" s="2">
        <v>0</v>
      </c>
      <c r="AX23" s="2">
        <v>0</v>
      </c>
      <c r="AZ23" s="1">
        <f t="shared" si="63"/>
        <v>0</v>
      </c>
      <c r="BA23" s="2">
        <f t="shared" si="64"/>
        <v>0</v>
      </c>
      <c r="BB23" s="7">
        <f t="shared" si="65"/>
        <v>0</v>
      </c>
      <c r="BC23" s="1">
        <f t="shared" si="66"/>
        <v>0</v>
      </c>
      <c r="BD23" s="2">
        <f t="shared" si="67"/>
        <v>0</v>
      </c>
      <c r="BE23" s="2">
        <f t="shared" si="68"/>
        <v>0</v>
      </c>
      <c r="BF23" s="2">
        <f t="shared" si="69"/>
        <v>0</v>
      </c>
      <c r="BG23" s="7">
        <f t="shared" si="70"/>
        <v>0</v>
      </c>
      <c r="BH23" s="1">
        <f t="shared" si="71"/>
        <v>0</v>
      </c>
      <c r="BI23" s="2">
        <f t="shared" si="72"/>
        <v>0</v>
      </c>
      <c r="BJ23" s="2">
        <f t="shared" si="73"/>
        <v>0</v>
      </c>
      <c r="BK23" s="2">
        <f t="shared" si="74"/>
        <v>0</v>
      </c>
      <c r="BL23" s="7">
        <f t="shared" si="75"/>
        <v>0</v>
      </c>
      <c r="BM23" s="2"/>
      <c r="BN23" s="1">
        <f t="shared" si="35"/>
        <v>0</v>
      </c>
      <c r="BO23" s="4">
        <v>0</v>
      </c>
      <c r="BP23" s="2">
        <f t="shared" si="14"/>
        <v>0</v>
      </c>
      <c r="BQ23" s="2">
        <f t="shared" si="44"/>
        <v>0</v>
      </c>
      <c r="BR23" s="3" t="e">
        <f t="shared" si="36"/>
        <v>#DIV/0!</v>
      </c>
      <c r="BS23" s="1">
        <f t="shared" si="37"/>
        <v>0</v>
      </c>
      <c r="BT23" s="2">
        <f t="shared" si="38"/>
        <v>0</v>
      </c>
      <c r="BU23" s="21" t="e">
        <f t="shared" si="39"/>
        <v>#DIV/0!</v>
      </c>
      <c r="BV23" s="2" t="str">
        <f t="shared" si="40"/>
        <v/>
      </c>
      <c r="BW23" s="2" t="str">
        <f t="shared" si="41"/>
        <v/>
      </c>
      <c r="BX23" s="21" t="str">
        <f t="shared" si="42"/>
        <v/>
      </c>
      <c r="BY23" s="15"/>
    </row>
    <row r="24" spans="1:77" x14ac:dyDescent="0.25">
      <c r="A24" t="str">
        <f t="shared" si="16"/>
        <v>Travée</v>
      </c>
      <c r="B24" t="b">
        <f t="shared" si="17"/>
        <v>1</v>
      </c>
      <c r="C24">
        <f t="shared" si="23"/>
        <v>2</v>
      </c>
      <c r="D24" s="5" t="s">
        <v>105</v>
      </c>
      <c r="E24" t="s">
        <v>53</v>
      </c>
      <c r="F24" s="5">
        <v>25</v>
      </c>
      <c r="G24" t="s">
        <v>46</v>
      </c>
      <c r="H24">
        <v>500</v>
      </c>
      <c r="I24">
        <v>170000</v>
      </c>
      <c r="J24">
        <v>1300</v>
      </c>
      <c r="K24" s="10">
        <v>1445</v>
      </c>
      <c r="L24" s="12">
        <v>1</v>
      </c>
      <c r="M24" s="5">
        <v>0.23499999999999999</v>
      </c>
      <c r="N24" s="10">
        <v>5.3</v>
      </c>
      <c r="O24" s="5">
        <v>6.7840000000000001E-4</v>
      </c>
      <c r="P24">
        <v>0.04</v>
      </c>
      <c r="Q24" s="10">
        <v>1</v>
      </c>
      <c r="R24" s="8">
        <v>0</v>
      </c>
      <c r="S24">
        <v>0</v>
      </c>
      <c r="T24">
        <v>1</v>
      </c>
      <c r="U24" s="9">
        <v>0</v>
      </c>
      <c r="V24">
        <v>0</v>
      </c>
      <c r="W24" s="10">
        <v>1</v>
      </c>
      <c r="X24" s="1">
        <v>0</v>
      </c>
      <c r="Y24" s="2">
        <v>0</v>
      </c>
      <c r="Z24" s="13">
        <v>0</v>
      </c>
      <c r="AA24" s="2">
        <v>0</v>
      </c>
      <c r="AB24" s="2">
        <v>0</v>
      </c>
      <c r="AC24" s="2">
        <v>0</v>
      </c>
      <c r="AD24" s="2"/>
      <c r="AE24" s="7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60.846580869564939</v>
      </c>
      <c r="AP24" s="2">
        <v>60.846580869564939</v>
      </c>
      <c r="AQ24" s="2">
        <v>0</v>
      </c>
      <c r="AR24" s="2">
        <v>0</v>
      </c>
      <c r="AS24" s="2">
        <v>0</v>
      </c>
      <c r="AT24" s="2">
        <v>0</v>
      </c>
      <c r="AU24" s="1">
        <v>0</v>
      </c>
      <c r="AV24" s="2">
        <v>0</v>
      </c>
      <c r="AW24" s="2">
        <v>0</v>
      </c>
      <c r="AX24" s="2">
        <v>60.846580869564939</v>
      </c>
      <c r="AZ24" s="1">
        <f t="shared" si="63"/>
        <v>0</v>
      </c>
      <c r="BA24" s="2">
        <f t="shared" si="64"/>
        <v>0</v>
      </c>
      <c r="BB24" s="7">
        <f t="shared" si="65"/>
        <v>0</v>
      </c>
      <c r="BC24" s="1">
        <f t="shared" si="66"/>
        <v>0</v>
      </c>
      <c r="BD24" s="2">
        <f t="shared" si="67"/>
        <v>0</v>
      </c>
      <c r="BE24" s="2">
        <f t="shared" si="68"/>
        <v>0</v>
      </c>
      <c r="BF24" s="2">
        <f t="shared" si="69"/>
        <v>0</v>
      </c>
      <c r="BG24" s="7">
        <f t="shared" si="70"/>
        <v>0</v>
      </c>
      <c r="BH24" s="1">
        <f t="shared" si="71"/>
        <v>0</v>
      </c>
      <c r="BI24" s="2">
        <f t="shared" si="72"/>
        <v>0</v>
      </c>
      <c r="BJ24" s="2">
        <f t="shared" si="73"/>
        <v>0</v>
      </c>
      <c r="BK24" s="2">
        <f t="shared" si="74"/>
        <v>0</v>
      </c>
      <c r="BL24" s="7">
        <f t="shared" si="75"/>
        <v>0</v>
      </c>
      <c r="BM24" s="2"/>
      <c r="BN24" s="1">
        <f t="shared" si="35"/>
        <v>0</v>
      </c>
      <c r="BO24" s="4" t="str">
        <f t="shared" ref="BO24" si="83">IF(ISNUMBER(SEARCH("Appui",E24)),0,"0")</f>
        <v>0</v>
      </c>
      <c r="BP24" s="2">
        <f t="shared" si="14"/>
        <v>0</v>
      </c>
      <c r="BQ24" s="2">
        <f t="shared" si="44"/>
        <v>60.846580869564939</v>
      </c>
      <c r="BR24" s="3">
        <f t="shared" si="36"/>
        <v>0</v>
      </c>
      <c r="BS24" s="1">
        <f t="shared" si="37"/>
        <v>0</v>
      </c>
      <c r="BT24" s="2">
        <f t="shared" si="38"/>
        <v>60.846580869564939</v>
      </c>
      <c r="BU24" s="21">
        <f t="shared" si="39"/>
        <v>0</v>
      </c>
      <c r="BV24" s="2">
        <f t="shared" si="40"/>
        <v>33.5</v>
      </c>
      <c r="BW24" s="2">
        <f t="shared" si="41"/>
        <v>60.846580869564939</v>
      </c>
      <c r="BX24" s="21">
        <f t="shared" si="42"/>
        <v>1.8163158468526848</v>
      </c>
      <c r="BY24" s="10" t="str">
        <f t="shared" ref="BY24" si="84">IF(C22&lt;C24,"Rive",IF(C26&gt;C24,"Rive","Inter"))</f>
        <v>Inter</v>
      </c>
    </row>
    <row r="25" spans="1:77" x14ac:dyDescent="0.25">
      <c r="A25" t="str">
        <f t="shared" si="16"/>
        <v>Appui</v>
      </c>
      <c r="B25" t="b">
        <f t="shared" si="17"/>
        <v>1</v>
      </c>
      <c r="C25">
        <f t="shared" si="23"/>
        <v>2</v>
      </c>
      <c r="D25" s="5" t="s">
        <v>105</v>
      </c>
      <c r="E25" t="s">
        <v>54</v>
      </c>
      <c r="F25" s="5">
        <v>25</v>
      </c>
      <c r="G25" t="s">
        <v>46</v>
      </c>
      <c r="H25">
        <v>500</v>
      </c>
      <c r="I25">
        <v>170000</v>
      </c>
      <c r="J25">
        <v>1300</v>
      </c>
      <c r="K25" s="10">
        <v>1445</v>
      </c>
      <c r="L25" s="12">
        <v>1</v>
      </c>
      <c r="M25" s="5">
        <v>0.22</v>
      </c>
      <c r="N25" s="10">
        <v>5.3</v>
      </c>
      <c r="O25" s="5">
        <v>0</v>
      </c>
      <c r="P25">
        <v>0.04</v>
      </c>
      <c r="Q25" s="10">
        <v>1</v>
      </c>
      <c r="R25" s="8">
        <v>0</v>
      </c>
      <c r="S25">
        <v>0</v>
      </c>
      <c r="T25">
        <v>1</v>
      </c>
      <c r="U25" s="9">
        <v>0</v>
      </c>
      <c r="V25">
        <v>0</v>
      </c>
      <c r="W25" s="10">
        <v>1</v>
      </c>
      <c r="X25" s="1">
        <v>39.262</v>
      </c>
      <c r="Y25" s="2">
        <v>11.926</v>
      </c>
      <c r="Z25" s="13">
        <v>0</v>
      </c>
      <c r="AA25" s="2">
        <v>39.262</v>
      </c>
      <c r="AB25" s="2">
        <v>11.926</v>
      </c>
      <c r="AC25" s="2">
        <v>67</v>
      </c>
      <c r="AD25" s="2"/>
      <c r="AE25" s="7">
        <v>51.188000000000002</v>
      </c>
      <c r="AF25" s="2">
        <v>39.262</v>
      </c>
      <c r="AG25" s="2">
        <v>11.926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67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1">
        <v>51.188000000000002</v>
      </c>
      <c r="AV25" s="2">
        <v>0</v>
      </c>
      <c r="AW25" s="2">
        <v>0</v>
      </c>
      <c r="AX25" s="2">
        <v>0</v>
      </c>
      <c r="AZ25" s="1">
        <f t="shared" si="63"/>
        <v>39.262</v>
      </c>
      <c r="BA25" s="2">
        <f t="shared" si="64"/>
        <v>0</v>
      </c>
      <c r="BB25" s="7">
        <f t="shared" si="65"/>
        <v>0</v>
      </c>
      <c r="BC25" s="1">
        <f t="shared" si="66"/>
        <v>11.926</v>
      </c>
      <c r="BD25" s="2">
        <f t="shared" si="67"/>
        <v>0</v>
      </c>
      <c r="BE25" s="2">
        <f t="shared" si="68"/>
        <v>0</v>
      </c>
      <c r="BF25" s="2">
        <f t="shared" si="69"/>
        <v>0</v>
      </c>
      <c r="BG25" s="7">
        <f t="shared" si="70"/>
        <v>0</v>
      </c>
      <c r="BH25" s="1">
        <f t="shared" si="71"/>
        <v>51.188000000000002</v>
      </c>
      <c r="BI25" s="2">
        <f t="shared" si="72"/>
        <v>0</v>
      </c>
      <c r="BJ25" s="2">
        <f t="shared" si="73"/>
        <v>0</v>
      </c>
      <c r="BK25" s="2">
        <f t="shared" si="74"/>
        <v>0</v>
      </c>
      <c r="BL25" s="7">
        <f t="shared" si="75"/>
        <v>0</v>
      </c>
      <c r="BM25" s="2"/>
      <c r="BN25" s="1">
        <f t="shared" si="35"/>
        <v>51.188000000000002</v>
      </c>
      <c r="BO25" s="4">
        <v>0</v>
      </c>
      <c r="BP25" s="2">
        <f t="shared" si="14"/>
        <v>51.188000000000002</v>
      </c>
      <c r="BQ25" s="2">
        <f t="shared" si="44"/>
        <v>0</v>
      </c>
      <c r="BR25" s="3" t="e">
        <f t="shared" si="36"/>
        <v>#DIV/0!</v>
      </c>
      <c r="BS25" s="1">
        <f t="shared" si="37"/>
        <v>67</v>
      </c>
      <c r="BT25" s="2">
        <f t="shared" si="38"/>
        <v>0</v>
      </c>
      <c r="BU25" s="21" t="e">
        <f t="shared" si="39"/>
        <v>#DIV/0!</v>
      </c>
      <c r="BV25" s="2" t="str">
        <f t="shared" si="40"/>
        <v/>
      </c>
      <c r="BW25" s="2" t="str">
        <f t="shared" si="41"/>
        <v/>
      </c>
      <c r="BX25" s="21" t="str">
        <f t="shared" si="42"/>
        <v/>
      </c>
      <c r="BY25" s="15"/>
    </row>
    <row r="26" spans="1:77" x14ac:dyDescent="0.25">
      <c r="A26" t="str">
        <f t="shared" si="16"/>
        <v>Travée</v>
      </c>
      <c r="B26" t="b">
        <f t="shared" si="17"/>
        <v>1</v>
      </c>
      <c r="C26">
        <f t="shared" si="23"/>
        <v>2</v>
      </c>
      <c r="D26" s="5" t="s">
        <v>105</v>
      </c>
      <c r="E26" t="s">
        <v>55</v>
      </c>
      <c r="F26" s="5">
        <v>25</v>
      </c>
      <c r="G26" t="s">
        <v>46</v>
      </c>
      <c r="H26">
        <v>500</v>
      </c>
      <c r="I26">
        <v>170000</v>
      </c>
      <c r="J26">
        <v>1300</v>
      </c>
      <c r="K26" s="10">
        <v>1445</v>
      </c>
      <c r="L26" s="12">
        <v>1</v>
      </c>
      <c r="M26" s="5">
        <v>0.23499999999999999</v>
      </c>
      <c r="N26" s="10">
        <v>5.3</v>
      </c>
      <c r="O26" s="5">
        <v>2.0405000000000002E-3</v>
      </c>
      <c r="P26">
        <v>0.04</v>
      </c>
      <c r="Q26" s="10">
        <v>1</v>
      </c>
      <c r="R26" s="8">
        <v>0</v>
      </c>
      <c r="S26">
        <v>0</v>
      </c>
      <c r="T26">
        <v>1</v>
      </c>
      <c r="U26" s="9">
        <v>3.8400000000000001E-4</v>
      </c>
      <c r="V26">
        <v>0</v>
      </c>
      <c r="W26" s="10">
        <v>1</v>
      </c>
      <c r="X26" s="1">
        <v>86.141999999999996</v>
      </c>
      <c r="Y26" s="2">
        <v>26.166</v>
      </c>
      <c r="Z26" s="13">
        <v>0</v>
      </c>
      <c r="AA26" s="2">
        <v>86.141999999999996</v>
      </c>
      <c r="AB26" s="2">
        <v>26.166</v>
      </c>
      <c r="AC26" s="2">
        <v>147</v>
      </c>
      <c r="AD26" s="2"/>
      <c r="AE26" s="7">
        <v>112.30800000000001</v>
      </c>
      <c r="AF26" s="2">
        <v>86.141999999999996</v>
      </c>
      <c r="AG26" s="2">
        <v>26.166</v>
      </c>
      <c r="AH26" s="2">
        <v>6.1529093502086916</v>
      </c>
      <c r="AI26" s="2">
        <v>1.666151385304961</v>
      </c>
      <c r="AJ26" s="2">
        <v>-227.73626275148251</v>
      </c>
      <c r="AK26" s="2">
        <v>-55.94094136241543</v>
      </c>
      <c r="AL26" s="2">
        <v>0</v>
      </c>
      <c r="AM26" s="2">
        <v>-59.149521161026158</v>
      </c>
      <c r="AN26" s="2">
        <v>147</v>
      </c>
      <c r="AO26" s="2">
        <v>179.98051321430049</v>
      </c>
      <c r="AP26" s="2">
        <v>288.25390324444402</v>
      </c>
      <c r="AQ26" s="2">
        <v>6.6607402449736686</v>
      </c>
      <c r="AR26" s="2">
        <v>-320.25064660708568</v>
      </c>
      <c r="AS26" s="2">
        <v>0</v>
      </c>
      <c r="AT26" s="2">
        <v>-343.75605549548368</v>
      </c>
      <c r="AU26" s="1">
        <v>112.30800000000001</v>
      </c>
      <c r="AV26" s="2">
        <v>5.7502914545196244</v>
      </c>
      <c r="AW26" s="2">
        <v>-303.0593952316504</v>
      </c>
      <c r="AX26" s="2">
        <v>179.98051321430049</v>
      </c>
      <c r="AZ26" s="1">
        <f t="shared" si="63"/>
        <v>86.141999999999996</v>
      </c>
      <c r="BA26" s="2">
        <f t="shared" si="64"/>
        <v>6.1529093502086916</v>
      </c>
      <c r="BB26" s="7">
        <f t="shared" si="65"/>
        <v>-227.73626275148251</v>
      </c>
      <c r="BC26" s="1">
        <f t="shared" si="66"/>
        <v>26.166</v>
      </c>
      <c r="BD26" s="2">
        <f t="shared" si="67"/>
        <v>1.666151385304961</v>
      </c>
      <c r="BE26" s="2">
        <f t="shared" si="68"/>
        <v>-55.94094136241543</v>
      </c>
      <c r="BF26" s="2">
        <f t="shared" si="69"/>
        <v>0</v>
      </c>
      <c r="BG26" s="7">
        <f t="shared" si="70"/>
        <v>-59.149521161026158</v>
      </c>
      <c r="BH26" s="1">
        <f t="shared" si="71"/>
        <v>112.30799999999999</v>
      </c>
      <c r="BI26" s="2">
        <f t="shared" si="72"/>
        <v>7.8190607355136521</v>
      </c>
      <c r="BJ26" s="2">
        <f t="shared" si="73"/>
        <v>283.67720411389791</v>
      </c>
      <c r="BK26" s="2">
        <f t="shared" si="74"/>
        <v>0</v>
      </c>
      <c r="BL26" s="7">
        <f t="shared" si="75"/>
        <v>-59.149521161026158</v>
      </c>
      <c r="BM26" s="2"/>
      <c r="BN26" s="1">
        <f t="shared" si="35"/>
        <v>112.30800000000001</v>
      </c>
      <c r="BO26" s="4" t="str">
        <f t="shared" ref="BO26" si="85">IF(ISNUMBER(SEARCH("Appui",E26)),0,"0")</f>
        <v>0</v>
      </c>
      <c r="BP26" s="2">
        <f t="shared" si="14"/>
        <v>112.30800000000001</v>
      </c>
      <c r="BQ26" s="2">
        <f t="shared" si="44"/>
        <v>179.98051321430049</v>
      </c>
      <c r="BR26" s="3">
        <f t="shared" si="36"/>
        <v>0.62400088761985195</v>
      </c>
      <c r="BS26" s="1">
        <f t="shared" si="37"/>
        <v>147</v>
      </c>
      <c r="BT26" s="2">
        <f t="shared" si="38"/>
        <v>288.25390324444402</v>
      </c>
      <c r="BU26" s="21">
        <f t="shared" si="39"/>
        <v>0.50996707536460173</v>
      </c>
      <c r="BV26" s="2">
        <f t="shared" si="40"/>
        <v>215.5</v>
      </c>
      <c r="BW26" s="2">
        <f t="shared" si="41"/>
        <v>288.25390324444402</v>
      </c>
      <c r="BX26" s="21">
        <f t="shared" si="42"/>
        <v>1.3376051194637772</v>
      </c>
      <c r="BY26" s="10" t="str">
        <f t="shared" ref="BY26" si="86">IF(C24&lt;C26,"Rive",IF(C28&gt;C26,"Rive","Inter"))</f>
        <v>Inter</v>
      </c>
    </row>
    <row r="27" spans="1:77" x14ac:dyDescent="0.25">
      <c r="A27" t="str">
        <f t="shared" si="16"/>
        <v>Appui</v>
      </c>
      <c r="B27" t="b">
        <f t="shared" si="17"/>
        <v>1</v>
      </c>
      <c r="C27">
        <f t="shared" si="23"/>
        <v>2</v>
      </c>
      <c r="D27" s="5" t="s">
        <v>105</v>
      </c>
      <c r="E27" t="s">
        <v>56</v>
      </c>
      <c r="F27" s="5">
        <v>25</v>
      </c>
      <c r="G27" t="s">
        <v>46</v>
      </c>
      <c r="H27">
        <v>500</v>
      </c>
      <c r="I27">
        <v>170000</v>
      </c>
      <c r="J27">
        <v>1300</v>
      </c>
      <c r="K27" s="10">
        <v>1445</v>
      </c>
      <c r="L27" s="12">
        <v>1</v>
      </c>
      <c r="M27" s="5">
        <v>0.25</v>
      </c>
      <c r="N27" s="10">
        <v>5.3</v>
      </c>
      <c r="O27" s="5">
        <v>0</v>
      </c>
      <c r="P27">
        <v>6.9999999999999993E-2</v>
      </c>
      <c r="Q27" s="10">
        <v>1</v>
      </c>
      <c r="R27" s="8">
        <v>0</v>
      </c>
      <c r="S27">
        <v>0</v>
      </c>
      <c r="T27">
        <v>1</v>
      </c>
      <c r="U27" s="9">
        <v>0</v>
      </c>
      <c r="V27">
        <v>0</v>
      </c>
      <c r="W27" s="10">
        <v>1</v>
      </c>
      <c r="X27" s="1">
        <v>41.02</v>
      </c>
      <c r="Y27" s="2">
        <v>12.46</v>
      </c>
      <c r="Z27" s="13">
        <v>0</v>
      </c>
      <c r="AA27" s="2">
        <v>41.02</v>
      </c>
      <c r="AB27" s="2">
        <v>12.46</v>
      </c>
      <c r="AC27" s="2">
        <v>70</v>
      </c>
      <c r="AD27" s="2"/>
      <c r="AE27" s="7">
        <v>53.48</v>
      </c>
      <c r="AF27" s="2">
        <v>41.02</v>
      </c>
      <c r="AG27" s="2">
        <v>12.46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70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1">
        <v>53.48</v>
      </c>
      <c r="AV27" s="2">
        <v>0</v>
      </c>
      <c r="AW27" s="2">
        <v>0</v>
      </c>
      <c r="AX27" s="2">
        <v>0</v>
      </c>
      <c r="AZ27" s="1">
        <f t="shared" si="63"/>
        <v>41.02</v>
      </c>
      <c r="BA27" s="2">
        <f t="shared" si="64"/>
        <v>0</v>
      </c>
      <c r="BB27" s="7">
        <f t="shared" si="65"/>
        <v>0</v>
      </c>
      <c r="BC27" s="1">
        <f t="shared" si="66"/>
        <v>12.46</v>
      </c>
      <c r="BD27" s="2">
        <f t="shared" si="67"/>
        <v>0</v>
      </c>
      <c r="BE27" s="2">
        <f t="shared" si="68"/>
        <v>0</v>
      </c>
      <c r="BF27" s="2">
        <f t="shared" si="69"/>
        <v>0</v>
      </c>
      <c r="BG27" s="7">
        <f t="shared" si="70"/>
        <v>0</v>
      </c>
      <c r="BH27" s="1">
        <f t="shared" si="71"/>
        <v>53.480000000000004</v>
      </c>
      <c r="BI27" s="2">
        <f t="shared" si="72"/>
        <v>0</v>
      </c>
      <c r="BJ27" s="2">
        <f t="shared" si="73"/>
        <v>0</v>
      </c>
      <c r="BK27" s="2">
        <f t="shared" si="74"/>
        <v>0</v>
      </c>
      <c r="BL27" s="7">
        <f t="shared" si="75"/>
        <v>0</v>
      </c>
      <c r="BM27" s="2"/>
      <c r="BN27" s="1">
        <f t="shared" si="35"/>
        <v>53.48</v>
      </c>
      <c r="BO27" s="4">
        <v>0</v>
      </c>
      <c r="BP27" s="2">
        <f t="shared" si="14"/>
        <v>53.48</v>
      </c>
      <c r="BQ27" s="2">
        <f t="shared" si="44"/>
        <v>0</v>
      </c>
      <c r="BR27" s="3" t="e">
        <f t="shared" si="36"/>
        <v>#DIV/0!</v>
      </c>
      <c r="BS27" s="1">
        <f t="shared" si="37"/>
        <v>70</v>
      </c>
      <c r="BT27" s="2">
        <f t="shared" si="38"/>
        <v>0</v>
      </c>
      <c r="BU27" s="21" t="e">
        <f t="shared" si="39"/>
        <v>#DIV/0!</v>
      </c>
      <c r="BV27" s="2" t="str">
        <f t="shared" si="40"/>
        <v/>
      </c>
      <c r="BW27" s="2" t="str">
        <f t="shared" si="41"/>
        <v/>
      </c>
      <c r="BX27" s="21" t="str">
        <f t="shared" si="42"/>
        <v/>
      </c>
      <c r="BY27" s="15"/>
    </row>
    <row r="28" spans="1:77" x14ac:dyDescent="0.25">
      <c r="A28" t="str">
        <f t="shared" si="16"/>
        <v>Travée</v>
      </c>
      <c r="B28" t="b">
        <f t="shared" si="17"/>
        <v>1</v>
      </c>
      <c r="C28">
        <f t="shared" si="23"/>
        <v>2</v>
      </c>
      <c r="D28" s="5" t="s">
        <v>105</v>
      </c>
      <c r="E28" t="s">
        <v>57</v>
      </c>
      <c r="F28" s="5">
        <v>25</v>
      </c>
      <c r="G28" t="s">
        <v>46</v>
      </c>
      <c r="H28">
        <v>500</v>
      </c>
      <c r="I28">
        <v>170000</v>
      </c>
      <c r="J28">
        <v>1300</v>
      </c>
      <c r="K28" s="10">
        <v>1445</v>
      </c>
      <c r="L28" s="12">
        <v>1</v>
      </c>
      <c r="M28" s="5">
        <v>0.26</v>
      </c>
      <c r="N28" s="10">
        <v>5.3</v>
      </c>
      <c r="O28" s="5">
        <v>1.3621E-3</v>
      </c>
      <c r="P28">
        <v>0.04</v>
      </c>
      <c r="Q28" s="10">
        <v>1</v>
      </c>
      <c r="R28" s="8">
        <v>0</v>
      </c>
      <c r="S28">
        <v>0</v>
      </c>
      <c r="T28">
        <v>1</v>
      </c>
      <c r="U28" s="9">
        <v>2.8800000000000001E-4</v>
      </c>
      <c r="V28">
        <v>0</v>
      </c>
      <c r="W28" s="10">
        <v>1</v>
      </c>
      <c r="X28" s="1">
        <v>42.192</v>
      </c>
      <c r="Y28" s="2">
        <v>12.816000000000001</v>
      </c>
      <c r="Z28" s="13">
        <v>0</v>
      </c>
      <c r="AA28" s="2">
        <v>42.192</v>
      </c>
      <c r="AB28" s="2">
        <v>12.816000000000001</v>
      </c>
      <c r="AC28" s="2">
        <v>72</v>
      </c>
      <c r="AD28" s="2"/>
      <c r="AE28" s="7">
        <v>55.008000000000003</v>
      </c>
      <c r="AF28" s="2">
        <v>42.192</v>
      </c>
      <c r="AG28" s="2">
        <v>12.816000000000001</v>
      </c>
      <c r="AH28" s="2">
        <v>2.985778401420073</v>
      </c>
      <c r="AI28" s="2">
        <v>0.8056715044004944</v>
      </c>
      <c r="AJ28" s="2">
        <v>-146.50573861775209</v>
      </c>
      <c r="AK28" s="2">
        <v>-35.484215077045128</v>
      </c>
      <c r="AL28" s="2">
        <v>0</v>
      </c>
      <c r="AM28" s="2">
        <v>-36.436672521400887</v>
      </c>
      <c r="AN28" s="2">
        <v>72</v>
      </c>
      <c r="AO28" s="2">
        <v>136.9899254721916</v>
      </c>
      <c r="AP28" s="2">
        <v>229.79418275084899</v>
      </c>
      <c r="AQ28" s="2">
        <v>3.3067579760856889</v>
      </c>
      <c r="AR28" s="2">
        <v>-202.15436096978399</v>
      </c>
      <c r="AS28" s="2">
        <v>0</v>
      </c>
      <c r="AT28" s="2">
        <v>-209.54448842249101</v>
      </c>
      <c r="AU28" s="1">
        <v>55.008000000000003</v>
      </c>
      <c r="AV28" s="2">
        <v>2.8555910834164999</v>
      </c>
      <c r="AW28" s="2">
        <v>-193.83633720575631</v>
      </c>
      <c r="AX28" s="2">
        <v>136.9899254721916</v>
      </c>
      <c r="AZ28" s="1">
        <f t="shared" si="63"/>
        <v>42.192</v>
      </c>
      <c r="BA28" s="2">
        <f t="shared" si="64"/>
        <v>2.985778401420073</v>
      </c>
      <c r="BB28" s="7">
        <f t="shared" si="65"/>
        <v>-146.50573861775209</v>
      </c>
      <c r="BC28" s="1">
        <f t="shared" si="66"/>
        <v>12.816000000000001</v>
      </c>
      <c r="BD28" s="2">
        <f t="shared" si="67"/>
        <v>0.8056715044004944</v>
      </c>
      <c r="BE28" s="2">
        <f t="shared" si="68"/>
        <v>-35.484215077045128</v>
      </c>
      <c r="BF28" s="2">
        <f t="shared" si="69"/>
        <v>0</v>
      </c>
      <c r="BG28" s="7">
        <f t="shared" si="70"/>
        <v>-36.436672521400887</v>
      </c>
      <c r="BH28" s="1">
        <f t="shared" si="71"/>
        <v>55.008000000000003</v>
      </c>
      <c r="BI28" s="2">
        <f t="shared" si="72"/>
        <v>3.7914499058205675</v>
      </c>
      <c r="BJ28" s="2">
        <f t="shared" si="73"/>
        <v>181.98995369479721</v>
      </c>
      <c r="BK28" s="2">
        <f t="shared" si="74"/>
        <v>0</v>
      </c>
      <c r="BL28" s="7">
        <f t="shared" si="75"/>
        <v>-36.436672521400887</v>
      </c>
      <c r="BM28" s="2"/>
      <c r="BN28" s="1">
        <f t="shared" si="35"/>
        <v>55.008000000000003</v>
      </c>
      <c r="BO28" s="4" t="str">
        <f t="shared" ref="BO28" si="87">IF(ISNUMBER(SEARCH("Appui",E28)),0,"0")</f>
        <v>0</v>
      </c>
      <c r="BP28" s="2">
        <f t="shared" si="14"/>
        <v>55.008000000000003</v>
      </c>
      <c r="BQ28" s="2">
        <f t="shared" si="44"/>
        <v>136.9899254721916</v>
      </c>
      <c r="BR28" s="3">
        <f t="shared" si="36"/>
        <v>0.40154777667330294</v>
      </c>
      <c r="BS28" s="1">
        <f t="shared" si="37"/>
        <v>72</v>
      </c>
      <c r="BT28" s="2">
        <f t="shared" si="38"/>
        <v>229.79418275084899</v>
      </c>
      <c r="BU28" s="21">
        <f t="shared" si="39"/>
        <v>0.31332385849847627</v>
      </c>
      <c r="BV28" s="2">
        <f t="shared" si="40"/>
        <v>107</v>
      </c>
      <c r="BW28" s="2">
        <f t="shared" si="41"/>
        <v>229.79418275084899</v>
      </c>
      <c r="BX28" s="21">
        <f t="shared" si="42"/>
        <v>2.1476091845873739</v>
      </c>
      <c r="BY28" s="10" t="str">
        <f t="shared" ref="BY28" si="88">IF(C26&lt;C28,"Rive",IF(C30&gt;C28,"Rive","Inter"))</f>
        <v>Rive</v>
      </c>
    </row>
    <row r="29" spans="1:77" x14ac:dyDescent="0.25">
      <c r="A29" t="str">
        <f t="shared" si="16"/>
        <v/>
      </c>
      <c r="B29" t="b">
        <f t="shared" si="17"/>
        <v>1</v>
      </c>
      <c r="C29">
        <f t="shared" si="23"/>
        <v>2</v>
      </c>
      <c r="D29" s="5" t="s">
        <v>105</v>
      </c>
      <c r="F29" s="5"/>
      <c r="K29" s="10"/>
      <c r="L29" s="12"/>
      <c r="M29" s="5"/>
      <c r="N29" s="10"/>
      <c r="O29" s="5"/>
      <c r="Q29" s="10"/>
      <c r="R29" s="8"/>
      <c r="U29" s="9"/>
      <c r="W29" s="10"/>
      <c r="X29" s="1"/>
      <c r="Y29" s="2"/>
      <c r="Z29" s="13"/>
      <c r="AA29" s="2"/>
      <c r="AB29" s="2"/>
      <c r="AC29" s="2"/>
      <c r="AD29" s="2"/>
      <c r="AE29" s="7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1"/>
      <c r="AV29" s="2"/>
      <c r="AW29" s="2"/>
      <c r="AX29" s="2"/>
      <c r="AZ29" s="1">
        <f t="shared" si="63"/>
        <v>0</v>
      </c>
      <c r="BA29" s="2">
        <f t="shared" si="64"/>
        <v>0</v>
      </c>
      <c r="BB29" s="7">
        <f t="shared" si="65"/>
        <v>0</v>
      </c>
      <c r="BC29" s="1">
        <f t="shared" si="66"/>
        <v>0</v>
      </c>
      <c r="BD29" s="2">
        <f t="shared" si="67"/>
        <v>0</v>
      </c>
      <c r="BE29" s="2">
        <f t="shared" si="68"/>
        <v>0</v>
      </c>
      <c r="BF29" s="2">
        <f t="shared" si="69"/>
        <v>0</v>
      </c>
      <c r="BG29" s="7">
        <f t="shared" si="70"/>
        <v>0</v>
      </c>
      <c r="BH29" s="1">
        <f t="shared" si="71"/>
        <v>0</v>
      </c>
      <c r="BI29" s="2">
        <f t="shared" si="72"/>
        <v>0</v>
      </c>
      <c r="BJ29" s="2">
        <f t="shared" si="73"/>
        <v>0</v>
      </c>
      <c r="BK29" s="2">
        <f t="shared" si="74"/>
        <v>0</v>
      </c>
      <c r="BL29" s="7">
        <f t="shared" si="75"/>
        <v>0</v>
      </c>
      <c r="BM29" s="2"/>
      <c r="BN29" s="1"/>
      <c r="BO29" s="4">
        <v>0</v>
      </c>
      <c r="BP29" s="2">
        <f t="shared" si="14"/>
        <v>0</v>
      </c>
      <c r="BQ29" s="2">
        <f t="shared" si="44"/>
        <v>0</v>
      </c>
      <c r="BR29" s="3" t="e">
        <f t="shared" si="36"/>
        <v>#DIV/0!</v>
      </c>
      <c r="BS29" s="1">
        <f t="shared" si="37"/>
        <v>0</v>
      </c>
      <c r="BT29" s="2">
        <f t="shared" si="38"/>
        <v>0</v>
      </c>
      <c r="BU29" s="21" t="e">
        <f t="shared" si="39"/>
        <v>#DIV/0!</v>
      </c>
      <c r="BV29" s="2" t="str">
        <f t="shared" si="40"/>
        <v/>
      </c>
      <c r="BW29" s="2" t="str">
        <f t="shared" si="41"/>
        <v/>
      </c>
      <c r="BX29" s="21" t="str">
        <f t="shared" si="42"/>
        <v/>
      </c>
      <c r="BY29" s="15"/>
    </row>
    <row r="30" spans="1:77" x14ac:dyDescent="0.25">
      <c r="A30" t="str">
        <f t="shared" si="16"/>
        <v>Travée</v>
      </c>
      <c r="B30" t="b">
        <f t="shared" si="17"/>
        <v>0</v>
      </c>
      <c r="C30">
        <f t="shared" si="23"/>
        <v>3</v>
      </c>
      <c r="D30" s="5" t="s">
        <v>106</v>
      </c>
      <c r="E30" t="s">
        <v>45</v>
      </c>
      <c r="F30" s="5">
        <v>25</v>
      </c>
      <c r="G30" t="s">
        <v>46</v>
      </c>
      <c r="H30">
        <v>500</v>
      </c>
      <c r="I30">
        <v>170000</v>
      </c>
      <c r="J30">
        <v>1300</v>
      </c>
      <c r="K30" s="10">
        <v>1445</v>
      </c>
      <c r="L30" s="12">
        <v>1</v>
      </c>
      <c r="M30" s="5">
        <v>0.26</v>
      </c>
      <c r="N30" s="10">
        <v>5.3</v>
      </c>
      <c r="O30" s="5">
        <v>1.3621E-3</v>
      </c>
      <c r="P30">
        <v>0.04</v>
      </c>
      <c r="Q30" s="10">
        <v>1</v>
      </c>
      <c r="R30" s="8">
        <v>0</v>
      </c>
      <c r="S30">
        <v>0</v>
      </c>
      <c r="T30">
        <v>1</v>
      </c>
      <c r="U30" s="9">
        <v>2.8800000000000001E-4</v>
      </c>
      <c r="V30">
        <v>0</v>
      </c>
      <c r="W30" s="10">
        <v>1</v>
      </c>
      <c r="X30" s="1">
        <v>38.090000000000003</v>
      </c>
      <c r="Y30" s="2">
        <v>11.57</v>
      </c>
      <c r="Z30" s="13">
        <v>0</v>
      </c>
      <c r="AA30" s="2">
        <v>38.090000000000003</v>
      </c>
      <c r="AB30" s="2">
        <v>11.57</v>
      </c>
      <c r="AC30" s="2">
        <v>65</v>
      </c>
      <c r="AD30" s="2"/>
      <c r="AE30" s="7">
        <v>49.66</v>
      </c>
      <c r="AF30" s="2">
        <v>38.090000000000003</v>
      </c>
      <c r="AG30" s="2">
        <v>11.57</v>
      </c>
      <c r="AH30" s="2">
        <v>2.695494390170901</v>
      </c>
      <c r="AI30" s="2">
        <v>0.72734087332969999</v>
      </c>
      <c r="AJ30" s="2">
        <v>-132.26212514102619</v>
      </c>
      <c r="AK30" s="2">
        <v>-32.034369906367218</v>
      </c>
      <c r="AL30" s="2">
        <v>0</v>
      </c>
      <c r="AM30" s="2">
        <v>-32.894225931852873</v>
      </c>
      <c r="AN30" s="2">
        <v>65</v>
      </c>
      <c r="AO30" s="2">
        <v>136.9899254721916</v>
      </c>
      <c r="AP30" s="2">
        <v>229.79418275084899</v>
      </c>
      <c r="AQ30" s="2">
        <v>2.9955926709842751</v>
      </c>
      <c r="AR30" s="2">
        <v>-182.47225914198469</v>
      </c>
      <c r="AS30" s="2">
        <v>0</v>
      </c>
      <c r="AT30" s="2">
        <v>-189.13209033481971</v>
      </c>
      <c r="AU30" s="1">
        <v>49.66</v>
      </c>
      <c r="AV30" s="2">
        <v>2.5854376046060632</v>
      </c>
      <c r="AW30" s="2">
        <v>-174.9697697286322</v>
      </c>
      <c r="AX30" s="2">
        <v>136.9899254721916</v>
      </c>
      <c r="AZ30" s="1">
        <f t="shared" si="63"/>
        <v>38.090000000000003</v>
      </c>
      <c r="BA30" s="2">
        <f t="shared" si="64"/>
        <v>2.695494390170901</v>
      </c>
      <c r="BB30" s="7">
        <f t="shared" si="65"/>
        <v>-132.26212514102619</v>
      </c>
      <c r="BC30" s="1">
        <f t="shared" si="66"/>
        <v>11.57</v>
      </c>
      <c r="BD30" s="2">
        <f t="shared" si="67"/>
        <v>0.72734087332969999</v>
      </c>
      <c r="BE30" s="2">
        <f t="shared" si="68"/>
        <v>-32.034369906367218</v>
      </c>
      <c r="BF30" s="2">
        <f t="shared" si="69"/>
        <v>0</v>
      </c>
      <c r="BG30" s="7">
        <f t="shared" si="70"/>
        <v>-32.894225931852873</v>
      </c>
      <c r="BH30" s="1">
        <f t="shared" si="71"/>
        <v>49.660000000000004</v>
      </c>
      <c r="BI30" s="2">
        <f t="shared" si="72"/>
        <v>3.422835263500601</v>
      </c>
      <c r="BJ30" s="2">
        <f t="shared" si="73"/>
        <v>164.29649504739342</v>
      </c>
      <c r="BK30" s="2">
        <f t="shared" si="74"/>
        <v>0</v>
      </c>
      <c r="BL30" s="7">
        <f t="shared" si="75"/>
        <v>-32.894225931852873</v>
      </c>
      <c r="BM30" s="2"/>
      <c r="BN30" s="1">
        <f t="shared" si="35"/>
        <v>49.66</v>
      </c>
      <c r="BO30" s="4" t="str">
        <f t="shared" ref="BO30" si="89">IF(ISNUMBER(SEARCH("Appui",E30)),0,"0")</f>
        <v>0</v>
      </c>
      <c r="BP30" s="2">
        <f t="shared" si="14"/>
        <v>49.66</v>
      </c>
      <c r="BQ30" s="2">
        <f t="shared" si="44"/>
        <v>136.9899254721916</v>
      </c>
      <c r="BR30" s="3">
        <f t="shared" si="36"/>
        <v>0.36250840949673174</v>
      </c>
      <c r="BS30" s="1">
        <f t="shared" si="37"/>
        <v>65</v>
      </c>
      <c r="BT30" s="2">
        <f t="shared" si="38"/>
        <v>229.79418275084899</v>
      </c>
      <c r="BU30" s="21">
        <f t="shared" si="39"/>
        <v>0.28286181670001326</v>
      </c>
      <c r="BV30" s="2">
        <f t="shared" si="40"/>
        <v>110</v>
      </c>
      <c r="BW30" s="2">
        <f t="shared" si="41"/>
        <v>229.79418275084899</v>
      </c>
      <c r="BX30" s="21">
        <f t="shared" si="42"/>
        <v>2.0890380250077181</v>
      </c>
      <c r="BY30" s="10" t="str">
        <f t="shared" ref="BY30" si="90">IF(C28&lt;C30,"Rive",IF(C32&gt;C30,"Rive","Inter"))</f>
        <v>Rive</v>
      </c>
    </row>
    <row r="31" spans="1:77" x14ac:dyDescent="0.25">
      <c r="A31" t="str">
        <f t="shared" si="16"/>
        <v>Appui</v>
      </c>
      <c r="B31" t="b">
        <f t="shared" si="17"/>
        <v>0</v>
      </c>
      <c r="C31">
        <f t="shared" si="23"/>
        <v>3</v>
      </c>
      <c r="D31" s="5" t="s">
        <v>106</v>
      </c>
      <c r="E31" t="s">
        <v>47</v>
      </c>
      <c r="F31" s="5">
        <v>25</v>
      </c>
      <c r="G31" t="s">
        <v>46</v>
      </c>
      <c r="H31">
        <v>500</v>
      </c>
      <c r="I31">
        <v>170000</v>
      </c>
      <c r="J31">
        <v>1300</v>
      </c>
      <c r="K31" s="10">
        <v>1445</v>
      </c>
      <c r="L31" s="12">
        <v>1</v>
      </c>
      <c r="M31" s="5">
        <v>0.25</v>
      </c>
      <c r="N31" s="10">
        <v>5.3</v>
      </c>
      <c r="O31" s="5">
        <v>0</v>
      </c>
      <c r="P31">
        <v>6.9999999999999993E-2</v>
      </c>
      <c r="Q31" s="10">
        <v>1</v>
      </c>
      <c r="R31" s="8">
        <v>0</v>
      </c>
      <c r="S31">
        <v>0</v>
      </c>
      <c r="T31">
        <v>1</v>
      </c>
      <c r="U31" s="9">
        <v>0</v>
      </c>
      <c r="V31">
        <v>0</v>
      </c>
      <c r="W31" s="10">
        <v>1</v>
      </c>
      <c r="X31" s="1">
        <v>52.739999999999988</v>
      </c>
      <c r="Y31" s="2">
        <v>16.02</v>
      </c>
      <c r="Z31" s="13">
        <v>0</v>
      </c>
      <c r="AA31" s="2">
        <v>52.739999999999988</v>
      </c>
      <c r="AB31" s="2">
        <v>16.02</v>
      </c>
      <c r="AC31" s="2">
        <v>90</v>
      </c>
      <c r="AD31" s="2"/>
      <c r="AE31" s="7">
        <v>68.759999999999991</v>
      </c>
      <c r="AF31" s="2">
        <v>52.739999999999988</v>
      </c>
      <c r="AG31" s="2">
        <v>16.02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90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1">
        <v>68.759999999999991</v>
      </c>
      <c r="AV31" s="2">
        <v>0</v>
      </c>
      <c r="AW31" s="2">
        <v>0</v>
      </c>
      <c r="AX31" s="2">
        <v>0</v>
      </c>
      <c r="AZ31" s="1">
        <f t="shared" si="63"/>
        <v>52.739999999999988</v>
      </c>
      <c r="BA31" s="2">
        <f t="shared" si="64"/>
        <v>0</v>
      </c>
      <c r="BB31" s="7">
        <f t="shared" si="65"/>
        <v>0</v>
      </c>
      <c r="BC31" s="1">
        <f t="shared" si="66"/>
        <v>16.02</v>
      </c>
      <c r="BD31" s="2">
        <f t="shared" si="67"/>
        <v>0</v>
      </c>
      <c r="BE31" s="2">
        <f t="shared" si="68"/>
        <v>0</v>
      </c>
      <c r="BF31" s="2">
        <f t="shared" si="69"/>
        <v>0</v>
      </c>
      <c r="BG31" s="7">
        <f t="shared" si="70"/>
        <v>0</v>
      </c>
      <c r="BH31" s="1">
        <f t="shared" si="71"/>
        <v>68.759999999999991</v>
      </c>
      <c r="BI31" s="2">
        <f t="shared" si="72"/>
        <v>0</v>
      </c>
      <c r="BJ31" s="2">
        <f t="shared" si="73"/>
        <v>0</v>
      </c>
      <c r="BK31" s="2">
        <f t="shared" si="74"/>
        <v>0</v>
      </c>
      <c r="BL31" s="7">
        <f t="shared" si="75"/>
        <v>0</v>
      </c>
      <c r="BM31" s="2"/>
      <c r="BN31" s="1">
        <f t="shared" si="35"/>
        <v>68.759999999999991</v>
      </c>
      <c r="BO31" s="4">
        <v>0</v>
      </c>
      <c r="BP31" s="2">
        <f t="shared" si="14"/>
        <v>68.759999999999991</v>
      </c>
      <c r="BQ31" s="2">
        <f t="shared" si="44"/>
        <v>0</v>
      </c>
      <c r="BR31" s="3" t="e">
        <f t="shared" si="36"/>
        <v>#DIV/0!</v>
      </c>
      <c r="BS31" s="1">
        <f t="shared" si="37"/>
        <v>90</v>
      </c>
      <c r="BT31" s="2">
        <f t="shared" si="38"/>
        <v>0</v>
      </c>
      <c r="BU31" s="21" t="e">
        <f t="shared" si="39"/>
        <v>#DIV/0!</v>
      </c>
      <c r="BV31" s="2" t="str">
        <f t="shared" si="40"/>
        <v/>
      </c>
      <c r="BW31" s="2" t="str">
        <f t="shared" si="41"/>
        <v/>
      </c>
      <c r="BX31" s="21" t="str">
        <f t="shared" si="42"/>
        <v/>
      </c>
      <c r="BY31" s="15"/>
    </row>
    <row r="32" spans="1:77" x14ac:dyDescent="0.25">
      <c r="A32" t="str">
        <f t="shared" si="16"/>
        <v>Travée</v>
      </c>
      <c r="B32" t="b">
        <f t="shared" si="17"/>
        <v>0</v>
      </c>
      <c r="C32">
        <f t="shared" si="23"/>
        <v>3</v>
      </c>
      <c r="D32" s="5" t="s">
        <v>106</v>
      </c>
      <c r="E32" t="s">
        <v>48</v>
      </c>
      <c r="F32" s="5">
        <v>25</v>
      </c>
      <c r="G32" t="s">
        <v>46</v>
      </c>
      <c r="H32">
        <v>500</v>
      </c>
      <c r="I32">
        <v>170000</v>
      </c>
      <c r="J32">
        <v>1300</v>
      </c>
      <c r="K32" s="10">
        <v>1445</v>
      </c>
      <c r="L32" s="12">
        <v>1</v>
      </c>
      <c r="M32" s="5">
        <v>0.23499999999999999</v>
      </c>
      <c r="N32" s="10">
        <v>5.3</v>
      </c>
      <c r="O32" s="5">
        <v>2.7188999999999998E-3</v>
      </c>
      <c r="P32">
        <v>0.04</v>
      </c>
      <c r="Q32" s="10">
        <v>1</v>
      </c>
      <c r="R32" s="8">
        <v>0</v>
      </c>
      <c r="S32">
        <v>0</v>
      </c>
      <c r="T32">
        <v>1</v>
      </c>
      <c r="U32" s="9">
        <v>2.8800000000000001E-4</v>
      </c>
      <c r="V32">
        <v>0</v>
      </c>
      <c r="W32" s="10">
        <v>1</v>
      </c>
      <c r="X32" s="1">
        <v>100.792</v>
      </c>
      <c r="Y32" s="2">
        <v>30.616</v>
      </c>
      <c r="Z32" s="13">
        <v>0</v>
      </c>
      <c r="AA32" s="2">
        <v>100.792</v>
      </c>
      <c r="AB32" s="2">
        <v>30.616</v>
      </c>
      <c r="AC32" s="2">
        <v>172</v>
      </c>
      <c r="AD32" s="2"/>
      <c r="AE32" s="7">
        <v>131.40799999999999</v>
      </c>
      <c r="AF32" s="2">
        <v>100.792</v>
      </c>
      <c r="AG32" s="2">
        <v>30.616</v>
      </c>
      <c r="AH32" s="2">
        <v>6.3663421906955868</v>
      </c>
      <c r="AI32" s="2">
        <v>1.8042682533132921</v>
      </c>
      <c r="AJ32" s="2">
        <v>-201.3489284701518</v>
      </c>
      <c r="AK32" s="2">
        <v>-53.97346428234215</v>
      </c>
      <c r="AL32" s="2">
        <v>0</v>
      </c>
      <c r="AM32" s="2">
        <v>-57.287136934631206</v>
      </c>
      <c r="AN32" s="2">
        <v>172</v>
      </c>
      <c r="AO32" s="2">
        <v>234.05165478922521</v>
      </c>
      <c r="AP32" s="2">
        <v>310.58247259053883</v>
      </c>
      <c r="AQ32" s="2">
        <v>7.2090891381362141</v>
      </c>
      <c r="AR32" s="2">
        <v>-310.13054845240612</v>
      </c>
      <c r="AS32" s="2">
        <v>0</v>
      </c>
      <c r="AT32" s="2">
        <v>-334.89104290372529</v>
      </c>
      <c r="AU32" s="1">
        <v>131.40799999999999</v>
      </c>
      <c r="AV32" s="2">
        <v>5.9715252166349062</v>
      </c>
      <c r="AW32" s="2">
        <v>-268.80561083720733</v>
      </c>
      <c r="AX32" s="2">
        <v>234.05165478922521</v>
      </c>
      <c r="AZ32" s="1">
        <f t="shared" si="63"/>
        <v>100.792</v>
      </c>
      <c r="BA32" s="2">
        <f t="shared" si="64"/>
        <v>6.3663421906955868</v>
      </c>
      <c r="BB32" s="7">
        <f t="shared" si="65"/>
        <v>-201.3489284701518</v>
      </c>
      <c r="BC32" s="1">
        <f t="shared" si="66"/>
        <v>30.616</v>
      </c>
      <c r="BD32" s="2">
        <f t="shared" si="67"/>
        <v>1.8042682533132921</v>
      </c>
      <c r="BE32" s="2">
        <f t="shared" si="68"/>
        <v>-53.97346428234215</v>
      </c>
      <c r="BF32" s="2">
        <f t="shared" si="69"/>
        <v>0</v>
      </c>
      <c r="BG32" s="7">
        <f t="shared" si="70"/>
        <v>-57.287136934631206</v>
      </c>
      <c r="BH32" s="1">
        <f t="shared" si="71"/>
        <v>131.40800000000002</v>
      </c>
      <c r="BI32" s="2">
        <f t="shared" si="72"/>
        <v>8.1706104440088794</v>
      </c>
      <c r="BJ32" s="2">
        <f t="shared" si="73"/>
        <v>255.32239275249395</v>
      </c>
      <c r="BK32" s="2">
        <f t="shared" si="74"/>
        <v>0</v>
      </c>
      <c r="BL32" s="7">
        <f t="shared" si="75"/>
        <v>-57.287136934631206</v>
      </c>
      <c r="BM32" s="2"/>
      <c r="BN32" s="1">
        <f t="shared" si="35"/>
        <v>131.40799999999999</v>
      </c>
      <c r="BO32" s="4" t="str">
        <f t="shared" ref="BO32" si="91">IF(ISNUMBER(SEARCH("Appui",E32)),0,"0")</f>
        <v>0</v>
      </c>
      <c r="BP32" s="2">
        <f t="shared" si="14"/>
        <v>131.40799999999999</v>
      </c>
      <c r="BQ32" s="2">
        <f t="shared" si="44"/>
        <v>234.05165478922521</v>
      </c>
      <c r="BR32" s="3">
        <f t="shared" si="36"/>
        <v>0.56144871147499131</v>
      </c>
      <c r="BS32" s="1">
        <f t="shared" si="37"/>
        <v>172</v>
      </c>
      <c r="BT32" s="2">
        <f t="shared" si="38"/>
        <v>310.58247259053883</v>
      </c>
      <c r="BU32" s="21">
        <f t="shared" si="39"/>
        <v>0.55379815404702137</v>
      </c>
      <c r="BV32" s="2">
        <f t="shared" si="40"/>
        <v>259</v>
      </c>
      <c r="BW32" s="2">
        <f t="shared" si="41"/>
        <v>310.58247259053883</v>
      </c>
      <c r="BX32" s="21">
        <f t="shared" si="42"/>
        <v>1.1991601258321962</v>
      </c>
      <c r="BY32" s="10" t="str">
        <f t="shared" ref="BY32" si="92">IF(C30&lt;C32,"Rive",IF(C34&gt;C32,"Rive","Inter"))</f>
        <v>Inter</v>
      </c>
    </row>
    <row r="33" spans="1:77" x14ac:dyDescent="0.25">
      <c r="A33" t="str">
        <f t="shared" si="16"/>
        <v>Appui</v>
      </c>
      <c r="B33" t="b">
        <f t="shared" si="17"/>
        <v>0</v>
      </c>
      <c r="C33">
        <f>IF(D33=D31,C31,C31+1)</f>
        <v>3</v>
      </c>
      <c r="D33" s="5" t="s">
        <v>106</v>
      </c>
      <c r="E33" t="s">
        <v>49</v>
      </c>
      <c r="F33" s="5">
        <v>25</v>
      </c>
      <c r="G33" t="s">
        <v>46</v>
      </c>
      <c r="H33">
        <v>500</v>
      </c>
      <c r="I33">
        <v>170000</v>
      </c>
      <c r="J33">
        <v>1300</v>
      </c>
      <c r="K33" s="10">
        <v>1445</v>
      </c>
      <c r="L33" s="12">
        <v>1</v>
      </c>
      <c r="M33" s="5">
        <v>0.22</v>
      </c>
      <c r="N33" s="10">
        <v>5.3</v>
      </c>
      <c r="O33" s="5">
        <v>0</v>
      </c>
      <c r="P33">
        <v>0.04</v>
      </c>
      <c r="Q33" s="10">
        <v>1</v>
      </c>
      <c r="R33" s="8">
        <v>0</v>
      </c>
      <c r="S33">
        <v>0</v>
      </c>
      <c r="T33">
        <v>1</v>
      </c>
      <c r="U33" s="9">
        <v>0</v>
      </c>
      <c r="V33">
        <v>0</v>
      </c>
      <c r="W33" s="10">
        <v>1</v>
      </c>
      <c r="X33" s="1">
        <v>49.223999999999997</v>
      </c>
      <c r="Y33" s="2">
        <v>14.952</v>
      </c>
      <c r="Z33" s="13">
        <v>0</v>
      </c>
      <c r="AA33" s="2">
        <v>49.223999999999997</v>
      </c>
      <c r="AB33" s="2">
        <v>14.952</v>
      </c>
      <c r="AC33" s="2">
        <v>84</v>
      </c>
      <c r="AD33" s="2"/>
      <c r="AE33" s="7">
        <v>64.176000000000002</v>
      </c>
      <c r="AF33" s="2">
        <v>49.223999999999997</v>
      </c>
      <c r="AG33" s="2">
        <v>14.952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84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1">
        <v>64.176000000000002</v>
      </c>
      <c r="AV33" s="2">
        <v>0</v>
      </c>
      <c r="AW33" s="2">
        <v>0</v>
      </c>
      <c r="AX33" s="2">
        <v>0</v>
      </c>
      <c r="AZ33" s="1">
        <f t="shared" si="63"/>
        <v>49.223999999999997</v>
      </c>
      <c r="BA33" s="2">
        <f t="shared" si="64"/>
        <v>0</v>
      </c>
      <c r="BB33" s="7">
        <f t="shared" si="65"/>
        <v>0</v>
      </c>
      <c r="BC33" s="1">
        <f t="shared" si="66"/>
        <v>14.952</v>
      </c>
      <c r="BD33" s="2">
        <f t="shared" si="67"/>
        <v>0</v>
      </c>
      <c r="BE33" s="2">
        <f t="shared" si="68"/>
        <v>0</v>
      </c>
      <c r="BF33" s="2">
        <f t="shared" si="69"/>
        <v>0</v>
      </c>
      <c r="BG33" s="7">
        <f t="shared" si="70"/>
        <v>0</v>
      </c>
      <c r="BH33" s="1">
        <f t="shared" si="71"/>
        <v>64.176000000000002</v>
      </c>
      <c r="BI33" s="2">
        <f t="shared" si="72"/>
        <v>0</v>
      </c>
      <c r="BJ33" s="2">
        <f t="shared" si="73"/>
        <v>0</v>
      </c>
      <c r="BK33" s="2">
        <f t="shared" si="74"/>
        <v>0</v>
      </c>
      <c r="BL33" s="7">
        <f t="shared" si="75"/>
        <v>0</v>
      </c>
      <c r="BM33" s="2"/>
      <c r="BN33" s="1">
        <f t="shared" ref="BN33" si="93">AU33</f>
        <v>64.176000000000002</v>
      </c>
      <c r="BO33" s="4">
        <v>0</v>
      </c>
      <c r="BP33" s="2">
        <f t="shared" si="14"/>
        <v>64.176000000000002</v>
      </c>
      <c r="BQ33" s="2">
        <f t="shared" si="44"/>
        <v>0</v>
      </c>
      <c r="BR33" s="3" t="e">
        <f t="shared" si="36"/>
        <v>#DIV/0!</v>
      </c>
      <c r="BS33" s="1">
        <f t="shared" si="37"/>
        <v>84</v>
      </c>
      <c r="BT33" s="2">
        <f t="shared" si="38"/>
        <v>0</v>
      </c>
      <c r="BU33" s="21" t="e">
        <f t="shared" si="39"/>
        <v>#DIV/0!</v>
      </c>
      <c r="BV33" s="2" t="str">
        <f t="shared" si="40"/>
        <v/>
      </c>
      <c r="BW33" s="2" t="str">
        <f t="shared" si="41"/>
        <v/>
      </c>
      <c r="BX33" s="21" t="str">
        <f t="shared" si="42"/>
        <v/>
      </c>
      <c r="BY33" s="15"/>
    </row>
    <row r="34" spans="1:77" x14ac:dyDescent="0.25">
      <c r="A34" t="str">
        <f t="shared" si="16"/>
        <v>Travée</v>
      </c>
      <c r="B34" t="b">
        <f t="shared" si="17"/>
        <v>0</v>
      </c>
      <c r="C34">
        <f>IF(D34=D32,C32,C32+1)</f>
        <v>3</v>
      </c>
      <c r="D34" s="5" t="s">
        <v>106</v>
      </c>
      <c r="E34" t="s">
        <v>51</v>
      </c>
      <c r="F34" s="5">
        <v>25</v>
      </c>
      <c r="G34" t="s">
        <v>46</v>
      </c>
      <c r="H34">
        <v>500</v>
      </c>
      <c r="I34">
        <v>170000</v>
      </c>
      <c r="J34">
        <v>1300</v>
      </c>
      <c r="K34" s="10">
        <v>1445</v>
      </c>
      <c r="L34" s="12">
        <v>1</v>
      </c>
      <c r="M34" s="5">
        <v>0.23499999999999999</v>
      </c>
      <c r="N34" s="10">
        <v>5.3</v>
      </c>
      <c r="O34" s="5">
        <v>6.7840000000000001E-4</v>
      </c>
      <c r="P34">
        <v>0.04</v>
      </c>
      <c r="Q34" s="10">
        <v>1</v>
      </c>
      <c r="R34" s="8">
        <v>0</v>
      </c>
      <c r="S34">
        <v>0</v>
      </c>
      <c r="T34">
        <v>1</v>
      </c>
      <c r="U34" s="9">
        <v>0</v>
      </c>
      <c r="V34">
        <v>0</v>
      </c>
      <c r="W34" s="10">
        <v>1</v>
      </c>
      <c r="X34" s="1">
        <v>0</v>
      </c>
      <c r="Y34" s="2">
        <v>0</v>
      </c>
      <c r="Z34" s="13">
        <v>0</v>
      </c>
      <c r="AA34" s="2">
        <v>0</v>
      </c>
      <c r="AB34" s="2">
        <v>0</v>
      </c>
      <c r="AC34" s="2">
        <v>0</v>
      </c>
      <c r="AD34" s="2"/>
      <c r="AE34" s="7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60.846580869564939</v>
      </c>
      <c r="AP34" s="2">
        <v>60.846580869564939</v>
      </c>
      <c r="AQ34" s="2">
        <v>0</v>
      </c>
      <c r="AR34" s="2">
        <v>0</v>
      </c>
      <c r="AS34" s="2">
        <v>0</v>
      </c>
      <c r="AT34" s="2">
        <v>0</v>
      </c>
      <c r="AU34" s="1">
        <v>0</v>
      </c>
      <c r="AV34" s="2">
        <v>0</v>
      </c>
      <c r="AW34" s="2">
        <v>0</v>
      </c>
      <c r="AX34" s="2">
        <v>60.846580869564939</v>
      </c>
      <c r="AZ34" s="1">
        <f t="shared" si="63"/>
        <v>0</v>
      </c>
      <c r="BA34" s="2">
        <f t="shared" si="64"/>
        <v>0</v>
      </c>
      <c r="BB34" s="7">
        <f t="shared" si="65"/>
        <v>0</v>
      </c>
      <c r="BC34" s="1">
        <f t="shared" si="66"/>
        <v>0</v>
      </c>
      <c r="BD34" s="2">
        <f t="shared" si="67"/>
        <v>0</v>
      </c>
      <c r="BE34" s="2">
        <f t="shared" si="68"/>
        <v>0</v>
      </c>
      <c r="BF34" s="2">
        <f t="shared" si="69"/>
        <v>0</v>
      </c>
      <c r="BG34" s="7">
        <f t="shared" si="70"/>
        <v>0</v>
      </c>
      <c r="BH34" s="1">
        <f t="shared" si="71"/>
        <v>0</v>
      </c>
      <c r="BI34" s="2">
        <f t="shared" si="72"/>
        <v>0</v>
      </c>
      <c r="BJ34" s="2">
        <f t="shared" si="73"/>
        <v>0</v>
      </c>
      <c r="BK34" s="2">
        <f t="shared" si="74"/>
        <v>0</v>
      </c>
      <c r="BL34" s="7">
        <f t="shared" si="75"/>
        <v>0</v>
      </c>
      <c r="BM34" s="2"/>
      <c r="BN34" s="1">
        <f t="shared" si="35"/>
        <v>0</v>
      </c>
      <c r="BO34" s="4" t="str">
        <f t="shared" ref="BO34" si="94">IF(ISNUMBER(SEARCH("Appui",E34)),0,"0")</f>
        <v>0</v>
      </c>
      <c r="BP34" s="2">
        <f t="shared" si="14"/>
        <v>0</v>
      </c>
      <c r="BQ34" s="2">
        <f t="shared" si="44"/>
        <v>60.846580869564939</v>
      </c>
      <c r="BR34" s="3">
        <f t="shared" si="36"/>
        <v>0</v>
      </c>
      <c r="BS34" s="1">
        <f t="shared" si="37"/>
        <v>0</v>
      </c>
      <c r="BT34" s="2">
        <f t="shared" si="38"/>
        <v>60.846580869564939</v>
      </c>
      <c r="BU34" s="21">
        <f t="shared" si="39"/>
        <v>0</v>
      </c>
      <c r="BV34" s="2">
        <f t="shared" si="40"/>
        <v>42</v>
      </c>
      <c r="BW34" s="2">
        <f t="shared" si="41"/>
        <v>60.846580869564939</v>
      </c>
      <c r="BX34" s="21">
        <f t="shared" si="42"/>
        <v>1.4487281159420224</v>
      </c>
      <c r="BY34" s="10" t="str">
        <f t="shared" ref="BY34" si="95">IF(C32&lt;C34,"Rive",IF(C36&gt;C34,"Rive","Inter"))</f>
        <v>Inter</v>
      </c>
    </row>
    <row r="35" spans="1:77" x14ac:dyDescent="0.25">
      <c r="A35" t="str">
        <f t="shared" si="16"/>
        <v>Appui</v>
      </c>
      <c r="B35" t="b">
        <f t="shared" si="17"/>
        <v>0</v>
      </c>
      <c r="C35">
        <f>IF(D35="",100000,IF(D35=D34,C34,C34+1))</f>
        <v>3</v>
      </c>
      <c r="D35" s="5" t="s">
        <v>106</v>
      </c>
      <c r="E35" t="s">
        <v>52</v>
      </c>
      <c r="F35" s="5">
        <v>25</v>
      </c>
      <c r="G35" t="s">
        <v>46</v>
      </c>
      <c r="H35">
        <v>500</v>
      </c>
      <c r="I35">
        <v>170000</v>
      </c>
      <c r="J35">
        <v>1300</v>
      </c>
      <c r="K35" s="10">
        <v>1445</v>
      </c>
      <c r="L35" s="12">
        <v>1</v>
      </c>
      <c r="M35" s="5">
        <v>0.25</v>
      </c>
      <c r="N35" s="10">
        <v>5.3</v>
      </c>
      <c r="O35" s="5">
        <v>0</v>
      </c>
      <c r="P35">
        <v>6.9999999999999993E-2</v>
      </c>
      <c r="Q35" s="10">
        <v>1</v>
      </c>
      <c r="R35" s="8">
        <v>0</v>
      </c>
      <c r="S35">
        <v>0</v>
      </c>
      <c r="T35">
        <v>1</v>
      </c>
      <c r="U35" s="9">
        <v>0</v>
      </c>
      <c r="V35">
        <v>0</v>
      </c>
      <c r="W35" s="10">
        <v>1</v>
      </c>
      <c r="X35" s="1">
        <v>0</v>
      </c>
      <c r="Y35" s="2">
        <v>0</v>
      </c>
      <c r="Z35" s="13">
        <v>0</v>
      </c>
      <c r="AA35" s="2">
        <v>0</v>
      </c>
      <c r="AB35" s="2">
        <v>0</v>
      </c>
      <c r="AC35" s="2">
        <v>0</v>
      </c>
      <c r="AD35" s="2"/>
      <c r="AE35" s="7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1">
        <v>0</v>
      </c>
      <c r="AV35" s="2">
        <v>0</v>
      </c>
      <c r="AW35" s="2">
        <v>0</v>
      </c>
      <c r="AX35" s="2">
        <v>0</v>
      </c>
      <c r="AZ35" s="1">
        <f t="shared" si="63"/>
        <v>0</v>
      </c>
      <c r="BA35" s="2">
        <f t="shared" si="64"/>
        <v>0</v>
      </c>
      <c r="BB35" s="7">
        <f t="shared" si="65"/>
        <v>0</v>
      </c>
      <c r="BC35" s="1">
        <f t="shared" si="66"/>
        <v>0</v>
      </c>
      <c r="BD35" s="2">
        <f t="shared" si="67"/>
        <v>0</v>
      </c>
      <c r="BE35" s="2">
        <f t="shared" si="68"/>
        <v>0</v>
      </c>
      <c r="BF35" s="2">
        <f t="shared" si="69"/>
        <v>0</v>
      </c>
      <c r="BG35" s="7">
        <f t="shared" si="70"/>
        <v>0</v>
      </c>
      <c r="BH35" s="1">
        <f t="shared" si="71"/>
        <v>0</v>
      </c>
      <c r="BI35" s="2">
        <f t="shared" si="72"/>
        <v>0</v>
      </c>
      <c r="BJ35" s="2">
        <f t="shared" si="73"/>
        <v>0</v>
      </c>
      <c r="BK35" s="2">
        <f t="shared" si="74"/>
        <v>0</v>
      </c>
      <c r="BL35" s="7">
        <f t="shared" si="75"/>
        <v>0</v>
      </c>
      <c r="BM35" s="2"/>
      <c r="BN35" s="1">
        <f t="shared" si="35"/>
        <v>0</v>
      </c>
      <c r="BO35" s="4">
        <v>0</v>
      </c>
      <c r="BP35" s="2">
        <f t="shared" si="14"/>
        <v>0</v>
      </c>
      <c r="BQ35" s="2">
        <f t="shared" si="44"/>
        <v>0</v>
      </c>
      <c r="BR35" s="3" t="e">
        <f t="shared" si="36"/>
        <v>#DIV/0!</v>
      </c>
      <c r="BS35" s="1">
        <f t="shared" si="37"/>
        <v>0</v>
      </c>
      <c r="BT35" s="2">
        <f t="shared" si="38"/>
        <v>0</v>
      </c>
      <c r="BU35" s="21" t="e">
        <f t="shared" si="39"/>
        <v>#DIV/0!</v>
      </c>
      <c r="BV35" s="2" t="str">
        <f t="shared" si="40"/>
        <v/>
      </c>
      <c r="BW35" s="2" t="str">
        <f t="shared" si="41"/>
        <v/>
      </c>
      <c r="BX35" s="21" t="str">
        <f t="shared" si="42"/>
        <v/>
      </c>
      <c r="BY35" s="15"/>
    </row>
    <row r="36" spans="1:77" x14ac:dyDescent="0.25">
      <c r="A36" t="str">
        <f t="shared" si="16"/>
        <v>Travée</v>
      </c>
      <c r="B36" t="b">
        <f t="shared" si="17"/>
        <v>0</v>
      </c>
      <c r="C36">
        <f>IF(D36="",100000,IF(D36=D35,C35,C35+1))</f>
        <v>3</v>
      </c>
      <c r="D36" s="5" t="s">
        <v>106</v>
      </c>
      <c r="E36" t="s">
        <v>53</v>
      </c>
      <c r="F36" s="5">
        <v>25</v>
      </c>
      <c r="G36" t="s">
        <v>46</v>
      </c>
      <c r="H36">
        <v>500</v>
      </c>
      <c r="I36">
        <v>170000</v>
      </c>
      <c r="J36">
        <v>1300</v>
      </c>
      <c r="K36" s="10">
        <v>1445</v>
      </c>
      <c r="L36" s="12">
        <v>1</v>
      </c>
      <c r="M36" s="5">
        <v>0.23499999999999999</v>
      </c>
      <c r="N36" s="10">
        <v>5.3</v>
      </c>
      <c r="O36" s="5">
        <v>6.7840000000000001E-4</v>
      </c>
      <c r="P36">
        <v>0.04</v>
      </c>
      <c r="Q36" s="10">
        <v>1</v>
      </c>
      <c r="R36" s="8">
        <v>0</v>
      </c>
      <c r="S36">
        <v>0</v>
      </c>
      <c r="T36">
        <v>1</v>
      </c>
      <c r="U36" s="9">
        <v>0</v>
      </c>
      <c r="V36">
        <v>0</v>
      </c>
      <c r="W36" s="10">
        <v>1</v>
      </c>
      <c r="X36" s="1">
        <v>0</v>
      </c>
      <c r="Y36" s="2">
        <v>0</v>
      </c>
      <c r="Z36" s="13">
        <v>0</v>
      </c>
      <c r="AA36" s="2">
        <v>0</v>
      </c>
      <c r="AB36" s="2">
        <v>0</v>
      </c>
      <c r="AC36" s="2">
        <v>0</v>
      </c>
      <c r="AD36" s="2"/>
      <c r="AE36" s="7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60.846580869564939</v>
      </c>
      <c r="AP36" s="2">
        <v>60.846580869564939</v>
      </c>
      <c r="AQ36" s="2">
        <v>0</v>
      </c>
      <c r="AR36" s="2">
        <v>0</v>
      </c>
      <c r="AS36" s="2">
        <v>0</v>
      </c>
      <c r="AT36" s="2">
        <v>0</v>
      </c>
      <c r="AU36" s="1">
        <v>0</v>
      </c>
      <c r="AV36" s="2">
        <v>0</v>
      </c>
      <c r="AW36" s="2">
        <v>0</v>
      </c>
      <c r="AX36" s="2">
        <v>60.846580869564939</v>
      </c>
      <c r="AZ36" s="1">
        <f t="shared" si="63"/>
        <v>0</v>
      </c>
      <c r="BA36" s="2">
        <f t="shared" si="64"/>
        <v>0</v>
      </c>
      <c r="BB36" s="7">
        <f t="shared" si="65"/>
        <v>0</v>
      </c>
      <c r="BC36" s="1">
        <f t="shared" si="66"/>
        <v>0</v>
      </c>
      <c r="BD36" s="2">
        <f t="shared" si="67"/>
        <v>0</v>
      </c>
      <c r="BE36" s="2">
        <f t="shared" si="68"/>
        <v>0</v>
      </c>
      <c r="BF36" s="2">
        <f t="shared" si="69"/>
        <v>0</v>
      </c>
      <c r="BG36" s="7">
        <f t="shared" si="70"/>
        <v>0</v>
      </c>
      <c r="BH36" s="1">
        <f t="shared" si="71"/>
        <v>0</v>
      </c>
      <c r="BI36" s="2">
        <f t="shared" si="72"/>
        <v>0</v>
      </c>
      <c r="BJ36" s="2">
        <f t="shared" si="73"/>
        <v>0</v>
      </c>
      <c r="BK36" s="2">
        <f t="shared" si="74"/>
        <v>0</v>
      </c>
      <c r="BL36" s="7">
        <f t="shared" si="75"/>
        <v>0</v>
      </c>
      <c r="BN36" s="1">
        <f t="shared" si="35"/>
        <v>0</v>
      </c>
      <c r="BO36" s="4" t="str">
        <f t="shared" ref="BO36" si="96">IF(ISNUMBER(SEARCH("Appui",E36)),0,"0")</f>
        <v>0</v>
      </c>
      <c r="BP36" s="2">
        <f t="shared" si="14"/>
        <v>0</v>
      </c>
      <c r="BQ36" s="2">
        <f t="shared" si="44"/>
        <v>60.846580869564939</v>
      </c>
      <c r="BR36" s="3">
        <f t="shared" si="36"/>
        <v>0</v>
      </c>
      <c r="BS36" s="1">
        <f t="shared" si="37"/>
        <v>0</v>
      </c>
      <c r="BT36" s="2">
        <f t="shared" si="38"/>
        <v>60.846580869564939</v>
      </c>
      <c r="BU36" s="21">
        <f t="shared" si="39"/>
        <v>0</v>
      </c>
      <c r="BV36" s="2">
        <f t="shared" si="40"/>
        <v>35</v>
      </c>
      <c r="BW36" s="2">
        <f t="shared" si="41"/>
        <v>60.846580869564939</v>
      </c>
      <c r="BX36" s="21">
        <f t="shared" si="42"/>
        <v>1.7384737391304268</v>
      </c>
      <c r="BY36" s="10" t="str">
        <f t="shared" ref="BY36" si="97">IF(C34&lt;C36,"Rive",IF(C38&gt;C36,"Rive","Inter"))</f>
        <v>Inter</v>
      </c>
    </row>
    <row r="37" spans="1:77" x14ac:dyDescent="0.25">
      <c r="A37" t="str">
        <f t="shared" si="16"/>
        <v>Appui</v>
      </c>
      <c r="B37" t="b">
        <f t="shared" si="17"/>
        <v>0</v>
      </c>
      <c r="C37">
        <f t="shared" ref="C37:C67" si="98">IF(D37="",100000,IF(D37=D36,C36,C36+1))</f>
        <v>3</v>
      </c>
      <c r="D37" s="5" t="s">
        <v>106</v>
      </c>
      <c r="E37" t="s">
        <v>54</v>
      </c>
      <c r="F37" s="5">
        <v>25</v>
      </c>
      <c r="G37" t="s">
        <v>46</v>
      </c>
      <c r="H37">
        <v>500</v>
      </c>
      <c r="I37">
        <v>170000</v>
      </c>
      <c r="J37">
        <v>1300</v>
      </c>
      <c r="K37" s="10">
        <v>1445</v>
      </c>
      <c r="L37" s="12">
        <v>1</v>
      </c>
      <c r="M37" s="5">
        <v>0.22</v>
      </c>
      <c r="N37" s="10">
        <v>5.3</v>
      </c>
      <c r="O37" s="5">
        <v>0</v>
      </c>
      <c r="P37">
        <v>0.04</v>
      </c>
      <c r="Q37" s="10">
        <v>1</v>
      </c>
      <c r="R37" s="8">
        <v>0</v>
      </c>
      <c r="S37">
        <v>0</v>
      </c>
      <c r="T37">
        <v>1</v>
      </c>
      <c r="U37" s="9">
        <v>0</v>
      </c>
      <c r="V37">
        <v>0</v>
      </c>
      <c r="W37" s="10">
        <v>1</v>
      </c>
      <c r="X37" s="1">
        <v>41.02</v>
      </c>
      <c r="Y37" s="2">
        <v>12.46</v>
      </c>
      <c r="Z37" s="13">
        <v>0</v>
      </c>
      <c r="AA37" s="2">
        <v>41.02</v>
      </c>
      <c r="AB37" s="2">
        <v>12.46</v>
      </c>
      <c r="AC37" s="2">
        <v>70</v>
      </c>
      <c r="AD37" s="2"/>
      <c r="AE37" s="7">
        <v>53.48</v>
      </c>
      <c r="AF37" s="2">
        <v>41.02</v>
      </c>
      <c r="AG37" s="2">
        <v>12.46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70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1">
        <v>53.48</v>
      </c>
      <c r="AV37" s="2">
        <v>0</v>
      </c>
      <c r="AW37" s="2">
        <v>0</v>
      </c>
      <c r="AX37" s="2">
        <v>0</v>
      </c>
      <c r="AZ37" s="1">
        <f t="shared" si="63"/>
        <v>41.02</v>
      </c>
      <c r="BA37" s="2">
        <f t="shared" si="64"/>
        <v>0</v>
      </c>
      <c r="BB37" s="7">
        <f t="shared" si="65"/>
        <v>0</v>
      </c>
      <c r="BC37" s="1">
        <f t="shared" si="66"/>
        <v>12.46</v>
      </c>
      <c r="BD37" s="2">
        <f t="shared" si="67"/>
        <v>0</v>
      </c>
      <c r="BE37" s="2">
        <f t="shared" si="68"/>
        <v>0</v>
      </c>
      <c r="BF37" s="2">
        <f t="shared" si="69"/>
        <v>0</v>
      </c>
      <c r="BG37" s="7">
        <f t="shared" si="70"/>
        <v>0</v>
      </c>
      <c r="BH37" s="1">
        <f t="shared" si="71"/>
        <v>53.480000000000004</v>
      </c>
      <c r="BI37" s="2">
        <f t="shared" si="72"/>
        <v>0</v>
      </c>
      <c r="BJ37" s="2">
        <f t="shared" si="73"/>
        <v>0</v>
      </c>
      <c r="BK37" s="2">
        <f t="shared" si="74"/>
        <v>0</v>
      </c>
      <c r="BL37" s="7">
        <f t="shared" si="75"/>
        <v>0</v>
      </c>
      <c r="BN37" s="1">
        <f t="shared" si="35"/>
        <v>53.48</v>
      </c>
      <c r="BO37" s="4">
        <v>0</v>
      </c>
      <c r="BP37" s="2">
        <f t="shared" si="14"/>
        <v>53.48</v>
      </c>
      <c r="BQ37" s="2">
        <f t="shared" si="44"/>
        <v>0</v>
      </c>
      <c r="BR37" s="3" t="e">
        <f t="shared" si="36"/>
        <v>#DIV/0!</v>
      </c>
      <c r="BS37" s="1">
        <f t="shared" si="37"/>
        <v>70</v>
      </c>
      <c r="BT37" s="2">
        <f t="shared" si="38"/>
        <v>0</v>
      </c>
      <c r="BU37" s="21" t="e">
        <f t="shared" si="39"/>
        <v>#DIV/0!</v>
      </c>
      <c r="BV37" s="2" t="str">
        <f t="shared" si="40"/>
        <v/>
      </c>
      <c r="BW37" s="2" t="str">
        <f t="shared" si="41"/>
        <v/>
      </c>
      <c r="BX37" s="21" t="str">
        <f t="shared" si="42"/>
        <v/>
      </c>
      <c r="BY37" s="15"/>
    </row>
    <row r="38" spans="1:77" x14ac:dyDescent="0.25">
      <c r="A38" t="str">
        <f t="shared" si="16"/>
        <v>Travée</v>
      </c>
      <c r="B38" t="b">
        <f t="shared" si="17"/>
        <v>0</v>
      </c>
      <c r="C38">
        <f t="shared" si="98"/>
        <v>3</v>
      </c>
      <c r="D38" s="5" t="s">
        <v>106</v>
      </c>
      <c r="E38" t="s">
        <v>55</v>
      </c>
      <c r="F38" s="5">
        <v>25</v>
      </c>
      <c r="G38" t="s">
        <v>46</v>
      </c>
      <c r="H38">
        <v>500</v>
      </c>
      <c r="I38">
        <v>170000</v>
      </c>
      <c r="J38">
        <v>1300</v>
      </c>
      <c r="K38" s="10">
        <v>1445</v>
      </c>
      <c r="L38" s="12">
        <v>1</v>
      </c>
      <c r="M38" s="5">
        <v>0.23499999999999999</v>
      </c>
      <c r="N38" s="10">
        <v>5.3</v>
      </c>
      <c r="O38" s="5">
        <v>2.0405000000000002E-3</v>
      </c>
      <c r="P38">
        <v>0.04</v>
      </c>
      <c r="Q38" s="10">
        <v>1</v>
      </c>
      <c r="R38" s="8">
        <v>0</v>
      </c>
      <c r="S38">
        <v>0</v>
      </c>
      <c r="T38">
        <v>1</v>
      </c>
      <c r="U38" s="9">
        <v>3.8400000000000001E-4</v>
      </c>
      <c r="V38">
        <v>0</v>
      </c>
      <c r="W38" s="10">
        <v>1</v>
      </c>
      <c r="X38" s="1">
        <v>86.141999999999996</v>
      </c>
      <c r="Y38" s="2">
        <v>26.166</v>
      </c>
      <c r="Z38" s="13">
        <v>0</v>
      </c>
      <c r="AA38" s="2">
        <v>86.141999999999996</v>
      </c>
      <c r="AB38" s="2">
        <v>26.166</v>
      </c>
      <c r="AC38" s="2">
        <v>147</v>
      </c>
      <c r="AD38" s="2"/>
      <c r="AE38" s="7">
        <v>112.30800000000001</v>
      </c>
      <c r="AF38" s="2">
        <v>86.141999999999996</v>
      </c>
      <c r="AG38" s="2">
        <v>26.166</v>
      </c>
      <c r="AH38" s="2">
        <v>6.1529093502086916</v>
      </c>
      <c r="AI38" s="2">
        <v>1.666151385304961</v>
      </c>
      <c r="AJ38" s="2">
        <v>-227.73626275148251</v>
      </c>
      <c r="AK38" s="2">
        <v>-55.94094136241543</v>
      </c>
      <c r="AL38" s="2">
        <v>0</v>
      </c>
      <c r="AM38" s="2">
        <v>-59.149521161026158</v>
      </c>
      <c r="AN38" s="2">
        <v>147</v>
      </c>
      <c r="AO38" s="2">
        <v>179.98051321430049</v>
      </c>
      <c r="AP38" s="2">
        <v>288.25390324444402</v>
      </c>
      <c r="AQ38" s="2">
        <v>6.6607402449736686</v>
      </c>
      <c r="AR38" s="2">
        <v>-320.25064660708568</v>
      </c>
      <c r="AS38" s="2">
        <v>0</v>
      </c>
      <c r="AT38" s="2">
        <v>-343.75605549548368</v>
      </c>
      <c r="AU38" s="1">
        <v>112.30800000000001</v>
      </c>
      <c r="AV38" s="2">
        <v>5.7502914545196244</v>
      </c>
      <c r="AW38" s="2">
        <v>-303.0593952316504</v>
      </c>
      <c r="AX38" s="2">
        <v>179.98051321430049</v>
      </c>
      <c r="AZ38" s="1">
        <f t="shared" si="63"/>
        <v>86.141999999999996</v>
      </c>
      <c r="BA38" s="2">
        <f t="shared" si="64"/>
        <v>6.1529093502086916</v>
      </c>
      <c r="BB38" s="7">
        <f t="shared" si="65"/>
        <v>-227.73626275148251</v>
      </c>
      <c r="BC38" s="1">
        <f t="shared" si="66"/>
        <v>26.166</v>
      </c>
      <c r="BD38" s="2">
        <f t="shared" si="67"/>
        <v>1.666151385304961</v>
      </c>
      <c r="BE38" s="2">
        <f t="shared" si="68"/>
        <v>-55.94094136241543</v>
      </c>
      <c r="BF38" s="2">
        <f t="shared" si="69"/>
        <v>0</v>
      </c>
      <c r="BG38" s="7">
        <f t="shared" si="70"/>
        <v>-59.149521161026158</v>
      </c>
      <c r="BH38" s="1">
        <f t="shared" si="71"/>
        <v>112.30799999999999</v>
      </c>
      <c r="BI38" s="2">
        <f t="shared" si="72"/>
        <v>7.8190607355136521</v>
      </c>
      <c r="BJ38" s="2">
        <f t="shared" si="73"/>
        <v>283.67720411389791</v>
      </c>
      <c r="BK38" s="2">
        <f t="shared" si="74"/>
        <v>0</v>
      </c>
      <c r="BL38" s="7">
        <f t="shared" si="75"/>
        <v>-59.149521161026158</v>
      </c>
      <c r="BN38" s="1">
        <f t="shared" si="35"/>
        <v>112.30800000000001</v>
      </c>
      <c r="BO38" s="4" t="str">
        <f t="shared" ref="BO38" si="99">IF(ISNUMBER(SEARCH("Appui",E38)),0,"0")</f>
        <v>0</v>
      </c>
      <c r="BP38" s="2">
        <f t="shared" si="14"/>
        <v>112.30800000000001</v>
      </c>
      <c r="BQ38" s="2">
        <f t="shared" si="44"/>
        <v>179.98051321430049</v>
      </c>
      <c r="BR38" s="3">
        <f t="shared" si="36"/>
        <v>0.62400088761985195</v>
      </c>
      <c r="BS38" s="1">
        <f t="shared" si="37"/>
        <v>147</v>
      </c>
      <c r="BT38" s="2">
        <f t="shared" si="38"/>
        <v>288.25390324444402</v>
      </c>
      <c r="BU38" s="21">
        <f t="shared" si="39"/>
        <v>0.50996707536460173</v>
      </c>
      <c r="BV38" s="2">
        <f t="shared" si="40"/>
        <v>214.5</v>
      </c>
      <c r="BW38" s="2">
        <f t="shared" si="41"/>
        <v>288.25390324444402</v>
      </c>
      <c r="BX38" s="21">
        <f t="shared" si="42"/>
        <v>1.3438410407666388</v>
      </c>
      <c r="BY38" s="10" t="str">
        <f t="shared" ref="BY38" si="100">IF(C36&lt;C38,"Rive",IF(C40&gt;C38,"Rive","Inter"))</f>
        <v>Inter</v>
      </c>
    </row>
    <row r="39" spans="1:77" x14ac:dyDescent="0.25">
      <c r="A39" t="str">
        <f t="shared" si="16"/>
        <v>Appui</v>
      </c>
      <c r="B39" t="b">
        <f t="shared" si="17"/>
        <v>0</v>
      </c>
      <c r="C39">
        <f t="shared" si="98"/>
        <v>3</v>
      </c>
      <c r="D39" s="5" t="s">
        <v>106</v>
      </c>
      <c r="E39" t="s">
        <v>56</v>
      </c>
      <c r="F39" s="5">
        <v>25</v>
      </c>
      <c r="G39" t="s">
        <v>46</v>
      </c>
      <c r="H39">
        <v>500</v>
      </c>
      <c r="I39">
        <v>170000</v>
      </c>
      <c r="J39">
        <v>1300</v>
      </c>
      <c r="K39" s="10">
        <v>1445</v>
      </c>
      <c r="L39" s="12">
        <v>1</v>
      </c>
      <c r="M39" s="5">
        <v>0.25</v>
      </c>
      <c r="N39" s="10">
        <v>5.3</v>
      </c>
      <c r="O39" s="5">
        <v>0</v>
      </c>
      <c r="P39">
        <v>6.9999999999999993E-2</v>
      </c>
      <c r="Q39" s="10">
        <v>1</v>
      </c>
      <c r="R39" s="8">
        <v>0</v>
      </c>
      <c r="S39">
        <v>0</v>
      </c>
      <c r="T39">
        <v>1</v>
      </c>
      <c r="U39" s="9">
        <v>0</v>
      </c>
      <c r="V39">
        <v>0</v>
      </c>
      <c r="W39" s="10">
        <v>1</v>
      </c>
      <c r="X39" s="1">
        <v>38.090000000000003</v>
      </c>
      <c r="Y39" s="2">
        <v>11.57</v>
      </c>
      <c r="Z39" s="13">
        <v>0</v>
      </c>
      <c r="AA39" s="2">
        <v>38.090000000000003</v>
      </c>
      <c r="AB39" s="2">
        <v>11.57</v>
      </c>
      <c r="AC39" s="2">
        <v>65</v>
      </c>
      <c r="AD39" s="2"/>
      <c r="AE39" s="7">
        <v>49.66</v>
      </c>
      <c r="AF39" s="2">
        <v>38.090000000000003</v>
      </c>
      <c r="AG39" s="2">
        <v>11.57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65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1">
        <v>49.66</v>
      </c>
      <c r="AV39" s="2">
        <v>0</v>
      </c>
      <c r="AW39" s="2">
        <v>0</v>
      </c>
      <c r="AX39" s="2">
        <v>0</v>
      </c>
      <c r="AZ39" s="1">
        <f t="shared" si="63"/>
        <v>38.090000000000003</v>
      </c>
      <c r="BA39" s="2">
        <f t="shared" si="64"/>
        <v>0</v>
      </c>
      <c r="BB39" s="7">
        <f t="shared" si="65"/>
        <v>0</v>
      </c>
      <c r="BC39" s="1">
        <f t="shared" si="66"/>
        <v>11.57</v>
      </c>
      <c r="BD39" s="2">
        <f t="shared" si="67"/>
        <v>0</v>
      </c>
      <c r="BE39" s="2">
        <f t="shared" si="68"/>
        <v>0</v>
      </c>
      <c r="BF39" s="2">
        <f t="shared" si="69"/>
        <v>0</v>
      </c>
      <c r="BG39" s="7">
        <f t="shared" si="70"/>
        <v>0</v>
      </c>
      <c r="BH39" s="1">
        <f t="shared" si="71"/>
        <v>49.660000000000004</v>
      </c>
      <c r="BI39" s="2">
        <f t="shared" si="72"/>
        <v>0</v>
      </c>
      <c r="BJ39" s="2">
        <f t="shared" si="73"/>
        <v>0</v>
      </c>
      <c r="BK39" s="2">
        <f t="shared" si="74"/>
        <v>0</v>
      </c>
      <c r="BL39" s="7">
        <f t="shared" si="75"/>
        <v>0</v>
      </c>
      <c r="BN39" s="1">
        <f t="shared" si="35"/>
        <v>49.66</v>
      </c>
      <c r="BO39" s="4">
        <v>0</v>
      </c>
      <c r="BP39" s="2">
        <f t="shared" si="14"/>
        <v>49.66</v>
      </c>
      <c r="BQ39" s="2">
        <f t="shared" si="44"/>
        <v>0</v>
      </c>
      <c r="BR39" s="3" t="e">
        <f t="shared" si="36"/>
        <v>#DIV/0!</v>
      </c>
      <c r="BS39" s="1">
        <f t="shared" si="37"/>
        <v>65</v>
      </c>
      <c r="BT39" s="2">
        <f t="shared" si="38"/>
        <v>0</v>
      </c>
      <c r="BU39" s="21" t="e">
        <f t="shared" si="39"/>
        <v>#DIV/0!</v>
      </c>
      <c r="BV39" s="2" t="str">
        <f t="shared" si="40"/>
        <v/>
      </c>
      <c r="BW39" s="2" t="str">
        <f t="shared" si="41"/>
        <v/>
      </c>
      <c r="BX39" s="21" t="str">
        <f t="shared" si="42"/>
        <v/>
      </c>
      <c r="BY39" s="15"/>
    </row>
    <row r="40" spans="1:77" x14ac:dyDescent="0.25">
      <c r="A40" t="str">
        <f t="shared" si="16"/>
        <v>Travée</v>
      </c>
      <c r="B40" t="b">
        <f t="shared" si="17"/>
        <v>0</v>
      </c>
      <c r="C40">
        <f t="shared" si="98"/>
        <v>3</v>
      </c>
      <c r="D40" s="5" t="s">
        <v>106</v>
      </c>
      <c r="E40" t="s">
        <v>57</v>
      </c>
      <c r="F40" s="5">
        <v>25</v>
      </c>
      <c r="G40" t="s">
        <v>46</v>
      </c>
      <c r="H40">
        <v>500</v>
      </c>
      <c r="I40">
        <v>170000</v>
      </c>
      <c r="J40">
        <v>1300</v>
      </c>
      <c r="K40" s="10">
        <v>1445</v>
      </c>
      <c r="L40" s="12">
        <v>1</v>
      </c>
      <c r="M40" s="5">
        <v>0.26</v>
      </c>
      <c r="N40" s="10">
        <v>5.3</v>
      </c>
      <c r="O40" s="5">
        <v>1.3621E-3</v>
      </c>
      <c r="P40">
        <v>0.04</v>
      </c>
      <c r="Q40" s="10">
        <v>1</v>
      </c>
      <c r="R40" s="8">
        <v>0</v>
      </c>
      <c r="S40">
        <v>0</v>
      </c>
      <c r="T40">
        <v>1</v>
      </c>
      <c r="U40" s="9">
        <v>0</v>
      </c>
      <c r="V40">
        <v>0</v>
      </c>
      <c r="W40" s="10">
        <v>1</v>
      </c>
      <c r="X40" s="1">
        <v>42.777999999999999</v>
      </c>
      <c r="Y40" s="2">
        <v>12.994</v>
      </c>
      <c r="Z40" s="13">
        <v>0</v>
      </c>
      <c r="AA40" s="2">
        <v>42.777999999999999</v>
      </c>
      <c r="AB40" s="2">
        <v>12.994</v>
      </c>
      <c r="AC40" s="2">
        <v>73</v>
      </c>
      <c r="AD40" s="2"/>
      <c r="AE40" s="7">
        <v>55.771999999999998</v>
      </c>
      <c r="AF40" s="2">
        <v>42.777999999999999</v>
      </c>
      <c r="AG40" s="2">
        <v>12.994</v>
      </c>
      <c r="AH40" s="2">
        <v>3.0272475458842418</v>
      </c>
      <c r="AI40" s="2">
        <v>0.91953935694094691</v>
      </c>
      <c r="AJ40" s="2">
        <v>-148.5405405429986</v>
      </c>
      <c r="AK40" s="2">
        <v>-45.119822895313568</v>
      </c>
      <c r="AL40" s="2">
        <v>0</v>
      </c>
      <c r="AM40" s="2">
        <v>0</v>
      </c>
      <c r="AN40" s="2">
        <v>73</v>
      </c>
      <c r="AO40" s="2">
        <v>136.9899254721916</v>
      </c>
      <c r="AP40" s="2">
        <v>136.9899254721916</v>
      </c>
      <c r="AQ40" s="2">
        <v>3.752186832462014</v>
      </c>
      <c r="AR40" s="2">
        <v>-257.34358497504053</v>
      </c>
      <c r="AS40" s="2">
        <v>0</v>
      </c>
      <c r="AT40" s="2">
        <v>0</v>
      </c>
      <c r="AU40" s="1">
        <v>55.771999999999998</v>
      </c>
      <c r="AV40" s="2">
        <v>2.8940492703041629</v>
      </c>
      <c r="AW40" s="2">
        <v>-196.5319505595179</v>
      </c>
      <c r="AX40" s="2">
        <v>136.9899254721916</v>
      </c>
      <c r="AZ40" s="1">
        <f t="shared" si="63"/>
        <v>42.777999999999999</v>
      </c>
      <c r="BA40" s="2">
        <f t="shared" si="64"/>
        <v>3.0272475458842418</v>
      </c>
      <c r="BB40" s="7">
        <f t="shared" si="65"/>
        <v>-148.5405405429986</v>
      </c>
      <c r="BC40" s="1">
        <f t="shared" si="66"/>
        <v>12.994</v>
      </c>
      <c r="BD40" s="2">
        <f t="shared" si="67"/>
        <v>0.91953935694094691</v>
      </c>
      <c r="BE40" s="2">
        <f t="shared" si="68"/>
        <v>-45.119822895313568</v>
      </c>
      <c r="BF40" s="2">
        <f t="shared" si="69"/>
        <v>0</v>
      </c>
      <c r="BG40" s="7">
        <f t="shared" si="70"/>
        <v>0</v>
      </c>
      <c r="BH40" s="1">
        <f t="shared" si="71"/>
        <v>55.771999999999998</v>
      </c>
      <c r="BI40" s="2">
        <f t="shared" si="72"/>
        <v>3.9467869028251887</v>
      </c>
      <c r="BJ40" s="2">
        <f t="shared" si="73"/>
        <v>193.66036343831217</v>
      </c>
      <c r="BK40" s="2">
        <f t="shared" si="74"/>
        <v>0</v>
      </c>
      <c r="BL40" s="7">
        <f t="shared" si="75"/>
        <v>0</v>
      </c>
      <c r="BN40" s="1">
        <f t="shared" si="35"/>
        <v>55.771999999999998</v>
      </c>
      <c r="BO40" s="4" t="str">
        <f t="shared" ref="BO40" si="101">IF(ISNUMBER(SEARCH("Appui",E40)),0,"0")</f>
        <v>0</v>
      </c>
      <c r="BP40" s="2">
        <f t="shared" si="14"/>
        <v>55.771999999999998</v>
      </c>
      <c r="BQ40" s="2">
        <f t="shared" si="44"/>
        <v>136.9899254721916</v>
      </c>
      <c r="BR40" s="3">
        <f t="shared" si="36"/>
        <v>0.40712482912709874</v>
      </c>
      <c r="BS40" s="1">
        <f t="shared" si="37"/>
        <v>73</v>
      </c>
      <c r="BT40" s="2">
        <f t="shared" si="38"/>
        <v>136.9899254721916</v>
      </c>
      <c r="BU40" s="21">
        <f t="shared" si="39"/>
        <v>0.53288590199882035</v>
      </c>
      <c r="BV40" s="2">
        <f t="shared" si="40"/>
        <v>105.5</v>
      </c>
      <c r="BW40" s="2">
        <f t="shared" si="41"/>
        <v>136.9899254721916</v>
      </c>
      <c r="BX40" s="21">
        <f t="shared" si="42"/>
        <v>1.2984827058975508</v>
      </c>
      <c r="BY40" s="10" t="str">
        <f t="shared" ref="BY40" si="102">IF(C38&lt;C40,"Rive",IF(C42&gt;C40,"Rive","Inter"))</f>
        <v>Rive</v>
      </c>
    </row>
    <row r="41" spans="1:77" x14ac:dyDescent="0.25">
      <c r="A41" t="str">
        <f t="shared" si="16"/>
        <v/>
      </c>
      <c r="B41" t="b">
        <f t="shared" si="17"/>
        <v>0</v>
      </c>
      <c r="C41">
        <f t="shared" si="98"/>
        <v>3</v>
      </c>
      <c r="D41" s="5" t="s">
        <v>106</v>
      </c>
      <c r="F41" s="5"/>
      <c r="K41" s="10"/>
      <c r="L41" s="12"/>
      <c r="M41" s="5"/>
      <c r="N41" s="10"/>
      <c r="O41" s="5"/>
      <c r="Q41" s="10"/>
      <c r="R41" s="8"/>
      <c r="U41" s="9"/>
      <c r="W41" s="10"/>
      <c r="X41" s="1"/>
      <c r="Y41" s="2"/>
      <c r="Z41" s="13"/>
      <c r="AA41" s="2"/>
      <c r="AB41" s="2"/>
      <c r="AC41" s="2"/>
      <c r="AD41" s="2"/>
      <c r="AE41" s="7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"/>
      <c r="AV41" s="2"/>
      <c r="AW41" s="2"/>
      <c r="AX41" s="2"/>
      <c r="AZ41" s="1">
        <f t="shared" si="63"/>
        <v>0</v>
      </c>
      <c r="BA41" s="2">
        <f t="shared" si="64"/>
        <v>0</v>
      </c>
      <c r="BB41" s="7">
        <f t="shared" si="65"/>
        <v>0</v>
      </c>
      <c r="BC41" s="1">
        <f t="shared" si="66"/>
        <v>0</v>
      </c>
      <c r="BD41" s="2">
        <f t="shared" si="67"/>
        <v>0</v>
      </c>
      <c r="BE41" s="2">
        <f t="shared" si="68"/>
        <v>0</v>
      </c>
      <c r="BF41" s="2">
        <f t="shared" si="69"/>
        <v>0</v>
      </c>
      <c r="BG41" s="7">
        <f t="shared" si="70"/>
        <v>0</v>
      </c>
      <c r="BH41" s="1">
        <f t="shared" si="71"/>
        <v>0</v>
      </c>
      <c r="BI41" s="2">
        <f t="shared" si="72"/>
        <v>0</v>
      </c>
      <c r="BJ41" s="2">
        <f t="shared" si="73"/>
        <v>0</v>
      </c>
      <c r="BK41" s="2">
        <f t="shared" si="74"/>
        <v>0</v>
      </c>
      <c r="BL41" s="7">
        <f t="shared" si="75"/>
        <v>0</v>
      </c>
      <c r="BN41" s="1"/>
      <c r="BO41" s="4">
        <v>0</v>
      </c>
      <c r="BP41" s="2">
        <f t="shared" si="14"/>
        <v>0</v>
      </c>
      <c r="BQ41" s="2">
        <f t="shared" si="44"/>
        <v>0</v>
      </c>
      <c r="BR41" s="3" t="e">
        <f t="shared" si="36"/>
        <v>#DIV/0!</v>
      </c>
      <c r="BS41" s="1">
        <f t="shared" si="37"/>
        <v>0</v>
      </c>
      <c r="BT41" s="2">
        <f t="shared" si="38"/>
        <v>0</v>
      </c>
      <c r="BU41" s="21" t="e">
        <f t="shared" si="39"/>
        <v>#DIV/0!</v>
      </c>
      <c r="BV41" s="2" t="str">
        <f t="shared" si="40"/>
        <v/>
      </c>
      <c r="BW41" s="2" t="str">
        <f t="shared" si="41"/>
        <v/>
      </c>
      <c r="BX41" s="21" t="str">
        <f t="shared" si="42"/>
        <v/>
      </c>
      <c r="BY41" s="15"/>
    </row>
    <row r="42" spans="1:77" x14ac:dyDescent="0.25">
      <c r="A42" t="str">
        <f t="shared" si="16"/>
        <v>Travée</v>
      </c>
      <c r="B42" t="b">
        <f t="shared" si="17"/>
        <v>1</v>
      </c>
      <c r="C42">
        <f t="shared" si="98"/>
        <v>4</v>
      </c>
      <c r="D42" s="5" t="s">
        <v>107</v>
      </c>
      <c r="E42" t="s">
        <v>45</v>
      </c>
      <c r="F42" s="5">
        <v>25</v>
      </c>
      <c r="G42" t="s">
        <v>46</v>
      </c>
      <c r="H42">
        <v>500</v>
      </c>
      <c r="I42">
        <v>170000</v>
      </c>
      <c r="J42">
        <v>1300</v>
      </c>
      <c r="K42" s="10">
        <v>1445</v>
      </c>
      <c r="L42" s="12">
        <v>1</v>
      </c>
      <c r="M42" s="5">
        <v>0.26</v>
      </c>
      <c r="N42" s="10">
        <v>5.3</v>
      </c>
      <c r="O42" s="5">
        <v>1.3621E-3</v>
      </c>
      <c r="P42">
        <v>0.04</v>
      </c>
      <c r="Q42" s="10">
        <v>1</v>
      </c>
      <c r="R42" s="8">
        <v>0</v>
      </c>
      <c r="S42">
        <v>0</v>
      </c>
      <c r="T42">
        <v>1</v>
      </c>
      <c r="U42" s="9">
        <v>2.8800000000000001E-4</v>
      </c>
      <c r="V42">
        <v>0</v>
      </c>
      <c r="W42" s="10">
        <v>1</v>
      </c>
      <c r="X42" s="1">
        <v>41.02</v>
      </c>
      <c r="Y42" s="2">
        <v>12.46</v>
      </c>
      <c r="Z42" s="13">
        <v>0</v>
      </c>
      <c r="AA42" s="2">
        <v>41.02</v>
      </c>
      <c r="AB42" s="2">
        <v>12.46</v>
      </c>
      <c r="AC42" s="2">
        <v>70</v>
      </c>
      <c r="AD42" s="2"/>
      <c r="AE42" s="7">
        <v>53.48</v>
      </c>
      <c r="AF42" s="2">
        <v>41.02</v>
      </c>
      <c r="AG42" s="2">
        <v>12.46</v>
      </c>
      <c r="AH42" s="2">
        <v>2.9028401124917371</v>
      </c>
      <c r="AI42" s="2">
        <v>0.78329174038936922</v>
      </c>
      <c r="AJ42" s="2">
        <v>-142.43613476725889</v>
      </c>
      <c r="AK42" s="2">
        <v>-34.498542436016109</v>
      </c>
      <c r="AL42" s="2">
        <v>0</v>
      </c>
      <c r="AM42" s="2">
        <v>-35.424542729139773</v>
      </c>
      <c r="AN42" s="2">
        <v>70</v>
      </c>
      <c r="AO42" s="2">
        <v>136.9899254721916</v>
      </c>
      <c r="AP42" s="2">
        <v>229.79418275084899</v>
      </c>
      <c r="AQ42" s="2">
        <v>3.2180878819737879</v>
      </c>
      <c r="AR42" s="2">
        <v>-196.53025812588101</v>
      </c>
      <c r="AS42" s="2">
        <v>0</v>
      </c>
      <c r="AT42" s="2">
        <v>-203.7114556221151</v>
      </c>
      <c r="AU42" s="1">
        <v>53.48</v>
      </c>
      <c r="AV42" s="2">
        <v>2.77857313089295</v>
      </c>
      <c r="AW42" s="2">
        <v>-188.44540331087819</v>
      </c>
      <c r="AX42" s="2">
        <v>136.9899254721916</v>
      </c>
      <c r="AZ42" s="1">
        <f t="shared" si="63"/>
        <v>41.02</v>
      </c>
      <c r="BA42" s="2">
        <f t="shared" si="64"/>
        <v>2.9028401124917371</v>
      </c>
      <c r="BB42" s="7">
        <f t="shared" si="65"/>
        <v>-142.43613476725889</v>
      </c>
      <c r="BC42" s="1">
        <f t="shared" si="66"/>
        <v>12.46</v>
      </c>
      <c r="BD42" s="2">
        <f t="shared" si="67"/>
        <v>0.78329174038936922</v>
      </c>
      <c r="BE42" s="2">
        <f t="shared" si="68"/>
        <v>-34.498542436016109</v>
      </c>
      <c r="BF42" s="2">
        <f t="shared" si="69"/>
        <v>0</v>
      </c>
      <c r="BG42" s="7">
        <f t="shared" si="70"/>
        <v>-35.424542729139773</v>
      </c>
      <c r="BH42" s="1">
        <f t="shared" si="71"/>
        <v>53.480000000000004</v>
      </c>
      <c r="BI42" s="2">
        <f t="shared" si="72"/>
        <v>3.6861318528811062</v>
      </c>
      <c r="BJ42" s="2">
        <f t="shared" si="73"/>
        <v>176.93467720327499</v>
      </c>
      <c r="BK42" s="2">
        <f t="shared" si="74"/>
        <v>0</v>
      </c>
      <c r="BL42" s="7">
        <f t="shared" si="75"/>
        <v>-35.424542729139773</v>
      </c>
      <c r="BN42" s="1">
        <f t="shared" si="35"/>
        <v>53.48</v>
      </c>
      <c r="BO42" s="4" t="str">
        <f t="shared" ref="BO42" si="103">IF(ISNUMBER(SEARCH("Appui",E42)),0,"0")</f>
        <v>0</v>
      </c>
      <c r="BP42" s="2">
        <f t="shared" si="14"/>
        <v>53.48</v>
      </c>
      <c r="BQ42" s="2">
        <f t="shared" si="44"/>
        <v>136.9899254721916</v>
      </c>
      <c r="BR42" s="3">
        <f t="shared" si="36"/>
        <v>0.3903936717657111</v>
      </c>
      <c r="BS42" s="1">
        <f t="shared" si="37"/>
        <v>70</v>
      </c>
      <c r="BT42" s="2">
        <f t="shared" si="38"/>
        <v>229.79418275084899</v>
      </c>
      <c r="BU42" s="21">
        <f t="shared" si="39"/>
        <v>0.30462041798462969</v>
      </c>
      <c r="BV42" s="2">
        <f t="shared" si="40"/>
        <v>108.5</v>
      </c>
      <c r="BW42" s="2">
        <f t="shared" si="41"/>
        <v>229.79418275084899</v>
      </c>
      <c r="BX42" s="21">
        <f t="shared" si="42"/>
        <v>2.1179187350308664</v>
      </c>
      <c r="BY42" s="10" t="str">
        <f t="shared" ref="BY42" si="104">IF(C40&lt;C42,"Rive",IF(C44&gt;C42,"Rive","Inter"))</f>
        <v>Rive</v>
      </c>
    </row>
    <row r="43" spans="1:77" x14ac:dyDescent="0.25">
      <c r="A43" t="str">
        <f t="shared" si="16"/>
        <v>Appui</v>
      </c>
      <c r="B43" t="b">
        <f t="shared" si="17"/>
        <v>1</v>
      </c>
      <c r="C43">
        <f t="shared" si="98"/>
        <v>4</v>
      </c>
      <c r="D43" s="5" t="s">
        <v>107</v>
      </c>
      <c r="E43" t="s">
        <v>47</v>
      </c>
      <c r="F43" s="5">
        <v>25</v>
      </c>
      <c r="G43" t="s">
        <v>46</v>
      </c>
      <c r="H43">
        <v>500</v>
      </c>
      <c r="I43">
        <v>170000</v>
      </c>
      <c r="J43">
        <v>1300</v>
      </c>
      <c r="K43" s="10">
        <v>1445</v>
      </c>
      <c r="L43" s="12">
        <v>1</v>
      </c>
      <c r="M43" s="5">
        <v>0.25</v>
      </c>
      <c r="N43" s="10">
        <v>5.3</v>
      </c>
      <c r="O43" s="5">
        <v>0</v>
      </c>
      <c r="P43">
        <v>6.9999999999999993E-2</v>
      </c>
      <c r="Q43" s="10">
        <v>1</v>
      </c>
      <c r="R43" s="8">
        <v>0</v>
      </c>
      <c r="S43">
        <v>0</v>
      </c>
      <c r="T43">
        <v>1</v>
      </c>
      <c r="U43" s="9">
        <v>0</v>
      </c>
      <c r="V43">
        <v>0</v>
      </c>
      <c r="W43" s="10">
        <v>1</v>
      </c>
      <c r="X43" s="1">
        <v>45.122</v>
      </c>
      <c r="Y43" s="2">
        <v>13.706</v>
      </c>
      <c r="Z43" s="13">
        <v>0</v>
      </c>
      <c r="AA43" s="2">
        <v>45.122</v>
      </c>
      <c r="AB43" s="2">
        <v>13.706</v>
      </c>
      <c r="AC43" s="2">
        <v>77</v>
      </c>
      <c r="AD43" s="2"/>
      <c r="AE43" s="7">
        <v>58.828000000000003</v>
      </c>
      <c r="AF43" s="2">
        <v>45.122</v>
      </c>
      <c r="AG43" s="2">
        <v>13.706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77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1">
        <v>58.828000000000003</v>
      </c>
      <c r="AV43" s="2">
        <v>0</v>
      </c>
      <c r="AW43" s="2">
        <v>0</v>
      </c>
      <c r="AX43" s="2">
        <v>0</v>
      </c>
      <c r="AZ43" s="1">
        <f t="shared" si="63"/>
        <v>45.122</v>
      </c>
      <c r="BA43" s="2">
        <f t="shared" si="64"/>
        <v>0</v>
      </c>
      <c r="BB43" s="7">
        <f t="shared" si="65"/>
        <v>0</v>
      </c>
      <c r="BC43" s="1">
        <f t="shared" si="66"/>
        <v>13.706</v>
      </c>
      <c r="BD43" s="2">
        <f t="shared" si="67"/>
        <v>0</v>
      </c>
      <c r="BE43" s="2">
        <f t="shared" si="68"/>
        <v>0</v>
      </c>
      <c r="BF43" s="2">
        <f t="shared" si="69"/>
        <v>0</v>
      </c>
      <c r="BG43" s="7">
        <f t="shared" si="70"/>
        <v>0</v>
      </c>
      <c r="BH43" s="1">
        <f t="shared" si="71"/>
        <v>58.828000000000003</v>
      </c>
      <c r="BI43" s="2">
        <f t="shared" si="72"/>
        <v>0</v>
      </c>
      <c r="BJ43" s="2">
        <f t="shared" si="73"/>
        <v>0</v>
      </c>
      <c r="BK43" s="2">
        <f t="shared" si="74"/>
        <v>0</v>
      </c>
      <c r="BL43" s="7">
        <f t="shared" si="75"/>
        <v>0</v>
      </c>
      <c r="BN43" s="1">
        <f t="shared" si="35"/>
        <v>58.828000000000003</v>
      </c>
      <c r="BO43" s="4">
        <v>0</v>
      </c>
      <c r="BP43" s="2">
        <f t="shared" si="14"/>
        <v>58.828000000000003</v>
      </c>
      <c r="BQ43" s="2">
        <f t="shared" si="44"/>
        <v>0</v>
      </c>
      <c r="BR43" s="3" t="e">
        <f t="shared" si="36"/>
        <v>#DIV/0!</v>
      </c>
      <c r="BS43" s="1">
        <f t="shared" si="37"/>
        <v>77</v>
      </c>
      <c r="BT43" s="2">
        <f t="shared" si="38"/>
        <v>0</v>
      </c>
      <c r="BU43" s="21" t="e">
        <f t="shared" si="39"/>
        <v>#DIV/0!</v>
      </c>
      <c r="BV43" s="2" t="str">
        <f t="shared" si="40"/>
        <v/>
      </c>
      <c r="BW43" s="2" t="str">
        <f t="shared" si="41"/>
        <v/>
      </c>
      <c r="BX43" s="21" t="str">
        <f t="shared" si="42"/>
        <v/>
      </c>
      <c r="BY43" s="15"/>
    </row>
    <row r="44" spans="1:77" x14ac:dyDescent="0.25">
      <c r="A44" t="str">
        <f t="shared" si="16"/>
        <v>Travée</v>
      </c>
      <c r="B44" t="b">
        <f t="shared" si="17"/>
        <v>1</v>
      </c>
      <c r="C44">
        <f t="shared" si="98"/>
        <v>4</v>
      </c>
      <c r="D44" s="5" t="s">
        <v>107</v>
      </c>
      <c r="E44" t="s">
        <v>48</v>
      </c>
      <c r="F44" s="5">
        <v>25</v>
      </c>
      <c r="G44" t="s">
        <v>46</v>
      </c>
      <c r="H44">
        <v>500</v>
      </c>
      <c r="I44">
        <v>170000</v>
      </c>
      <c r="J44">
        <v>1300</v>
      </c>
      <c r="K44" s="10">
        <v>1445</v>
      </c>
      <c r="L44" s="12">
        <v>1</v>
      </c>
      <c r="M44" s="5">
        <v>0.23499999999999999</v>
      </c>
      <c r="N44" s="10">
        <v>5.3</v>
      </c>
      <c r="O44" s="5">
        <v>2.7188999999999998E-3</v>
      </c>
      <c r="P44">
        <v>0.04</v>
      </c>
      <c r="Q44" s="10">
        <v>1</v>
      </c>
      <c r="R44" s="8">
        <v>0</v>
      </c>
      <c r="S44">
        <v>0</v>
      </c>
      <c r="T44">
        <v>1</v>
      </c>
      <c r="U44" s="9">
        <v>2.8800000000000001E-4</v>
      </c>
      <c r="V44">
        <v>0</v>
      </c>
      <c r="W44" s="10">
        <v>1</v>
      </c>
      <c r="X44" s="1">
        <v>96.69</v>
      </c>
      <c r="Y44" s="2">
        <v>29.37</v>
      </c>
      <c r="Z44" s="13">
        <v>0</v>
      </c>
      <c r="AA44" s="2">
        <v>96.69</v>
      </c>
      <c r="AB44" s="2">
        <v>29.37</v>
      </c>
      <c r="AC44" s="2">
        <v>165</v>
      </c>
      <c r="AD44" s="2"/>
      <c r="AE44" s="7">
        <v>126.06</v>
      </c>
      <c r="AF44" s="2">
        <v>96.69</v>
      </c>
      <c r="AG44" s="2">
        <v>29.37</v>
      </c>
      <c r="AH44" s="2">
        <v>6.1072468689812371</v>
      </c>
      <c r="AI44" s="2">
        <v>1.730838731376122</v>
      </c>
      <c r="AJ44" s="2">
        <v>-193.1544953347387</v>
      </c>
      <c r="AK44" s="2">
        <v>-51.776869805735203</v>
      </c>
      <c r="AL44" s="2">
        <v>0</v>
      </c>
      <c r="AM44" s="2">
        <v>-54.955683687291568</v>
      </c>
      <c r="AN44" s="2">
        <v>165</v>
      </c>
      <c r="AO44" s="2">
        <v>234.05165478922521</v>
      </c>
      <c r="AP44" s="2">
        <v>310.58247259053883</v>
      </c>
      <c r="AQ44" s="2">
        <v>6.940364337116101</v>
      </c>
      <c r="AR44" s="2">
        <v>-297.44993922985748</v>
      </c>
      <c r="AS44" s="2">
        <v>0</v>
      </c>
      <c r="AT44" s="2">
        <v>-321.16038170179928</v>
      </c>
      <c r="AU44" s="1">
        <v>126.06</v>
      </c>
      <c r="AV44" s="2">
        <v>5.7447023887059094</v>
      </c>
      <c r="AW44" s="2">
        <v>-257.81987787184738</v>
      </c>
      <c r="AX44" s="2">
        <v>234.05165478922521</v>
      </c>
      <c r="AZ44" s="1">
        <f t="shared" si="63"/>
        <v>96.69</v>
      </c>
      <c r="BA44" s="2">
        <f t="shared" si="64"/>
        <v>6.1072468689812371</v>
      </c>
      <c r="BB44" s="7">
        <f t="shared" si="65"/>
        <v>-193.1544953347387</v>
      </c>
      <c r="BC44" s="1">
        <f t="shared" si="66"/>
        <v>29.37</v>
      </c>
      <c r="BD44" s="2">
        <f t="shared" si="67"/>
        <v>1.730838731376122</v>
      </c>
      <c r="BE44" s="2">
        <f t="shared" si="68"/>
        <v>-51.776869805735203</v>
      </c>
      <c r="BF44" s="2">
        <f t="shared" si="69"/>
        <v>0</v>
      </c>
      <c r="BG44" s="7">
        <f t="shared" si="70"/>
        <v>-54.955683687291568</v>
      </c>
      <c r="BH44" s="1">
        <f t="shared" si="71"/>
        <v>126.06</v>
      </c>
      <c r="BI44" s="2">
        <f t="shared" si="72"/>
        <v>7.8380856003573589</v>
      </c>
      <c r="BJ44" s="2">
        <f t="shared" si="73"/>
        <v>244.9313651404739</v>
      </c>
      <c r="BK44" s="2">
        <f t="shared" si="74"/>
        <v>0</v>
      </c>
      <c r="BL44" s="7">
        <f t="shared" si="75"/>
        <v>-54.955683687291568</v>
      </c>
      <c r="BN44" s="1">
        <f t="shared" si="35"/>
        <v>126.06</v>
      </c>
      <c r="BO44" s="4" t="str">
        <f t="shared" ref="BO44" si="105">IF(ISNUMBER(SEARCH("Appui",E44)),0,"0")</f>
        <v>0</v>
      </c>
      <c r="BP44" s="2">
        <f t="shared" si="14"/>
        <v>126.06</v>
      </c>
      <c r="BQ44" s="2">
        <f t="shared" si="44"/>
        <v>234.05165478922521</v>
      </c>
      <c r="BR44" s="3">
        <f t="shared" si="36"/>
        <v>0.53859905461263713</v>
      </c>
      <c r="BS44" s="1">
        <f t="shared" si="37"/>
        <v>165</v>
      </c>
      <c r="BT44" s="2">
        <f t="shared" si="38"/>
        <v>310.58247259053883</v>
      </c>
      <c r="BU44" s="21">
        <f t="shared" si="39"/>
        <v>0.53125985707999135</v>
      </c>
      <c r="BV44" s="2">
        <f t="shared" si="40"/>
        <v>250</v>
      </c>
      <c r="BW44" s="2">
        <f t="shared" si="41"/>
        <v>310.58247259053883</v>
      </c>
      <c r="BX44" s="21">
        <f t="shared" si="42"/>
        <v>1.2423298903621554</v>
      </c>
      <c r="BY44" s="10" t="str">
        <f t="shared" ref="BY44" si="106">IF(C42&lt;C44,"Rive",IF(C46&gt;C44,"Rive","Inter"))</f>
        <v>Inter</v>
      </c>
    </row>
    <row r="45" spans="1:77" x14ac:dyDescent="0.25">
      <c r="A45" t="str">
        <f t="shared" si="16"/>
        <v>Appui</v>
      </c>
      <c r="B45" t="b">
        <f t="shared" si="17"/>
        <v>1</v>
      </c>
      <c r="C45">
        <f>IF(D45="",100000,IF(D45=D43,C43,C43+1))</f>
        <v>4</v>
      </c>
      <c r="D45" s="5" t="s">
        <v>107</v>
      </c>
      <c r="E45" t="s">
        <v>49</v>
      </c>
      <c r="F45" s="5">
        <v>25</v>
      </c>
      <c r="G45" t="s">
        <v>46</v>
      </c>
      <c r="H45">
        <v>500</v>
      </c>
      <c r="I45">
        <v>170000</v>
      </c>
      <c r="J45">
        <v>1300</v>
      </c>
      <c r="K45" s="10">
        <v>1445</v>
      </c>
      <c r="L45" s="12">
        <v>1</v>
      </c>
      <c r="M45" s="5">
        <v>0.22</v>
      </c>
      <c r="N45" s="10">
        <v>5.3</v>
      </c>
      <c r="O45" s="5">
        <v>0</v>
      </c>
      <c r="P45">
        <v>0.04</v>
      </c>
      <c r="Q45" s="10">
        <v>1</v>
      </c>
      <c r="R45" s="8">
        <v>0</v>
      </c>
      <c r="S45">
        <v>0</v>
      </c>
      <c r="T45">
        <v>1</v>
      </c>
      <c r="U45" s="9">
        <v>0</v>
      </c>
      <c r="V45">
        <v>0</v>
      </c>
      <c r="W45" s="10">
        <v>1</v>
      </c>
      <c r="X45" s="1">
        <v>54.497999999999998</v>
      </c>
      <c r="Y45" s="2">
        <v>16.553999999999998</v>
      </c>
      <c r="Z45" s="13">
        <v>0.25</v>
      </c>
      <c r="AA45" s="2">
        <v>40.8735</v>
      </c>
      <c r="AB45" s="2">
        <v>30.1785</v>
      </c>
      <c r="AC45" s="2">
        <v>93</v>
      </c>
      <c r="AD45" s="2"/>
      <c r="AE45" s="7">
        <v>71.051999999999992</v>
      </c>
      <c r="AF45" s="2">
        <v>40.8735</v>
      </c>
      <c r="AG45" s="2">
        <v>30.1785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93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1">
        <v>71.051999999999992</v>
      </c>
      <c r="AV45" s="2">
        <v>0</v>
      </c>
      <c r="AW45" s="2">
        <v>0</v>
      </c>
      <c r="AX45" s="2">
        <v>0</v>
      </c>
      <c r="AZ45" s="1">
        <f t="shared" si="63"/>
        <v>40.8735</v>
      </c>
      <c r="BA45" s="2">
        <f t="shared" si="64"/>
        <v>0</v>
      </c>
      <c r="BB45" s="7">
        <f t="shared" si="65"/>
        <v>0</v>
      </c>
      <c r="BC45" s="1">
        <f t="shared" si="66"/>
        <v>30.1785</v>
      </c>
      <c r="BD45" s="2">
        <f t="shared" si="67"/>
        <v>0</v>
      </c>
      <c r="BE45" s="2">
        <f t="shared" si="68"/>
        <v>0</v>
      </c>
      <c r="BF45" s="2">
        <f t="shared" si="69"/>
        <v>0</v>
      </c>
      <c r="BG45" s="7">
        <f t="shared" si="70"/>
        <v>0</v>
      </c>
      <c r="BH45" s="1">
        <f t="shared" si="71"/>
        <v>71.051999999999992</v>
      </c>
      <c r="BI45" s="2">
        <f t="shared" si="72"/>
        <v>0</v>
      </c>
      <c r="BJ45" s="2">
        <f t="shared" si="73"/>
        <v>0</v>
      </c>
      <c r="BK45" s="2">
        <f t="shared" si="74"/>
        <v>0</v>
      </c>
      <c r="BL45" s="7">
        <f t="shared" si="75"/>
        <v>0</v>
      </c>
      <c r="BN45" s="1"/>
      <c r="BO45" s="4">
        <v>0</v>
      </c>
      <c r="BP45" s="2">
        <f t="shared" si="14"/>
        <v>0</v>
      </c>
      <c r="BQ45" s="2">
        <f t="shared" si="44"/>
        <v>0</v>
      </c>
      <c r="BR45" s="3" t="e">
        <f t="shared" si="36"/>
        <v>#DIV/0!</v>
      </c>
      <c r="BS45" s="1">
        <f t="shared" si="37"/>
        <v>93</v>
      </c>
      <c r="BT45" s="2">
        <f t="shared" si="38"/>
        <v>0</v>
      </c>
      <c r="BU45" s="21" t="e">
        <f t="shared" si="39"/>
        <v>#DIV/0!</v>
      </c>
      <c r="BV45" s="2" t="str">
        <f t="shared" si="40"/>
        <v/>
      </c>
      <c r="BW45" s="2" t="str">
        <f t="shared" si="41"/>
        <v/>
      </c>
      <c r="BX45" s="21" t="str">
        <f t="shared" si="42"/>
        <v/>
      </c>
      <c r="BY45" s="15"/>
    </row>
    <row r="46" spans="1:77" x14ac:dyDescent="0.25">
      <c r="A46" t="str">
        <f t="shared" si="16"/>
        <v>Travée</v>
      </c>
      <c r="B46" t="b">
        <f t="shared" si="17"/>
        <v>1</v>
      </c>
      <c r="C46">
        <f>IF(D46="",100000,IF(D46=D44,C44,C44+1))</f>
        <v>4</v>
      </c>
      <c r="D46" s="5" t="s">
        <v>107</v>
      </c>
      <c r="E46" t="s">
        <v>51</v>
      </c>
      <c r="F46" s="5">
        <v>25</v>
      </c>
      <c r="G46" t="s">
        <v>46</v>
      </c>
      <c r="H46">
        <v>500</v>
      </c>
      <c r="I46">
        <v>170000</v>
      </c>
      <c r="J46">
        <v>1300</v>
      </c>
      <c r="K46" s="10">
        <v>1445</v>
      </c>
      <c r="L46" s="12">
        <v>1</v>
      </c>
      <c r="M46" s="5">
        <v>0.23499999999999999</v>
      </c>
      <c r="N46" s="10">
        <v>5.3</v>
      </c>
      <c r="O46" s="5">
        <v>6.7840000000000001E-4</v>
      </c>
      <c r="P46">
        <v>0.04</v>
      </c>
      <c r="Q46" s="10">
        <v>1</v>
      </c>
      <c r="R46" s="8">
        <v>0</v>
      </c>
      <c r="S46">
        <v>0</v>
      </c>
      <c r="T46">
        <v>1</v>
      </c>
      <c r="U46" s="9">
        <v>0</v>
      </c>
      <c r="V46">
        <v>0</v>
      </c>
      <c r="W46" s="10">
        <v>1</v>
      </c>
      <c r="X46" s="1">
        <v>0</v>
      </c>
      <c r="Y46" s="2">
        <v>0</v>
      </c>
      <c r="Z46" s="13">
        <v>0.5</v>
      </c>
      <c r="AA46" s="2">
        <v>0</v>
      </c>
      <c r="AB46" s="2">
        <v>0</v>
      </c>
      <c r="AC46" s="2">
        <v>0</v>
      </c>
      <c r="AD46" s="2"/>
      <c r="AE46" s="7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60.846580869564939</v>
      </c>
      <c r="AP46" s="2">
        <v>60.846580869564939</v>
      </c>
      <c r="AQ46" s="2">
        <v>0</v>
      </c>
      <c r="AR46" s="2">
        <v>0</v>
      </c>
      <c r="AS46" s="2">
        <v>0</v>
      </c>
      <c r="AT46" s="2">
        <v>0</v>
      </c>
      <c r="AU46" s="1">
        <v>0</v>
      </c>
      <c r="AV46" s="2">
        <v>0</v>
      </c>
      <c r="AW46" s="2">
        <v>0</v>
      </c>
      <c r="AX46" s="2">
        <v>60.846580869564939</v>
      </c>
      <c r="AZ46" s="1">
        <f t="shared" si="63"/>
        <v>0</v>
      </c>
      <c r="BA46" s="2">
        <f t="shared" si="64"/>
        <v>0</v>
      </c>
      <c r="BB46" s="7">
        <f t="shared" si="65"/>
        <v>0</v>
      </c>
      <c r="BC46" s="1">
        <f t="shared" si="66"/>
        <v>0</v>
      </c>
      <c r="BD46" s="2">
        <f t="shared" si="67"/>
        <v>0</v>
      </c>
      <c r="BE46" s="2">
        <f t="shared" si="68"/>
        <v>0</v>
      </c>
      <c r="BF46" s="2">
        <f t="shared" si="69"/>
        <v>0</v>
      </c>
      <c r="BG46" s="7">
        <f t="shared" si="70"/>
        <v>0</v>
      </c>
      <c r="BH46" s="1">
        <f t="shared" si="71"/>
        <v>0</v>
      </c>
      <c r="BI46" s="2">
        <f t="shared" si="72"/>
        <v>0</v>
      </c>
      <c r="BJ46" s="2">
        <f t="shared" si="73"/>
        <v>0</v>
      </c>
      <c r="BK46" s="2">
        <f t="shared" si="74"/>
        <v>0</v>
      </c>
      <c r="BL46" s="7">
        <f t="shared" si="75"/>
        <v>0</v>
      </c>
      <c r="BN46" s="1">
        <f t="shared" si="35"/>
        <v>0</v>
      </c>
      <c r="BO46" s="4" t="str">
        <f t="shared" ref="BO46" si="107">IF(ISNUMBER(SEARCH("Appui",E46)),0,"0")</f>
        <v>0</v>
      </c>
      <c r="BP46" s="2">
        <f t="shared" si="14"/>
        <v>0</v>
      </c>
      <c r="BQ46" s="2">
        <f t="shared" si="44"/>
        <v>60.846580869564939</v>
      </c>
      <c r="BR46" s="3">
        <f t="shared" si="36"/>
        <v>0</v>
      </c>
      <c r="BS46" s="1">
        <f t="shared" si="37"/>
        <v>0</v>
      </c>
      <c r="BT46" s="2">
        <f t="shared" si="38"/>
        <v>60.846580869564939</v>
      </c>
      <c r="BU46" s="21">
        <f t="shared" si="39"/>
        <v>0</v>
      </c>
      <c r="BV46" s="2">
        <f t="shared" si="40"/>
        <v>46.5</v>
      </c>
      <c r="BW46" s="2">
        <f t="shared" si="41"/>
        <v>90.623771734485018</v>
      </c>
      <c r="BX46" s="21">
        <f t="shared" si="42"/>
        <v>1.9488983168706455</v>
      </c>
      <c r="BY46" s="10" t="str">
        <f t="shared" ref="BY46" si="108">IF(C44&lt;C46,"Rive",IF(C48&gt;C46,"Rive","Inter"))</f>
        <v>Inter</v>
      </c>
    </row>
    <row r="47" spans="1:77" x14ac:dyDescent="0.25">
      <c r="A47" t="str">
        <f t="shared" si="16"/>
        <v>Appui</v>
      </c>
      <c r="B47" t="b">
        <f t="shared" si="17"/>
        <v>1</v>
      </c>
      <c r="C47">
        <f t="shared" si="98"/>
        <v>4</v>
      </c>
      <c r="D47" s="5" t="s">
        <v>107</v>
      </c>
      <c r="E47" t="s">
        <v>52</v>
      </c>
      <c r="F47" s="5">
        <v>25</v>
      </c>
      <c r="G47" t="s">
        <v>46</v>
      </c>
      <c r="H47">
        <v>500</v>
      </c>
      <c r="I47">
        <v>170000</v>
      </c>
      <c r="J47">
        <v>1300</v>
      </c>
      <c r="K47" s="10">
        <v>1445</v>
      </c>
      <c r="L47" s="12">
        <v>1</v>
      </c>
      <c r="M47" s="5">
        <v>0.25</v>
      </c>
      <c r="N47" s="10">
        <v>5.3</v>
      </c>
      <c r="O47" s="5">
        <v>0</v>
      </c>
      <c r="P47">
        <v>6.9999999999999993E-2</v>
      </c>
      <c r="Q47" s="10">
        <v>1</v>
      </c>
      <c r="R47" s="8">
        <v>6.1599333517241381E-4</v>
      </c>
      <c r="S47">
        <v>0.04</v>
      </c>
      <c r="T47">
        <v>1</v>
      </c>
      <c r="U47" s="9">
        <v>0</v>
      </c>
      <c r="V47">
        <v>0</v>
      </c>
      <c r="W47" s="10">
        <v>1</v>
      </c>
      <c r="X47" s="1">
        <v>0</v>
      </c>
      <c r="Y47" s="2">
        <v>0</v>
      </c>
      <c r="Z47" s="13">
        <v>0.5</v>
      </c>
      <c r="AA47" s="2">
        <v>0</v>
      </c>
      <c r="AB47" s="2">
        <v>0</v>
      </c>
      <c r="AC47" s="2">
        <v>0</v>
      </c>
      <c r="AD47" s="2"/>
      <c r="AE47" s="7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59.554381729840159</v>
      </c>
      <c r="AQ47" s="2">
        <v>0</v>
      </c>
      <c r="AR47" s="2">
        <v>0</v>
      </c>
      <c r="AS47" s="2">
        <v>0</v>
      </c>
      <c r="AT47" s="2">
        <v>0</v>
      </c>
      <c r="AU47" s="1">
        <v>0</v>
      </c>
      <c r="AV47" s="2">
        <v>0</v>
      </c>
      <c r="AW47" s="2">
        <v>0</v>
      </c>
      <c r="AX47" s="2">
        <v>59.554381729840159</v>
      </c>
      <c r="AZ47" s="1">
        <f t="shared" si="63"/>
        <v>0</v>
      </c>
      <c r="BA47" s="2">
        <f t="shared" si="64"/>
        <v>0</v>
      </c>
      <c r="BB47" s="7">
        <f t="shared" si="65"/>
        <v>0</v>
      </c>
      <c r="BC47" s="1">
        <f t="shared" si="66"/>
        <v>0</v>
      </c>
      <c r="BD47" s="2">
        <f t="shared" si="67"/>
        <v>0</v>
      </c>
      <c r="BE47" s="2">
        <f t="shared" si="68"/>
        <v>0</v>
      </c>
      <c r="BF47" s="2">
        <f t="shared" si="69"/>
        <v>0</v>
      </c>
      <c r="BG47" s="7">
        <f t="shared" si="70"/>
        <v>0</v>
      </c>
      <c r="BH47" s="1">
        <f t="shared" si="71"/>
        <v>0</v>
      </c>
      <c r="BI47" s="2">
        <f t="shared" si="72"/>
        <v>0</v>
      </c>
      <c r="BJ47" s="2">
        <f t="shared" si="73"/>
        <v>0</v>
      </c>
      <c r="BK47" s="2">
        <f t="shared" si="74"/>
        <v>0</v>
      </c>
      <c r="BL47" s="7">
        <f t="shared" si="75"/>
        <v>0</v>
      </c>
      <c r="BN47" s="1">
        <f t="shared" si="35"/>
        <v>0</v>
      </c>
      <c r="BO47" s="4">
        <v>0</v>
      </c>
      <c r="BP47" s="2">
        <f t="shared" si="14"/>
        <v>0</v>
      </c>
      <c r="BQ47" s="2">
        <f t="shared" si="44"/>
        <v>59.554381729840159</v>
      </c>
      <c r="BR47" s="3">
        <f t="shared" si="36"/>
        <v>0</v>
      </c>
      <c r="BS47" s="1">
        <f t="shared" si="37"/>
        <v>0</v>
      </c>
      <c r="BT47" s="2">
        <f t="shared" si="38"/>
        <v>59.554381729840159</v>
      </c>
      <c r="BU47" s="21">
        <f t="shared" si="39"/>
        <v>0</v>
      </c>
      <c r="BV47" s="2" t="str">
        <f t="shared" si="40"/>
        <v/>
      </c>
      <c r="BW47" s="2" t="str">
        <f t="shared" si="41"/>
        <v/>
      </c>
      <c r="BX47" s="21" t="str">
        <f t="shared" si="42"/>
        <v/>
      </c>
      <c r="BY47" s="15"/>
    </row>
    <row r="48" spans="1:77" x14ac:dyDescent="0.25">
      <c r="A48" t="str">
        <f t="shared" si="16"/>
        <v>Travée</v>
      </c>
      <c r="B48" t="b">
        <f t="shared" si="17"/>
        <v>1</v>
      </c>
      <c r="C48">
        <f t="shared" si="98"/>
        <v>4</v>
      </c>
      <c r="D48" s="5" t="s">
        <v>107</v>
      </c>
      <c r="E48" t="s">
        <v>53</v>
      </c>
      <c r="F48" s="5">
        <v>25</v>
      </c>
      <c r="G48" t="s">
        <v>46</v>
      </c>
      <c r="H48">
        <v>500</v>
      </c>
      <c r="I48">
        <v>170000</v>
      </c>
      <c r="J48">
        <v>1300</v>
      </c>
      <c r="K48" s="10">
        <v>1445</v>
      </c>
      <c r="L48" s="12">
        <v>1</v>
      </c>
      <c r="M48" s="5">
        <v>0.23499999999999999</v>
      </c>
      <c r="N48" s="10">
        <v>5.3</v>
      </c>
      <c r="O48" s="5">
        <v>6.7840000000000001E-4</v>
      </c>
      <c r="P48">
        <v>0.04</v>
      </c>
      <c r="Q48" s="10">
        <v>1</v>
      </c>
      <c r="R48" s="8">
        <v>0</v>
      </c>
      <c r="S48">
        <v>0</v>
      </c>
      <c r="T48">
        <v>1</v>
      </c>
      <c r="U48" s="9">
        <v>2.8800000000000001E-4</v>
      </c>
      <c r="V48">
        <v>0</v>
      </c>
      <c r="W48" s="10">
        <v>1</v>
      </c>
      <c r="X48" s="1">
        <v>0</v>
      </c>
      <c r="Y48" s="2">
        <v>0</v>
      </c>
      <c r="Z48" s="13">
        <v>0.5</v>
      </c>
      <c r="AA48" s="2">
        <v>0</v>
      </c>
      <c r="AB48" s="2">
        <v>0</v>
      </c>
      <c r="AC48" s="2">
        <v>0</v>
      </c>
      <c r="AD48" s="2"/>
      <c r="AE48" s="7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60.846580869564939</v>
      </c>
      <c r="AP48" s="2">
        <v>150.31675597690111</v>
      </c>
      <c r="AQ48" s="2">
        <v>0</v>
      </c>
      <c r="AR48" s="2">
        <v>0</v>
      </c>
      <c r="AS48" s="2">
        <v>0</v>
      </c>
      <c r="AT48" s="2">
        <v>0</v>
      </c>
      <c r="AU48" s="1">
        <v>0</v>
      </c>
      <c r="AV48" s="2">
        <v>0</v>
      </c>
      <c r="AW48" s="2">
        <v>0</v>
      </c>
      <c r="AX48" s="2">
        <v>60.846580869564939</v>
      </c>
      <c r="AZ48" s="1">
        <f t="shared" si="63"/>
        <v>0</v>
      </c>
      <c r="BA48" s="2">
        <f t="shared" si="64"/>
        <v>0</v>
      </c>
      <c r="BB48" s="7">
        <f t="shared" si="65"/>
        <v>0</v>
      </c>
      <c r="BC48" s="1">
        <f t="shared" si="66"/>
        <v>0</v>
      </c>
      <c r="BD48" s="2">
        <f t="shared" si="67"/>
        <v>0</v>
      </c>
      <c r="BE48" s="2">
        <f t="shared" si="68"/>
        <v>0</v>
      </c>
      <c r="BF48" s="2">
        <f t="shared" si="69"/>
        <v>0</v>
      </c>
      <c r="BG48" s="7">
        <f t="shared" si="70"/>
        <v>0</v>
      </c>
      <c r="BH48" s="1">
        <f t="shared" si="71"/>
        <v>0</v>
      </c>
      <c r="BI48" s="2">
        <f t="shared" si="72"/>
        <v>0</v>
      </c>
      <c r="BJ48" s="2">
        <f t="shared" si="73"/>
        <v>0</v>
      </c>
      <c r="BK48" s="2">
        <f t="shared" si="74"/>
        <v>0</v>
      </c>
      <c r="BL48" s="7">
        <f t="shared" si="75"/>
        <v>0</v>
      </c>
      <c r="BN48" s="1">
        <f t="shared" si="35"/>
        <v>0</v>
      </c>
      <c r="BO48" s="4" t="str">
        <f t="shared" ref="BO48" si="109">IF(ISNUMBER(SEARCH("Appui",E48)),0,"0")</f>
        <v>0</v>
      </c>
      <c r="BP48" s="2">
        <f t="shared" si="14"/>
        <v>0</v>
      </c>
      <c r="BQ48" s="2">
        <f t="shared" si="44"/>
        <v>60.846580869564939</v>
      </c>
      <c r="BR48" s="3">
        <f t="shared" si="36"/>
        <v>0</v>
      </c>
      <c r="BS48" s="1">
        <f t="shared" si="37"/>
        <v>0</v>
      </c>
      <c r="BT48" s="2">
        <f t="shared" si="38"/>
        <v>150.31675597690111</v>
      </c>
      <c r="BU48" s="21">
        <f t="shared" si="39"/>
        <v>0</v>
      </c>
      <c r="BV48" s="2">
        <f t="shared" si="40"/>
        <v>82.5</v>
      </c>
      <c r="BW48" s="2">
        <f t="shared" si="41"/>
        <v>205.56600167784646</v>
      </c>
      <c r="BX48" s="21">
        <f t="shared" si="42"/>
        <v>2.4917091112466236</v>
      </c>
      <c r="BY48" s="10" t="str">
        <f t="shared" ref="BY48" si="110">IF(C46&lt;C48,"Rive",IF(C50&gt;C48,"Rive","Inter"))</f>
        <v>Inter</v>
      </c>
    </row>
    <row r="49" spans="1:77" x14ac:dyDescent="0.25">
      <c r="A49" t="str">
        <f t="shared" si="16"/>
        <v>Appui</v>
      </c>
      <c r="B49" t="b">
        <f t="shared" si="17"/>
        <v>1</v>
      </c>
      <c r="C49">
        <f t="shared" si="98"/>
        <v>4</v>
      </c>
      <c r="D49" s="5" t="s">
        <v>107</v>
      </c>
      <c r="E49" t="s">
        <v>54</v>
      </c>
      <c r="F49" s="5">
        <v>25</v>
      </c>
      <c r="G49" t="s">
        <v>46</v>
      </c>
      <c r="H49">
        <v>500</v>
      </c>
      <c r="I49">
        <v>170000</v>
      </c>
      <c r="J49">
        <v>1300</v>
      </c>
      <c r="K49" s="10">
        <v>1445</v>
      </c>
      <c r="L49" s="12">
        <v>1</v>
      </c>
      <c r="M49" s="5">
        <v>0.22</v>
      </c>
      <c r="N49" s="10">
        <v>5.3</v>
      </c>
      <c r="O49" s="5">
        <v>0</v>
      </c>
      <c r="P49">
        <v>0.04</v>
      </c>
      <c r="Q49" s="10">
        <v>1</v>
      </c>
      <c r="R49" s="8">
        <v>6.1599333517241381E-4</v>
      </c>
      <c r="S49">
        <v>0.04</v>
      </c>
      <c r="T49">
        <v>1</v>
      </c>
      <c r="U49" s="9">
        <v>0</v>
      </c>
      <c r="V49">
        <v>0</v>
      </c>
      <c r="W49" s="10">
        <v>1</v>
      </c>
      <c r="X49" s="1">
        <v>96.69</v>
      </c>
      <c r="Y49" s="2">
        <v>29.37</v>
      </c>
      <c r="Z49" s="13">
        <v>0.5</v>
      </c>
      <c r="AA49" s="2">
        <v>48.344999999999999</v>
      </c>
      <c r="AB49" s="2">
        <v>77.715000000000003</v>
      </c>
      <c r="AC49" s="2">
        <v>165</v>
      </c>
      <c r="AD49" s="2"/>
      <c r="AE49" s="7">
        <v>126.06</v>
      </c>
      <c r="AF49" s="2">
        <v>48.344999999999999</v>
      </c>
      <c r="AG49" s="2">
        <v>77.715000000000003</v>
      </c>
      <c r="AH49" s="2">
        <v>0</v>
      </c>
      <c r="AI49" s="2">
        <v>10.78902237197736</v>
      </c>
      <c r="AJ49" s="2">
        <v>0</v>
      </c>
      <c r="AK49" s="2">
        <v>-722.74722618065937</v>
      </c>
      <c r="AL49" s="2">
        <v>-722.74722618065937</v>
      </c>
      <c r="AM49" s="2">
        <v>0</v>
      </c>
      <c r="AN49" s="2">
        <v>165</v>
      </c>
      <c r="AO49" s="2">
        <v>0</v>
      </c>
      <c r="AP49" s="2">
        <v>50.944109672050537</v>
      </c>
      <c r="AQ49" s="2">
        <v>0</v>
      </c>
      <c r="AR49" s="2">
        <v>0</v>
      </c>
      <c r="AS49" s="2">
        <v>0</v>
      </c>
      <c r="AT49" s="2">
        <v>0</v>
      </c>
      <c r="AU49" s="1">
        <v>126.06</v>
      </c>
      <c r="AV49" s="2">
        <v>0</v>
      </c>
      <c r="AW49" s="2">
        <v>0</v>
      </c>
      <c r="AX49" s="2">
        <v>50.944109672050537</v>
      </c>
      <c r="AZ49" s="1">
        <f t="shared" si="63"/>
        <v>48.344999999999999</v>
      </c>
      <c r="BA49" s="2">
        <f t="shared" si="64"/>
        <v>0</v>
      </c>
      <c r="BB49" s="7">
        <f t="shared" si="65"/>
        <v>0</v>
      </c>
      <c r="BC49" s="1">
        <f t="shared" si="66"/>
        <v>77.715000000000003</v>
      </c>
      <c r="BD49" s="2">
        <f t="shared" si="67"/>
        <v>10.78902237197736</v>
      </c>
      <c r="BE49" s="2">
        <f t="shared" si="68"/>
        <v>-722.74722618065937</v>
      </c>
      <c r="BF49" s="2">
        <f t="shared" si="69"/>
        <v>-722.74722618065937</v>
      </c>
      <c r="BG49" s="7">
        <f t="shared" si="70"/>
        <v>0</v>
      </c>
      <c r="BH49" s="1">
        <f t="shared" si="71"/>
        <v>126.06</v>
      </c>
      <c r="BI49" s="2">
        <f t="shared" si="72"/>
        <v>10.78902237197736</v>
      </c>
      <c r="BJ49" s="2">
        <f t="shared" si="73"/>
        <v>722.74722618065937</v>
      </c>
      <c r="BK49" s="2">
        <f t="shared" si="74"/>
        <v>722.74722618065937</v>
      </c>
      <c r="BL49" s="7">
        <f t="shared" si="75"/>
        <v>0</v>
      </c>
      <c r="BN49" s="1">
        <f t="shared" si="35"/>
        <v>126.06</v>
      </c>
      <c r="BO49" s="4">
        <v>0</v>
      </c>
      <c r="BP49" s="2">
        <f t="shared" si="14"/>
        <v>126.06</v>
      </c>
      <c r="BQ49" s="2">
        <f t="shared" si="44"/>
        <v>50.944109672050537</v>
      </c>
      <c r="BR49" s="3">
        <f t="shared" si="36"/>
        <v>2.4744764568760398</v>
      </c>
      <c r="BS49" s="1">
        <f t="shared" si="37"/>
        <v>165</v>
      </c>
      <c r="BT49" s="2">
        <f t="shared" si="38"/>
        <v>50.944109672050537</v>
      </c>
      <c r="BU49" s="21">
        <f t="shared" si="39"/>
        <v>3.2388435299424603</v>
      </c>
      <c r="BV49" s="2" t="str">
        <f t="shared" si="40"/>
        <v/>
      </c>
      <c r="BW49" s="2" t="str">
        <f t="shared" si="41"/>
        <v/>
      </c>
      <c r="BX49" s="21" t="str">
        <f t="shared" si="42"/>
        <v/>
      </c>
      <c r="BY49" s="15"/>
    </row>
    <row r="50" spans="1:77" x14ac:dyDescent="0.25">
      <c r="A50" t="str">
        <f t="shared" si="16"/>
        <v>Travée</v>
      </c>
      <c r="B50" t="b">
        <f t="shared" si="17"/>
        <v>1</v>
      </c>
      <c r="C50">
        <f t="shared" si="98"/>
        <v>4</v>
      </c>
      <c r="D50" s="5" t="s">
        <v>107</v>
      </c>
      <c r="E50" t="s">
        <v>55</v>
      </c>
      <c r="F50" s="5">
        <v>25</v>
      </c>
      <c r="G50" t="s">
        <v>46</v>
      </c>
      <c r="H50">
        <v>500</v>
      </c>
      <c r="I50">
        <v>170000</v>
      </c>
      <c r="J50">
        <v>1300</v>
      </c>
      <c r="K50" s="10">
        <v>1445</v>
      </c>
      <c r="L50" s="12">
        <v>1</v>
      </c>
      <c r="M50" s="5">
        <v>0.23499999999999999</v>
      </c>
      <c r="N50" s="10">
        <v>5.3</v>
      </c>
      <c r="O50" s="5">
        <v>2.0405000000000002E-3</v>
      </c>
      <c r="P50">
        <v>0.04</v>
      </c>
      <c r="Q50" s="10">
        <v>1</v>
      </c>
      <c r="R50" s="8">
        <v>0</v>
      </c>
      <c r="S50">
        <v>0</v>
      </c>
      <c r="T50">
        <v>1</v>
      </c>
      <c r="U50" s="9">
        <v>3.8400000000000001E-4</v>
      </c>
      <c r="V50">
        <v>0</v>
      </c>
      <c r="W50" s="10">
        <v>1</v>
      </c>
      <c r="X50" s="1">
        <v>84.97</v>
      </c>
      <c r="Y50" s="2">
        <v>25.81</v>
      </c>
      <c r="Z50" s="13">
        <v>0.5</v>
      </c>
      <c r="AA50" s="2">
        <v>42.484999999999999</v>
      </c>
      <c r="AB50" s="2">
        <v>68.295000000000002</v>
      </c>
      <c r="AC50" s="2">
        <v>145</v>
      </c>
      <c r="AD50" s="2"/>
      <c r="AE50" s="7">
        <v>110.78</v>
      </c>
      <c r="AF50" s="2">
        <v>42.484999999999999</v>
      </c>
      <c r="AG50" s="2">
        <v>68.295000000000002</v>
      </c>
      <c r="AH50" s="2">
        <v>3.0345981489124489</v>
      </c>
      <c r="AI50" s="2">
        <v>4.3487659122296973</v>
      </c>
      <c r="AJ50" s="2">
        <v>-112.3189050985203</v>
      </c>
      <c r="AK50" s="2">
        <v>-146.00957694512579</v>
      </c>
      <c r="AL50" s="2">
        <v>0</v>
      </c>
      <c r="AM50" s="2">
        <v>-154.38418358527409</v>
      </c>
      <c r="AN50" s="2">
        <v>145</v>
      </c>
      <c r="AO50" s="2">
        <v>179.98051321430049</v>
      </c>
      <c r="AP50" s="2">
        <v>288.25390324444402</v>
      </c>
      <c r="AQ50" s="2">
        <v>6.577517677852267</v>
      </c>
      <c r="AR50" s="2">
        <v>-315.87333654477152</v>
      </c>
      <c r="AS50" s="2">
        <v>0</v>
      </c>
      <c r="AT50" s="2">
        <v>-339.04785331761758</v>
      </c>
      <c r="AU50" s="1">
        <v>110.78</v>
      </c>
      <c r="AV50" s="2">
        <v>5.6772725947716118</v>
      </c>
      <c r="AW50" s="2">
        <v>-298.92090782874988</v>
      </c>
      <c r="AX50" s="2">
        <v>179.98051321430049</v>
      </c>
      <c r="AZ50" s="1">
        <f t="shared" si="63"/>
        <v>42.484999999999999</v>
      </c>
      <c r="BA50" s="2">
        <f t="shared" si="64"/>
        <v>3.0345981489124489</v>
      </c>
      <c r="BB50" s="7">
        <f t="shared" si="65"/>
        <v>-112.3189050985203</v>
      </c>
      <c r="BC50" s="1">
        <f t="shared" si="66"/>
        <v>68.295000000000002</v>
      </c>
      <c r="BD50" s="2">
        <f t="shared" si="67"/>
        <v>4.3487659122296973</v>
      </c>
      <c r="BE50" s="2">
        <f t="shared" si="68"/>
        <v>-146.00957694512579</v>
      </c>
      <c r="BF50" s="2">
        <f t="shared" si="69"/>
        <v>0</v>
      </c>
      <c r="BG50" s="7">
        <f t="shared" si="70"/>
        <v>-154.38418358527409</v>
      </c>
      <c r="BH50" s="1">
        <f t="shared" si="71"/>
        <v>110.78</v>
      </c>
      <c r="BI50" s="2">
        <f t="shared" si="72"/>
        <v>7.3833640611421458</v>
      </c>
      <c r="BJ50" s="2">
        <f t="shared" si="73"/>
        <v>258.32848204364609</v>
      </c>
      <c r="BK50" s="2">
        <f t="shared" si="74"/>
        <v>0</v>
      </c>
      <c r="BL50" s="7">
        <f t="shared" si="75"/>
        <v>-154.38418358527409</v>
      </c>
      <c r="BN50" s="1">
        <f t="shared" si="35"/>
        <v>110.78</v>
      </c>
      <c r="BO50" s="4" t="str">
        <f t="shared" ref="BO50" si="111">IF(ISNUMBER(SEARCH("Appui",E50)),0,"0")</f>
        <v>0</v>
      </c>
      <c r="BP50" s="2">
        <f t="shared" si="14"/>
        <v>110.78</v>
      </c>
      <c r="BQ50" s="2">
        <f t="shared" si="44"/>
        <v>179.98051321430049</v>
      </c>
      <c r="BR50" s="3">
        <f t="shared" si="36"/>
        <v>0.61551107962502405</v>
      </c>
      <c r="BS50" s="1">
        <f t="shared" si="37"/>
        <v>145</v>
      </c>
      <c r="BT50" s="2">
        <f t="shared" si="38"/>
        <v>288.25390324444402</v>
      </c>
      <c r="BU50" s="21">
        <f t="shared" si="39"/>
        <v>0.50302874780862072</v>
      </c>
      <c r="BV50" s="2">
        <f t="shared" si="40"/>
        <v>240.5</v>
      </c>
      <c r="BW50" s="2">
        <f t="shared" si="41"/>
        <v>343.5031489453894</v>
      </c>
      <c r="BX50" s="21">
        <f t="shared" si="42"/>
        <v>1.4282875216024506</v>
      </c>
      <c r="BY50" s="10" t="str">
        <f t="shared" ref="BY50" si="112">IF(C48&lt;C50,"Rive",IF(C52&gt;C50,"Rive","Inter"))</f>
        <v>Inter</v>
      </c>
    </row>
    <row r="51" spans="1:77" x14ac:dyDescent="0.25">
      <c r="A51" t="str">
        <f t="shared" si="16"/>
        <v>Appui</v>
      </c>
      <c r="B51" t="b">
        <f t="shared" si="17"/>
        <v>1</v>
      </c>
      <c r="C51">
        <f t="shared" si="98"/>
        <v>4</v>
      </c>
      <c r="D51" s="5" t="s">
        <v>107</v>
      </c>
      <c r="E51" t="s">
        <v>56</v>
      </c>
      <c r="F51" s="5">
        <v>25</v>
      </c>
      <c r="G51" t="s">
        <v>46</v>
      </c>
      <c r="H51">
        <v>500</v>
      </c>
      <c r="I51">
        <v>170000</v>
      </c>
      <c r="J51">
        <v>1300</v>
      </c>
      <c r="K51" s="10">
        <v>1445</v>
      </c>
      <c r="L51" s="12">
        <v>1</v>
      </c>
      <c r="M51" s="5">
        <v>0.25</v>
      </c>
      <c r="N51" s="10">
        <v>5.3</v>
      </c>
      <c r="O51" s="5">
        <v>0</v>
      </c>
      <c r="P51">
        <v>6.9999999999999993E-2</v>
      </c>
      <c r="Q51" s="10">
        <v>1</v>
      </c>
      <c r="R51" s="8">
        <v>6.1599333517241381E-4</v>
      </c>
      <c r="S51">
        <v>0.04</v>
      </c>
      <c r="T51">
        <v>1</v>
      </c>
      <c r="U51" s="9">
        <v>0</v>
      </c>
      <c r="V51">
        <v>0</v>
      </c>
      <c r="W51" s="10">
        <v>1</v>
      </c>
      <c r="X51" s="1">
        <v>15.236000000000001</v>
      </c>
      <c r="Y51" s="2">
        <v>4.6280000000000001</v>
      </c>
      <c r="Z51" s="13">
        <v>0.5</v>
      </c>
      <c r="AA51" s="2">
        <v>7.6179999999999994</v>
      </c>
      <c r="AB51" s="2">
        <v>12.246</v>
      </c>
      <c r="AC51" s="2">
        <v>26</v>
      </c>
      <c r="AD51" s="2"/>
      <c r="AE51" s="7">
        <v>19.864000000000001</v>
      </c>
      <c r="AF51" s="2">
        <v>7.6179999999999994</v>
      </c>
      <c r="AG51" s="2">
        <v>12.246</v>
      </c>
      <c r="AH51" s="2">
        <v>0</v>
      </c>
      <c r="AI51" s="2">
        <v>1.349402743809023</v>
      </c>
      <c r="AJ51" s="2">
        <v>0</v>
      </c>
      <c r="AK51" s="2">
        <v>-82.201000438310544</v>
      </c>
      <c r="AL51" s="2">
        <v>-97.330204171082471</v>
      </c>
      <c r="AM51" s="2">
        <v>0</v>
      </c>
      <c r="AN51" s="2">
        <v>26</v>
      </c>
      <c r="AO51" s="2">
        <v>0</v>
      </c>
      <c r="AP51" s="2">
        <v>59.554381729840159</v>
      </c>
      <c r="AQ51" s="2">
        <v>2.0862271595747459</v>
      </c>
      <c r="AR51" s="2">
        <v>-175.2691837974613</v>
      </c>
      <c r="AS51" s="2">
        <v>-208.7926122185379</v>
      </c>
      <c r="AT51" s="2">
        <v>0</v>
      </c>
      <c r="AU51" s="1">
        <v>19.864000000000001</v>
      </c>
      <c r="AV51" s="2">
        <v>1.602224611415213</v>
      </c>
      <c r="AW51" s="2">
        <v>-133.89098471746871</v>
      </c>
      <c r="AX51" s="2">
        <v>59.554381729840159</v>
      </c>
      <c r="AZ51" s="1">
        <f t="shared" si="63"/>
        <v>7.6179999999999994</v>
      </c>
      <c r="BA51" s="2">
        <f t="shared" si="64"/>
        <v>0</v>
      </c>
      <c r="BB51" s="7">
        <f t="shared" si="65"/>
        <v>0</v>
      </c>
      <c r="BC51" s="1">
        <f t="shared" si="66"/>
        <v>12.246</v>
      </c>
      <c r="BD51" s="2">
        <f t="shared" si="67"/>
        <v>1.349402743809023</v>
      </c>
      <c r="BE51" s="2">
        <f t="shared" si="68"/>
        <v>-82.201000438310544</v>
      </c>
      <c r="BF51" s="2">
        <f t="shared" si="69"/>
        <v>-97.330204171082471</v>
      </c>
      <c r="BG51" s="7">
        <f t="shared" si="70"/>
        <v>0</v>
      </c>
      <c r="BH51" s="1">
        <f t="shared" si="71"/>
        <v>19.864000000000001</v>
      </c>
      <c r="BI51" s="2">
        <f t="shared" si="72"/>
        <v>1.349402743809023</v>
      </c>
      <c r="BJ51" s="2">
        <f t="shared" si="73"/>
        <v>82.201000438310544</v>
      </c>
      <c r="BK51" s="2">
        <f t="shared" si="74"/>
        <v>97.330204171082471</v>
      </c>
      <c r="BL51" s="7">
        <f t="shared" si="75"/>
        <v>0</v>
      </c>
      <c r="BN51" s="1">
        <f t="shared" si="35"/>
        <v>19.864000000000001</v>
      </c>
      <c r="BO51" s="4">
        <v>0</v>
      </c>
      <c r="BP51" s="2">
        <f t="shared" si="14"/>
        <v>19.864000000000001</v>
      </c>
      <c r="BQ51" s="2">
        <f t="shared" si="44"/>
        <v>59.554381729840159</v>
      </c>
      <c r="BR51" s="3">
        <f t="shared" si="36"/>
        <v>0.33354388750285685</v>
      </c>
      <c r="BS51" s="1">
        <f t="shared" si="37"/>
        <v>26</v>
      </c>
      <c r="BT51" s="2">
        <f t="shared" si="38"/>
        <v>59.554381729840159</v>
      </c>
      <c r="BU51" s="21">
        <f t="shared" si="39"/>
        <v>0.43657576898279693</v>
      </c>
      <c r="BV51" s="2" t="str">
        <f t="shared" si="40"/>
        <v/>
      </c>
      <c r="BW51" s="2" t="str">
        <f t="shared" si="41"/>
        <v/>
      </c>
      <c r="BX51" s="21" t="str">
        <f t="shared" si="42"/>
        <v/>
      </c>
      <c r="BY51" s="15"/>
    </row>
    <row r="52" spans="1:77" x14ac:dyDescent="0.25">
      <c r="A52" t="str">
        <f t="shared" si="16"/>
        <v>Travée</v>
      </c>
      <c r="B52" t="b">
        <f t="shared" si="17"/>
        <v>1</v>
      </c>
      <c r="C52">
        <f t="shared" si="98"/>
        <v>4</v>
      </c>
      <c r="D52" s="5" t="s">
        <v>107</v>
      </c>
      <c r="E52" t="s">
        <v>57</v>
      </c>
      <c r="F52" s="5">
        <v>25</v>
      </c>
      <c r="G52" t="s">
        <v>46</v>
      </c>
      <c r="H52">
        <v>500</v>
      </c>
      <c r="I52">
        <v>170000</v>
      </c>
      <c r="J52">
        <v>1300</v>
      </c>
      <c r="K52" s="10">
        <v>1445</v>
      </c>
      <c r="L52" s="12">
        <v>1</v>
      </c>
      <c r="M52" s="5">
        <v>0.26</v>
      </c>
      <c r="N52" s="10">
        <v>5.3</v>
      </c>
      <c r="O52" s="5">
        <v>6.7840000000000001E-4</v>
      </c>
      <c r="P52">
        <v>0.04</v>
      </c>
      <c r="Q52" s="10">
        <v>1</v>
      </c>
      <c r="R52" s="8">
        <v>0</v>
      </c>
      <c r="S52">
        <v>0</v>
      </c>
      <c r="T52">
        <v>1</v>
      </c>
      <c r="U52" s="9">
        <v>0</v>
      </c>
      <c r="V52">
        <v>0</v>
      </c>
      <c r="W52" s="10">
        <v>1</v>
      </c>
      <c r="X52" s="1">
        <v>0</v>
      </c>
      <c r="Y52" s="2">
        <v>0</v>
      </c>
      <c r="Z52" s="13">
        <v>0.5</v>
      </c>
      <c r="AA52" s="2">
        <v>0</v>
      </c>
      <c r="AB52" s="2">
        <v>0</v>
      </c>
      <c r="AC52" s="2">
        <v>0</v>
      </c>
      <c r="AD52" s="2"/>
      <c r="AE52" s="7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68.748734229747726</v>
      </c>
      <c r="AP52" s="2">
        <v>68.748734229747726</v>
      </c>
      <c r="AQ52" s="2">
        <v>0</v>
      </c>
      <c r="AR52" s="2">
        <v>0</v>
      </c>
      <c r="AS52" s="2">
        <v>0</v>
      </c>
      <c r="AT52" s="2">
        <v>0</v>
      </c>
      <c r="AU52" s="1">
        <v>0</v>
      </c>
      <c r="AV52" s="2">
        <v>0</v>
      </c>
      <c r="AW52" s="2">
        <v>0</v>
      </c>
      <c r="AX52" s="2">
        <v>68.748734229747726</v>
      </c>
      <c r="AZ52" s="1">
        <f t="shared" si="63"/>
        <v>0</v>
      </c>
      <c r="BA52" s="2">
        <f t="shared" si="64"/>
        <v>0</v>
      </c>
      <c r="BB52" s="7">
        <f t="shared" si="65"/>
        <v>0</v>
      </c>
      <c r="BC52" s="1">
        <f t="shared" si="66"/>
        <v>0</v>
      </c>
      <c r="BD52" s="2">
        <f t="shared" si="67"/>
        <v>0</v>
      </c>
      <c r="BE52" s="2">
        <f t="shared" si="68"/>
        <v>0</v>
      </c>
      <c r="BF52" s="2">
        <f t="shared" si="69"/>
        <v>0</v>
      </c>
      <c r="BG52" s="7">
        <f t="shared" si="70"/>
        <v>0</v>
      </c>
      <c r="BH52" s="1">
        <f t="shared" si="71"/>
        <v>0</v>
      </c>
      <c r="BI52" s="2">
        <f t="shared" si="72"/>
        <v>0</v>
      </c>
      <c r="BJ52" s="2">
        <f t="shared" si="73"/>
        <v>0</v>
      </c>
      <c r="BK52" s="2">
        <f t="shared" si="74"/>
        <v>0</v>
      </c>
      <c r="BL52" s="7">
        <f t="shared" si="75"/>
        <v>0</v>
      </c>
      <c r="BN52" s="1">
        <f t="shared" si="35"/>
        <v>0</v>
      </c>
      <c r="BO52" s="4" t="str">
        <f t="shared" ref="BO52" si="113">IF(ISNUMBER(SEARCH("Appui",E52)),0,"0")</f>
        <v>0</v>
      </c>
      <c r="BP52" s="2">
        <f t="shared" si="14"/>
        <v>0</v>
      </c>
      <c r="BQ52" s="2">
        <f t="shared" si="44"/>
        <v>68.748734229747726</v>
      </c>
      <c r="BR52" s="3">
        <f t="shared" si="36"/>
        <v>0</v>
      </c>
      <c r="BS52" s="1">
        <f t="shared" si="37"/>
        <v>0</v>
      </c>
      <c r="BT52" s="2">
        <f t="shared" si="38"/>
        <v>68.748734229747726</v>
      </c>
      <c r="BU52" s="21">
        <f t="shared" si="39"/>
        <v>0</v>
      </c>
      <c r="BV52" s="2">
        <f t="shared" si="40"/>
        <v>13</v>
      </c>
      <c r="BW52" s="2">
        <f t="shared" si="41"/>
        <v>98.525925094667798</v>
      </c>
      <c r="BX52" s="21">
        <f t="shared" si="42"/>
        <v>7.5789173149744462</v>
      </c>
      <c r="BY52" s="10" t="str">
        <f t="shared" ref="BY52" si="114">IF(C50&lt;C52,"Rive",IF(C54&gt;C52,"Rive","Inter"))</f>
        <v>Rive</v>
      </c>
    </row>
    <row r="53" spans="1:77" x14ac:dyDescent="0.25">
      <c r="A53" t="str">
        <f t="shared" si="16"/>
        <v/>
      </c>
      <c r="B53" t="b">
        <f t="shared" si="17"/>
        <v>1</v>
      </c>
      <c r="C53">
        <f t="shared" si="98"/>
        <v>4</v>
      </c>
      <c r="D53" s="5" t="s">
        <v>107</v>
      </c>
      <c r="F53" s="5"/>
      <c r="K53" s="10"/>
      <c r="L53" s="12"/>
      <c r="M53" s="5"/>
      <c r="N53" s="10"/>
      <c r="O53" s="5"/>
      <c r="Q53" s="10"/>
      <c r="R53" s="8"/>
      <c r="U53" s="9"/>
      <c r="W53" s="10"/>
      <c r="X53" s="1"/>
      <c r="Y53" s="2"/>
      <c r="Z53" s="13"/>
      <c r="AA53" s="2"/>
      <c r="AB53" s="2"/>
      <c r="AC53" s="2"/>
      <c r="AD53" s="2"/>
      <c r="AE53" s="7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"/>
      <c r="AV53" s="2"/>
      <c r="AW53" s="2"/>
      <c r="AX53" s="2"/>
      <c r="AZ53" s="1">
        <f t="shared" si="63"/>
        <v>0</v>
      </c>
      <c r="BA53" s="2">
        <f t="shared" si="64"/>
        <v>0</v>
      </c>
      <c r="BB53" s="7">
        <f t="shared" si="65"/>
        <v>0</v>
      </c>
      <c r="BC53" s="1">
        <f t="shared" si="66"/>
        <v>0</v>
      </c>
      <c r="BD53" s="2">
        <f t="shared" si="67"/>
        <v>0</v>
      </c>
      <c r="BE53" s="2">
        <f t="shared" si="68"/>
        <v>0</v>
      </c>
      <c r="BF53" s="2">
        <f t="shared" si="69"/>
        <v>0</v>
      </c>
      <c r="BG53" s="7">
        <f t="shared" si="70"/>
        <v>0</v>
      </c>
      <c r="BH53" s="1">
        <f t="shared" si="71"/>
        <v>0</v>
      </c>
      <c r="BI53" s="2">
        <f t="shared" si="72"/>
        <v>0</v>
      </c>
      <c r="BJ53" s="2">
        <f t="shared" si="73"/>
        <v>0</v>
      </c>
      <c r="BK53" s="2">
        <f t="shared" si="74"/>
        <v>0</v>
      </c>
      <c r="BL53" s="7">
        <f t="shared" si="75"/>
        <v>0</v>
      </c>
      <c r="BN53" s="1">
        <f t="shared" si="35"/>
        <v>0</v>
      </c>
      <c r="BO53" s="4">
        <v>0</v>
      </c>
      <c r="BP53" s="2">
        <f t="shared" si="14"/>
        <v>0</v>
      </c>
      <c r="BQ53" s="2">
        <f t="shared" si="44"/>
        <v>0</v>
      </c>
      <c r="BR53" s="3" t="e">
        <f t="shared" si="36"/>
        <v>#DIV/0!</v>
      </c>
      <c r="BS53" s="1">
        <f t="shared" si="37"/>
        <v>0</v>
      </c>
      <c r="BT53" s="2">
        <f t="shared" si="38"/>
        <v>0</v>
      </c>
      <c r="BU53" s="21" t="e">
        <f t="shared" si="39"/>
        <v>#DIV/0!</v>
      </c>
      <c r="BV53" s="2" t="str">
        <f t="shared" si="40"/>
        <v/>
      </c>
      <c r="BW53" s="2" t="str">
        <f t="shared" si="41"/>
        <v/>
      </c>
      <c r="BX53" s="21" t="str">
        <f t="shared" si="42"/>
        <v/>
      </c>
      <c r="BY53" s="15"/>
    </row>
    <row r="54" spans="1:77" x14ac:dyDescent="0.25">
      <c r="A54" t="str">
        <f t="shared" si="16"/>
        <v>Travée</v>
      </c>
      <c r="B54" t="b">
        <f t="shared" si="17"/>
        <v>0</v>
      </c>
      <c r="C54">
        <f t="shared" si="98"/>
        <v>5</v>
      </c>
      <c r="D54" s="5" t="s">
        <v>108</v>
      </c>
      <c r="E54" t="s">
        <v>45</v>
      </c>
      <c r="F54" s="5">
        <v>25</v>
      </c>
      <c r="G54" t="s">
        <v>46</v>
      </c>
      <c r="H54">
        <v>500</v>
      </c>
      <c r="I54">
        <v>170000</v>
      </c>
      <c r="J54">
        <v>1300</v>
      </c>
      <c r="K54" s="10">
        <v>1445</v>
      </c>
      <c r="L54" s="12">
        <v>1</v>
      </c>
      <c r="M54" s="5">
        <v>0.26</v>
      </c>
      <c r="N54" s="10">
        <v>5.25</v>
      </c>
      <c r="O54" s="5">
        <v>2.02125E-3</v>
      </c>
      <c r="P54">
        <v>0.04</v>
      </c>
      <c r="Q54" s="10">
        <v>1</v>
      </c>
      <c r="R54" s="8">
        <v>0</v>
      </c>
      <c r="S54">
        <v>0</v>
      </c>
      <c r="T54">
        <v>1</v>
      </c>
      <c r="U54" s="9">
        <v>0</v>
      </c>
      <c r="V54">
        <v>0</v>
      </c>
      <c r="W54" s="10">
        <v>1</v>
      </c>
      <c r="X54" s="1">
        <v>49.223999999999997</v>
      </c>
      <c r="Y54" s="2">
        <v>14.952</v>
      </c>
      <c r="Z54" s="13">
        <v>0</v>
      </c>
      <c r="AA54" s="2">
        <v>49.223999999999997</v>
      </c>
      <c r="AB54" s="2">
        <v>14.952</v>
      </c>
      <c r="AC54" s="2">
        <v>84</v>
      </c>
      <c r="AD54" s="2"/>
      <c r="AE54" s="7">
        <v>64.176000000000002</v>
      </c>
      <c r="AF54" s="2">
        <v>49.223999999999997</v>
      </c>
      <c r="AG54" s="2">
        <v>14.952</v>
      </c>
      <c r="AH54" s="2">
        <v>2.936531196761651</v>
      </c>
      <c r="AI54" s="2">
        <v>0.891983878879819</v>
      </c>
      <c r="AJ54" s="2">
        <v>-116.1239799983782</v>
      </c>
      <c r="AK54" s="2">
        <v>-35.273154333978368</v>
      </c>
      <c r="AL54" s="2">
        <v>0</v>
      </c>
      <c r="AM54" s="2">
        <v>0</v>
      </c>
      <c r="AN54" s="2">
        <v>84</v>
      </c>
      <c r="AO54" s="2">
        <v>201.7557870266416</v>
      </c>
      <c r="AP54" s="2">
        <v>201.7557870266416</v>
      </c>
      <c r="AQ54" s="2">
        <v>3.6754312125078652</v>
      </c>
      <c r="AR54" s="2">
        <v>-201.76073016207269</v>
      </c>
      <c r="AS54" s="2">
        <v>0</v>
      </c>
      <c r="AT54" s="2">
        <v>0</v>
      </c>
      <c r="AU54" s="1">
        <v>64.176000000000002</v>
      </c>
      <c r="AV54" s="2">
        <v>2.833154730872129</v>
      </c>
      <c r="AW54" s="2">
        <v>-154.07957207497111</v>
      </c>
      <c r="AX54" s="2">
        <v>201.7557870266416</v>
      </c>
      <c r="AZ54" s="1">
        <f t="shared" si="63"/>
        <v>49.223999999999997</v>
      </c>
      <c r="BA54" s="2">
        <f t="shared" si="64"/>
        <v>2.936531196761651</v>
      </c>
      <c r="BB54" s="7">
        <f t="shared" si="65"/>
        <v>-116.1239799983782</v>
      </c>
      <c r="BC54" s="1">
        <f t="shared" si="66"/>
        <v>14.952</v>
      </c>
      <c r="BD54" s="2">
        <f t="shared" si="67"/>
        <v>0.891983878879819</v>
      </c>
      <c r="BE54" s="2">
        <f t="shared" si="68"/>
        <v>-35.273154333978368</v>
      </c>
      <c r="BF54" s="2">
        <f t="shared" si="69"/>
        <v>0</v>
      </c>
      <c r="BG54" s="7">
        <f t="shared" si="70"/>
        <v>0</v>
      </c>
      <c r="BH54" s="1">
        <f t="shared" si="71"/>
        <v>64.176000000000002</v>
      </c>
      <c r="BI54" s="2">
        <f t="shared" si="72"/>
        <v>3.8285150756414699</v>
      </c>
      <c r="BJ54" s="2">
        <f t="shared" si="73"/>
        <v>151.39713433235659</v>
      </c>
      <c r="BK54" s="2">
        <f t="shared" si="74"/>
        <v>0</v>
      </c>
      <c r="BL54" s="7">
        <f t="shared" si="75"/>
        <v>0</v>
      </c>
      <c r="BN54" s="1">
        <f t="shared" si="35"/>
        <v>64.176000000000002</v>
      </c>
      <c r="BO54" s="4" t="str">
        <f t="shared" ref="BO54" si="115">IF(ISNUMBER(SEARCH("Appui",E54)),0,"0")</f>
        <v>0</v>
      </c>
      <c r="BP54" s="2">
        <f t="shared" si="14"/>
        <v>64.176000000000002</v>
      </c>
      <c r="BQ54" s="2">
        <f t="shared" si="44"/>
        <v>201.7557870266416</v>
      </c>
      <c r="BR54" s="3">
        <f t="shared" si="36"/>
        <v>0.31808753020564234</v>
      </c>
      <c r="BS54" s="1">
        <f t="shared" si="37"/>
        <v>84</v>
      </c>
      <c r="BT54" s="2">
        <f t="shared" si="38"/>
        <v>201.7557870266416</v>
      </c>
      <c r="BU54" s="21">
        <f t="shared" si="39"/>
        <v>0.41634493482413915</v>
      </c>
      <c r="BV54" s="2">
        <f t="shared" si="40"/>
        <v>107.5</v>
      </c>
      <c r="BW54" s="2">
        <f t="shared" si="41"/>
        <v>201.7557870266416</v>
      </c>
      <c r="BX54" s="21">
        <f t="shared" si="42"/>
        <v>1.87679801885248</v>
      </c>
      <c r="BY54" s="10" t="str">
        <f t="shared" ref="BY54" si="116">IF(C52&lt;C54,"Rive",IF(C56&gt;C54,"Rive","Inter"))</f>
        <v>Rive</v>
      </c>
    </row>
    <row r="55" spans="1:77" x14ac:dyDescent="0.25">
      <c r="A55" t="str">
        <f t="shared" si="16"/>
        <v>Appui</v>
      </c>
      <c r="B55" t="b">
        <f t="shared" si="17"/>
        <v>0</v>
      </c>
      <c r="C55">
        <f t="shared" si="98"/>
        <v>5</v>
      </c>
      <c r="D55" s="5" t="s">
        <v>108</v>
      </c>
      <c r="E55" t="s">
        <v>47</v>
      </c>
      <c r="F55" s="5">
        <v>25</v>
      </c>
      <c r="G55" t="s">
        <v>46</v>
      </c>
      <c r="H55">
        <v>500</v>
      </c>
      <c r="I55">
        <v>170000</v>
      </c>
      <c r="J55">
        <v>1300</v>
      </c>
      <c r="K55" s="10">
        <v>1445</v>
      </c>
      <c r="L55" s="12">
        <v>1</v>
      </c>
      <c r="M55" s="5">
        <v>0.25</v>
      </c>
      <c r="N55" s="10">
        <v>5.25</v>
      </c>
      <c r="O55" s="5">
        <v>0</v>
      </c>
      <c r="P55">
        <v>6.9999999999999993E-2</v>
      </c>
      <c r="Q55" s="10">
        <v>1</v>
      </c>
      <c r="R55" s="8">
        <v>0</v>
      </c>
      <c r="S55">
        <v>0</v>
      </c>
      <c r="T55">
        <v>1</v>
      </c>
      <c r="U55" s="9">
        <v>0</v>
      </c>
      <c r="V55">
        <v>0</v>
      </c>
      <c r="W55" s="10">
        <v>1</v>
      </c>
      <c r="X55" s="1">
        <v>27.542000000000002</v>
      </c>
      <c r="Y55" s="2">
        <v>8.3659999999999997</v>
      </c>
      <c r="Z55" s="13">
        <v>0</v>
      </c>
      <c r="AA55" s="2">
        <v>27.542000000000002</v>
      </c>
      <c r="AB55" s="2">
        <v>8.3659999999999997</v>
      </c>
      <c r="AC55" s="2">
        <v>47</v>
      </c>
      <c r="AD55" s="2"/>
      <c r="AE55" s="7">
        <v>35.908000000000001</v>
      </c>
      <c r="AF55" s="2">
        <v>27.542000000000002</v>
      </c>
      <c r="AG55" s="2">
        <v>8.3659999999999997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47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1">
        <v>35.908000000000001</v>
      </c>
      <c r="AV55" s="2">
        <v>0</v>
      </c>
      <c r="AW55" s="2">
        <v>0</v>
      </c>
      <c r="AX55" s="2">
        <v>0</v>
      </c>
      <c r="AZ55" s="1">
        <f t="shared" si="63"/>
        <v>27.542000000000002</v>
      </c>
      <c r="BA55" s="2">
        <f t="shared" si="64"/>
        <v>0</v>
      </c>
      <c r="BB55" s="7">
        <f t="shared" si="65"/>
        <v>0</v>
      </c>
      <c r="BC55" s="1">
        <f t="shared" si="66"/>
        <v>8.3659999999999997</v>
      </c>
      <c r="BD55" s="2">
        <f t="shared" si="67"/>
        <v>0</v>
      </c>
      <c r="BE55" s="2">
        <f t="shared" si="68"/>
        <v>0</v>
      </c>
      <c r="BF55" s="2">
        <f t="shared" si="69"/>
        <v>0</v>
      </c>
      <c r="BG55" s="7">
        <f t="shared" si="70"/>
        <v>0</v>
      </c>
      <c r="BH55" s="1">
        <f t="shared" si="71"/>
        <v>35.908000000000001</v>
      </c>
      <c r="BI55" s="2">
        <f t="shared" si="72"/>
        <v>0</v>
      </c>
      <c r="BJ55" s="2">
        <f t="shared" si="73"/>
        <v>0</v>
      </c>
      <c r="BK55" s="2">
        <f t="shared" si="74"/>
        <v>0</v>
      </c>
      <c r="BL55" s="7">
        <f t="shared" si="75"/>
        <v>0</v>
      </c>
      <c r="BN55" s="1">
        <f t="shared" si="35"/>
        <v>35.908000000000001</v>
      </c>
      <c r="BO55" s="4">
        <v>0</v>
      </c>
      <c r="BP55" s="2">
        <f t="shared" si="14"/>
        <v>35.908000000000001</v>
      </c>
      <c r="BQ55" s="2">
        <f t="shared" si="44"/>
        <v>0</v>
      </c>
      <c r="BR55" s="3" t="e">
        <f t="shared" si="36"/>
        <v>#DIV/0!</v>
      </c>
      <c r="BS55" s="1">
        <f t="shared" si="37"/>
        <v>47</v>
      </c>
      <c r="BT55" s="2">
        <f t="shared" si="38"/>
        <v>0</v>
      </c>
      <c r="BU55" s="21" t="e">
        <f t="shared" si="39"/>
        <v>#DIV/0!</v>
      </c>
      <c r="BV55" s="2" t="str">
        <f t="shared" si="40"/>
        <v/>
      </c>
      <c r="BW55" s="2" t="str">
        <f t="shared" si="41"/>
        <v/>
      </c>
      <c r="BX55" s="21" t="str">
        <f t="shared" si="42"/>
        <v/>
      </c>
      <c r="BY55" s="15"/>
    </row>
    <row r="56" spans="1:77" x14ac:dyDescent="0.25">
      <c r="A56" t="str">
        <f t="shared" si="16"/>
        <v>Travée</v>
      </c>
      <c r="B56" t="b">
        <f t="shared" si="17"/>
        <v>0</v>
      </c>
      <c r="C56">
        <f t="shared" si="98"/>
        <v>5</v>
      </c>
      <c r="D56" s="5" t="s">
        <v>108</v>
      </c>
      <c r="E56" t="s">
        <v>48</v>
      </c>
      <c r="F56" s="5">
        <v>25</v>
      </c>
      <c r="G56" t="s">
        <v>46</v>
      </c>
      <c r="H56">
        <v>500</v>
      </c>
      <c r="I56">
        <v>170000</v>
      </c>
      <c r="J56">
        <v>1300</v>
      </c>
      <c r="K56" s="10">
        <v>1445</v>
      </c>
      <c r="L56" s="12">
        <v>1</v>
      </c>
      <c r="M56" s="5">
        <v>0.23499999999999999</v>
      </c>
      <c r="N56" s="10">
        <v>5.25</v>
      </c>
      <c r="O56" s="5">
        <v>2.6932499999999999E-3</v>
      </c>
      <c r="P56">
        <v>0.04</v>
      </c>
      <c r="Q56" s="10">
        <v>1</v>
      </c>
      <c r="R56" s="8">
        <v>0</v>
      </c>
      <c r="S56">
        <v>0</v>
      </c>
      <c r="T56">
        <v>1</v>
      </c>
      <c r="U56" s="9">
        <v>0</v>
      </c>
      <c r="V56">
        <v>0</v>
      </c>
      <c r="W56" s="10">
        <v>1</v>
      </c>
      <c r="X56" s="1">
        <v>73.25</v>
      </c>
      <c r="Y56" s="2">
        <v>22.25</v>
      </c>
      <c r="Z56" s="13">
        <v>0</v>
      </c>
      <c r="AA56" s="2">
        <v>73.25</v>
      </c>
      <c r="AB56" s="2">
        <v>22.25</v>
      </c>
      <c r="AC56" s="2">
        <v>125</v>
      </c>
      <c r="AD56" s="2"/>
      <c r="AE56" s="7">
        <v>95.5</v>
      </c>
      <c r="AF56" s="2">
        <v>73.25</v>
      </c>
      <c r="AG56" s="2">
        <v>22.25</v>
      </c>
      <c r="AH56" s="2">
        <v>4.6707660036941618</v>
      </c>
      <c r="AI56" s="2">
        <v>1.4187634324475391</v>
      </c>
      <c r="AJ56" s="2">
        <v>-147.722774209829</v>
      </c>
      <c r="AK56" s="2">
        <v>-44.871433379902342</v>
      </c>
      <c r="AL56" s="2">
        <v>0</v>
      </c>
      <c r="AM56" s="2">
        <v>0</v>
      </c>
      <c r="AN56" s="2">
        <v>125</v>
      </c>
      <c r="AO56" s="2">
        <v>231.84362031008189</v>
      </c>
      <c r="AP56" s="2">
        <v>231.84362031008189</v>
      </c>
      <c r="AQ56" s="2">
        <v>5.75025376818372</v>
      </c>
      <c r="AR56" s="2">
        <v>-258.0878483937654</v>
      </c>
      <c r="AS56" s="2">
        <v>0</v>
      </c>
      <c r="AT56" s="2">
        <v>0</v>
      </c>
      <c r="AU56" s="1">
        <v>95.5</v>
      </c>
      <c r="AV56" s="2">
        <v>4.4608750892116236</v>
      </c>
      <c r="AW56" s="2">
        <v>-196.9879875766992</v>
      </c>
      <c r="AX56" s="2">
        <v>231.84362031008189</v>
      </c>
      <c r="AZ56" s="1">
        <f t="shared" si="63"/>
        <v>73.25</v>
      </c>
      <c r="BA56" s="2">
        <f t="shared" si="64"/>
        <v>4.6707660036941618</v>
      </c>
      <c r="BB56" s="7">
        <f t="shared" si="65"/>
        <v>-147.722774209829</v>
      </c>
      <c r="BC56" s="1">
        <f t="shared" si="66"/>
        <v>22.25</v>
      </c>
      <c r="BD56" s="2">
        <f t="shared" si="67"/>
        <v>1.4187634324475391</v>
      </c>
      <c r="BE56" s="2">
        <f t="shared" si="68"/>
        <v>-44.871433379902342</v>
      </c>
      <c r="BF56" s="2">
        <f t="shared" si="69"/>
        <v>0</v>
      </c>
      <c r="BG56" s="7">
        <f t="shared" si="70"/>
        <v>0</v>
      </c>
      <c r="BH56" s="1">
        <f t="shared" si="71"/>
        <v>95.5</v>
      </c>
      <c r="BI56" s="2">
        <f t="shared" si="72"/>
        <v>6.0895294361417012</v>
      </c>
      <c r="BJ56" s="2">
        <f t="shared" si="73"/>
        <v>192.59420758973135</v>
      </c>
      <c r="BK56" s="2">
        <f t="shared" si="74"/>
        <v>0</v>
      </c>
      <c r="BL56" s="7">
        <f t="shared" si="75"/>
        <v>0</v>
      </c>
      <c r="BN56" s="1">
        <f t="shared" si="35"/>
        <v>95.5</v>
      </c>
      <c r="BO56" s="4" t="str">
        <f t="shared" ref="BO56" si="117">IF(ISNUMBER(SEARCH("Appui",E56)),0,"0")</f>
        <v>0</v>
      </c>
      <c r="BP56" s="2">
        <f t="shared" si="14"/>
        <v>95.5</v>
      </c>
      <c r="BQ56" s="2">
        <f t="shared" si="44"/>
        <v>231.84362031008189</v>
      </c>
      <c r="BR56" s="3">
        <f t="shared" si="36"/>
        <v>0.41191558289278107</v>
      </c>
      <c r="BS56" s="1">
        <f t="shared" si="37"/>
        <v>125</v>
      </c>
      <c r="BT56" s="2">
        <f t="shared" si="38"/>
        <v>231.84362031008189</v>
      </c>
      <c r="BU56" s="21">
        <f t="shared" si="39"/>
        <v>0.53915652211096998</v>
      </c>
      <c r="BV56" s="2">
        <f t="shared" si="40"/>
        <v>148.5</v>
      </c>
      <c r="BW56" s="2">
        <f t="shared" si="41"/>
        <v>231.84362031008189</v>
      </c>
      <c r="BX56" s="21">
        <f t="shared" si="42"/>
        <v>1.5612365004045918</v>
      </c>
      <c r="BY56" s="10" t="str">
        <f t="shared" ref="BY56" si="118">IF(C54&lt;C56,"Rive",IF(C58&gt;C56,"Rive","Inter"))</f>
        <v>Rive</v>
      </c>
    </row>
    <row r="57" spans="1:77" x14ac:dyDescent="0.25">
      <c r="A57" t="str">
        <f t="shared" si="16"/>
        <v/>
      </c>
      <c r="B57" t="b">
        <f t="shared" si="17"/>
        <v>1</v>
      </c>
      <c r="C57">
        <f>IF(D57="",100000,IF(D57=D55,C55,C55+1))</f>
        <v>100000</v>
      </c>
      <c r="D57" s="5"/>
      <c r="F57" s="5"/>
      <c r="K57" s="10"/>
      <c r="L57" s="12"/>
      <c r="M57" s="5"/>
      <c r="N57" s="10"/>
      <c r="O57" s="5"/>
      <c r="Q57" s="10"/>
      <c r="R57" s="8"/>
      <c r="U57" s="9"/>
      <c r="W57" s="10"/>
      <c r="X57" s="1"/>
      <c r="Y57" s="2"/>
      <c r="Z57" s="13"/>
      <c r="AA57" s="2"/>
      <c r="AB57" s="2"/>
      <c r="AC57" s="2"/>
      <c r="AD57" s="2"/>
      <c r="AE57" s="7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"/>
      <c r="AV57" s="2"/>
      <c r="AW57" s="2"/>
      <c r="AX57" s="2"/>
      <c r="AZ57" s="1"/>
      <c r="BA57" s="2"/>
      <c r="BB57" s="7"/>
      <c r="BC57" s="1"/>
      <c r="BD57" s="2"/>
      <c r="BE57" s="2"/>
      <c r="BF57" s="2"/>
      <c r="BG57" s="7"/>
      <c r="BH57" s="1"/>
      <c r="BI57" s="2"/>
      <c r="BJ57" s="2"/>
      <c r="BK57" s="2"/>
      <c r="BL57" s="7"/>
      <c r="BN57" s="1"/>
      <c r="BO57" s="4" t="str">
        <f t="shared" ref="BO57:BO66" si="119">IF(ISNUMBER(SEARCH("Appui",E57)),0,"0")</f>
        <v>0</v>
      </c>
      <c r="BP57" s="2">
        <f t="shared" si="14"/>
        <v>0</v>
      </c>
      <c r="BQ57" s="2"/>
      <c r="BR57" s="3"/>
      <c r="BS57" s="1">
        <f t="shared" si="24"/>
        <v>0</v>
      </c>
      <c r="BT57" s="2">
        <f t="shared" si="25"/>
        <v>0</v>
      </c>
      <c r="BU57" s="21" t="e">
        <f t="shared" si="21"/>
        <v>#DIV/0!</v>
      </c>
      <c r="BV57" s="2" t="str">
        <f t="shared" si="26"/>
        <v/>
      </c>
      <c r="BW57" s="2" t="str">
        <f t="shared" si="27"/>
        <v/>
      </c>
      <c r="BX57" s="21" t="str">
        <f t="shared" si="22"/>
        <v/>
      </c>
      <c r="BY57" s="15"/>
    </row>
    <row r="58" spans="1:77" x14ac:dyDescent="0.25">
      <c r="A58" t="str">
        <f t="shared" si="16"/>
        <v/>
      </c>
      <c r="B58" t="b">
        <f t="shared" si="17"/>
        <v>1</v>
      </c>
      <c r="C58">
        <f>IF(D58="",100000,IF(D58=D56,C56,C56+1))</f>
        <v>100000</v>
      </c>
      <c r="D58" s="5"/>
      <c r="F58" s="5"/>
      <c r="K58" s="10"/>
      <c r="L58" s="12"/>
      <c r="M58" s="5"/>
      <c r="N58" s="10"/>
      <c r="O58" s="5"/>
      <c r="Q58" s="10"/>
      <c r="R58" s="8"/>
      <c r="U58" s="9"/>
      <c r="W58" s="10"/>
      <c r="X58" s="1"/>
      <c r="Y58" s="2"/>
      <c r="Z58" s="13"/>
      <c r="AA58" s="2"/>
      <c r="AB58" s="2"/>
      <c r="AC58" s="2"/>
      <c r="AD58" s="2"/>
      <c r="AE58" s="7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"/>
      <c r="AV58" s="2"/>
      <c r="AW58" s="2"/>
      <c r="AX58" s="2"/>
      <c r="AZ58" s="1"/>
      <c r="BA58" s="2"/>
      <c r="BB58" s="7"/>
      <c r="BC58" s="1"/>
      <c r="BD58" s="2"/>
      <c r="BE58" s="2"/>
      <c r="BF58" s="2"/>
      <c r="BG58" s="7"/>
      <c r="BH58" s="1"/>
      <c r="BI58" s="2"/>
      <c r="BJ58" s="2"/>
      <c r="BK58" s="2"/>
      <c r="BL58" s="7"/>
      <c r="BN58" s="1">
        <f t="shared" si="35"/>
        <v>0</v>
      </c>
      <c r="BO58" s="4" t="str">
        <f t="shared" si="119"/>
        <v>0</v>
      </c>
      <c r="BP58" s="2">
        <f t="shared" si="14"/>
        <v>0</v>
      </c>
      <c r="BQ58" s="2">
        <f t="shared" si="33"/>
        <v>0</v>
      </c>
      <c r="BR58" s="3" t="e">
        <f t="shared" si="15"/>
        <v>#DIV/0!</v>
      </c>
      <c r="BS58" s="1">
        <f t="shared" si="24"/>
        <v>0</v>
      </c>
      <c r="BT58" s="2">
        <f t="shared" si="25"/>
        <v>0</v>
      </c>
      <c r="BU58" s="21" t="e">
        <f t="shared" si="21"/>
        <v>#DIV/0!</v>
      </c>
      <c r="BV58" s="2" t="str">
        <f t="shared" si="26"/>
        <v/>
      </c>
      <c r="BW58" s="2" t="str">
        <f t="shared" si="27"/>
        <v/>
      </c>
      <c r="BX58" s="21" t="str">
        <f t="shared" si="22"/>
        <v/>
      </c>
      <c r="BY58" s="10" t="str">
        <f t="shared" ref="BY58" si="120">IF(C56&lt;C58,"Rive",IF(C60&gt;C58,"Rive","Inter"))</f>
        <v>Rive</v>
      </c>
    </row>
    <row r="59" spans="1:77" x14ac:dyDescent="0.25">
      <c r="A59" t="str">
        <f t="shared" si="16"/>
        <v/>
      </c>
      <c r="B59" t="b">
        <f t="shared" si="17"/>
        <v>1</v>
      </c>
      <c r="C59">
        <f t="shared" si="98"/>
        <v>100000</v>
      </c>
      <c r="D59" s="5"/>
      <c r="F59" s="5"/>
      <c r="K59" s="10"/>
      <c r="L59" s="12"/>
      <c r="M59" s="5"/>
      <c r="N59" s="10"/>
      <c r="O59" s="5"/>
      <c r="Q59" s="10"/>
      <c r="R59" s="8"/>
      <c r="U59" s="9"/>
      <c r="W59" s="10"/>
      <c r="X59" s="1"/>
      <c r="Y59" s="2"/>
      <c r="Z59" s="13"/>
      <c r="AA59" s="2"/>
      <c r="AB59" s="2"/>
      <c r="AC59" s="2"/>
      <c r="AD59" s="2"/>
      <c r="AE59" s="7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"/>
      <c r="AV59" s="2"/>
      <c r="AW59" s="2"/>
      <c r="AX59" s="2"/>
      <c r="AZ59" s="1"/>
      <c r="BA59" s="2"/>
      <c r="BB59" s="7"/>
      <c r="BC59" s="1"/>
      <c r="BD59" s="2"/>
      <c r="BE59" s="2"/>
      <c r="BF59" s="2"/>
      <c r="BG59" s="7"/>
      <c r="BH59" s="1"/>
      <c r="BI59" s="2"/>
      <c r="BJ59" s="2"/>
      <c r="BK59" s="2"/>
      <c r="BL59" s="7"/>
      <c r="BN59" s="1">
        <f t="shared" si="35"/>
        <v>0</v>
      </c>
      <c r="BO59" s="4" t="str">
        <f t="shared" si="119"/>
        <v>0</v>
      </c>
      <c r="BP59" s="2">
        <f t="shared" si="14"/>
        <v>0</v>
      </c>
      <c r="BQ59" s="2">
        <f t="shared" si="33"/>
        <v>0</v>
      </c>
      <c r="BR59" s="3" t="e">
        <f t="shared" si="15"/>
        <v>#DIV/0!</v>
      </c>
      <c r="BS59" s="1">
        <f t="shared" si="24"/>
        <v>0</v>
      </c>
      <c r="BT59" s="2">
        <f t="shared" si="25"/>
        <v>0</v>
      </c>
      <c r="BU59" s="21" t="e">
        <f t="shared" si="21"/>
        <v>#DIV/0!</v>
      </c>
      <c r="BV59" s="2" t="str">
        <f t="shared" si="26"/>
        <v/>
      </c>
      <c r="BW59" s="2" t="str">
        <f t="shared" si="27"/>
        <v/>
      </c>
      <c r="BX59" s="21" t="str">
        <f t="shared" si="22"/>
        <v/>
      </c>
      <c r="BY59" s="15"/>
    </row>
    <row r="60" spans="1:77" x14ac:dyDescent="0.25">
      <c r="A60" t="str">
        <f t="shared" si="16"/>
        <v/>
      </c>
      <c r="B60" t="b">
        <f t="shared" si="17"/>
        <v>1</v>
      </c>
      <c r="C60">
        <f t="shared" si="98"/>
        <v>100000</v>
      </c>
      <c r="D60" s="5"/>
      <c r="F60" s="5"/>
      <c r="K60" s="10"/>
      <c r="L60" s="12"/>
      <c r="M60" s="5"/>
      <c r="N60" s="10"/>
      <c r="O60" s="5"/>
      <c r="Q60" s="10"/>
      <c r="R60" s="8"/>
      <c r="U60" s="9"/>
      <c r="W60" s="10"/>
      <c r="X60" s="1"/>
      <c r="Y60" s="2"/>
      <c r="Z60" s="13"/>
      <c r="AA60" s="2"/>
      <c r="AB60" s="2"/>
      <c r="AC60" s="2"/>
      <c r="AD60" s="2"/>
      <c r="AE60" s="7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"/>
      <c r="AV60" s="2"/>
      <c r="AW60" s="2"/>
      <c r="AX60" s="2"/>
      <c r="AZ60" s="1"/>
      <c r="BA60" s="2"/>
      <c r="BB60" s="7"/>
      <c r="BC60" s="1"/>
      <c r="BD60" s="2"/>
      <c r="BE60" s="2"/>
      <c r="BF60" s="2"/>
      <c r="BG60" s="7"/>
      <c r="BH60" s="1"/>
      <c r="BI60" s="2"/>
      <c r="BJ60" s="2"/>
      <c r="BK60" s="2"/>
      <c r="BL60" s="7"/>
      <c r="BN60" s="1">
        <f t="shared" si="35"/>
        <v>0</v>
      </c>
      <c r="BO60" s="4" t="str">
        <f t="shared" si="119"/>
        <v>0</v>
      </c>
      <c r="BP60" s="2">
        <f t="shared" si="14"/>
        <v>0</v>
      </c>
      <c r="BQ60" s="2">
        <f t="shared" si="33"/>
        <v>0</v>
      </c>
      <c r="BR60" s="3" t="e">
        <f t="shared" si="15"/>
        <v>#DIV/0!</v>
      </c>
      <c r="BS60" s="1">
        <f t="shared" si="24"/>
        <v>0</v>
      </c>
      <c r="BT60" s="2">
        <f t="shared" si="25"/>
        <v>0</v>
      </c>
      <c r="BU60" s="21" t="e">
        <f t="shared" si="21"/>
        <v>#DIV/0!</v>
      </c>
      <c r="BV60" s="2" t="str">
        <f t="shared" si="26"/>
        <v/>
      </c>
      <c r="BW60" s="2" t="str">
        <f t="shared" si="27"/>
        <v/>
      </c>
      <c r="BX60" s="21" t="str">
        <f t="shared" si="22"/>
        <v/>
      </c>
      <c r="BY60" s="10" t="str">
        <f t="shared" ref="BY60" si="121">IF(C59&lt;C60,"Rive",IF(C61&gt;C60,"Rive","Inter"))</f>
        <v>Inter</v>
      </c>
    </row>
    <row r="61" spans="1:77" x14ac:dyDescent="0.25">
      <c r="B61" t="b">
        <f t="shared" si="17"/>
        <v>1</v>
      </c>
      <c r="C61">
        <f t="shared" si="98"/>
        <v>100000</v>
      </c>
      <c r="D61" s="5"/>
      <c r="F61" s="5"/>
      <c r="K61" s="10"/>
      <c r="L61" s="12"/>
      <c r="M61" s="5"/>
      <c r="N61" s="10"/>
      <c r="O61" s="5"/>
      <c r="Q61" s="10"/>
      <c r="R61" s="8"/>
      <c r="U61" s="9"/>
      <c r="W61" s="10"/>
      <c r="X61" s="1"/>
      <c r="Y61" s="2"/>
      <c r="Z61" s="13"/>
      <c r="AA61" s="2"/>
      <c r="AB61" s="2"/>
      <c r="AC61" s="2"/>
      <c r="AD61" s="2"/>
      <c r="AE61" s="7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"/>
      <c r="AV61" s="2"/>
      <c r="AW61" s="2"/>
      <c r="AX61" s="2"/>
      <c r="AZ61" s="1"/>
      <c r="BA61" s="2"/>
      <c r="BB61" s="7"/>
      <c r="BC61" s="1"/>
      <c r="BD61" s="2"/>
      <c r="BE61" s="2"/>
      <c r="BF61" s="2"/>
      <c r="BG61" s="7"/>
      <c r="BH61" s="1"/>
      <c r="BI61" s="2"/>
      <c r="BJ61" s="2"/>
      <c r="BK61" s="2"/>
      <c r="BL61" s="7"/>
      <c r="BN61" s="1"/>
      <c r="BO61" s="4" t="str">
        <f t="shared" si="119"/>
        <v>0</v>
      </c>
      <c r="BP61" s="2">
        <f t="shared" si="14"/>
        <v>0</v>
      </c>
      <c r="BQ61" s="2"/>
      <c r="BR61" s="3"/>
      <c r="BS61" s="1"/>
      <c r="BT61" s="2"/>
      <c r="BU61" s="21"/>
      <c r="BV61" s="2" t="str">
        <f t="shared" si="26"/>
        <v/>
      </c>
      <c r="BW61" s="2" t="str">
        <f t="shared" si="27"/>
        <v/>
      </c>
      <c r="BX61" s="21" t="str">
        <f t="shared" si="22"/>
        <v/>
      </c>
      <c r="BY61" s="15"/>
    </row>
    <row r="62" spans="1:77" x14ac:dyDescent="0.25">
      <c r="A62" t="str">
        <f t="shared" si="16"/>
        <v/>
      </c>
      <c r="B62" t="b">
        <f t="shared" si="17"/>
        <v>1</v>
      </c>
      <c r="C62">
        <f>IF(D62="",100000,IF(D62=D60,C60,C60+1))</f>
        <v>100000</v>
      </c>
      <c r="D62" s="5"/>
      <c r="F62" s="5"/>
      <c r="K62" s="10"/>
      <c r="L62" s="12"/>
      <c r="M62" s="5"/>
      <c r="N62" s="10"/>
      <c r="O62" s="5"/>
      <c r="Q62" s="10"/>
      <c r="R62" s="8"/>
      <c r="U62" s="9"/>
      <c r="W62" s="10"/>
      <c r="X62" s="1"/>
      <c r="Y62" s="2"/>
      <c r="Z62" s="13"/>
      <c r="AA62" s="2"/>
      <c r="AB62" s="2"/>
      <c r="AC62" s="2"/>
      <c r="AD62" s="2"/>
      <c r="AE62" s="7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"/>
      <c r="AV62" s="2"/>
      <c r="AW62" s="2"/>
      <c r="AX62" s="2"/>
      <c r="AZ62" s="1"/>
      <c r="BA62" s="2"/>
      <c r="BB62" s="7"/>
      <c r="BC62" s="1"/>
      <c r="BD62" s="2"/>
      <c r="BE62" s="2"/>
      <c r="BF62" s="2"/>
      <c r="BG62" s="7"/>
      <c r="BH62" s="1"/>
      <c r="BI62" s="2"/>
      <c r="BJ62" s="2"/>
      <c r="BK62" s="2"/>
      <c r="BL62" s="7"/>
      <c r="BN62" s="1">
        <f t="shared" si="35"/>
        <v>0</v>
      </c>
      <c r="BO62" s="4" t="str">
        <f t="shared" si="119"/>
        <v>0</v>
      </c>
      <c r="BP62" s="2">
        <f t="shared" si="14"/>
        <v>0</v>
      </c>
      <c r="BQ62" s="2">
        <f t="shared" si="33"/>
        <v>0</v>
      </c>
      <c r="BR62" s="3" t="e">
        <f t="shared" si="15"/>
        <v>#DIV/0!</v>
      </c>
      <c r="BS62" s="1">
        <f t="shared" si="24"/>
        <v>0</v>
      </c>
      <c r="BT62" s="2">
        <f t="shared" si="25"/>
        <v>0</v>
      </c>
      <c r="BU62" s="21" t="e">
        <f t="shared" si="21"/>
        <v>#DIV/0!</v>
      </c>
      <c r="BV62" s="2" t="str">
        <f t="shared" si="26"/>
        <v/>
      </c>
      <c r="BW62" s="2" t="str">
        <f t="shared" si="27"/>
        <v/>
      </c>
      <c r="BX62" s="21" t="str">
        <f t="shared" si="22"/>
        <v/>
      </c>
      <c r="BY62" s="10" t="str">
        <f t="shared" ref="BY62" si="122">IF(C61&lt;C62,"Rive",IF(C63&gt;C62,"Rive","Inter"))</f>
        <v>Inter</v>
      </c>
    </row>
    <row r="63" spans="1:77" x14ac:dyDescent="0.25">
      <c r="A63" t="str">
        <f t="shared" si="16"/>
        <v/>
      </c>
      <c r="B63" t="b">
        <f t="shared" si="17"/>
        <v>1</v>
      </c>
      <c r="C63">
        <f t="shared" si="98"/>
        <v>100000</v>
      </c>
      <c r="D63" s="5"/>
      <c r="F63" s="5"/>
      <c r="K63" s="10"/>
      <c r="L63" s="12"/>
      <c r="M63" s="5"/>
      <c r="N63" s="10"/>
      <c r="O63" s="5"/>
      <c r="Q63" s="10"/>
      <c r="R63" s="8"/>
      <c r="U63" s="9"/>
      <c r="W63" s="10"/>
      <c r="X63" s="1"/>
      <c r="Y63" s="2"/>
      <c r="Z63" s="13"/>
      <c r="AA63" s="2"/>
      <c r="AB63" s="2"/>
      <c r="AC63" s="2"/>
      <c r="AD63" s="2"/>
      <c r="AE63" s="7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"/>
      <c r="AV63" s="2"/>
      <c r="AW63" s="2"/>
      <c r="AX63" s="2"/>
      <c r="AZ63" s="1"/>
      <c r="BA63" s="2"/>
      <c r="BB63" s="7"/>
      <c r="BC63" s="1"/>
      <c r="BD63" s="2"/>
      <c r="BE63" s="2"/>
      <c r="BF63" s="2"/>
      <c r="BG63" s="7"/>
      <c r="BH63" s="1"/>
      <c r="BI63" s="2"/>
      <c r="BJ63" s="2"/>
      <c r="BK63" s="2"/>
      <c r="BL63" s="7"/>
      <c r="BN63" s="1">
        <f t="shared" si="35"/>
        <v>0</v>
      </c>
      <c r="BO63" s="4" t="str">
        <f t="shared" si="119"/>
        <v>0</v>
      </c>
      <c r="BP63" s="2">
        <f t="shared" si="14"/>
        <v>0</v>
      </c>
      <c r="BQ63" s="2">
        <f t="shared" si="33"/>
        <v>0</v>
      </c>
      <c r="BR63" s="3" t="e">
        <f t="shared" si="15"/>
        <v>#DIV/0!</v>
      </c>
      <c r="BS63" s="1">
        <f t="shared" si="24"/>
        <v>0</v>
      </c>
      <c r="BT63" s="2">
        <f t="shared" si="25"/>
        <v>0</v>
      </c>
      <c r="BU63" s="21" t="e">
        <f t="shared" si="21"/>
        <v>#DIV/0!</v>
      </c>
      <c r="BV63" s="2" t="str">
        <f t="shared" si="26"/>
        <v/>
      </c>
      <c r="BW63" s="2" t="str">
        <f t="shared" si="27"/>
        <v/>
      </c>
      <c r="BX63" s="21" t="str">
        <f t="shared" si="22"/>
        <v/>
      </c>
      <c r="BY63" s="15"/>
    </row>
    <row r="64" spans="1:77" x14ac:dyDescent="0.25">
      <c r="A64" t="str">
        <f t="shared" si="16"/>
        <v/>
      </c>
      <c r="B64" t="b">
        <f t="shared" si="17"/>
        <v>1</v>
      </c>
      <c r="C64">
        <f t="shared" si="98"/>
        <v>100000</v>
      </c>
      <c r="D64" s="5"/>
      <c r="F64" s="5"/>
      <c r="K64" s="10"/>
      <c r="L64" s="12"/>
      <c r="M64" s="5"/>
      <c r="N64" s="10"/>
      <c r="O64" s="5"/>
      <c r="Q64" s="10"/>
      <c r="R64" s="8"/>
      <c r="U64" s="9"/>
      <c r="W64" s="10"/>
      <c r="X64" s="1"/>
      <c r="Y64" s="2"/>
      <c r="Z64" s="13"/>
      <c r="AA64" s="2"/>
      <c r="AB64" s="2"/>
      <c r="AC64" s="2"/>
      <c r="AD64" s="2"/>
      <c r="AE64" s="7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"/>
      <c r="AV64" s="2"/>
      <c r="AW64" s="2"/>
      <c r="AX64" s="2"/>
      <c r="AZ64" s="1"/>
      <c r="BA64" s="2"/>
      <c r="BB64" s="7"/>
      <c r="BC64" s="1"/>
      <c r="BD64" s="2"/>
      <c r="BE64" s="2"/>
      <c r="BF64" s="2"/>
      <c r="BG64" s="7"/>
      <c r="BH64" s="1"/>
      <c r="BI64" s="2"/>
      <c r="BJ64" s="2"/>
      <c r="BK64" s="2"/>
      <c r="BL64" s="7"/>
      <c r="BN64" s="1">
        <f t="shared" si="35"/>
        <v>0</v>
      </c>
      <c r="BO64" s="4" t="str">
        <f t="shared" si="119"/>
        <v>0</v>
      </c>
      <c r="BP64" s="2">
        <f t="shared" si="14"/>
        <v>0</v>
      </c>
      <c r="BQ64" s="2">
        <f t="shared" si="33"/>
        <v>0</v>
      </c>
      <c r="BR64" s="3" t="e">
        <f t="shared" si="15"/>
        <v>#DIV/0!</v>
      </c>
      <c r="BS64" s="1">
        <f t="shared" si="24"/>
        <v>0</v>
      </c>
      <c r="BT64" s="2">
        <f t="shared" si="25"/>
        <v>0</v>
      </c>
      <c r="BU64" s="21" t="e">
        <f t="shared" si="21"/>
        <v>#DIV/0!</v>
      </c>
      <c r="BV64" s="2" t="str">
        <f t="shared" si="26"/>
        <v/>
      </c>
      <c r="BW64" s="2" t="str">
        <f t="shared" si="27"/>
        <v/>
      </c>
      <c r="BX64" s="21" t="str">
        <f t="shared" si="22"/>
        <v/>
      </c>
      <c r="BY64" s="10" t="str">
        <f t="shared" ref="BY64" si="123">IF(C63&lt;C64,"Rive",IF(C65&gt;C64,"Rive","Inter"))</f>
        <v>Inter</v>
      </c>
    </row>
    <row r="65" spans="1:77" x14ac:dyDescent="0.25">
      <c r="A65" t="str">
        <f t="shared" si="16"/>
        <v/>
      </c>
      <c r="B65" t="b">
        <f t="shared" si="17"/>
        <v>1</v>
      </c>
      <c r="C65">
        <f t="shared" si="98"/>
        <v>100000</v>
      </c>
      <c r="D65" s="5"/>
      <c r="F65" s="5"/>
      <c r="K65" s="10"/>
      <c r="L65" s="12"/>
      <c r="M65" s="5"/>
      <c r="N65" s="10"/>
      <c r="O65" s="5"/>
      <c r="Q65" s="10"/>
      <c r="R65" s="8"/>
      <c r="U65" s="9"/>
      <c r="W65" s="10"/>
      <c r="X65" s="1"/>
      <c r="Y65" s="2"/>
      <c r="Z65" s="13"/>
      <c r="AA65" s="2"/>
      <c r="AB65" s="2"/>
      <c r="AC65" s="2"/>
      <c r="AD65" s="2"/>
      <c r="AE65" s="7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"/>
      <c r="AV65" s="2"/>
      <c r="AW65" s="2"/>
      <c r="AX65" s="2"/>
      <c r="AZ65" s="1"/>
      <c r="BA65" s="2"/>
      <c r="BB65" s="7"/>
      <c r="BC65" s="1"/>
      <c r="BD65" s="2"/>
      <c r="BE65" s="2"/>
      <c r="BF65" s="2"/>
      <c r="BG65" s="7"/>
      <c r="BH65" s="1"/>
      <c r="BI65" s="2"/>
      <c r="BJ65" s="2"/>
      <c r="BK65" s="2"/>
      <c r="BL65" s="7"/>
      <c r="BN65" s="1">
        <f t="shared" si="35"/>
        <v>0</v>
      </c>
      <c r="BO65" s="4" t="str">
        <f t="shared" si="119"/>
        <v>0</v>
      </c>
      <c r="BP65" s="2">
        <f t="shared" si="14"/>
        <v>0</v>
      </c>
      <c r="BQ65" s="2">
        <f t="shared" si="33"/>
        <v>0</v>
      </c>
      <c r="BR65" s="3" t="e">
        <f t="shared" si="15"/>
        <v>#DIV/0!</v>
      </c>
      <c r="BS65" s="1">
        <f t="shared" si="24"/>
        <v>0</v>
      </c>
      <c r="BT65" s="2">
        <f t="shared" si="25"/>
        <v>0</v>
      </c>
      <c r="BU65" s="21" t="e">
        <f t="shared" si="21"/>
        <v>#DIV/0!</v>
      </c>
      <c r="BV65" s="2" t="str">
        <f t="shared" si="26"/>
        <v/>
      </c>
      <c r="BW65" s="2" t="str">
        <f t="shared" si="27"/>
        <v/>
      </c>
      <c r="BX65" s="21" t="str">
        <f t="shared" si="22"/>
        <v/>
      </c>
      <c r="BY65" s="15"/>
    </row>
    <row r="66" spans="1:77" x14ac:dyDescent="0.25">
      <c r="A66" t="str">
        <f t="shared" si="16"/>
        <v/>
      </c>
      <c r="B66" t="b">
        <f t="shared" si="17"/>
        <v>1</v>
      </c>
      <c r="C66">
        <f t="shared" si="98"/>
        <v>100000</v>
      </c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1"/>
      <c r="Y66" s="2"/>
      <c r="Z66" s="13"/>
      <c r="AA66" s="2"/>
      <c r="AB66" s="2"/>
      <c r="AC66" s="2"/>
      <c r="AD66" s="2"/>
      <c r="AE66" s="7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"/>
      <c r="AV66" s="2"/>
      <c r="AW66" s="2"/>
      <c r="AX66" s="2"/>
      <c r="AZ66" s="1"/>
      <c r="BA66" s="2"/>
      <c r="BB66" s="7"/>
      <c r="BC66" s="1"/>
      <c r="BD66" s="2"/>
      <c r="BE66" s="2"/>
      <c r="BF66" s="2"/>
      <c r="BG66" s="7"/>
      <c r="BH66" s="1"/>
      <c r="BI66" s="2"/>
      <c r="BJ66" s="2"/>
      <c r="BK66" s="2"/>
      <c r="BL66" s="7"/>
      <c r="BN66" s="1">
        <f t="shared" si="35"/>
        <v>0</v>
      </c>
      <c r="BO66" s="4" t="str">
        <f t="shared" si="119"/>
        <v>0</v>
      </c>
      <c r="BP66" s="2">
        <f t="shared" si="14"/>
        <v>0</v>
      </c>
      <c r="BQ66" s="2">
        <f t="shared" si="33"/>
        <v>0</v>
      </c>
      <c r="BR66" s="3" t="e">
        <f t="shared" si="15"/>
        <v>#DIV/0!</v>
      </c>
      <c r="BS66" s="1">
        <f t="shared" si="24"/>
        <v>0</v>
      </c>
      <c r="BT66" s="2">
        <f t="shared" si="25"/>
        <v>0</v>
      </c>
      <c r="BU66" s="21" t="e">
        <f t="shared" si="21"/>
        <v>#DIV/0!</v>
      </c>
      <c r="BV66" s="2" t="str">
        <f t="shared" si="26"/>
        <v/>
      </c>
      <c r="BW66" s="2" t="str">
        <f t="shared" si="27"/>
        <v/>
      </c>
      <c r="BX66" s="21" t="str">
        <f t="shared" si="22"/>
        <v/>
      </c>
      <c r="BY66" s="10" t="str">
        <f t="shared" ref="BY66" si="124">IF(C65&lt;C66,"Rive",IF(C67&gt;C66,"Rive","Inter"))</f>
        <v>Inter</v>
      </c>
    </row>
    <row r="67" spans="1:77" x14ac:dyDescent="0.25">
      <c r="C67">
        <f t="shared" si="98"/>
        <v>100000</v>
      </c>
      <c r="BP67" s="2">
        <f t="shared" si="14"/>
        <v>0</v>
      </c>
    </row>
  </sheetData>
  <mergeCells count="19">
    <mergeCell ref="G4:H4"/>
    <mergeCell ref="I4:K4"/>
    <mergeCell ref="R4:T4"/>
    <mergeCell ref="U4:W4"/>
    <mergeCell ref="AZ1:BY1"/>
    <mergeCell ref="AZ2:BL2"/>
    <mergeCell ref="BN2:BY2"/>
    <mergeCell ref="F3:K3"/>
    <mergeCell ref="M3:N4"/>
    <mergeCell ref="O3:Q4"/>
    <mergeCell ref="R3:W3"/>
    <mergeCell ref="X3:AE4"/>
    <mergeCell ref="AF3:AX4"/>
    <mergeCell ref="AZ3:BB4"/>
    <mergeCell ref="BX5:BY5"/>
    <mergeCell ref="BC3:BG4"/>
    <mergeCell ref="BH3:BL3"/>
    <mergeCell ref="BN3:BR4"/>
    <mergeCell ref="BS3:BY4"/>
  </mergeCells>
  <phoneticPr fontId="4" type="noConversion"/>
  <conditionalFormatting sqref="D6:D66">
    <cfRule type="expression" dxfId="74" priority="12">
      <formula>$B6=FALSE</formula>
    </cfRule>
  </conditionalFormatting>
  <conditionalFormatting sqref="BI6:BI66">
    <cfRule type="cellIs" dxfId="73" priority="6" operator="greaterThan">
      <formula>$BI$4</formula>
    </cfRule>
  </conditionalFormatting>
  <conditionalFormatting sqref="BJ6:BK66">
    <cfRule type="cellIs" dxfId="72" priority="10" operator="greaterThan">
      <formula>$BJ$4</formula>
    </cfRule>
  </conditionalFormatting>
  <conditionalFormatting sqref="BL6:BM9 BM10:BM35 BL10:BL66">
    <cfRule type="expression" dxfId="71" priority="11">
      <formula>ABS($BL6)&gt;$BL$4</formula>
    </cfRule>
  </conditionalFormatting>
  <conditionalFormatting sqref="BO6:BO66">
    <cfRule type="expression" dxfId="70" priority="5">
      <formula>$A6="Travée"</formula>
    </cfRule>
  </conditionalFormatting>
  <conditionalFormatting sqref="BR6:BR66">
    <cfRule type="cellIs" dxfId="69" priority="9" operator="greaterThan">
      <formula>1</formula>
    </cfRule>
  </conditionalFormatting>
  <conditionalFormatting sqref="BU6:BU66">
    <cfRule type="cellIs" dxfId="68" priority="8" operator="greaterThan">
      <formula>1</formula>
    </cfRule>
  </conditionalFormatting>
  <conditionalFormatting sqref="BV6:BX6">
    <cfRule type="cellIs" dxfId="67" priority="1" operator="equal">
      <formula>""</formula>
    </cfRule>
  </conditionalFormatting>
  <conditionalFormatting sqref="BV7:BX59 BV60:BY66">
    <cfRule type="cellIs" dxfId="66" priority="7" operator="equal">
      <formula>""</formula>
    </cfRule>
  </conditionalFormatting>
  <conditionalFormatting sqref="BX6:BX66">
    <cfRule type="cellIs" dxfId="65" priority="4" operator="lessThan">
      <formula>IF($BY6="Rive",1.15,IF($BY6="Inter",1.1,0))</formula>
    </cfRule>
  </conditionalFormatting>
  <conditionalFormatting sqref="BY6:BY59">
    <cfRule type="cellIs" dxfId="64" priority="2" operator="equal">
      <formula>""</formula>
    </cfRule>
  </conditionalFormatting>
  <pageMargins left="0.7" right="0.7" top="0.75" bottom="0.75" header="0.3" footer="0.3"/>
  <pageSetup paperSize="8"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A972-FE5E-49F8-80CE-8E09ADE901EE}">
  <sheetPr>
    <tabColor rgb="FFFF0000"/>
    <pageSetUpPr fitToPage="1"/>
  </sheetPr>
  <dimension ref="A1:BZ67"/>
  <sheetViews>
    <sheetView zoomScale="85" zoomScaleNormal="85" workbookViewId="0">
      <pane xSplit="5" topLeftCell="F1" activePane="topRight" state="frozen"/>
      <selection activeCell="A5" sqref="A5"/>
      <selection pane="topRight" activeCell="BN6" sqref="BN6:BY60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5.85546875" bestFit="1" customWidth="1"/>
    <col min="7" max="7" width="3.42578125" bestFit="1" customWidth="1"/>
    <col min="8" max="8" width="4.140625" bestFit="1" customWidth="1"/>
    <col min="9" max="9" width="7.42578125" bestFit="1" customWidth="1"/>
    <col min="10" max="11" width="5.14062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4" width="4.140625" bestFit="1" customWidth="1"/>
    <col min="25" max="25" width="3.85546875" bestFit="1" customWidth="1"/>
    <col min="26" max="26" width="4.5703125" bestFit="1" customWidth="1"/>
    <col min="27" max="27" width="4.14062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5" width="3.85546875" customWidth="1" outlineLevel="1"/>
    <col min="36" max="36" width="8" customWidth="1" outlineLevel="1"/>
    <col min="37" max="39" width="4.85546875" customWidth="1" outlineLevel="1"/>
    <col min="40" max="42" width="4.140625" customWidth="1" outlineLevel="1"/>
    <col min="43" max="43" width="3.85546875" customWidth="1" outlineLevel="1"/>
    <col min="44" max="44" width="4.85546875" customWidth="1" outlineLevel="1"/>
    <col min="45" max="45" width="5.28515625" customWidth="1" outlineLevel="1"/>
    <col min="46" max="46" width="5.85546875" customWidth="1" outlineLevel="1"/>
    <col min="47" max="48" width="4.140625" customWidth="1" outlineLevel="1"/>
    <col min="49" max="50" width="4.85546875" customWidth="1" outlineLevel="1"/>
    <col min="51" max="51" width="2.85546875" customWidth="1"/>
    <col min="52" max="52" width="6.42578125" customWidth="1"/>
    <col min="53" max="53" width="3.42578125" bestFit="1" customWidth="1"/>
    <col min="54" max="54" width="5.85546875" customWidth="1"/>
    <col min="55" max="56" width="3.42578125" bestFit="1" customWidth="1"/>
    <col min="57" max="57" width="4.85546875" bestFit="1" customWidth="1"/>
    <col min="58" max="59" width="4.42578125" bestFit="1" customWidth="1"/>
    <col min="60" max="60" width="3.85546875" bestFit="1" customWidth="1"/>
    <col min="61" max="61" width="4.28515625" bestFit="1" customWidth="1"/>
    <col min="62" max="64" width="5.28515625" bestFit="1" customWidth="1"/>
    <col min="66" max="66" width="4.140625" bestFit="1" customWidth="1"/>
    <col min="67" max="67" width="10.28515625" bestFit="1" customWidth="1"/>
    <col min="68" max="69" width="4.140625" bestFit="1" customWidth="1"/>
    <col min="70" max="70" width="6.7109375" customWidth="1"/>
    <col min="71" max="72" width="4.140625" bestFit="1" customWidth="1"/>
    <col min="73" max="73" width="7.42578125" bestFit="1" customWidth="1"/>
    <col min="74" max="75" width="4.140625" bestFit="1" customWidth="1"/>
    <col min="76" max="76" width="5.7109375" bestFit="1" customWidth="1"/>
    <col min="77" max="77" width="5" bestFit="1" customWidth="1"/>
    <col min="79" max="79" width="9.140625" bestFit="1" customWidth="1"/>
  </cols>
  <sheetData>
    <row r="1" spans="1:78" ht="15.75" thickBot="1" x14ac:dyDescent="0.3">
      <c r="AZ1" s="80" t="s">
        <v>67</v>
      </c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2"/>
    </row>
    <row r="2" spans="1:78" ht="15.75" thickBot="1" x14ac:dyDescent="0.3">
      <c r="AZ2" s="67" t="s">
        <v>78</v>
      </c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79"/>
      <c r="BM2" s="6"/>
      <c r="BN2" s="67" t="s">
        <v>79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9"/>
    </row>
    <row r="3" spans="1:78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61" t="s">
        <v>68</v>
      </c>
      <c r="Y3" s="62"/>
      <c r="Z3" s="62"/>
      <c r="AA3" s="62"/>
      <c r="AB3" s="62"/>
      <c r="AC3" s="62"/>
      <c r="AD3" s="62"/>
      <c r="AE3" s="63"/>
      <c r="AF3" s="67" t="s">
        <v>67</v>
      </c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Z3" s="83" t="s">
        <v>87</v>
      </c>
      <c r="BA3" s="62"/>
      <c r="BB3" s="63"/>
      <c r="BC3" s="83" t="s">
        <v>88</v>
      </c>
      <c r="BD3" s="62"/>
      <c r="BE3" s="62"/>
      <c r="BF3" s="62"/>
      <c r="BG3" s="63"/>
      <c r="BH3" s="71" t="s">
        <v>77</v>
      </c>
      <c r="BI3" s="72"/>
      <c r="BJ3" s="72"/>
      <c r="BK3" s="72"/>
      <c r="BL3" s="73"/>
      <c r="BN3" s="83" t="s">
        <v>89</v>
      </c>
      <c r="BO3" s="62"/>
      <c r="BP3" s="62"/>
      <c r="BQ3" s="62"/>
      <c r="BR3" s="63"/>
      <c r="BS3" s="83" t="s">
        <v>90</v>
      </c>
      <c r="BT3" s="62"/>
      <c r="BU3" s="62"/>
      <c r="BV3" s="62"/>
      <c r="BW3" s="62"/>
      <c r="BX3" s="62"/>
      <c r="BY3" s="63"/>
    </row>
    <row r="4" spans="1:78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64"/>
      <c r="Y4" s="65"/>
      <c r="Z4" s="65"/>
      <c r="AA4" s="65"/>
      <c r="AB4" s="65"/>
      <c r="AC4" s="65"/>
      <c r="AD4" s="65"/>
      <c r="AE4" s="66"/>
      <c r="AF4" s="67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Z4" s="64"/>
      <c r="BA4" s="65"/>
      <c r="BB4" s="66"/>
      <c r="BC4" s="64"/>
      <c r="BD4" s="65"/>
      <c r="BE4" s="65"/>
      <c r="BF4" s="65"/>
      <c r="BG4" s="66"/>
      <c r="BH4" s="23"/>
      <c r="BI4" s="24">
        <f>0.6*F7</f>
        <v>15</v>
      </c>
      <c r="BJ4" s="24">
        <f>0.8*H7</f>
        <v>400</v>
      </c>
      <c r="BK4" s="24">
        <f>0.8*H7</f>
        <v>400</v>
      </c>
      <c r="BL4" s="25">
        <f>MIN(J7,0.9*0.8*H7)</f>
        <v>360.00000000000006</v>
      </c>
      <c r="BM4" s="14"/>
      <c r="BN4" s="64"/>
      <c r="BO4" s="65"/>
      <c r="BP4" s="65"/>
      <c r="BQ4" s="65"/>
      <c r="BR4" s="66"/>
      <c r="BS4" s="64"/>
      <c r="BT4" s="65"/>
      <c r="BU4" s="65"/>
      <c r="BV4" s="65"/>
      <c r="BW4" s="65"/>
      <c r="BX4" s="65"/>
      <c r="BY4" s="66"/>
    </row>
    <row r="5" spans="1:78" ht="81.75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31" t="s">
        <v>69</v>
      </c>
      <c r="Y5" s="32" t="s">
        <v>70</v>
      </c>
      <c r="Z5" s="32" t="s">
        <v>71</v>
      </c>
      <c r="AA5" s="32" t="s">
        <v>20</v>
      </c>
      <c r="AB5" s="32" t="s">
        <v>21</v>
      </c>
      <c r="AC5" s="32" t="s">
        <v>22</v>
      </c>
      <c r="AD5" s="32" t="s">
        <v>23</v>
      </c>
      <c r="AE5" s="33" t="s">
        <v>24</v>
      </c>
      <c r="AF5" s="34" t="s">
        <v>25</v>
      </c>
      <c r="AG5" s="35" t="s">
        <v>26</v>
      </c>
      <c r="AH5" s="35" t="s">
        <v>27</v>
      </c>
      <c r="AI5" s="35" t="s">
        <v>28</v>
      </c>
      <c r="AJ5" s="35" t="s">
        <v>29</v>
      </c>
      <c r="AK5" s="35" t="s">
        <v>30</v>
      </c>
      <c r="AL5" s="35" t="s">
        <v>31</v>
      </c>
      <c r="AM5" s="35" t="s">
        <v>32</v>
      </c>
      <c r="AN5" s="35" t="s">
        <v>33</v>
      </c>
      <c r="AO5" s="35" t="s">
        <v>34</v>
      </c>
      <c r="AP5" s="35" t="s">
        <v>35</v>
      </c>
      <c r="AQ5" s="35" t="s">
        <v>36</v>
      </c>
      <c r="AR5" s="35" t="s">
        <v>37</v>
      </c>
      <c r="AS5" s="35" t="s">
        <v>38</v>
      </c>
      <c r="AT5" s="36" t="s">
        <v>39</v>
      </c>
      <c r="AU5" s="37" t="s">
        <v>40</v>
      </c>
      <c r="AV5" s="35" t="s">
        <v>42</v>
      </c>
      <c r="AW5" s="35" t="s">
        <v>43</v>
      </c>
      <c r="AX5" s="35" t="s">
        <v>41</v>
      </c>
      <c r="AY5" s="20"/>
      <c r="AZ5" s="16" t="s">
        <v>72</v>
      </c>
      <c r="BA5" s="18" t="s">
        <v>73</v>
      </c>
      <c r="BB5" s="17" t="s">
        <v>74</v>
      </c>
      <c r="BC5" s="18" t="s">
        <v>72</v>
      </c>
      <c r="BD5" s="18" t="s">
        <v>73</v>
      </c>
      <c r="BE5" s="18" t="s">
        <v>74</v>
      </c>
      <c r="BF5" s="18" t="s">
        <v>75</v>
      </c>
      <c r="BG5" s="17" t="s">
        <v>76</v>
      </c>
      <c r="BH5" s="16" t="s">
        <v>72</v>
      </c>
      <c r="BI5" s="18" t="s">
        <v>73</v>
      </c>
      <c r="BJ5" s="18" t="s">
        <v>74</v>
      </c>
      <c r="BK5" s="18" t="s">
        <v>75</v>
      </c>
      <c r="BL5" s="17" t="s">
        <v>76</v>
      </c>
      <c r="BM5" s="18"/>
      <c r="BN5" s="16" t="s">
        <v>80</v>
      </c>
      <c r="BO5" s="19" t="s">
        <v>66</v>
      </c>
      <c r="BP5" s="18" t="s">
        <v>82</v>
      </c>
      <c r="BQ5" s="18" t="s">
        <v>81</v>
      </c>
      <c r="BR5" s="17" t="s">
        <v>83</v>
      </c>
      <c r="BS5" s="16" t="s">
        <v>80</v>
      </c>
      <c r="BT5" s="18" t="s">
        <v>81</v>
      </c>
      <c r="BU5" s="20"/>
      <c r="BV5" s="18" t="s">
        <v>84</v>
      </c>
      <c r="BW5" s="18" t="s">
        <v>85</v>
      </c>
      <c r="BX5" s="77" t="s">
        <v>86</v>
      </c>
      <c r="BY5" s="78"/>
    </row>
    <row r="6" spans="1:78" x14ac:dyDescent="0.25">
      <c r="A6" t="str">
        <f>IF(ISNUMBER(SEARCH("Appui",E6)),"Appui",IF(ISNUMBER(SEARCH("Travée",E6)),"Travée",""))</f>
        <v>Travée</v>
      </c>
      <c r="B6" t="b">
        <f>MOD(C6,2)=0</f>
        <v>0</v>
      </c>
      <c r="C6">
        <v>1</v>
      </c>
      <c r="D6" s="5" t="s">
        <v>104</v>
      </c>
      <c r="E6" t="s">
        <v>45</v>
      </c>
      <c r="F6" s="5">
        <v>25</v>
      </c>
      <c r="G6" t="s">
        <v>46</v>
      </c>
      <c r="H6">
        <v>500</v>
      </c>
      <c r="I6">
        <v>220000</v>
      </c>
      <c r="J6">
        <v>1576</v>
      </c>
      <c r="K6" s="10">
        <v>1870</v>
      </c>
      <c r="L6" s="12">
        <v>1</v>
      </c>
      <c r="M6" s="5">
        <v>0.24</v>
      </c>
      <c r="N6" s="10">
        <v>5.35</v>
      </c>
      <c r="O6" s="5">
        <v>1.3878E-3</v>
      </c>
      <c r="P6">
        <v>0.04</v>
      </c>
      <c r="Q6" s="10">
        <v>1</v>
      </c>
      <c r="R6" s="8">
        <v>0</v>
      </c>
      <c r="S6">
        <v>0</v>
      </c>
      <c r="T6">
        <v>1</v>
      </c>
      <c r="U6" s="9">
        <v>0</v>
      </c>
      <c r="V6">
        <v>0</v>
      </c>
      <c r="W6" s="10">
        <v>0</v>
      </c>
      <c r="X6" s="1">
        <v>57.006079999999997</v>
      </c>
      <c r="Y6" s="2">
        <v>17.315840000000001</v>
      </c>
      <c r="Z6" s="13">
        <v>0</v>
      </c>
      <c r="AA6" s="2">
        <v>57.006079999999997</v>
      </c>
      <c r="AB6" s="2">
        <v>17.315840000000001</v>
      </c>
      <c r="AC6" s="2">
        <v>97.28</v>
      </c>
      <c r="AD6" s="2"/>
      <c r="AE6" s="7">
        <v>74.321919999999992</v>
      </c>
      <c r="AF6" s="2">
        <v>57.006079999999997</v>
      </c>
      <c r="AG6" s="2">
        <v>17.315840000000001</v>
      </c>
      <c r="AH6" s="2">
        <v>4.617040939852795</v>
      </c>
      <c r="AI6" s="2">
        <v>1.402445882753919</v>
      </c>
      <c r="AJ6" s="2">
        <v>-214.15096481946321</v>
      </c>
      <c r="AK6" s="2">
        <v>-65.049269177243076</v>
      </c>
      <c r="AL6" s="2">
        <v>0</v>
      </c>
      <c r="AM6" s="2">
        <v>0</v>
      </c>
      <c r="AN6" s="2">
        <v>97.28</v>
      </c>
      <c r="AO6" s="2">
        <v>126.66084348634089</v>
      </c>
      <c r="AP6" s="2">
        <v>126.66084348634089</v>
      </c>
      <c r="AQ6" s="2">
        <v>5.6114943384059277</v>
      </c>
      <c r="AR6" s="2">
        <v>-371.56719269202858</v>
      </c>
      <c r="AS6" s="2">
        <v>0</v>
      </c>
      <c r="AT6" s="2">
        <v>0</v>
      </c>
      <c r="AU6" s="1">
        <v>74.321919999999992</v>
      </c>
      <c r="AV6" s="2">
        <v>4.3546270227410044</v>
      </c>
      <c r="AW6" s="2">
        <v>-283.66826041990652</v>
      </c>
      <c r="AX6" s="2">
        <v>126.66084348634089</v>
      </c>
      <c r="AZ6" s="1">
        <f>AF6</f>
        <v>57.006079999999997</v>
      </c>
      <c r="BA6" s="2">
        <f>AH6</f>
        <v>4.617040939852795</v>
      </c>
      <c r="BB6" s="7">
        <f>AJ6</f>
        <v>-214.15096481946321</v>
      </c>
      <c r="BC6" s="1">
        <f>AG6</f>
        <v>17.315840000000001</v>
      </c>
      <c r="BD6" s="2">
        <f>AI6</f>
        <v>1.402445882753919</v>
      </c>
      <c r="BE6" s="2">
        <f t="shared" ref="BE6:BG21" si="0">AK6</f>
        <v>-65.049269177243076</v>
      </c>
      <c r="BF6" s="2">
        <f t="shared" si="0"/>
        <v>0</v>
      </c>
      <c r="BG6" s="7">
        <f t="shared" si="0"/>
        <v>0</v>
      </c>
      <c r="BH6" s="1">
        <f t="shared" ref="BH6:BI21" si="1">AZ6+BC6</f>
        <v>74.321920000000006</v>
      </c>
      <c r="BI6" s="2">
        <f t="shared" si="1"/>
        <v>6.019486822606714</v>
      </c>
      <c r="BJ6" s="2">
        <f t="shared" ref="BJ6:BJ56" si="2">ABS(BB6+BE6)</f>
        <v>279.20023399670629</v>
      </c>
      <c r="BK6" s="2">
        <f>ABS(BF6)</f>
        <v>0</v>
      </c>
      <c r="BL6" s="7">
        <f>BG6</f>
        <v>0</v>
      </c>
      <c r="BM6" s="2"/>
      <c r="BN6" s="1"/>
      <c r="BO6" s="4"/>
      <c r="BP6" s="2"/>
      <c r="BQ6" s="2"/>
      <c r="BR6" s="3"/>
      <c r="BS6" s="1"/>
      <c r="BT6" s="2"/>
      <c r="BU6" s="21"/>
      <c r="BV6" s="2"/>
      <c r="BW6" s="2"/>
      <c r="BX6" s="21"/>
      <c r="BY6" s="10"/>
    </row>
    <row r="7" spans="1:78" x14ac:dyDescent="0.25">
      <c r="A7" t="str">
        <f>IF(ISNUMBER(SEARCH("Appui",E7)),"Appui",IF(ISNUMBER(SEARCH("Travée",E7)),"Travée",""))</f>
        <v>Appui</v>
      </c>
      <c r="B7" t="b">
        <f>MOD(C7,2)=0</f>
        <v>0</v>
      </c>
      <c r="C7">
        <v>1</v>
      </c>
      <c r="D7" s="5" t="s">
        <v>104</v>
      </c>
      <c r="E7" t="s">
        <v>47</v>
      </c>
      <c r="F7" s="5">
        <v>25</v>
      </c>
      <c r="G7" t="s">
        <v>46</v>
      </c>
      <c r="H7">
        <v>500</v>
      </c>
      <c r="I7">
        <v>220000</v>
      </c>
      <c r="J7">
        <v>1576</v>
      </c>
      <c r="K7" s="10">
        <v>1870</v>
      </c>
      <c r="L7" s="12">
        <v>1</v>
      </c>
      <c r="M7" s="5">
        <v>0.23</v>
      </c>
      <c r="N7" s="10">
        <v>5.35</v>
      </c>
      <c r="O7" s="5">
        <v>1.024E-4</v>
      </c>
      <c r="P7">
        <v>6.9999999999999993E-2</v>
      </c>
      <c r="Q7" s="10">
        <v>1</v>
      </c>
      <c r="R7" s="8">
        <v>0</v>
      </c>
      <c r="S7">
        <v>0</v>
      </c>
      <c r="T7">
        <v>1</v>
      </c>
      <c r="U7" s="9">
        <v>2.9099999999999999E-5</v>
      </c>
      <c r="V7">
        <v>0</v>
      </c>
      <c r="W7" s="10">
        <v>12</v>
      </c>
      <c r="X7" s="1">
        <v>34.163800000000002</v>
      </c>
      <c r="Y7" s="2">
        <v>10.3774</v>
      </c>
      <c r="Z7" s="13">
        <v>0</v>
      </c>
      <c r="AA7" s="2">
        <v>34.163800000000002</v>
      </c>
      <c r="AB7" s="2">
        <v>10.3774</v>
      </c>
      <c r="AC7" s="2">
        <v>58.3</v>
      </c>
      <c r="AD7" s="2"/>
      <c r="AE7" s="7">
        <v>44.541200000000003</v>
      </c>
      <c r="AF7" s="2">
        <v>34.163800000000002</v>
      </c>
      <c r="AG7" s="2">
        <v>10.3774</v>
      </c>
      <c r="AH7" s="2">
        <v>13.52927095958429</v>
      </c>
      <c r="AI7" s="2">
        <v>1.1923313348289879</v>
      </c>
      <c r="AJ7" s="2">
        <v>-2118.29117063492</v>
      </c>
      <c r="AK7" s="2">
        <v>-72.137841932516523</v>
      </c>
      <c r="AL7" s="2">
        <v>0</v>
      </c>
      <c r="AM7" s="2">
        <v>-117.7139975520537</v>
      </c>
      <c r="AN7" s="2">
        <v>58.3</v>
      </c>
      <c r="AO7" s="2">
        <v>7.514500553359369</v>
      </c>
      <c r="AP7" s="2">
        <v>152.12913976562979</v>
      </c>
      <c r="AQ7" s="2">
        <v>4.7352486678029786</v>
      </c>
      <c r="AR7" s="2">
        <v>-403.97480885762559</v>
      </c>
      <c r="AS7" s="2">
        <v>0</v>
      </c>
      <c r="AT7" s="2">
        <v>-668.41093130231809</v>
      </c>
      <c r="AU7" s="1">
        <v>44.541200000000003</v>
      </c>
      <c r="AV7" s="2">
        <v>0</v>
      </c>
      <c r="AW7" s="2">
        <v>0</v>
      </c>
      <c r="AX7" s="2">
        <v>7.514500553359369</v>
      </c>
      <c r="AZ7" s="1">
        <f>AF7</f>
        <v>34.163800000000002</v>
      </c>
      <c r="BA7" s="2">
        <f>AH7</f>
        <v>13.52927095958429</v>
      </c>
      <c r="BB7" s="7">
        <f>AJ7</f>
        <v>-2118.29117063492</v>
      </c>
      <c r="BC7" s="1">
        <f>AG7</f>
        <v>10.3774</v>
      </c>
      <c r="BD7" s="2">
        <f>AI7</f>
        <v>1.1923313348289879</v>
      </c>
      <c r="BE7" s="2">
        <f t="shared" si="0"/>
        <v>-72.137841932516523</v>
      </c>
      <c r="BF7" s="2">
        <f t="shared" si="0"/>
        <v>0</v>
      </c>
      <c r="BG7" s="7">
        <f t="shared" si="0"/>
        <v>-117.7139975520537</v>
      </c>
      <c r="BH7" s="1">
        <f t="shared" si="1"/>
        <v>44.541200000000003</v>
      </c>
      <c r="BI7" s="2">
        <f t="shared" si="1"/>
        <v>14.721602294413277</v>
      </c>
      <c r="BJ7" s="2">
        <f t="shared" si="2"/>
        <v>2190.4290125674365</v>
      </c>
      <c r="BK7" s="2">
        <f>ABS(BF7)</f>
        <v>0</v>
      </c>
      <c r="BL7" s="7">
        <f>BG7</f>
        <v>-117.7139975520537</v>
      </c>
      <c r="BM7" s="2"/>
      <c r="BN7" s="1"/>
      <c r="BO7" s="4"/>
      <c r="BP7" s="2"/>
      <c r="BQ7" s="2"/>
      <c r="BR7" s="3"/>
      <c r="BS7" s="1"/>
      <c r="BT7" s="2"/>
      <c r="BU7" s="21"/>
      <c r="BV7" s="2"/>
      <c r="BW7" s="2"/>
      <c r="BX7" s="21"/>
      <c r="BY7" s="15"/>
    </row>
    <row r="8" spans="1:78" x14ac:dyDescent="0.25">
      <c r="A8" t="str">
        <f t="shared" ref="A8:A66" si="3">IF(ISNUMBER(SEARCH("Appui",E8)),"Appui",IF(ISNUMBER(SEARCH("Travée",E8)),"Travée",""))</f>
        <v>Travée</v>
      </c>
      <c r="B8" t="b">
        <f t="shared" ref="B8:B66" si="4">MOD(C8,2)=0</f>
        <v>0</v>
      </c>
      <c r="C8">
        <f>IF(D8=D7,C7,C7+1)</f>
        <v>1</v>
      </c>
      <c r="D8" s="5" t="s">
        <v>104</v>
      </c>
      <c r="E8" t="s">
        <v>48</v>
      </c>
      <c r="F8" s="5">
        <v>25</v>
      </c>
      <c r="G8" t="s">
        <v>46</v>
      </c>
      <c r="H8">
        <v>500</v>
      </c>
      <c r="I8">
        <v>220000</v>
      </c>
      <c r="J8">
        <v>1576</v>
      </c>
      <c r="K8" s="10">
        <v>1870</v>
      </c>
      <c r="L8" s="12">
        <v>1</v>
      </c>
      <c r="M8" s="5">
        <v>0.215</v>
      </c>
      <c r="N8" s="10">
        <v>4.1749999999999998</v>
      </c>
      <c r="O8" s="5">
        <v>2.1545000000000002E-3</v>
      </c>
      <c r="P8">
        <v>0.04</v>
      </c>
      <c r="Q8" s="10">
        <v>1</v>
      </c>
      <c r="R8" s="8">
        <v>0</v>
      </c>
      <c r="S8">
        <v>0</v>
      </c>
      <c r="T8">
        <v>1</v>
      </c>
      <c r="U8" s="9">
        <v>2.9099999999999999E-5</v>
      </c>
      <c r="V8">
        <v>0</v>
      </c>
      <c r="W8" s="10">
        <v>7</v>
      </c>
      <c r="X8" s="1">
        <v>101.2608</v>
      </c>
      <c r="Y8" s="2">
        <v>30.758400000000002</v>
      </c>
      <c r="Z8" s="13">
        <v>0</v>
      </c>
      <c r="AA8" s="2">
        <v>101.2608</v>
      </c>
      <c r="AB8" s="2">
        <v>30.758400000000002</v>
      </c>
      <c r="AC8" s="2">
        <v>172.8</v>
      </c>
      <c r="AD8" s="2"/>
      <c r="AE8" s="7">
        <v>132.01920000000001</v>
      </c>
      <c r="AF8" s="2">
        <v>101.2608</v>
      </c>
      <c r="AG8" s="2">
        <v>30.758400000000002</v>
      </c>
      <c r="AH8" s="2">
        <v>9.5836461735893401</v>
      </c>
      <c r="AI8" s="2">
        <v>2.690351363098634</v>
      </c>
      <c r="AJ8" s="2">
        <v>-285.49495562951262</v>
      </c>
      <c r="AK8" s="2">
        <v>-74.625282480310659</v>
      </c>
      <c r="AL8" s="2">
        <v>0</v>
      </c>
      <c r="AM8" s="2">
        <v>-105.14884135072759</v>
      </c>
      <c r="AN8" s="2">
        <v>172.8</v>
      </c>
      <c r="AO8" s="2">
        <v>164.67614651460229</v>
      </c>
      <c r="AP8" s="2">
        <v>231.08135572886849</v>
      </c>
      <c r="AQ8" s="2">
        <v>10.257254091931291</v>
      </c>
      <c r="AR8" s="2">
        <v>-430.57936076941968</v>
      </c>
      <c r="AS8" s="2">
        <v>0</v>
      </c>
      <c r="AT8" s="2">
        <v>-620.10103212421529</v>
      </c>
      <c r="AU8" s="1">
        <v>132.01920000000001</v>
      </c>
      <c r="AV8" s="2">
        <v>8.7133036862351165</v>
      </c>
      <c r="AW8" s="2">
        <v>-382.21698336239132</v>
      </c>
      <c r="AX8" s="2">
        <v>164.67614651460229</v>
      </c>
      <c r="AZ8" s="1">
        <f>AF8</f>
        <v>101.2608</v>
      </c>
      <c r="BA8" s="2">
        <f>AH8</f>
        <v>9.5836461735893401</v>
      </c>
      <c r="BB8" s="7">
        <f>AJ8</f>
        <v>-285.49495562951262</v>
      </c>
      <c r="BC8" s="1">
        <f>AG8</f>
        <v>30.758400000000002</v>
      </c>
      <c r="BD8" s="2">
        <f>AI8</f>
        <v>2.690351363098634</v>
      </c>
      <c r="BE8" s="2">
        <f t="shared" si="0"/>
        <v>-74.625282480310659</v>
      </c>
      <c r="BF8" s="2">
        <f t="shared" si="0"/>
        <v>0</v>
      </c>
      <c r="BG8" s="7">
        <f t="shared" si="0"/>
        <v>-105.14884135072759</v>
      </c>
      <c r="BH8" s="1">
        <f t="shared" si="1"/>
        <v>132.01920000000001</v>
      </c>
      <c r="BI8" s="2">
        <f t="shared" si="1"/>
        <v>12.273997536687974</v>
      </c>
      <c r="BJ8" s="2">
        <f t="shared" si="2"/>
        <v>360.12023810982328</v>
      </c>
      <c r="BK8" s="2">
        <f t="shared" ref="BK8:BK56" si="5">ABS(BF8)</f>
        <v>0</v>
      </c>
      <c r="BL8" s="7">
        <f t="shared" ref="BL8:BL56" si="6">BG8</f>
        <v>-105.14884135072759</v>
      </c>
      <c r="BM8" s="2"/>
      <c r="BN8" s="1"/>
      <c r="BO8" s="4"/>
      <c r="BP8" s="2"/>
      <c r="BQ8" s="2"/>
      <c r="BR8" s="3"/>
      <c r="BS8" s="1"/>
      <c r="BT8" s="2"/>
      <c r="BU8" s="21"/>
      <c r="BV8" s="2"/>
      <c r="BW8" s="2"/>
      <c r="BX8" s="21"/>
      <c r="BY8" s="10"/>
    </row>
    <row r="9" spans="1:78" x14ac:dyDescent="0.25">
      <c r="A9" t="str">
        <f t="shared" si="3"/>
        <v>Appui</v>
      </c>
      <c r="B9" t="b">
        <f t="shared" si="4"/>
        <v>0</v>
      </c>
      <c r="C9">
        <f t="shared" ref="C9:C32" si="7">IF(D9=D8,C8,C8+1)</f>
        <v>1</v>
      </c>
      <c r="D9" s="5" t="s">
        <v>104</v>
      </c>
      <c r="E9" t="s">
        <v>49</v>
      </c>
      <c r="F9" s="5">
        <v>25</v>
      </c>
      <c r="G9" t="s">
        <v>46</v>
      </c>
      <c r="H9">
        <v>500</v>
      </c>
      <c r="I9">
        <v>220000</v>
      </c>
      <c r="J9">
        <v>1576</v>
      </c>
      <c r="K9" s="10">
        <v>1870</v>
      </c>
      <c r="L9" s="12">
        <v>1</v>
      </c>
      <c r="M9" s="5">
        <v>0.2</v>
      </c>
      <c r="N9" s="10">
        <v>3</v>
      </c>
      <c r="O9" s="5">
        <v>1.3439999999999999E-4</v>
      </c>
      <c r="P9">
        <v>0.04</v>
      </c>
      <c r="Q9" s="10">
        <v>1</v>
      </c>
      <c r="R9" s="8">
        <v>0</v>
      </c>
      <c r="S9">
        <v>0</v>
      </c>
      <c r="T9">
        <v>1</v>
      </c>
      <c r="U9" s="9">
        <v>2.9099999999999999E-5</v>
      </c>
      <c r="V9">
        <v>0</v>
      </c>
      <c r="W9" s="10">
        <v>12</v>
      </c>
      <c r="X9" s="1">
        <v>35.453000000000003</v>
      </c>
      <c r="Y9" s="2">
        <v>10.769</v>
      </c>
      <c r="Z9" s="13">
        <v>0</v>
      </c>
      <c r="AA9" s="2">
        <v>35.453000000000003</v>
      </c>
      <c r="AB9" s="2">
        <v>10.769</v>
      </c>
      <c r="AC9" s="2">
        <v>60.500000000000007</v>
      </c>
      <c r="AD9" s="2"/>
      <c r="AE9" s="7">
        <v>46.222000000000001</v>
      </c>
      <c r="AF9" s="2">
        <v>35.453000000000003</v>
      </c>
      <c r="AG9" s="2">
        <v>10.769</v>
      </c>
      <c r="AH9" s="2">
        <v>16.356384558748069</v>
      </c>
      <c r="AI9" s="2">
        <v>2.0101591638296261</v>
      </c>
      <c r="AJ9" s="2">
        <v>-1686.006367549697</v>
      </c>
      <c r="AK9" s="2">
        <v>-92.838801776949992</v>
      </c>
      <c r="AL9" s="2">
        <v>0</v>
      </c>
      <c r="AM9" s="2">
        <v>-131.16585195715311</v>
      </c>
      <c r="AN9" s="2">
        <v>60.500000000000007</v>
      </c>
      <c r="AO9" s="2">
        <v>9.8627819765462021</v>
      </c>
      <c r="AP9" s="2">
        <v>133.06750125772521</v>
      </c>
      <c r="AQ9" s="2">
        <v>7.833273219764183</v>
      </c>
      <c r="AR9" s="2">
        <v>-435.17375669135612</v>
      </c>
      <c r="AS9" s="2">
        <v>0</v>
      </c>
      <c r="AT9" s="2">
        <v>-775.64744156173435</v>
      </c>
      <c r="AU9" s="1">
        <v>46.222000000000001</v>
      </c>
      <c r="AV9" s="2">
        <v>0</v>
      </c>
      <c r="AW9" s="2">
        <v>0</v>
      </c>
      <c r="AX9" s="2">
        <v>9.8627819765462021</v>
      </c>
      <c r="AZ9" s="1">
        <f>AF9</f>
        <v>35.453000000000003</v>
      </c>
      <c r="BA9" s="2">
        <f>AH9</f>
        <v>16.356384558748069</v>
      </c>
      <c r="BB9" s="7">
        <f>AJ9</f>
        <v>-1686.006367549697</v>
      </c>
      <c r="BC9" s="1">
        <f>AG9</f>
        <v>10.769</v>
      </c>
      <c r="BD9" s="2">
        <f>AI9</f>
        <v>2.0101591638296261</v>
      </c>
      <c r="BE9" s="2">
        <f t="shared" si="0"/>
        <v>-92.838801776949992</v>
      </c>
      <c r="BF9" s="2">
        <f t="shared" si="0"/>
        <v>0</v>
      </c>
      <c r="BG9" s="7">
        <f t="shared" si="0"/>
        <v>-131.16585195715311</v>
      </c>
      <c r="BH9" s="1">
        <f t="shared" si="1"/>
        <v>46.222000000000001</v>
      </c>
      <c r="BI9" s="2">
        <f t="shared" si="1"/>
        <v>18.366543722577696</v>
      </c>
      <c r="BJ9" s="2">
        <f t="shared" si="2"/>
        <v>1778.845169326647</v>
      </c>
      <c r="BK9" s="2">
        <f t="shared" si="5"/>
        <v>0</v>
      </c>
      <c r="BL9" s="7">
        <f t="shared" si="6"/>
        <v>-131.16585195715311</v>
      </c>
      <c r="BM9" s="2"/>
      <c r="BN9" s="1"/>
      <c r="BO9" s="4"/>
      <c r="BP9" s="2"/>
      <c r="BQ9" s="2"/>
      <c r="BR9" s="3"/>
      <c r="BS9" s="1"/>
      <c r="BT9" s="2"/>
      <c r="BU9" s="21"/>
      <c r="BV9" s="2"/>
      <c r="BW9" s="2"/>
      <c r="BX9" s="21"/>
      <c r="BY9" s="15"/>
    </row>
    <row r="10" spans="1:78" x14ac:dyDescent="0.25">
      <c r="A10" t="str">
        <f t="shared" si="3"/>
        <v>Travée</v>
      </c>
      <c r="B10" t="b">
        <f t="shared" si="4"/>
        <v>0</v>
      </c>
      <c r="C10">
        <f t="shared" si="7"/>
        <v>1</v>
      </c>
      <c r="D10" s="5" t="s">
        <v>104</v>
      </c>
      <c r="E10" t="s">
        <v>51</v>
      </c>
      <c r="F10" s="5">
        <v>25</v>
      </c>
      <c r="G10" t="s">
        <v>46</v>
      </c>
      <c r="H10">
        <v>500</v>
      </c>
      <c r="I10">
        <v>220000</v>
      </c>
      <c r="J10">
        <v>1576</v>
      </c>
      <c r="K10" s="10">
        <v>1870</v>
      </c>
      <c r="L10" s="12">
        <v>1</v>
      </c>
      <c r="M10" s="5">
        <v>0.215</v>
      </c>
      <c r="N10" s="10">
        <v>3</v>
      </c>
      <c r="O10" s="5">
        <v>3.8400000000000001E-4</v>
      </c>
      <c r="P10">
        <v>0.04</v>
      </c>
      <c r="Q10" s="10">
        <v>1</v>
      </c>
      <c r="R10" s="8">
        <v>0</v>
      </c>
      <c r="S10">
        <v>0</v>
      </c>
      <c r="T10">
        <v>1</v>
      </c>
      <c r="U10" s="9">
        <v>0</v>
      </c>
      <c r="V10">
        <v>0</v>
      </c>
      <c r="W10" s="10">
        <v>0</v>
      </c>
      <c r="X10" s="1">
        <v>0.75007999999999997</v>
      </c>
      <c r="Y10" s="2">
        <v>0.22783999999999999</v>
      </c>
      <c r="Z10" s="13">
        <v>0</v>
      </c>
      <c r="AA10" s="2">
        <v>0.75007999999999997</v>
      </c>
      <c r="AB10" s="2">
        <v>0.22783999999999999</v>
      </c>
      <c r="AC10" s="2">
        <v>1.28</v>
      </c>
      <c r="AD10" s="2"/>
      <c r="AE10" s="7">
        <v>0.9779199999999999</v>
      </c>
      <c r="AF10" s="2">
        <v>0.75007999999999997</v>
      </c>
      <c r="AG10" s="2">
        <v>0.22783999999999999</v>
      </c>
      <c r="AH10" s="2">
        <v>0.18401906494503531</v>
      </c>
      <c r="AI10" s="2">
        <v>5.5902185000818228E-2</v>
      </c>
      <c r="AJ10" s="2">
        <v>-11.528554872306231</v>
      </c>
      <c r="AK10" s="2">
        <v>-3.5017316417031701</v>
      </c>
      <c r="AL10" s="2">
        <v>0</v>
      </c>
      <c r="AM10" s="2">
        <v>0</v>
      </c>
      <c r="AN10" s="2">
        <v>1.28</v>
      </c>
      <c r="AO10" s="2">
        <v>30.86312727272713</v>
      </c>
      <c r="AP10" s="2">
        <v>30.86312727272713</v>
      </c>
      <c r="AQ10" s="2">
        <v>0.23486673190923721</v>
      </c>
      <c r="AR10" s="2">
        <v>-19.88322066897717</v>
      </c>
      <c r="AS10" s="2">
        <v>0</v>
      </c>
      <c r="AT10" s="2">
        <v>0</v>
      </c>
      <c r="AU10" s="1">
        <v>0.9779199999999999</v>
      </c>
      <c r="AV10" s="2">
        <v>0.17903384570213859</v>
      </c>
      <c r="AW10" s="2">
        <v>-15.196943347429601</v>
      </c>
      <c r="AX10" s="2">
        <v>30.86312727272713</v>
      </c>
      <c r="AZ10" s="1">
        <f t="shared" ref="AZ10:AZ56" si="8">AF10</f>
        <v>0.75007999999999997</v>
      </c>
      <c r="BA10" s="2">
        <f t="shared" ref="BA10:BA56" si="9">AH10</f>
        <v>0.18401906494503531</v>
      </c>
      <c r="BB10" s="7">
        <f t="shared" ref="BB10:BB56" si="10">AJ10</f>
        <v>-11.528554872306231</v>
      </c>
      <c r="BC10" s="1">
        <f t="shared" ref="BC10:BC56" si="11">AG10</f>
        <v>0.22783999999999999</v>
      </c>
      <c r="BD10" s="2">
        <f t="shared" ref="BD10:BD56" si="12">AI10</f>
        <v>5.5902185000818228E-2</v>
      </c>
      <c r="BE10" s="2">
        <f t="shared" si="0"/>
        <v>-3.5017316417031701</v>
      </c>
      <c r="BF10" s="2">
        <f t="shared" si="0"/>
        <v>0</v>
      </c>
      <c r="BG10" s="7">
        <f t="shared" si="0"/>
        <v>0</v>
      </c>
      <c r="BH10" s="1">
        <f t="shared" si="1"/>
        <v>0.9779199999999999</v>
      </c>
      <c r="BI10" s="2">
        <f t="shared" si="1"/>
        <v>0.23992124994585354</v>
      </c>
      <c r="BJ10" s="2">
        <f t="shared" si="2"/>
        <v>15.030286514009401</v>
      </c>
      <c r="BK10" s="2">
        <f t="shared" si="5"/>
        <v>0</v>
      </c>
      <c r="BL10" s="7">
        <f t="shared" si="6"/>
        <v>0</v>
      </c>
      <c r="BM10" s="2"/>
      <c r="BN10" s="1"/>
      <c r="BO10" s="4"/>
      <c r="BP10" s="2"/>
      <c r="BQ10" s="2"/>
      <c r="BR10" s="3"/>
      <c r="BS10" s="1"/>
      <c r="BT10" s="2"/>
      <c r="BU10" s="21"/>
      <c r="BV10" s="2"/>
      <c r="BW10" s="2"/>
      <c r="BX10" s="21"/>
      <c r="BY10" s="10"/>
      <c r="BZ10" t="b">
        <f>SUM(BN7:BN10)&lt;=SUM(BP7:BP10)</f>
        <v>1</v>
      </c>
    </row>
    <row r="11" spans="1:78" x14ac:dyDescent="0.25">
      <c r="A11" t="str">
        <f t="shared" si="3"/>
        <v>Appui</v>
      </c>
      <c r="B11" t="b">
        <f t="shared" si="4"/>
        <v>0</v>
      </c>
      <c r="C11">
        <f t="shared" si="7"/>
        <v>1</v>
      </c>
      <c r="D11" s="5" t="s">
        <v>104</v>
      </c>
      <c r="E11" t="s">
        <v>52</v>
      </c>
      <c r="F11" s="5">
        <v>25</v>
      </c>
      <c r="G11" t="s">
        <v>46</v>
      </c>
      <c r="H11">
        <v>500</v>
      </c>
      <c r="I11">
        <v>220000</v>
      </c>
      <c r="J11">
        <v>1576</v>
      </c>
      <c r="K11" s="10">
        <v>1870</v>
      </c>
      <c r="L11" s="12">
        <v>1</v>
      </c>
      <c r="M11" s="5">
        <v>0.23</v>
      </c>
      <c r="N11" s="10">
        <v>3</v>
      </c>
      <c r="O11" s="5">
        <v>1.3439999999999999E-4</v>
      </c>
      <c r="P11">
        <v>6.9999999999999993E-2</v>
      </c>
      <c r="Q11" s="10">
        <v>1</v>
      </c>
      <c r="R11" s="8">
        <v>0</v>
      </c>
      <c r="S11">
        <v>0</v>
      </c>
      <c r="T11">
        <v>1</v>
      </c>
      <c r="U11" s="9">
        <v>0</v>
      </c>
      <c r="V11">
        <v>0</v>
      </c>
      <c r="W11" s="10">
        <v>0</v>
      </c>
      <c r="X11" s="1">
        <v>0.64460000000000006</v>
      </c>
      <c r="Y11" s="2">
        <v>0.1958</v>
      </c>
      <c r="Z11" s="13">
        <v>0</v>
      </c>
      <c r="AA11" s="2">
        <v>0.64460000000000006</v>
      </c>
      <c r="AB11" s="2">
        <v>0.1958</v>
      </c>
      <c r="AC11" s="2">
        <v>1.1000000000000001</v>
      </c>
      <c r="AD11" s="2"/>
      <c r="AE11" s="7">
        <v>0.84040000000000004</v>
      </c>
      <c r="AF11" s="2">
        <v>0.64460000000000006</v>
      </c>
      <c r="AG11" s="2">
        <v>0.1958</v>
      </c>
      <c r="AH11" s="2">
        <v>0.29738881015905527</v>
      </c>
      <c r="AI11" s="2">
        <v>9.03033913956207E-2</v>
      </c>
      <c r="AJ11" s="2">
        <v>-30.65466122817632</v>
      </c>
      <c r="AK11" s="2">
        <v>-9.3115876588989952</v>
      </c>
      <c r="AL11" s="2">
        <v>0</v>
      </c>
      <c r="AM11" s="2">
        <v>0</v>
      </c>
      <c r="AN11" s="2">
        <v>1.1000000000000001</v>
      </c>
      <c r="AO11" s="2">
        <v>9.862781976295846</v>
      </c>
      <c r="AP11" s="2">
        <v>9.862781976295846</v>
      </c>
      <c r="AQ11" s="2">
        <v>0.37874364299199292</v>
      </c>
      <c r="AR11" s="2">
        <v>-52.584766280728537</v>
      </c>
      <c r="AS11" s="2">
        <v>0</v>
      </c>
      <c r="AT11" s="2">
        <v>0</v>
      </c>
      <c r="AU11" s="1">
        <v>0.84040000000000004</v>
      </c>
      <c r="AV11" s="2">
        <v>0.28962626422403742</v>
      </c>
      <c r="AW11" s="2">
        <v>-40.173965418572003</v>
      </c>
      <c r="AX11" s="2">
        <v>9.862781976295846</v>
      </c>
      <c r="AZ11" s="1">
        <f t="shared" si="8"/>
        <v>0.64460000000000006</v>
      </c>
      <c r="BA11" s="2">
        <f t="shared" si="9"/>
        <v>0.29738881015905527</v>
      </c>
      <c r="BB11" s="7">
        <f t="shared" si="10"/>
        <v>-30.65466122817632</v>
      </c>
      <c r="BC11" s="1">
        <f t="shared" si="11"/>
        <v>0.1958</v>
      </c>
      <c r="BD11" s="2">
        <f t="shared" si="12"/>
        <v>9.03033913956207E-2</v>
      </c>
      <c r="BE11" s="2">
        <f t="shared" si="0"/>
        <v>-9.3115876588989952</v>
      </c>
      <c r="BF11" s="2">
        <f t="shared" si="0"/>
        <v>0</v>
      </c>
      <c r="BG11" s="7">
        <f t="shared" si="0"/>
        <v>0</v>
      </c>
      <c r="BH11" s="1">
        <f t="shared" si="1"/>
        <v>0.84040000000000004</v>
      </c>
      <c r="BI11" s="2">
        <f t="shared" si="1"/>
        <v>0.38769220155467599</v>
      </c>
      <c r="BJ11" s="2">
        <f t="shared" si="2"/>
        <v>39.966248887075317</v>
      </c>
      <c r="BK11" s="2">
        <f t="shared" si="5"/>
        <v>0</v>
      </c>
      <c r="BL11" s="7">
        <f t="shared" si="6"/>
        <v>0</v>
      </c>
      <c r="BM11" s="2"/>
      <c r="BN11" s="1"/>
      <c r="BO11" s="4"/>
      <c r="BP11" s="2"/>
      <c r="BQ11" s="2"/>
      <c r="BR11" s="3"/>
      <c r="BS11" s="1"/>
      <c r="BT11" s="2"/>
      <c r="BU11" s="21"/>
      <c r="BV11" s="2"/>
      <c r="BW11" s="2"/>
      <c r="BX11" s="21"/>
      <c r="BY11" s="15"/>
    </row>
    <row r="12" spans="1:78" x14ac:dyDescent="0.25">
      <c r="A12" t="str">
        <f t="shared" si="3"/>
        <v>Travée</v>
      </c>
      <c r="B12" t="b">
        <f t="shared" si="4"/>
        <v>0</v>
      </c>
      <c r="C12">
        <f t="shared" si="7"/>
        <v>1</v>
      </c>
      <c r="D12" s="5" t="s">
        <v>104</v>
      </c>
      <c r="E12" t="s">
        <v>53</v>
      </c>
      <c r="F12" s="5">
        <v>25</v>
      </c>
      <c r="G12" t="s">
        <v>46</v>
      </c>
      <c r="H12">
        <v>500</v>
      </c>
      <c r="I12">
        <v>220000</v>
      </c>
      <c r="J12">
        <v>1576</v>
      </c>
      <c r="K12" s="10">
        <v>1870</v>
      </c>
      <c r="L12" s="12">
        <v>1</v>
      </c>
      <c r="M12" s="5">
        <v>0.215</v>
      </c>
      <c r="N12" s="10">
        <v>3</v>
      </c>
      <c r="O12" s="5">
        <v>3.8400000000000001E-4</v>
      </c>
      <c r="P12">
        <v>0.04</v>
      </c>
      <c r="Q12" s="10">
        <v>1</v>
      </c>
      <c r="R12" s="8">
        <v>0</v>
      </c>
      <c r="S12">
        <v>0</v>
      </c>
      <c r="T12">
        <v>1</v>
      </c>
      <c r="U12" s="9">
        <v>0</v>
      </c>
      <c r="V12">
        <v>0</v>
      </c>
      <c r="W12" s="10">
        <v>0</v>
      </c>
      <c r="X12" s="1">
        <v>0.75007999999999997</v>
      </c>
      <c r="Y12" s="2">
        <v>0.22783999999999999</v>
      </c>
      <c r="Z12" s="13">
        <v>0</v>
      </c>
      <c r="AA12" s="2">
        <v>0.75007999999999997</v>
      </c>
      <c r="AB12" s="2">
        <v>0.22783999999999999</v>
      </c>
      <c r="AC12" s="2">
        <v>1.28</v>
      </c>
      <c r="AD12" s="2"/>
      <c r="AE12" s="7">
        <v>0.9779199999999999</v>
      </c>
      <c r="AF12" s="2">
        <v>0.75007999999999997</v>
      </c>
      <c r="AG12" s="2">
        <v>0.22783999999999999</v>
      </c>
      <c r="AH12" s="2">
        <v>0.18401906494503531</v>
      </c>
      <c r="AI12" s="2">
        <v>5.5902185000818228E-2</v>
      </c>
      <c r="AJ12" s="2">
        <v>-11.528554872306231</v>
      </c>
      <c r="AK12" s="2">
        <v>-3.5017316417031701</v>
      </c>
      <c r="AL12" s="2">
        <v>0</v>
      </c>
      <c r="AM12" s="2">
        <v>0</v>
      </c>
      <c r="AN12" s="2">
        <v>1.28</v>
      </c>
      <c r="AO12" s="2">
        <v>30.86312727272713</v>
      </c>
      <c r="AP12" s="2">
        <v>30.86312727272713</v>
      </c>
      <c r="AQ12" s="2">
        <v>0.23486673190923721</v>
      </c>
      <c r="AR12" s="2">
        <v>-19.88322066897717</v>
      </c>
      <c r="AS12" s="2">
        <v>0</v>
      </c>
      <c r="AT12" s="2">
        <v>0</v>
      </c>
      <c r="AU12" s="1">
        <v>0.9779199999999999</v>
      </c>
      <c r="AV12" s="2">
        <v>0.17903384570213859</v>
      </c>
      <c r="AW12" s="2">
        <v>-15.196943347429601</v>
      </c>
      <c r="AX12" s="2">
        <v>30.86312727272713</v>
      </c>
      <c r="AZ12" s="1">
        <f t="shared" si="8"/>
        <v>0.75007999999999997</v>
      </c>
      <c r="BA12" s="2">
        <f t="shared" si="9"/>
        <v>0.18401906494503531</v>
      </c>
      <c r="BB12" s="7">
        <f t="shared" si="10"/>
        <v>-11.528554872306231</v>
      </c>
      <c r="BC12" s="1">
        <f t="shared" si="11"/>
        <v>0.22783999999999999</v>
      </c>
      <c r="BD12" s="2">
        <f t="shared" si="12"/>
        <v>5.5902185000818228E-2</v>
      </c>
      <c r="BE12" s="2">
        <f t="shared" si="0"/>
        <v>-3.5017316417031701</v>
      </c>
      <c r="BF12" s="2">
        <f t="shared" si="0"/>
        <v>0</v>
      </c>
      <c r="BG12" s="7">
        <f t="shared" si="0"/>
        <v>0</v>
      </c>
      <c r="BH12" s="1">
        <f t="shared" si="1"/>
        <v>0.9779199999999999</v>
      </c>
      <c r="BI12" s="2">
        <f t="shared" si="1"/>
        <v>0.23992124994585354</v>
      </c>
      <c r="BJ12" s="2">
        <f t="shared" si="2"/>
        <v>15.030286514009401</v>
      </c>
      <c r="BK12" s="2">
        <f t="shared" si="5"/>
        <v>0</v>
      </c>
      <c r="BL12" s="7">
        <f t="shared" si="6"/>
        <v>0</v>
      </c>
      <c r="BM12" s="2"/>
      <c r="BN12" s="1"/>
      <c r="BO12" s="4"/>
      <c r="BP12" s="2"/>
      <c r="BQ12" s="2"/>
      <c r="BR12" s="3"/>
      <c r="BS12" s="1"/>
      <c r="BT12" s="2"/>
      <c r="BU12" s="21"/>
      <c r="BV12" s="2"/>
      <c r="BW12" s="2"/>
      <c r="BX12" s="21"/>
      <c r="BY12" s="10"/>
    </row>
    <row r="13" spans="1:78" x14ac:dyDescent="0.25">
      <c r="A13" t="str">
        <f t="shared" si="3"/>
        <v>Appui</v>
      </c>
      <c r="B13" t="b">
        <f t="shared" si="4"/>
        <v>0</v>
      </c>
      <c r="C13">
        <f t="shared" si="7"/>
        <v>1</v>
      </c>
      <c r="D13" s="5" t="s">
        <v>104</v>
      </c>
      <c r="E13" t="s">
        <v>54</v>
      </c>
      <c r="F13" s="5">
        <v>25</v>
      </c>
      <c r="G13" t="s">
        <v>46</v>
      </c>
      <c r="H13">
        <v>500</v>
      </c>
      <c r="I13">
        <v>220000</v>
      </c>
      <c r="J13">
        <v>1576</v>
      </c>
      <c r="K13" s="10">
        <v>1870</v>
      </c>
      <c r="L13" s="12">
        <v>1</v>
      </c>
      <c r="M13" s="5">
        <v>0.2</v>
      </c>
      <c r="N13" s="10">
        <v>3</v>
      </c>
      <c r="O13" s="5">
        <v>1.5089999999999999E-3</v>
      </c>
      <c r="P13">
        <v>0.04</v>
      </c>
      <c r="Q13" s="10">
        <v>1</v>
      </c>
      <c r="R13" s="8">
        <v>0</v>
      </c>
      <c r="S13">
        <v>0</v>
      </c>
      <c r="T13">
        <v>1</v>
      </c>
      <c r="U13" s="9">
        <v>0</v>
      </c>
      <c r="V13">
        <v>0</v>
      </c>
      <c r="W13" s="10">
        <v>0</v>
      </c>
      <c r="X13" s="1">
        <v>48.344999999999999</v>
      </c>
      <c r="Y13" s="2">
        <v>14.685</v>
      </c>
      <c r="Z13" s="13">
        <v>0</v>
      </c>
      <c r="AA13" s="2">
        <v>48.344999999999999</v>
      </c>
      <c r="AB13" s="2">
        <v>14.685</v>
      </c>
      <c r="AC13" s="2">
        <v>82.5</v>
      </c>
      <c r="AD13" s="2"/>
      <c r="AE13" s="7">
        <v>63.03</v>
      </c>
      <c r="AF13" s="2">
        <v>48.344999999999999</v>
      </c>
      <c r="AG13" s="2">
        <v>14.685</v>
      </c>
      <c r="AH13" s="2">
        <v>7.4178324098404174</v>
      </c>
      <c r="AI13" s="2">
        <v>2.253198240531729</v>
      </c>
      <c r="AJ13" s="2">
        <v>-213.2680152379431</v>
      </c>
      <c r="AK13" s="2">
        <v>-64.781069475006603</v>
      </c>
      <c r="AL13" s="2">
        <v>0</v>
      </c>
      <c r="AM13" s="2">
        <v>0</v>
      </c>
      <c r="AN13" s="2">
        <v>82.5</v>
      </c>
      <c r="AO13" s="2">
        <v>104.8214774261577</v>
      </c>
      <c r="AP13" s="2">
        <v>104.8214774261577</v>
      </c>
      <c r="AQ13" s="2">
        <v>8.8168019775348494</v>
      </c>
      <c r="AR13" s="2">
        <v>-374.16977725739571</v>
      </c>
      <c r="AS13" s="2">
        <v>0</v>
      </c>
      <c r="AT13" s="2">
        <v>0</v>
      </c>
      <c r="AU13" s="1">
        <v>63.03</v>
      </c>
      <c r="AV13" s="2">
        <v>6.9219995076758396</v>
      </c>
      <c r="AW13" s="2">
        <v>-285.33827395990397</v>
      </c>
      <c r="AX13" s="2">
        <v>104.8214774261577</v>
      </c>
      <c r="AZ13" s="1">
        <f t="shared" si="8"/>
        <v>48.344999999999999</v>
      </c>
      <c r="BA13" s="2">
        <f t="shared" si="9"/>
        <v>7.4178324098404174</v>
      </c>
      <c r="BB13" s="7">
        <f t="shared" si="10"/>
        <v>-213.2680152379431</v>
      </c>
      <c r="BC13" s="1">
        <f t="shared" si="11"/>
        <v>14.685</v>
      </c>
      <c r="BD13" s="2">
        <f t="shared" si="12"/>
        <v>2.253198240531729</v>
      </c>
      <c r="BE13" s="2">
        <f t="shared" si="0"/>
        <v>-64.781069475006603</v>
      </c>
      <c r="BF13" s="2">
        <f t="shared" si="0"/>
        <v>0</v>
      </c>
      <c r="BG13" s="7">
        <f t="shared" si="0"/>
        <v>0</v>
      </c>
      <c r="BH13" s="1">
        <f t="shared" si="1"/>
        <v>63.03</v>
      </c>
      <c r="BI13" s="2">
        <f t="shared" si="1"/>
        <v>9.6710306503721455</v>
      </c>
      <c r="BJ13" s="2">
        <f t="shared" si="2"/>
        <v>278.04908471294971</v>
      </c>
      <c r="BK13" s="2">
        <f t="shared" si="5"/>
        <v>0</v>
      </c>
      <c r="BL13" s="7">
        <f t="shared" si="6"/>
        <v>0</v>
      </c>
      <c r="BM13" s="2"/>
      <c r="BN13" s="1"/>
      <c r="BO13" s="4"/>
      <c r="BP13" s="2"/>
      <c r="BQ13" s="2"/>
      <c r="BR13" s="3"/>
      <c r="BS13" s="1"/>
      <c r="BT13" s="2"/>
      <c r="BU13" s="21"/>
      <c r="BV13" s="2"/>
      <c r="BW13" s="2"/>
      <c r="BX13" s="21"/>
      <c r="BY13" s="15"/>
    </row>
    <row r="14" spans="1:78" x14ac:dyDescent="0.25">
      <c r="A14" t="str">
        <f t="shared" si="3"/>
        <v>Travée</v>
      </c>
      <c r="B14" t="b">
        <f t="shared" si="4"/>
        <v>0</v>
      </c>
      <c r="C14">
        <f t="shared" si="7"/>
        <v>1</v>
      </c>
      <c r="D14" s="5" t="s">
        <v>104</v>
      </c>
      <c r="E14" t="s">
        <v>55</v>
      </c>
      <c r="F14" s="5">
        <v>25</v>
      </c>
      <c r="G14" t="s">
        <v>46</v>
      </c>
      <c r="H14">
        <v>500</v>
      </c>
      <c r="I14">
        <v>220000</v>
      </c>
      <c r="J14">
        <v>1576</v>
      </c>
      <c r="K14" s="10">
        <v>1870</v>
      </c>
      <c r="L14" s="12">
        <v>1</v>
      </c>
      <c r="M14" s="5">
        <v>0.215</v>
      </c>
      <c r="N14" s="10">
        <v>4.1749999999999998</v>
      </c>
      <c r="O14" s="5">
        <v>1.0729750000000001E-3</v>
      </c>
      <c r="P14">
        <v>0.04</v>
      </c>
      <c r="Q14" s="10">
        <v>1</v>
      </c>
      <c r="R14" s="8">
        <v>0</v>
      </c>
      <c r="S14">
        <v>0</v>
      </c>
      <c r="T14">
        <v>1</v>
      </c>
      <c r="U14" s="9">
        <v>2.9099999999999999E-5</v>
      </c>
      <c r="V14">
        <v>0</v>
      </c>
      <c r="W14" s="10">
        <v>7</v>
      </c>
      <c r="X14" s="1">
        <v>64.506879999999995</v>
      </c>
      <c r="Y14" s="2">
        <v>19.594239999999999</v>
      </c>
      <c r="Z14" s="13">
        <v>0</v>
      </c>
      <c r="AA14" s="2">
        <v>64.506879999999995</v>
      </c>
      <c r="AB14" s="2">
        <v>19.594239999999999</v>
      </c>
      <c r="AC14" s="2">
        <v>110.08</v>
      </c>
      <c r="AD14" s="2"/>
      <c r="AE14" s="7">
        <v>84.101119999999995</v>
      </c>
      <c r="AF14" s="2">
        <v>64.506879999999995</v>
      </c>
      <c r="AG14" s="2">
        <v>19.594239999999999</v>
      </c>
      <c r="AH14" s="2">
        <v>8.3146985135664799</v>
      </c>
      <c r="AI14" s="2">
        <v>2.1555567317227098</v>
      </c>
      <c r="AJ14" s="2">
        <v>-358.9040382258413</v>
      </c>
      <c r="AK14" s="2">
        <v>-82.57302112569586</v>
      </c>
      <c r="AL14" s="2">
        <v>0</v>
      </c>
      <c r="AM14" s="2">
        <v>-115.035255104109</v>
      </c>
      <c r="AN14" s="2">
        <v>110.08</v>
      </c>
      <c r="AO14" s="2">
        <v>85.469792485708126</v>
      </c>
      <c r="AP14" s="2">
        <v>156.24373164432609</v>
      </c>
      <c r="AQ14" s="2">
        <v>8.9404408606262677</v>
      </c>
      <c r="AR14" s="2">
        <v>-435.28306026871672</v>
      </c>
      <c r="AS14" s="2">
        <v>0</v>
      </c>
      <c r="AT14" s="2">
        <v>-805.66302095467097</v>
      </c>
      <c r="AU14" s="1">
        <v>84.101119999999995</v>
      </c>
      <c r="AV14" s="2">
        <v>16.666666666666671</v>
      </c>
      <c r="AW14" s="2">
        <v>-458.67974998814623</v>
      </c>
      <c r="AX14" s="2">
        <v>85.469792485708126</v>
      </c>
      <c r="AZ14" s="1">
        <f t="shared" si="8"/>
        <v>64.506879999999995</v>
      </c>
      <c r="BA14" s="2">
        <f t="shared" si="9"/>
        <v>8.3146985135664799</v>
      </c>
      <c r="BB14" s="7">
        <f t="shared" si="10"/>
        <v>-358.9040382258413</v>
      </c>
      <c r="BC14" s="1">
        <f t="shared" si="11"/>
        <v>19.594239999999999</v>
      </c>
      <c r="BD14" s="2">
        <f t="shared" si="12"/>
        <v>2.1555567317227098</v>
      </c>
      <c r="BE14" s="2">
        <f t="shared" si="0"/>
        <v>-82.57302112569586</v>
      </c>
      <c r="BF14" s="2">
        <f t="shared" si="0"/>
        <v>0</v>
      </c>
      <c r="BG14" s="7">
        <f t="shared" si="0"/>
        <v>-115.035255104109</v>
      </c>
      <c r="BH14" s="1">
        <f t="shared" si="1"/>
        <v>84.101119999999995</v>
      </c>
      <c r="BI14" s="2">
        <f t="shared" si="1"/>
        <v>10.47025524528919</v>
      </c>
      <c r="BJ14" s="2">
        <f t="shared" si="2"/>
        <v>441.47705935153715</v>
      </c>
      <c r="BK14" s="2">
        <f t="shared" si="5"/>
        <v>0</v>
      </c>
      <c r="BL14" s="7">
        <f t="shared" si="6"/>
        <v>-115.035255104109</v>
      </c>
      <c r="BM14" s="2"/>
      <c r="BN14" s="1"/>
      <c r="BO14" s="4"/>
      <c r="BP14" s="2"/>
      <c r="BQ14" s="2"/>
      <c r="BR14" s="3"/>
      <c r="BS14" s="1"/>
      <c r="BT14" s="2"/>
      <c r="BU14" s="21"/>
      <c r="BV14" s="2"/>
      <c r="BW14" s="2"/>
      <c r="BX14" s="21"/>
      <c r="BY14" s="10"/>
    </row>
    <row r="15" spans="1:78" x14ac:dyDescent="0.25">
      <c r="A15" t="str">
        <f t="shared" si="3"/>
        <v>Appui</v>
      </c>
      <c r="B15" t="b">
        <f t="shared" si="4"/>
        <v>0</v>
      </c>
      <c r="C15">
        <f t="shared" si="7"/>
        <v>1</v>
      </c>
      <c r="D15" s="5" t="s">
        <v>104</v>
      </c>
      <c r="E15" t="s">
        <v>56</v>
      </c>
      <c r="F15" s="5">
        <v>25</v>
      </c>
      <c r="G15" t="s">
        <v>46</v>
      </c>
      <c r="H15">
        <v>500</v>
      </c>
      <c r="I15">
        <v>220000</v>
      </c>
      <c r="J15">
        <v>1576</v>
      </c>
      <c r="K15" s="10">
        <v>1870</v>
      </c>
      <c r="L15" s="12">
        <v>1</v>
      </c>
      <c r="M15" s="5">
        <v>0.23</v>
      </c>
      <c r="N15" s="10">
        <v>5.35</v>
      </c>
      <c r="O15" s="5">
        <v>1.024E-4</v>
      </c>
      <c r="P15">
        <v>6.9999999999999993E-2</v>
      </c>
      <c r="Q15" s="10">
        <v>1</v>
      </c>
      <c r="R15" s="8">
        <v>0</v>
      </c>
      <c r="S15">
        <v>0</v>
      </c>
      <c r="T15">
        <v>1</v>
      </c>
      <c r="U15" s="9">
        <v>2.9099999999999999E-5</v>
      </c>
      <c r="V15">
        <v>0</v>
      </c>
      <c r="W15" s="10">
        <v>12</v>
      </c>
      <c r="X15" s="1">
        <v>16.114999999999998</v>
      </c>
      <c r="Y15" s="2">
        <v>4.8949999999999996</v>
      </c>
      <c r="Z15" s="13">
        <v>0</v>
      </c>
      <c r="AA15" s="2">
        <v>16.114999999999998</v>
      </c>
      <c r="AB15" s="2">
        <v>4.8949999999999996</v>
      </c>
      <c r="AC15" s="2">
        <v>27.5</v>
      </c>
      <c r="AD15" s="2"/>
      <c r="AE15" s="7">
        <v>21.01</v>
      </c>
      <c r="AF15" s="2">
        <v>16.114999999999998</v>
      </c>
      <c r="AG15" s="2">
        <v>4.8949999999999996</v>
      </c>
      <c r="AH15" s="2">
        <v>6.3817315847095717</v>
      </c>
      <c r="AI15" s="2">
        <v>0.56242044095706945</v>
      </c>
      <c r="AJ15" s="2">
        <v>-999.19394841269821</v>
      </c>
      <c r="AK15" s="2">
        <v>-34.027283930432297</v>
      </c>
      <c r="AL15" s="2">
        <v>0</v>
      </c>
      <c r="AM15" s="2">
        <v>-55.525470543421527</v>
      </c>
      <c r="AN15" s="2">
        <v>27.5</v>
      </c>
      <c r="AO15" s="2">
        <v>7.514500553359369</v>
      </c>
      <c r="AP15" s="2">
        <v>152.12913976562979</v>
      </c>
      <c r="AQ15" s="2">
        <v>2.2960904536688291</v>
      </c>
      <c r="AR15" s="2">
        <v>-190.56226081139769</v>
      </c>
      <c r="AS15" s="2">
        <v>0</v>
      </c>
      <c r="AT15" s="2">
        <v>-315.07764515577458</v>
      </c>
      <c r="AU15" s="1">
        <v>21.01</v>
      </c>
      <c r="AV15" s="2">
        <v>0</v>
      </c>
      <c r="AW15" s="2">
        <v>0</v>
      </c>
      <c r="AX15" s="2">
        <v>7.514500553359369</v>
      </c>
      <c r="AZ15" s="1">
        <f t="shared" si="8"/>
        <v>16.114999999999998</v>
      </c>
      <c r="BA15" s="2">
        <f t="shared" si="9"/>
        <v>6.3817315847095717</v>
      </c>
      <c r="BB15" s="7">
        <f t="shared" si="10"/>
        <v>-999.19394841269821</v>
      </c>
      <c r="BC15" s="1">
        <f t="shared" si="11"/>
        <v>4.8949999999999996</v>
      </c>
      <c r="BD15" s="2">
        <f t="shared" si="12"/>
        <v>0.56242044095706945</v>
      </c>
      <c r="BE15" s="2">
        <f t="shared" si="0"/>
        <v>-34.027283930432297</v>
      </c>
      <c r="BF15" s="2">
        <f t="shared" si="0"/>
        <v>0</v>
      </c>
      <c r="BG15" s="7">
        <f t="shared" si="0"/>
        <v>-55.525470543421527</v>
      </c>
      <c r="BH15" s="1">
        <f t="shared" si="1"/>
        <v>21.009999999999998</v>
      </c>
      <c r="BI15" s="2">
        <f t="shared" si="1"/>
        <v>6.9441520256666411</v>
      </c>
      <c r="BJ15" s="2">
        <f t="shared" si="2"/>
        <v>1033.2212323431304</v>
      </c>
      <c r="BK15" s="2">
        <f t="shared" si="5"/>
        <v>0</v>
      </c>
      <c r="BL15" s="7">
        <f t="shared" si="6"/>
        <v>-55.525470543421527</v>
      </c>
      <c r="BM15" s="2"/>
      <c r="BN15" s="1"/>
      <c r="BO15" s="4"/>
      <c r="BP15" s="2"/>
      <c r="BQ15" s="2"/>
      <c r="BR15" s="3"/>
      <c r="BS15" s="1"/>
      <c r="BT15" s="2"/>
      <c r="BU15" s="21"/>
      <c r="BV15" s="2"/>
      <c r="BW15" s="2"/>
      <c r="BX15" s="21"/>
      <c r="BY15" s="15"/>
    </row>
    <row r="16" spans="1:78" x14ac:dyDescent="0.25">
      <c r="A16" t="str">
        <f t="shared" si="3"/>
        <v>Travée</v>
      </c>
      <c r="B16" t="b">
        <f t="shared" si="4"/>
        <v>0</v>
      </c>
      <c r="C16">
        <f t="shared" si="7"/>
        <v>1</v>
      </c>
      <c r="D16" s="5" t="s">
        <v>104</v>
      </c>
      <c r="E16" t="s">
        <v>57</v>
      </c>
      <c r="F16" s="5">
        <v>25</v>
      </c>
      <c r="G16" t="s">
        <v>46</v>
      </c>
      <c r="H16">
        <v>500</v>
      </c>
      <c r="I16">
        <v>220000</v>
      </c>
      <c r="J16">
        <v>1576</v>
      </c>
      <c r="K16" s="10">
        <v>1870</v>
      </c>
      <c r="L16" s="12">
        <v>1</v>
      </c>
      <c r="M16" s="5">
        <v>0.24</v>
      </c>
      <c r="N16" s="10">
        <v>5.35</v>
      </c>
      <c r="O16" s="5">
        <v>1.37495E-3</v>
      </c>
      <c r="P16">
        <v>0.04</v>
      </c>
      <c r="Q16" s="10">
        <v>1</v>
      </c>
      <c r="R16" s="8">
        <v>0</v>
      </c>
      <c r="S16">
        <v>0</v>
      </c>
      <c r="T16">
        <v>1</v>
      </c>
      <c r="U16" s="9">
        <v>0</v>
      </c>
      <c r="V16">
        <v>0</v>
      </c>
      <c r="W16" s="10">
        <v>0</v>
      </c>
      <c r="X16" s="1">
        <v>43.504639999999988</v>
      </c>
      <c r="Y16" s="2">
        <v>13.21472</v>
      </c>
      <c r="Z16" s="13">
        <v>0</v>
      </c>
      <c r="AA16" s="2">
        <v>43.504639999999988</v>
      </c>
      <c r="AB16" s="2">
        <v>13.21472</v>
      </c>
      <c r="AC16" s="2">
        <v>74.239999999999995</v>
      </c>
      <c r="AD16" s="2"/>
      <c r="AE16" s="7">
        <v>56.719359999999988</v>
      </c>
      <c r="AF16" s="2">
        <v>43.504639999999988</v>
      </c>
      <c r="AG16" s="2">
        <v>13.21472</v>
      </c>
      <c r="AH16" s="2">
        <v>3.5388591378917642</v>
      </c>
      <c r="AI16" s="2">
        <v>1.0749435606565449</v>
      </c>
      <c r="AJ16" s="2">
        <v>-164.92588974492469</v>
      </c>
      <c r="AK16" s="2">
        <v>-50.096942618765517</v>
      </c>
      <c r="AL16" s="2">
        <v>0</v>
      </c>
      <c r="AM16" s="2">
        <v>0</v>
      </c>
      <c r="AN16" s="2">
        <v>74.239999999999995</v>
      </c>
      <c r="AO16" s="2">
        <v>125.5033711939497</v>
      </c>
      <c r="AP16" s="2">
        <v>125.5033711939497</v>
      </c>
      <c r="AQ16" s="2">
        <v>4.3675867180113608</v>
      </c>
      <c r="AR16" s="2">
        <v>-285.92137098288191</v>
      </c>
      <c r="AS16" s="2">
        <v>0</v>
      </c>
      <c r="AT16" s="2">
        <v>0</v>
      </c>
      <c r="AU16" s="1">
        <v>56.719359999999988</v>
      </c>
      <c r="AV16" s="2">
        <v>3.3755468119453091</v>
      </c>
      <c r="AW16" s="2">
        <v>-218.3239722366813</v>
      </c>
      <c r="AX16" s="2">
        <v>125.5033711939497</v>
      </c>
      <c r="AZ16" s="1">
        <f t="shared" si="8"/>
        <v>43.504639999999988</v>
      </c>
      <c r="BA16" s="2">
        <f t="shared" si="9"/>
        <v>3.5388591378917642</v>
      </c>
      <c r="BB16" s="7">
        <f t="shared" si="10"/>
        <v>-164.92588974492469</v>
      </c>
      <c r="BC16" s="1">
        <f t="shared" si="11"/>
        <v>13.21472</v>
      </c>
      <c r="BD16" s="2">
        <f t="shared" si="12"/>
        <v>1.0749435606565449</v>
      </c>
      <c r="BE16" s="2">
        <f t="shared" si="0"/>
        <v>-50.096942618765517</v>
      </c>
      <c r="BF16" s="2">
        <f t="shared" si="0"/>
        <v>0</v>
      </c>
      <c r="BG16" s="7">
        <f t="shared" si="0"/>
        <v>0</v>
      </c>
      <c r="BH16" s="1">
        <f t="shared" si="1"/>
        <v>56.719359999999988</v>
      </c>
      <c r="BI16" s="2">
        <f t="shared" si="1"/>
        <v>4.6138026985483087</v>
      </c>
      <c r="BJ16" s="2">
        <f t="shared" si="2"/>
        <v>215.02283236369021</v>
      </c>
      <c r="BK16" s="2">
        <f t="shared" si="5"/>
        <v>0</v>
      </c>
      <c r="BL16" s="7">
        <f t="shared" si="6"/>
        <v>0</v>
      </c>
      <c r="BM16" s="2"/>
      <c r="BN16" s="1"/>
      <c r="BO16" s="4"/>
      <c r="BP16" s="2"/>
      <c r="BQ16" s="2"/>
      <c r="BR16" s="3"/>
      <c r="BS16" s="1"/>
      <c r="BT16" s="2"/>
      <c r="BU16" s="21"/>
      <c r="BV16" s="2"/>
      <c r="BW16" s="2"/>
      <c r="BX16" s="21"/>
      <c r="BY16" s="10"/>
    </row>
    <row r="17" spans="1:77" x14ac:dyDescent="0.25">
      <c r="A17" t="str">
        <f t="shared" si="3"/>
        <v/>
      </c>
      <c r="B17" t="b">
        <f t="shared" si="4"/>
        <v>0</v>
      </c>
      <c r="C17">
        <f>IF(D17=D15,C15,C15+1)</f>
        <v>1</v>
      </c>
      <c r="D17" s="5" t="s">
        <v>104</v>
      </c>
      <c r="F17" s="5"/>
      <c r="K17" s="10"/>
      <c r="L17" s="12"/>
      <c r="M17" s="5"/>
      <c r="N17" s="10"/>
      <c r="O17" s="5"/>
      <c r="Q17" s="10"/>
      <c r="R17" s="8"/>
      <c r="U17" s="9"/>
      <c r="W17" s="10"/>
      <c r="X17" s="1"/>
      <c r="Y17" s="2"/>
      <c r="Z17" s="13"/>
      <c r="AA17" s="2"/>
      <c r="AB17" s="2"/>
      <c r="AC17" s="2"/>
      <c r="AD17" s="2"/>
      <c r="AE17" s="7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"/>
      <c r="AV17" s="2"/>
      <c r="AW17" s="2"/>
      <c r="AX17" s="2"/>
      <c r="AZ17" s="1"/>
      <c r="BA17" s="2"/>
      <c r="BB17" s="7"/>
      <c r="BC17" s="1"/>
      <c r="BD17" s="2"/>
      <c r="BE17" s="2"/>
      <c r="BF17" s="2"/>
      <c r="BG17" s="7"/>
      <c r="BH17" s="1"/>
      <c r="BI17" s="2"/>
      <c r="BJ17" s="2"/>
      <c r="BK17" s="2"/>
      <c r="BL17" s="7"/>
      <c r="BM17" s="2"/>
      <c r="BN17" s="1"/>
      <c r="BO17" s="4"/>
      <c r="BP17" s="2"/>
      <c r="BQ17" s="2"/>
      <c r="BR17" s="3"/>
      <c r="BS17" s="1"/>
      <c r="BT17" s="2"/>
      <c r="BU17" s="21"/>
      <c r="BV17" s="2"/>
      <c r="BW17" s="2"/>
      <c r="BX17" s="21"/>
      <c r="BY17" s="15"/>
    </row>
    <row r="18" spans="1:77" x14ac:dyDescent="0.25">
      <c r="A18" t="str">
        <f t="shared" si="3"/>
        <v>Travée</v>
      </c>
      <c r="B18" t="b">
        <f t="shared" si="4"/>
        <v>1</v>
      </c>
      <c r="C18">
        <f t="shared" si="7"/>
        <v>2</v>
      </c>
      <c r="D18" s="5" t="s">
        <v>105</v>
      </c>
      <c r="E18" t="s">
        <v>45</v>
      </c>
      <c r="F18" s="5">
        <v>25</v>
      </c>
      <c r="G18" t="s">
        <v>46</v>
      </c>
      <c r="H18">
        <v>500</v>
      </c>
      <c r="I18">
        <v>220000</v>
      </c>
      <c r="J18">
        <v>1576</v>
      </c>
      <c r="K18" s="10">
        <v>1870</v>
      </c>
      <c r="L18" s="12">
        <v>1</v>
      </c>
      <c r="M18" s="5">
        <v>0.24</v>
      </c>
      <c r="N18" s="10">
        <v>5.3</v>
      </c>
      <c r="O18" s="5">
        <v>1.3621E-3</v>
      </c>
      <c r="P18">
        <v>0.04</v>
      </c>
      <c r="Q18" s="10">
        <v>1</v>
      </c>
      <c r="R18" s="8">
        <v>0</v>
      </c>
      <c r="S18">
        <v>0</v>
      </c>
      <c r="T18">
        <v>1</v>
      </c>
      <c r="U18" s="9">
        <v>0</v>
      </c>
      <c r="V18">
        <v>0</v>
      </c>
      <c r="W18" s="10">
        <v>0</v>
      </c>
      <c r="X18" s="1">
        <v>48.755200000000002</v>
      </c>
      <c r="Y18" s="2">
        <v>14.8096</v>
      </c>
      <c r="Z18" s="13">
        <v>0</v>
      </c>
      <c r="AA18" s="2">
        <v>48.755200000000002</v>
      </c>
      <c r="AB18" s="2">
        <v>14.8096</v>
      </c>
      <c r="AC18" s="2">
        <v>83.2</v>
      </c>
      <c r="AD18" s="2"/>
      <c r="AE18" s="7">
        <v>63.564800000000012</v>
      </c>
      <c r="AF18" s="2">
        <v>48.755200000000002</v>
      </c>
      <c r="AG18" s="2">
        <v>14.8096</v>
      </c>
      <c r="AH18" s="2">
        <v>4.0033775705981229</v>
      </c>
      <c r="AI18" s="2">
        <v>1.2160430163250271</v>
      </c>
      <c r="AJ18" s="2">
        <v>-186.5744247195756</v>
      </c>
      <c r="AK18" s="2">
        <v>-56.672777474546884</v>
      </c>
      <c r="AL18" s="2">
        <v>0</v>
      </c>
      <c r="AM18" s="2">
        <v>0</v>
      </c>
      <c r="AN18" s="2">
        <v>83.2</v>
      </c>
      <c r="AO18" s="2">
        <v>124.3304424912025</v>
      </c>
      <c r="AP18" s="2">
        <v>124.3304424912025</v>
      </c>
      <c r="AQ18" s="2">
        <v>4.9084627156267064</v>
      </c>
      <c r="AR18" s="2">
        <v>-323.55300347708629</v>
      </c>
      <c r="AS18" s="2">
        <v>0</v>
      </c>
      <c r="AT18" s="2">
        <v>0</v>
      </c>
      <c r="AU18" s="1">
        <v>63.564800000000012</v>
      </c>
      <c r="AV18" s="2">
        <v>3.8001343185936332</v>
      </c>
      <c r="AW18" s="2">
        <v>-247.03886231437741</v>
      </c>
      <c r="AX18" s="2">
        <v>124.3304424912025</v>
      </c>
      <c r="AZ18" s="1">
        <f t="shared" si="8"/>
        <v>48.755200000000002</v>
      </c>
      <c r="BA18" s="2">
        <f t="shared" si="9"/>
        <v>4.0033775705981229</v>
      </c>
      <c r="BB18" s="7">
        <f t="shared" si="10"/>
        <v>-186.5744247195756</v>
      </c>
      <c r="BC18" s="1">
        <f t="shared" si="11"/>
        <v>14.8096</v>
      </c>
      <c r="BD18" s="2">
        <f t="shared" si="12"/>
        <v>1.2160430163250271</v>
      </c>
      <c r="BE18" s="2">
        <f t="shared" si="0"/>
        <v>-56.672777474546884</v>
      </c>
      <c r="BF18" s="2">
        <f t="shared" si="0"/>
        <v>0</v>
      </c>
      <c r="BG18" s="7">
        <f t="shared" si="0"/>
        <v>0</v>
      </c>
      <c r="BH18" s="1">
        <f t="shared" si="1"/>
        <v>63.564800000000005</v>
      </c>
      <c r="BI18" s="2">
        <f t="shared" si="1"/>
        <v>5.2194205869231496</v>
      </c>
      <c r="BJ18" s="2">
        <f t="shared" si="2"/>
        <v>243.24720219412248</v>
      </c>
      <c r="BK18" s="2">
        <f t="shared" si="5"/>
        <v>0</v>
      </c>
      <c r="BL18" s="7">
        <f t="shared" si="6"/>
        <v>0</v>
      </c>
      <c r="BM18" s="2"/>
      <c r="BN18" s="1"/>
      <c r="BO18" s="4"/>
      <c r="BP18" s="2"/>
      <c r="BQ18" s="2"/>
      <c r="BR18" s="3"/>
      <c r="BS18" s="1"/>
      <c r="BT18" s="2"/>
      <c r="BU18" s="21"/>
      <c r="BV18" s="2"/>
      <c r="BW18" s="2"/>
      <c r="BX18" s="21"/>
      <c r="BY18" s="10"/>
    </row>
    <row r="19" spans="1:77" x14ac:dyDescent="0.25">
      <c r="A19" t="str">
        <f t="shared" si="3"/>
        <v>Appui</v>
      </c>
      <c r="B19" t="b">
        <f t="shared" si="4"/>
        <v>1</v>
      </c>
      <c r="C19">
        <f t="shared" si="7"/>
        <v>2</v>
      </c>
      <c r="D19" s="5" t="s">
        <v>105</v>
      </c>
      <c r="E19" t="s">
        <v>47</v>
      </c>
      <c r="F19" s="5">
        <v>25</v>
      </c>
      <c r="G19" t="s">
        <v>46</v>
      </c>
      <c r="H19">
        <v>500</v>
      </c>
      <c r="I19">
        <v>220000</v>
      </c>
      <c r="J19">
        <v>1576</v>
      </c>
      <c r="K19" s="10">
        <v>1870</v>
      </c>
      <c r="L19" s="12">
        <v>1</v>
      </c>
      <c r="M19" s="5">
        <v>0.23</v>
      </c>
      <c r="N19" s="10">
        <v>5.3</v>
      </c>
      <c r="O19" s="5">
        <v>1.024E-4</v>
      </c>
      <c r="P19">
        <v>6.9999999999999993E-2</v>
      </c>
      <c r="Q19" s="10">
        <v>1</v>
      </c>
      <c r="R19" s="8">
        <v>0</v>
      </c>
      <c r="S19">
        <v>0</v>
      </c>
      <c r="T19">
        <v>1</v>
      </c>
      <c r="U19" s="9">
        <v>2.9099999999999999E-5</v>
      </c>
      <c r="V19">
        <v>0</v>
      </c>
      <c r="W19" s="10">
        <v>12</v>
      </c>
      <c r="X19" s="1">
        <v>48.344999999999999</v>
      </c>
      <c r="Y19" s="2">
        <v>14.685</v>
      </c>
      <c r="Z19" s="13">
        <v>0</v>
      </c>
      <c r="AA19" s="2">
        <v>48.344999999999999</v>
      </c>
      <c r="AB19" s="2">
        <v>14.685</v>
      </c>
      <c r="AC19" s="2">
        <v>82.5</v>
      </c>
      <c r="AD19" s="2"/>
      <c r="AE19" s="7">
        <v>63.03</v>
      </c>
      <c r="AF19" s="2">
        <v>48.344999999999999</v>
      </c>
      <c r="AG19" s="2">
        <v>14.685</v>
      </c>
      <c r="AH19" s="2">
        <v>19.255166413789158</v>
      </c>
      <c r="AI19" s="2">
        <v>1.6957624247896541</v>
      </c>
      <c r="AJ19" s="2">
        <v>-2997.581845238095</v>
      </c>
      <c r="AK19" s="2">
        <v>-102.07682066906141</v>
      </c>
      <c r="AL19" s="2">
        <v>0</v>
      </c>
      <c r="AM19" s="2">
        <v>-166.59445172348859</v>
      </c>
      <c r="AN19" s="2">
        <v>82.5</v>
      </c>
      <c r="AO19" s="2">
        <v>7.5145005533587623</v>
      </c>
      <c r="AP19" s="2">
        <v>152.10828212812649</v>
      </c>
      <c r="AQ19" s="2">
        <v>6.6140803528915946</v>
      </c>
      <c r="AR19" s="2">
        <v>-435.34122552283378</v>
      </c>
      <c r="AS19" s="2">
        <v>0</v>
      </c>
      <c r="AT19" s="2">
        <v>-973.40963429453018</v>
      </c>
      <c r="AU19" s="1">
        <v>63.03</v>
      </c>
      <c r="AV19" s="2">
        <v>0</v>
      </c>
      <c r="AW19" s="2">
        <v>0</v>
      </c>
      <c r="AX19" s="2">
        <v>7.5145005533587623</v>
      </c>
      <c r="AZ19" s="1">
        <f t="shared" si="8"/>
        <v>48.344999999999999</v>
      </c>
      <c r="BA19" s="2">
        <f t="shared" si="9"/>
        <v>19.255166413789158</v>
      </c>
      <c r="BB19" s="7">
        <f t="shared" si="10"/>
        <v>-2997.581845238095</v>
      </c>
      <c r="BC19" s="1">
        <f t="shared" si="11"/>
        <v>14.685</v>
      </c>
      <c r="BD19" s="2">
        <f t="shared" si="12"/>
        <v>1.6957624247896541</v>
      </c>
      <c r="BE19" s="2">
        <f t="shared" si="0"/>
        <v>-102.07682066906141</v>
      </c>
      <c r="BF19" s="2">
        <f t="shared" si="0"/>
        <v>0</v>
      </c>
      <c r="BG19" s="7">
        <f t="shared" si="0"/>
        <v>-166.59445172348859</v>
      </c>
      <c r="BH19" s="1">
        <f t="shared" si="1"/>
        <v>63.03</v>
      </c>
      <c r="BI19" s="2">
        <f t="shared" si="1"/>
        <v>20.950928838578811</v>
      </c>
      <c r="BJ19" s="2">
        <f>ABS(BB19+BE19)</f>
        <v>3099.6586659071563</v>
      </c>
      <c r="BK19" s="2">
        <f t="shared" si="5"/>
        <v>0</v>
      </c>
      <c r="BL19" s="7">
        <f t="shared" si="6"/>
        <v>-166.59445172348859</v>
      </c>
      <c r="BM19" s="2"/>
      <c r="BN19" s="1"/>
      <c r="BO19" s="4"/>
      <c r="BP19" s="2"/>
      <c r="BQ19" s="2"/>
      <c r="BR19" s="3"/>
      <c r="BS19" s="1"/>
      <c r="BT19" s="2"/>
      <c r="BU19" s="21"/>
      <c r="BV19" s="2"/>
      <c r="BW19" s="2"/>
      <c r="BX19" s="21"/>
      <c r="BY19" s="15"/>
    </row>
    <row r="20" spans="1:77" x14ac:dyDescent="0.25">
      <c r="A20" t="str">
        <f t="shared" si="3"/>
        <v>Travée</v>
      </c>
      <c r="B20" t="b">
        <f t="shared" si="4"/>
        <v>1</v>
      </c>
      <c r="C20">
        <f t="shared" si="7"/>
        <v>2</v>
      </c>
      <c r="D20" s="5" t="s">
        <v>105</v>
      </c>
      <c r="E20" t="s">
        <v>48</v>
      </c>
      <c r="F20" s="5">
        <v>25</v>
      </c>
      <c r="G20" t="s">
        <v>46</v>
      </c>
      <c r="H20">
        <v>500</v>
      </c>
      <c r="I20">
        <v>220000</v>
      </c>
      <c r="J20">
        <v>1576</v>
      </c>
      <c r="K20" s="10">
        <v>1870</v>
      </c>
      <c r="L20" s="12">
        <v>1</v>
      </c>
      <c r="M20" s="5">
        <v>0.215</v>
      </c>
      <c r="N20" s="10">
        <v>5.3</v>
      </c>
      <c r="O20" s="5">
        <v>2.7188999999999998E-3</v>
      </c>
      <c r="P20">
        <v>0.04</v>
      </c>
      <c r="Q20" s="10">
        <v>1</v>
      </c>
      <c r="R20" s="8">
        <v>0</v>
      </c>
      <c r="S20">
        <v>0</v>
      </c>
      <c r="T20">
        <v>1</v>
      </c>
      <c r="U20" s="9">
        <v>2.9099999999999999E-5</v>
      </c>
      <c r="V20">
        <v>0</v>
      </c>
      <c r="W20" s="10">
        <v>7</v>
      </c>
      <c r="X20" s="1">
        <v>111.01184000000001</v>
      </c>
      <c r="Y20" s="2">
        <v>33.720320000000001</v>
      </c>
      <c r="Z20" s="13">
        <v>0</v>
      </c>
      <c r="AA20" s="2">
        <v>111.01184000000001</v>
      </c>
      <c r="AB20" s="2">
        <v>33.720320000000001</v>
      </c>
      <c r="AC20" s="2">
        <v>189.44</v>
      </c>
      <c r="AD20" s="2"/>
      <c r="AE20" s="7">
        <v>144.73215999999999</v>
      </c>
      <c r="AF20" s="2">
        <v>111.01184000000001</v>
      </c>
      <c r="AG20" s="2">
        <v>33.720320000000001</v>
      </c>
      <c r="AH20" s="2">
        <v>8.2967233786435717</v>
      </c>
      <c r="AI20" s="2">
        <v>2.365038098585551</v>
      </c>
      <c r="AJ20" s="2">
        <v>-247.97865664768801</v>
      </c>
      <c r="AK20" s="2">
        <v>-66.751644853279529</v>
      </c>
      <c r="AL20" s="2">
        <v>0</v>
      </c>
      <c r="AM20" s="2">
        <v>-93.988462377556885</v>
      </c>
      <c r="AN20" s="2">
        <v>189.44</v>
      </c>
      <c r="AO20" s="2">
        <v>207.919212427274</v>
      </c>
      <c r="AP20" s="2">
        <v>272.17828557769099</v>
      </c>
      <c r="AQ20" s="2">
        <v>9.1814730089714587</v>
      </c>
      <c r="AR20" s="2">
        <v>-384.83646560063897</v>
      </c>
      <c r="AS20" s="2">
        <v>0</v>
      </c>
      <c r="AT20" s="2">
        <v>-553.25168550029071</v>
      </c>
      <c r="AU20" s="1">
        <v>144.73215999999999</v>
      </c>
      <c r="AV20" s="2">
        <v>7.6619968921425556</v>
      </c>
      <c r="AW20" s="2">
        <v>-331.59884567748043</v>
      </c>
      <c r="AX20" s="2">
        <v>207.919212427274</v>
      </c>
      <c r="AZ20" s="1">
        <f t="shared" si="8"/>
        <v>111.01184000000001</v>
      </c>
      <c r="BA20" s="2">
        <f t="shared" si="9"/>
        <v>8.2967233786435717</v>
      </c>
      <c r="BB20" s="7">
        <f t="shared" si="10"/>
        <v>-247.97865664768801</v>
      </c>
      <c r="BC20" s="1">
        <f t="shared" si="11"/>
        <v>33.720320000000001</v>
      </c>
      <c r="BD20" s="2">
        <f t="shared" si="12"/>
        <v>2.365038098585551</v>
      </c>
      <c r="BE20" s="2">
        <f t="shared" si="0"/>
        <v>-66.751644853279529</v>
      </c>
      <c r="BF20" s="2">
        <f t="shared" si="0"/>
        <v>0</v>
      </c>
      <c r="BG20" s="7">
        <f t="shared" si="0"/>
        <v>-93.988462377556885</v>
      </c>
      <c r="BH20" s="1">
        <f t="shared" si="1"/>
        <v>144.73216000000002</v>
      </c>
      <c r="BI20" s="2">
        <f t="shared" si="1"/>
        <v>10.661761477229122</v>
      </c>
      <c r="BJ20" s="2">
        <f t="shared" si="2"/>
        <v>314.73030150096753</v>
      </c>
      <c r="BK20" s="2">
        <f t="shared" si="5"/>
        <v>0</v>
      </c>
      <c r="BL20" s="7">
        <f t="shared" si="6"/>
        <v>-93.988462377556885</v>
      </c>
      <c r="BM20" s="2"/>
      <c r="BN20" s="1"/>
      <c r="BO20" s="4"/>
      <c r="BP20" s="2"/>
      <c r="BQ20" s="2"/>
      <c r="BR20" s="3"/>
      <c r="BS20" s="1"/>
      <c r="BT20" s="2"/>
      <c r="BU20" s="21"/>
      <c r="BV20" s="2"/>
      <c r="BW20" s="2"/>
      <c r="BX20" s="21"/>
      <c r="BY20" s="10"/>
    </row>
    <row r="21" spans="1:77" x14ac:dyDescent="0.25">
      <c r="A21" t="str">
        <f t="shared" si="3"/>
        <v>Appui</v>
      </c>
      <c r="B21" t="b">
        <f t="shared" si="4"/>
        <v>1</v>
      </c>
      <c r="C21">
        <f t="shared" si="7"/>
        <v>2</v>
      </c>
      <c r="D21" s="5" t="s">
        <v>105</v>
      </c>
      <c r="E21" t="s">
        <v>49</v>
      </c>
      <c r="F21" s="5">
        <v>25</v>
      </c>
      <c r="G21" t="s">
        <v>46</v>
      </c>
      <c r="H21">
        <v>500</v>
      </c>
      <c r="I21">
        <v>220000</v>
      </c>
      <c r="J21">
        <v>1576</v>
      </c>
      <c r="K21" s="10">
        <v>1870</v>
      </c>
      <c r="L21" s="12">
        <v>1</v>
      </c>
      <c r="M21" s="5">
        <v>0.2</v>
      </c>
      <c r="N21" s="10">
        <v>5.3</v>
      </c>
      <c r="O21" s="5">
        <v>1.3439999999999999E-4</v>
      </c>
      <c r="P21">
        <v>0.04</v>
      </c>
      <c r="Q21" s="10">
        <v>1</v>
      </c>
      <c r="R21" s="8">
        <v>0</v>
      </c>
      <c r="S21">
        <v>0</v>
      </c>
      <c r="T21">
        <v>1</v>
      </c>
      <c r="U21" s="9">
        <v>2.9099999999999999E-5</v>
      </c>
      <c r="V21">
        <v>0</v>
      </c>
      <c r="W21" s="10">
        <v>12</v>
      </c>
      <c r="X21" s="1">
        <v>45.122</v>
      </c>
      <c r="Y21" s="2">
        <v>13.706</v>
      </c>
      <c r="Z21" s="13">
        <v>0</v>
      </c>
      <c r="AA21" s="2">
        <v>45.122</v>
      </c>
      <c r="AB21" s="2">
        <v>13.706</v>
      </c>
      <c r="AC21" s="2">
        <v>77</v>
      </c>
      <c r="AD21" s="2"/>
      <c r="AE21" s="7">
        <v>58.828000000000003</v>
      </c>
      <c r="AF21" s="2">
        <v>45.122</v>
      </c>
      <c r="AG21" s="2">
        <v>13.706</v>
      </c>
      <c r="AH21" s="2">
        <v>16.30744446840103</v>
      </c>
      <c r="AI21" s="2">
        <v>1.884144303265711</v>
      </c>
      <c r="AJ21" s="2">
        <v>-2131.6137566137559</v>
      </c>
      <c r="AK21" s="2">
        <v>-117.91386416353311</v>
      </c>
      <c r="AL21" s="2">
        <v>0</v>
      </c>
      <c r="AM21" s="2">
        <v>-165.42386766936269</v>
      </c>
      <c r="AN21" s="2">
        <v>77</v>
      </c>
      <c r="AO21" s="2">
        <v>9.8627819762850404</v>
      </c>
      <c r="AP21" s="2">
        <v>134.88696809607541</v>
      </c>
      <c r="AQ21" s="2">
        <v>7.4013988682373624</v>
      </c>
      <c r="AR21" s="2">
        <v>-435.79762103404198</v>
      </c>
      <c r="AS21" s="2">
        <v>0</v>
      </c>
      <c r="AT21" s="2">
        <v>-1009.611870255456</v>
      </c>
      <c r="AU21" s="1">
        <v>58.828000000000003</v>
      </c>
      <c r="AV21" s="2">
        <v>0</v>
      </c>
      <c r="AW21" s="2">
        <v>0</v>
      </c>
      <c r="AX21" s="2">
        <v>9.8627819762850404</v>
      </c>
      <c r="AZ21" s="1">
        <f t="shared" si="8"/>
        <v>45.122</v>
      </c>
      <c r="BA21" s="2">
        <f t="shared" si="9"/>
        <v>16.30744446840103</v>
      </c>
      <c r="BB21" s="7">
        <f t="shared" si="10"/>
        <v>-2131.6137566137559</v>
      </c>
      <c r="BC21" s="1">
        <f t="shared" si="11"/>
        <v>13.706</v>
      </c>
      <c r="BD21" s="2">
        <f t="shared" si="12"/>
        <v>1.884144303265711</v>
      </c>
      <c r="BE21" s="2">
        <f t="shared" si="0"/>
        <v>-117.91386416353311</v>
      </c>
      <c r="BF21" s="2">
        <f t="shared" si="0"/>
        <v>0</v>
      </c>
      <c r="BG21" s="7">
        <f t="shared" si="0"/>
        <v>-165.42386766936269</v>
      </c>
      <c r="BH21" s="1">
        <f t="shared" si="1"/>
        <v>58.828000000000003</v>
      </c>
      <c r="BI21" s="2">
        <f t="shared" si="1"/>
        <v>18.191588771666741</v>
      </c>
      <c r="BJ21" s="2">
        <f t="shared" si="2"/>
        <v>2249.527620777289</v>
      </c>
      <c r="BK21" s="2">
        <f t="shared" si="5"/>
        <v>0</v>
      </c>
      <c r="BL21" s="7">
        <f t="shared" si="6"/>
        <v>-165.42386766936269</v>
      </c>
      <c r="BM21" s="2"/>
      <c r="BN21" s="1"/>
      <c r="BO21" s="4"/>
      <c r="BP21" s="2"/>
      <c r="BQ21" s="2"/>
      <c r="BR21" s="3"/>
      <c r="BS21" s="1"/>
      <c r="BT21" s="2"/>
      <c r="BU21" s="21"/>
      <c r="BV21" s="2"/>
      <c r="BW21" s="2"/>
      <c r="BX21" s="21"/>
      <c r="BY21" s="15"/>
    </row>
    <row r="22" spans="1:77" x14ac:dyDescent="0.25">
      <c r="A22" t="str">
        <f t="shared" si="3"/>
        <v>Travée</v>
      </c>
      <c r="B22" t="b">
        <f t="shared" si="4"/>
        <v>1</v>
      </c>
      <c r="C22">
        <f>IF(D22=D20,C20,C20+1)</f>
        <v>2</v>
      </c>
      <c r="D22" s="5" t="s">
        <v>105</v>
      </c>
      <c r="E22" t="s">
        <v>51</v>
      </c>
      <c r="F22" s="5">
        <v>25</v>
      </c>
      <c r="G22" t="s">
        <v>46</v>
      </c>
      <c r="H22">
        <v>500</v>
      </c>
      <c r="I22">
        <v>220000</v>
      </c>
      <c r="J22">
        <v>1576</v>
      </c>
      <c r="K22" s="10">
        <v>1870</v>
      </c>
      <c r="L22" s="12">
        <v>1</v>
      </c>
      <c r="M22" s="5">
        <v>0.215</v>
      </c>
      <c r="N22" s="10">
        <v>5.3</v>
      </c>
      <c r="O22" s="5">
        <v>6.7840000000000001E-4</v>
      </c>
      <c r="P22">
        <v>0.04</v>
      </c>
      <c r="Q22" s="10">
        <v>1</v>
      </c>
      <c r="R22" s="8">
        <v>0</v>
      </c>
      <c r="S22">
        <v>0</v>
      </c>
      <c r="T22">
        <v>1</v>
      </c>
      <c r="U22" s="9">
        <v>0</v>
      </c>
      <c r="V22">
        <v>0</v>
      </c>
      <c r="W22" s="10">
        <v>0</v>
      </c>
      <c r="X22" s="1">
        <v>0.75007999999999997</v>
      </c>
      <c r="Y22" s="2">
        <v>0.22783999999999999</v>
      </c>
      <c r="Z22" s="13">
        <v>0</v>
      </c>
      <c r="AA22" s="2">
        <v>0.75007999999999997</v>
      </c>
      <c r="AB22" s="2">
        <v>0.22783999999999999</v>
      </c>
      <c r="AC22" s="2">
        <v>1.28</v>
      </c>
      <c r="AD22" s="2"/>
      <c r="AE22" s="7">
        <v>0.9779199999999999</v>
      </c>
      <c r="AF22" s="2">
        <v>0.75007999999999997</v>
      </c>
      <c r="AG22" s="2">
        <v>0.22783999999999999</v>
      </c>
      <c r="AH22" s="2">
        <v>0.1041655669383556</v>
      </c>
      <c r="AI22" s="2">
        <v>3.1612558160800663E-2</v>
      </c>
      <c r="AJ22" s="2">
        <v>-6.5255623235433111</v>
      </c>
      <c r="AK22" s="2">
        <v>-1.9814070755034081</v>
      </c>
      <c r="AL22" s="2">
        <v>0</v>
      </c>
      <c r="AM22" s="2">
        <v>0</v>
      </c>
      <c r="AN22" s="2">
        <v>1.28</v>
      </c>
      <c r="AO22" s="2">
        <v>54.524858181817933</v>
      </c>
      <c r="AP22" s="2">
        <v>54.524858181817933</v>
      </c>
      <c r="AQ22" s="2">
        <v>0.133063557538976</v>
      </c>
      <c r="AR22" s="2">
        <v>-11.254414745881499</v>
      </c>
      <c r="AS22" s="2">
        <v>0</v>
      </c>
      <c r="AT22" s="2">
        <v>0</v>
      </c>
      <c r="AU22" s="1">
        <v>0.9779199999999999</v>
      </c>
      <c r="AV22" s="2">
        <v>0.101688809179068</v>
      </c>
      <c r="AW22" s="2">
        <v>-8.5983164246912906</v>
      </c>
      <c r="AX22" s="2">
        <v>54.524858181817933</v>
      </c>
      <c r="AZ22" s="1">
        <f t="shared" si="8"/>
        <v>0.75007999999999997</v>
      </c>
      <c r="BA22" s="2">
        <f t="shared" si="9"/>
        <v>0.1041655669383556</v>
      </c>
      <c r="BB22" s="7">
        <f t="shared" si="10"/>
        <v>-6.5255623235433111</v>
      </c>
      <c r="BC22" s="1">
        <f t="shared" si="11"/>
        <v>0.22783999999999999</v>
      </c>
      <c r="BD22" s="2">
        <f t="shared" si="12"/>
        <v>3.1612558160800663E-2</v>
      </c>
      <c r="BE22" s="2">
        <f t="shared" ref="BE22:BG56" si="13">AK22</f>
        <v>-1.9814070755034081</v>
      </c>
      <c r="BF22" s="2">
        <f t="shared" si="13"/>
        <v>0</v>
      </c>
      <c r="BG22" s="7">
        <f t="shared" si="13"/>
        <v>0</v>
      </c>
      <c r="BH22" s="1">
        <f t="shared" ref="BH22:BI56" si="14">AZ22+BC22</f>
        <v>0.9779199999999999</v>
      </c>
      <c r="BI22" s="2">
        <f t="shared" si="14"/>
        <v>0.13577812509915627</v>
      </c>
      <c r="BJ22" s="2">
        <f t="shared" si="2"/>
        <v>8.506969399046719</v>
      </c>
      <c r="BK22" s="2">
        <f t="shared" si="5"/>
        <v>0</v>
      </c>
      <c r="BL22" s="7">
        <f t="shared" si="6"/>
        <v>0</v>
      </c>
      <c r="BM22" s="2"/>
      <c r="BN22" s="1"/>
      <c r="BO22" s="4"/>
      <c r="BP22" s="2"/>
      <c r="BQ22" s="2"/>
      <c r="BR22" s="3"/>
      <c r="BS22" s="1"/>
      <c r="BT22" s="2"/>
      <c r="BU22" s="21"/>
      <c r="BV22" s="2"/>
      <c r="BW22" s="2"/>
      <c r="BX22" s="21"/>
      <c r="BY22" s="10"/>
    </row>
    <row r="23" spans="1:77" x14ac:dyDescent="0.25">
      <c r="A23" t="str">
        <f t="shared" si="3"/>
        <v>Appui</v>
      </c>
      <c r="B23" t="b">
        <f t="shared" si="4"/>
        <v>1</v>
      </c>
      <c r="C23">
        <f t="shared" si="7"/>
        <v>2</v>
      </c>
      <c r="D23" s="5" t="s">
        <v>105</v>
      </c>
      <c r="E23" t="s">
        <v>52</v>
      </c>
      <c r="F23" s="5">
        <v>25</v>
      </c>
      <c r="G23" t="s">
        <v>46</v>
      </c>
      <c r="H23">
        <v>500</v>
      </c>
      <c r="I23">
        <v>220000</v>
      </c>
      <c r="J23">
        <v>1576</v>
      </c>
      <c r="K23" s="10">
        <v>1870</v>
      </c>
      <c r="L23" s="12">
        <v>1</v>
      </c>
      <c r="M23" s="5">
        <v>0.23</v>
      </c>
      <c r="N23" s="10">
        <v>5.3</v>
      </c>
      <c r="O23" s="5">
        <v>1.3439999999999999E-4</v>
      </c>
      <c r="P23">
        <v>6.9999999999999993E-2</v>
      </c>
      <c r="Q23" s="10">
        <v>1</v>
      </c>
      <c r="R23" s="8">
        <v>0</v>
      </c>
      <c r="S23">
        <v>0</v>
      </c>
      <c r="T23">
        <v>1</v>
      </c>
      <c r="U23" s="9">
        <v>0</v>
      </c>
      <c r="V23">
        <v>0</v>
      </c>
      <c r="W23" s="10">
        <v>0</v>
      </c>
      <c r="X23" s="1">
        <v>0.64460000000000006</v>
      </c>
      <c r="Y23" s="2">
        <v>0.1958</v>
      </c>
      <c r="Z23" s="13">
        <v>0</v>
      </c>
      <c r="AA23" s="2">
        <v>0.64460000000000006</v>
      </c>
      <c r="AB23" s="2">
        <v>0.1958</v>
      </c>
      <c r="AC23" s="2">
        <v>1.1000000000000001</v>
      </c>
      <c r="AD23" s="2"/>
      <c r="AE23" s="7">
        <v>0.84040000000000004</v>
      </c>
      <c r="AF23" s="2">
        <v>0.64460000000000006</v>
      </c>
      <c r="AG23" s="2">
        <v>0.1958</v>
      </c>
      <c r="AH23" s="2">
        <v>0.233002840991759</v>
      </c>
      <c r="AI23" s="2">
        <v>0</v>
      </c>
      <c r="AJ23" s="2">
        <v>-30.451370648327561</v>
      </c>
      <c r="AK23" s="2">
        <v>0</v>
      </c>
      <c r="AL23" s="2">
        <v>0</v>
      </c>
      <c r="AM23" s="2">
        <v>0</v>
      </c>
      <c r="AN23" s="2">
        <v>1.1000000000000001</v>
      </c>
      <c r="AO23" s="2">
        <v>9.8627819762844648</v>
      </c>
      <c r="AP23" s="2">
        <v>9.8627819762844648</v>
      </c>
      <c r="AQ23" s="2">
        <v>0.27692407526505591</v>
      </c>
      <c r="AR23" s="2">
        <v>-52.344081939823482</v>
      </c>
      <c r="AS23" s="2">
        <v>0</v>
      </c>
      <c r="AT23" s="2">
        <v>0</v>
      </c>
      <c r="AU23" s="1">
        <v>0.84040000000000004</v>
      </c>
      <c r="AV23" s="2">
        <v>0.21171352326900081</v>
      </c>
      <c r="AW23" s="2">
        <v>-39.990555196219248</v>
      </c>
      <c r="AX23" s="2">
        <v>9.8627819762844648</v>
      </c>
      <c r="AZ23" s="1">
        <f t="shared" si="8"/>
        <v>0.64460000000000006</v>
      </c>
      <c r="BA23" s="2">
        <f t="shared" si="9"/>
        <v>0.233002840991759</v>
      </c>
      <c r="BB23" s="7">
        <f t="shared" si="10"/>
        <v>-30.451370648327561</v>
      </c>
      <c r="BC23" s="1">
        <f t="shared" si="11"/>
        <v>0.1958</v>
      </c>
      <c r="BD23" s="2">
        <f t="shared" si="12"/>
        <v>0</v>
      </c>
      <c r="BE23" s="2">
        <f t="shared" si="13"/>
        <v>0</v>
      </c>
      <c r="BF23" s="2">
        <f t="shared" si="13"/>
        <v>0</v>
      </c>
      <c r="BG23" s="7">
        <f t="shared" si="13"/>
        <v>0</v>
      </c>
      <c r="BH23" s="1">
        <f t="shared" si="14"/>
        <v>0.84040000000000004</v>
      </c>
      <c r="BI23" s="2">
        <f t="shared" si="14"/>
        <v>0.233002840991759</v>
      </c>
      <c r="BJ23" s="2">
        <f t="shared" si="2"/>
        <v>30.451370648327561</v>
      </c>
      <c r="BK23" s="2">
        <f t="shared" si="5"/>
        <v>0</v>
      </c>
      <c r="BL23" s="7">
        <f t="shared" si="6"/>
        <v>0</v>
      </c>
      <c r="BM23" s="2"/>
      <c r="BN23" s="1"/>
      <c r="BO23" s="4"/>
      <c r="BP23" s="2"/>
      <c r="BQ23" s="2"/>
      <c r="BR23" s="3"/>
      <c r="BS23" s="1"/>
      <c r="BT23" s="2"/>
      <c r="BU23" s="21"/>
      <c r="BV23" s="2"/>
      <c r="BW23" s="2"/>
      <c r="BX23" s="21"/>
      <c r="BY23" s="15"/>
    </row>
    <row r="24" spans="1:77" x14ac:dyDescent="0.25">
      <c r="A24" t="str">
        <f t="shared" si="3"/>
        <v>Travée</v>
      </c>
      <c r="B24" t="b">
        <f t="shared" si="4"/>
        <v>1</v>
      </c>
      <c r="C24">
        <f t="shared" si="7"/>
        <v>2</v>
      </c>
      <c r="D24" s="5" t="s">
        <v>105</v>
      </c>
      <c r="E24" t="s">
        <v>53</v>
      </c>
      <c r="F24" s="5">
        <v>25</v>
      </c>
      <c r="G24" t="s">
        <v>46</v>
      </c>
      <c r="H24">
        <v>500</v>
      </c>
      <c r="I24">
        <v>220000</v>
      </c>
      <c r="J24">
        <v>1576</v>
      </c>
      <c r="K24" s="10">
        <v>1870</v>
      </c>
      <c r="L24" s="12">
        <v>1</v>
      </c>
      <c r="M24" s="5">
        <v>0.215</v>
      </c>
      <c r="N24" s="10">
        <v>5.3</v>
      </c>
      <c r="O24" s="5">
        <v>6.7840000000000001E-4</v>
      </c>
      <c r="P24">
        <v>0.04</v>
      </c>
      <c r="Q24" s="10">
        <v>1</v>
      </c>
      <c r="R24" s="8">
        <v>0</v>
      </c>
      <c r="S24">
        <v>0</v>
      </c>
      <c r="T24">
        <v>1</v>
      </c>
      <c r="U24" s="9">
        <v>0</v>
      </c>
      <c r="V24">
        <v>0</v>
      </c>
      <c r="W24" s="10">
        <v>0</v>
      </c>
      <c r="X24" s="1">
        <v>0.75007999999999997</v>
      </c>
      <c r="Y24" s="2">
        <v>0.22783999999999999</v>
      </c>
      <c r="Z24" s="13">
        <v>0</v>
      </c>
      <c r="AA24" s="2">
        <v>0.75007999999999997</v>
      </c>
      <c r="AB24" s="2">
        <v>0.22783999999999999</v>
      </c>
      <c r="AC24" s="2">
        <v>1.28</v>
      </c>
      <c r="AD24" s="2"/>
      <c r="AE24" s="7">
        <v>0.9779199999999999</v>
      </c>
      <c r="AF24" s="2">
        <v>0.75007999999999997</v>
      </c>
      <c r="AG24" s="2">
        <v>0.22783999999999999</v>
      </c>
      <c r="AH24" s="2">
        <v>0.1041655669383556</v>
      </c>
      <c r="AI24" s="2">
        <v>3.1612558160800663E-2</v>
      </c>
      <c r="AJ24" s="2">
        <v>-6.5255623235433111</v>
      </c>
      <c r="AK24" s="2">
        <v>-1.9814070755034081</v>
      </c>
      <c r="AL24" s="2">
        <v>0</v>
      </c>
      <c r="AM24" s="2">
        <v>0</v>
      </c>
      <c r="AN24" s="2">
        <v>1.28</v>
      </c>
      <c r="AO24" s="2">
        <v>54.524858181817933</v>
      </c>
      <c r="AP24" s="2">
        <v>54.524858181817933</v>
      </c>
      <c r="AQ24" s="2">
        <v>0.133063557538976</v>
      </c>
      <c r="AR24" s="2">
        <v>-11.254414745881499</v>
      </c>
      <c r="AS24" s="2">
        <v>0</v>
      </c>
      <c r="AT24" s="2">
        <v>0</v>
      </c>
      <c r="AU24" s="1">
        <v>0.9779199999999999</v>
      </c>
      <c r="AV24" s="2">
        <v>0.101688809179068</v>
      </c>
      <c r="AW24" s="2">
        <v>-8.5983164246912906</v>
      </c>
      <c r="AX24" s="2">
        <v>54.524858181817933</v>
      </c>
      <c r="AZ24" s="1">
        <f t="shared" si="8"/>
        <v>0.75007999999999997</v>
      </c>
      <c r="BA24" s="2">
        <f t="shared" si="9"/>
        <v>0.1041655669383556</v>
      </c>
      <c r="BB24" s="7">
        <f t="shared" si="10"/>
        <v>-6.5255623235433111</v>
      </c>
      <c r="BC24" s="1">
        <f t="shared" si="11"/>
        <v>0.22783999999999999</v>
      </c>
      <c r="BD24" s="2">
        <f t="shared" si="12"/>
        <v>3.1612558160800663E-2</v>
      </c>
      <c r="BE24" s="2">
        <f t="shared" si="13"/>
        <v>-1.9814070755034081</v>
      </c>
      <c r="BF24" s="2">
        <f t="shared" si="13"/>
        <v>0</v>
      </c>
      <c r="BG24" s="7">
        <f t="shared" si="13"/>
        <v>0</v>
      </c>
      <c r="BH24" s="1">
        <f t="shared" si="14"/>
        <v>0.9779199999999999</v>
      </c>
      <c r="BI24" s="2">
        <f t="shared" si="14"/>
        <v>0.13577812509915627</v>
      </c>
      <c r="BJ24" s="2">
        <f t="shared" si="2"/>
        <v>8.506969399046719</v>
      </c>
      <c r="BK24" s="2">
        <f t="shared" si="5"/>
        <v>0</v>
      </c>
      <c r="BL24" s="7">
        <f t="shared" si="6"/>
        <v>0</v>
      </c>
      <c r="BM24" s="2"/>
      <c r="BN24" s="1"/>
      <c r="BO24" s="4"/>
      <c r="BP24" s="2"/>
      <c r="BQ24" s="2"/>
      <c r="BR24" s="3"/>
      <c r="BS24" s="1"/>
      <c r="BT24" s="2"/>
      <c r="BU24" s="21"/>
      <c r="BV24" s="2"/>
      <c r="BW24" s="2"/>
      <c r="BX24" s="21"/>
      <c r="BY24" s="10"/>
    </row>
    <row r="25" spans="1:77" x14ac:dyDescent="0.25">
      <c r="A25" t="str">
        <f t="shared" si="3"/>
        <v>Appui</v>
      </c>
      <c r="B25" t="b">
        <f t="shared" si="4"/>
        <v>1</v>
      </c>
      <c r="C25">
        <f t="shared" si="7"/>
        <v>2</v>
      </c>
      <c r="D25" s="5" t="s">
        <v>105</v>
      </c>
      <c r="E25" t="s">
        <v>54</v>
      </c>
      <c r="F25" s="5">
        <v>25</v>
      </c>
      <c r="G25" t="s">
        <v>46</v>
      </c>
      <c r="H25">
        <v>500</v>
      </c>
      <c r="I25">
        <v>220000</v>
      </c>
      <c r="J25">
        <v>1576</v>
      </c>
      <c r="K25" s="10">
        <v>1870</v>
      </c>
      <c r="L25" s="12">
        <v>1</v>
      </c>
      <c r="M25" s="5">
        <v>0.2</v>
      </c>
      <c r="N25" s="10">
        <v>5.3</v>
      </c>
      <c r="O25" s="5">
        <v>1.8560000000000001E-4</v>
      </c>
      <c r="P25">
        <v>0.04</v>
      </c>
      <c r="Q25" s="10">
        <v>1</v>
      </c>
      <c r="R25" s="8">
        <v>0</v>
      </c>
      <c r="S25">
        <v>0</v>
      </c>
      <c r="T25">
        <v>1</v>
      </c>
      <c r="U25" s="9">
        <v>2.9099999999999999E-5</v>
      </c>
      <c r="V25">
        <v>0</v>
      </c>
      <c r="W25" s="10">
        <v>12</v>
      </c>
      <c r="X25" s="1">
        <v>41.899000000000001</v>
      </c>
      <c r="Y25" s="2">
        <v>12.727</v>
      </c>
      <c r="Z25" s="13">
        <v>0</v>
      </c>
      <c r="AA25" s="2">
        <v>41.899000000000001</v>
      </c>
      <c r="AB25" s="2">
        <v>12.727</v>
      </c>
      <c r="AC25" s="2">
        <v>71.5</v>
      </c>
      <c r="AD25" s="2"/>
      <c r="AE25" s="7">
        <v>54.625999999999998</v>
      </c>
      <c r="AF25" s="2">
        <v>41.899000000000001</v>
      </c>
      <c r="AG25" s="2">
        <v>12.727</v>
      </c>
      <c r="AH25" s="2">
        <v>12.509321414280169</v>
      </c>
      <c r="AI25" s="2">
        <v>1.7081465601435779</v>
      </c>
      <c r="AJ25" s="2">
        <v>-1439.2436731253131</v>
      </c>
      <c r="AK25" s="2">
        <v>-102.5287432146974</v>
      </c>
      <c r="AL25" s="2">
        <v>0</v>
      </c>
      <c r="AM25" s="2">
        <v>-143.96179251452</v>
      </c>
      <c r="AN25" s="2">
        <v>71.5</v>
      </c>
      <c r="AO25" s="2">
        <v>13.620032252970921</v>
      </c>
      <c r="AP25" s="2">
        <v>138.2325108129655</v>
      </c>
      <c r="AQ25" s="2">
        <v>6.7857366248181306</v>
      </c>
      <c r="AR25" s="2">
        <v>-435.45823377793698</v>
      </c>
      <c r="AS25" s="2">
        <v>0</v>
      </c>
      <c r="AT25" s="2">
        <v>-878.5999782178169</v>
      </c>
      <c r="AU25" s="1">
        <v>54.625999999999998</v>
      </c>
      <c r="AV25" s="2">
        <v>0</v>
      </c>
      <c r="AW25" s="2">
        <v>0</v>
      </c>
      <c r="AX25" s="2">
        <v>13.620032252970921</v>
      </c>
      <c r="AZ25" s="1">
        <f t="shared" si="8"/>
        <v>41.899000000000001</v>
      </c>
      <c r="BA25" s="2">
        <f t="shared" si="9"/>
        <v>12.509321414280169</v>
      </c>
      <c r="BB25" s="7">
        <f t="shared" si="10"/>
        <v>-1439.2436731253131</v>
      </c>
      <c r="BC25" s="1">
        <f t="shared" si="11"/>
        <v>12.727</v>
      </c>
      <c r="BD25" s="2">
        <f t="shared" si="12"/>
        <v>1.7081465601435779</v>
      </c>
      <c r="BE25" s="2">
        <f t="shared" si="13"/>
        <v>-102.5287432146974</v>
      </c>
      <c r="BF25" s="2">
        <f t="shared" si="13"/>
        <v>0</v>
      </c>
      <c r="BG25" s="7">
        <f t="shared" si="13"/>
        <v>-143.96179251452</v>
      </c>
      <c r="BH25" s="1">
        <f t="shared" si="14"/>
        <v>54.626000000000005</v>
      </c>
      <c r="BI25" s="2">
        <f t="shared" si="14"/>
        <v>14.217467974423748</v>
      </c>
      <c r="BJ25" s="2">
        <f t="shared" si="2"/>
        <v>1541.7724163400105</v>
      </c>
      <c r="BK25" s="2">
        <f t="shared" si="5"/>
        <v>0</v>
      </c>
      <c r="BL25" s="7">
        <f t="shared" si="6"/>
        <v>-143.96179251452</v>
      </c>
      <c r="BM25" s="2"/>
      <c r="BN25" s="1"/>
      <c r="BO25" s="4"/>
      <c r="BP25" s="2"/>
      <c r="BQ25" s="2"/>
      <c r="BR25" s="3"/>
      <c r="BS25" s="1"/>
      <c r="BT25" s="2"/>
      <c r="BU25" s="21"/>
      <c r="BV25" s="2"/>
      <c r="BW25" s="2"/>
      <c r="BX25" s="21"/>
      <c r="BY25" s="15"/>
    </row>
    <row r="26" spans="1:77" x14ac:dyDescent="0.25">
      <c r="A26" t="str">
        <f t="shared" si="3"/>
        <v>Travée</v>
      </c>
      <c r="B26" t="b">
        <f t="shared" si="4"/>
        <v>1</v>
      </c>
      <c r="C26">
        <f t="shared" si="7"/>
        <v>2</v>
      </c>
      <c r="D26" s="5" t="s">
        <v>105</v>
      </c>
      <c r="E26" t="s">
        <v>55</v>
      </c>
      <c r="F26" s="5">
        <v>25</v>
      </c>
      <c r="G26" t="s">
        <v>46</v>
      </c>
      <c r="H26">
        <v>500</v>
      </c>
      <c r="I26">
        <v>220000</v>
      </c>
      <c r="J26">
        <v>1576</v>
      </c>
      <c r="K26" s="10">
        <v>1870</v>
      </c>
      <c r="L26" s="12">
        <v>1</v>
      </c>
      <c r="M26" s="5">
        <v>0.215</v>
      </c>
      <c r="N26" s="10">
        <v>5.3</v>
      </c>
      <c r="O26" s="5">
        <v>1.3568E-3</v>
      </c>
      <c r="P26">
        <v>0.04</v>
      </c>
      <c r="Q26" s="10">
        <v>1</v>
      </c>
      <c r="R26" s="8">
        <v>0</v>
      </c>
      <c r="S26">
        <v>0</v>
      </c>
      <c r="T26">
        <v>1</v>
      </c>
      <c r="U26" s="9">
        <v>2.9099999999999999E-5</v>
      </c>
      <c r="V26">
        <v>0</v>
      </c>
      <c r="W26" s="10">
        <v>7</v>
      </c>
      <c r="X26" s="1">
        <v>63.756799999999991</v>
      </c>
      <c r="Y26" s="2">
        <v>19.366399999999999</v>
      </c>
      <c r="Z26" s="13">
        <v>0</v>
      </c>
      <c r="AA26" s="2">
        <v>63.756799999999991</v>
      </c>
      <c r="AB26" s="2">
        <v>19.366399999999999</v>
      </c>
      <c r="AC26" s="2">
        <v>108.8</v>
      </c>
      <c r="AD26" s="2"/>
      <c r="AE26" s="7">
        <v>83.123199999999997</v>
      </c>
      <c r="AF26" s="2">
        <v>63.756799999999991</v>
      </c>
      <c r="AG26" s="2">
        <v>19.366399999999999</v>
      </c>
      <c r="AH26" s="2">
        <v>6.4836859748245876</v>
      </c>
      <c r="AI26" s="2">
        <v>1.72968011317265</v>
      </c>
      <c r="AJ26" s="2">
        <v>-280.51048544227052</v>
      </c>
      <c r="AK26" s="2">
        <v>-67.994567153619315</v>
      </c>
      <c r="AL26" s="2">
        <v>0</v>
      </c>
      <c r="AM26" s="2">
        <v>-94.653135849371935</v>
      </c>
      <c r="AN26" s="2">
        <v>108.8</v>
      </c>
      <c r="AO26" s="2">
        <v>108.08586454375769</v>
      </c>
      <c r="AP26" s="2">
        <v>177.32490338364451</v>
      </c>
      <c r="AQ26" s="2">
        <v>6.8405123692241432</v>
      </c>
      <c r="AR26" s="2">
        <v>-388.28629901281522</v>
      </c>
      <c r="AS26" s="2">
        <v>0</v>
      </c>
      <c r="AT26" s="2">
        <v>-548.09045115585195</v>
      </c>
      <c r="AU26" s="1">
        <v>83.123199999999997</v>
      </c>
      <c r="AV26" s="2">
        <v>5.9735843492042031</v>
      </c>
      <c r="AW26" s="2">
        <v>-372.57568581887608</v>
      </c>
      <c r="AX26" s="2">
        <v>108.08586454375769</v>
      </c>
      <c r="AZ26" s="1">
        <f t="shared" si="8"/>
        <v>63.756799999999991</v>
      </c>
      <c r="BA26" s="2">
        <f t="shared" si="9"/>
        <v>6.4836859748245876</v>
      </c>
      <c r="BB26" s="7">
        <f t="shared" si="10"/>
        <v>-280.51048544227052</v>
      </c>
      <c r="BC26" s="1">
        <f t="shared" si="11"/>
        <v>19.366399999999999</v>
      </c>
      <c r="BD26" s="2">
        <f t="shared" si="12"/>
        <v>1.72968011317265</v>
      </c>
      <c r="BE26" s="2">
        <f t="shared" si="13"/>
        <v>-67.994567153619315</v>
      </c>
      <c r="BF26" s="2">
        <f t="shared" si="13"/>
        <v>0</v>
      </c>
      <c r="BG26" s="7">
        <f t="shared" si="13"/>
        <v>-94.653135849371935</v>
      </c>
      <c r="BH26" s="1">
        <f t="shared" si="14"/>
        <v>83.123199999999997</v>
      </c>
      <c r="BI26" s="2">
        <f t="shared" si="14"/>
        <v>8.2133660879972368</v>
      </c>
      <c r="BJ26" s="2">
        <f t="shared" si="2"/>
        <v>348.50505259588982</v>
      </c>
      <c r="BK26" s="2">
        <f t="shared" si="5"/>
        <v>0</v>
      </c>
      <c r="BL26" s="7">
        <f t="shared" si="6"/>
        <v>-94.653135849371935</v>
      </c>
      <c r="BM26" s="2"/>
      <c r="BN26" s="1"/>
      <c r="BO26" s="4"/>
      <c r="BP26" s="2"/>
      <c r="BQ26" s="2"/>
      <c r="BR26" s="3"/>
      <c r="BS26" s="1"/>
      <c r="BT26" s="2"/>
      <c r="BU26" s="21"/>
      <c r="BV26" s="2"/>
      <c r="BW26" s="2"/>
      <c r="BX26" s="21"/>
      <c r="BY26" s="10"/>
    </row>
    <row r="27" spans="1:77" x14ac:dyDescent="0.25">
      <c r="A27" t="str">
        <f t="shared" si="3"/>
        <v>Appui</v>
      </c>
      <c r="B27" t="b">
        <f t="shared" si="4"/>
        <v>1</v>
      </c>
      <c r="C27">
        <f t="shared" si="7"/>
        <v>2</v>
      </c>
      <c r="D27" s="5" t="s">
        <v>105</v>
      </c>
      <c r="E27" t="s">
        <v>56</v>
      </c>
      <c r="F27" s="5">
        <v>25</v>
      </c>
      <c r="G27" t="s">
        <v>46</v>
      </c>
      <c r="H27">
        <v>500</v>
      </c>
      <c r="I27">
        <v>220000</v>
      </c>
      <c r="J27">
        <v>1576</v>
      </c>
      <c r="K27" s="10">
        <v>1870</v>
      </c>
      <c r="L27" s="12">
        <v>1</v>
      </c>
      <c r="M27" s="5">
        <v>0.23</v>
      </c>
      <c r="N27" s="10">
        <v>5.3</v>
      </c>
      <c r="O27" s="5">
        <v>1.024E-4</v>
      </c>
      <c r="P27">
        <v>6.9999999999999993E-2</v>
      </c>
      <c r="Q27" s="10">
        <v>1</v>
      </c>
      <c r="R27" s="8">
        <v>0</v>
      </c>
      <c r="S27">
        <v>0</v>
      </c>
      <c r="T27">
        <v>1</v>
      </c>
      <c r="U27" s="9">
        <v>2.9099999999999999E-5</v>
      </c>
      <c r="V27">
        <v>0</v>
      </c>
      <c r="W27" s="10">
        <v>12</v>
      </c>
      <c r="X27" s="1">
        <v>41.254399999999997</v>
      </c>
      <c r="Y27" s="2">
        <v>12.5312</v>
      </c>
      <c r="Z27" s="13">
        <v>0</v>
      </c>
      <c r="AA27" s="2">
        <v>41.254399999999997</v>
      </c>
      <c r="AB27" s="2">
        <v>12.5312</v>
      </c>
      <c r="AC27" s="2">
        <v>70.400000000000006</v>
      </c>
      <c r="AD27" s="2"/>
      <c r="AE27" s="7">
        <v>53.785600000000002</v>
      </c>
      <c r="AF27" s="2">
        <v>41.254399999999997</v>
      </c>
      <c r="AG27" s="2">
        <v>12.5312</v>
      </c>
      <c r="AH27" s="2">
        <v>16.431075339766831</v>
      </c>
      <c r="AI27" s="2">
        <v>1.447050602487175</v>
      </c>
      <c r="AJ27" s="2">
        <v>-2557.936507936507</v>
      </c>
      <c r="AK27" s="2">
        <v>-87.105553637599058</v>
      </c>
      <c r="AL27" s="2">
        <v>0</v>
      </c>
      <c r="AM27" s="2">
        <v>-142.16059880404359</v>
      </c>
      <c r="AN27" s="2">
        <v>70.400000000000006</v>
      </c>
      <c r="AO27" s="2">
        <v>7.5145005533587623</v>
      </c>
      <c r="AP27" s="2">
        <v>152.10828212812649</v>
      </c>
      <c r="AQ27" s="2">
        <v>5.6955350283272459</v>
      </c>
      <c r="AR27" s="2">
        <v>-434.99893966576519</v>
      </c>
      <c r="AS27" s="2">
        <v>0</v>
      </c>
      <c r="AT27" s="2">
        <v>-817.88777753097793</v>
      </c>
      <c r="AU27" s="1">
        <v>53.785600000000002</v>
      </c>
      <c r="AV27" s="2">
        <v>0</v>
      </c>
      <c r="AW27" s="2">
        <v>0</v>
      </c>
      <c r="AX27" s="2">
        <v>7.5145005533587623</v>
      </c>
      <c r="AZ27" s="1">
        <f t="shared" si="8"/>
        <v>41.254399999999997</v>
      </c>
      <c r="BA27" s="2">
        <f t="shared" si="9"/>
        <v>16.431075339766831</v>
      </c>
      <c r="BB27" s="7">
        <f t="shared" si="10"/>
        <v>-2557.936507936507</v>
      </c>
      <c r="BC27" s="1">
        <f t="shared" si="11"/>
        <v>12.5312</v>
      </c>
      <c r="BD27" s="2">
        <f t="shared" si="12"/>
        <v>1.447050602487175</v>
      </c>
      <c r="BE27" s="2">
        <f t="shared" si="13"/>
        <v>-87.105553637599058</v>
      </c>
      <c r="BF27" s="2">
        <f t="shared" si="13"/>
        <v>0</v>
      </c>
      <c r="BG27" s="7">
        <f t="shared" si="13"/>
        <v>-142.16059880404359</v>
      </c>
      <c r="BH27" s="1">
        <f t="shared" si="14"/>
        <v>53.785599999999995</v>
      </c>
      <c r="BI27" s="2">
        <f t="shared" si="14"/>
        <v>17.878125942254005</v>
      </c>
      <c r="BJ27" s="2">
        <f t="shared" si="2"/>
        <v>2645.0420615741059</v>
      </c>
      <c r="BK27" s="2">
        <f t="shared" si="5"/>
        <v>0</v>
      </c>
      <c r="BL27" s="7">
        <f t="shared" si="6"/>
        <v>-142.16059880404359</v>
      </c>
      <c r="BM27" s="2"/>
      <c r="BN27" s="1"/>
      <c r="BO27" s="4"/>
      <c r="BP27" s="2"/>
      <c r="BQ27" s="2"/>
      <c r="BR27" s="3"/>
      <c r="BS27" s="1"/>
      <c r="BT27" s="2"/>
      <c r="BU27" s="21"/>
      <c r="BV27" s="2"/>
      <c r="BW27" s="2"/>
      <c r="BX27" s="21"/>
      <c r="BY27" s="15"/>
    </row>
    <row r="28" spans="1:77" x14ac:dyDescent="0.25">
      <c r="A28" t="str">
        <f t="shared" si="3"/>
        <v>Travée</v>
      </c>
      <c r="B28" t="b">
        <f t="shared" si="4"/>
        <v>1</v>
      </c>
      <c r="C28">
        <f t="shared" si="7"/>
        <v>2</v>
      </c>
      <c r="D28" s="5" t="s">
        <v>105</v>
      </c>
      <c r="E28" t="s">
        <v>57</v>
      </c>
      <c r="F28" s="5">
        <v>25</v>
      </c>
      <c r="G28" t="s">
        <v>46</v>
      </c>
      <c r="H28">
        <v>500</v>
      </c>
      <c r="I28">
        <v>220000</v>
      </c>
      <c r="J28">
        <v>1576</v>
      </c>
      <c r="K28" s="10">
        <v>1870</v>
      </c>
      <c r="L28" s="12">
        <v>1</v>
      </c>
      <c r="M28" s="5">
        <v>0.24</v>
      </c>
      <c r="N28" s="10">
        <v>5.3</v>
      </c>
      <c r="O28" s="5">
        <v>1.3621E-3</v>
      </c>
      <c r="P28">
        <v>0.04</v>
      </c>
      <c r="Q28" s="10">
        <v>1</v>
      </c>
      <c r="R28" s="8">
        <v>0</v>
      </c>
      <c r="S28">
        <v>0</v>
      </c>
      <c r="T28">
        <v>1</v>
      </c>
      <c r="U28" s="9">
        <v>0</v>
      </c>
      <c r="V28">
        <v>0</v>
      </c>
      <c r="W28" s="10">
        <v>1</v>
      </c>
      <c r="X28" s="1">
        <v>52.505600000000001</v>
      </c>
      <c r="Y28" s="2">
        <v>15.9488</v>
      </c>
      <c r="Z28" s="13">
        <v>0</v>
      </c>
      <c r="AA28" s="2">
        <v>52.505600000000001</v>
      </c>
      <c r="AB28" s="2">
        <v>15.9488</v>
      </c>
      <c r="AC28" s="2">
        <v>89.600000000000009</v>
      </c>
      <c r="AD28" s="2"/>
      <c r="AE28" s="7">
        <v>68.454400000000007</v>
      </c>
      <c r="AF28" s="2">
        <v>52.505600000000001</v>
      </c>
      <c r="AG28" s="2">
        <v>15.9488</v>
      </c>
      <c r="AH28" s="2">
        <v>4.3113296914133628</v>
      </c>
      <c r="AI28" s="2">
        <v>1.3095847868115671</v>
      </c>
      <c r="AJ28" s="2">
        <v>-200.9263035441584</v>
      </c>
      <c r="AK28" s="2">
        <v>-61.032221895665863</v>
      </c>
      <c r="AL28" s="2">
        <v>0</v>
      </c>
      <c r="AM28" s="2">
        <v>0</v>
      </c>
      <c r="AN28" s="2">
        <v>89.600000000000009</v>
      </c>
      <c r="AO28" s="2">
        <v>124.3304424912025</v>
      </c>
      <c r="AP28" s="2">
        <v>124.3304424912025</v>
      </c>
      <c r="AQ28" s="2">
        <v>5.2626493575311173</v>
      </c>
      <c r="AR28" s="2">
        <v>-348.51473786397429</v>
      </c>
      <c r="AS28" s="2">
        <v>0</v>
      </c>
      <c r="AT28" s="2">
        <v>0</v>
      </c>
      <c r="AU28" s="1">
        <v>68.454400000000007</v>
      </c>
      <c r="AV28" s="2">
        <v>4.0791487046784214</v>
      </c>
      <c r="AW28" s="2">
        <v>-266.08309310005632</v>
      </c>
      <c r="AX28" s="2">
        <v>124.3304424912025</v>
      </c>
      <c r="AZ28" s="1">
        <f t="shared" si="8"/>
        <v>52.505600000000001</v>
      </c>
      <c r="BA28" s="2">
        <f t="shared" si="9"/>
        <v>4.3113296914133628</v>
      </c>
      <c r="BB28" s="7">
        <f t="shared" si="10"/>
        <v>-200.9263035441584</v>
      </c>
      <c r="BC28" s="1">
        <f t="shared" si="11"/>
        <v>15.9488</v>
      </c>
      <c r="BD28" s="2">
        <f t="shared" si="12"/>
        <v>1.3095847868115671</v>
      </c>
      <c r="BE28" s="2">
        <f t="shared" si="13"/>
        <v>-61.032221895665863</v>
      </c>
      <c r="BF28" s="2">
        <f t="shared" si="13"/>
        <v>0</v>
      </c>
      <c r="BG28" s="7">
        <f t="shared" si="13"/>
        <v>0</v>
      </c>
      <c r="BH28" s="1">
        <f t="shared" si="14"/>
        <v>68.454400000000007</v>
      </c>
      <c r="BI28" s="2">
        <f t="shared" si="14"/>
        <v>5.6209144782249298</v>
      </c>
      <c r="BJ28" s="2">
        <f t="shared" si="2"/>
        <v>261.95852543982426</v>
      </c>
      <c r="BK28" s="2">
        <f t="shared" si="5"/>
        <v>0</v>
      </c>
      <c r="BL28" s="7">
        <f t="shared" si="6"/>
        <v>0</v>
      </c>
      <c r="BM28" s="2"/>
      <c r="BN28" s="1"/>
      <c r="BO28" s="4"/>
      <c r="BP28" s="2"/>
      <c r="BQ28" s="2"/>
      <c r="BR28" s="3"/>
      <c r="BS28" s="1"/>
      <c r="BT28" s="2"/>
      <c r="BU28" s="21"/>
      <c r="BV28" s="2"/>
      <c r="BW28" s="2"/>
      <c r="BX28" s="21"/>
      <c r="BY28" s="10"/>
    </row>
    <row r="29" spans="1:77" x14ac:dyDescent="0.25">
      <c r="A29" t="str">
        <f t="shared" si="3"/>
        <v/>
      </c>
      <c r="B29" t="b">
        <f t="shared" si="4"/>
        <v>1</v>
      </c>
      <c r="C29">
        <f t="shared" si="7"/>
        <v>2</v>
      </c>
      <c r="D29" s="5" t="s">
        <v>105</v>
      </c>
      <c r="F29" s="5"/>
      <c r="K29" s="10"/>
      <c r="L29" s="12"/>
      <c r="M29" s="5"/>
      <c r="N29" s="10"/>
      <c r="O29" s="5"/>
      <c r="Q29" s="10"/>
      <c r="R29" s="8"/>
      <c r="U29" s="9"/>
      <c r="W29" s="10"/>
      <c r="X29" s="1"/>
      <c r="Y29" s="2"/>
      <c r="Z29" s="13"/>
      <c r="AA29" s="2"/>
      <c r="AB29" s="2"/>
      <c r="AC29" s="2"/>
      <c r="AD29" s="2"/>
      <c r="AE29" s="7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1"/>
      <c r="AV29" s="2"/>
      <c r="AW29" s="2"/>
      <c r="AX29" s="2"/>
      <c r="AZ29" s="1"/>
      <c r="BA29" s="2"/>
      <c r="BB29" s="7"/>
      <c r="BC29" s="1"/>
      <c r="BD29" s="2"/>
      <c r="BE29" s="2"/>
      <c r="BF29" s="2"/>
      <c r="BG29" s="7"/>
      <c r="BH29" s="1"/>
      <c r="BI29" s="2"/>
      <c r="BJ29" s="2"/>
      <c r="BK29" s="2"/>
      <c r="BL29" s="7"/>
      <c r="BM29" s="2"/>
      <c r="BN29" s="1"/>
      <c r="BO29" s="4"/>
      <c r="BP29" s="2"/>
      <c r="BQ29" s="2"/>
      <c r="BR29" s="3"/>
      <c r="BS29" s="1"/>
      <c r="BT29" s="2"/>
      <c r="BU29" s="21"/>
      <c r="BV29" s="2"/>
      <c r="BW29" s="2"/>
      <c r="BX29" s="21"/>
      <c r="BY29" s="15"/>
    </row>
    <row r="30" spans="1:77" x14ac:dyDescent="0.25">
      <c r="A30" t="str">
        <f t="shared" si="3"/>
        <v>Travée</v>
      </c>
      <c r="B30" t="b">
        <f t="shared" si="4"/>
        <v>0</v>
      </c>
      <c r="C30">
        <f t="shared" si="7"/>
        <v>3</v>
      </c>
      <c r="D30" s="5" t="s">
        <v>106</v>
      </c>
      <c r="E30" t="s">
        <v>45</v>
      </c>
      <c r="F30" s="5">
        <v>25</v>
      </c>
      <c r="G30" t="s">
        <v>46</v>
      </c>
      <c r="H30">
        <v>500</v>
      </c>
      <c r="I30">
        <v>220000</v>
      </c>
      <c r="J30">
        <v>1576</v>
      </c>
      <c r="K30" s="10">
        <v>1870</v>
      </c>
      <c r="L30" s="12">
        <v>1</v>
      </c>
      <c r="M30" s="5">
        <v>0.24</v>
      </c>
      <c r="N30" s="10">
        <v>5.3</v>
      </c>
      <c r="O30" s="5">
        <v>1.3621E-3</v>
      </c>
      <c r="P30">
        <v>0.04</v>
      </c>
      <c r="Q30" s="10">
        <v>1</v>
      </c>
      <c r="R30" s="8">
        <v>0</v>
      </c>
      <c r="S30">
        <v>0</v>
      </c>
      <c r="T30">
        <v>1</v>
      </c>
      <c r="U30" s="9">
        <v>0</v>
      </c>
      <c r="V30">
        <v>0</v>
      </c>
      <c r="W30" s="10">
        <v>0</v>
      </c>
      <c r="X30" s="1">
        <v>45.754879999999993</v>
      </c>
      <c r="Y30" s="2">
        <v>13.898239999999999</v>
      </c>
      <c r="Z30" s="13">
        <v>0</v>
      </c>
      <c r="AA30" s="2">
        <v>45.754879999999993</v>
      </c>
      <c r="AB30" s="2">
        <v>13.898239999999999</v>
      </c>
      <c r="AC30" s="2">
        <v>78.08</v>
      </c>
      <c r="AD30" s="2"/>
      <c r="AE30" s="7">
        <v>59.653119999999987</v>
      </c>
      <c r="AF30" s="2">
        <v>45.754879999999993</v>
      </c>
      <c r="AG30" s="2">
        <v>13.898239999999999</v>
      </c>
      <c r="AH30" s="2">
        <v>3.757015873945929</v>
      </c>
      <c r="AI30" s="2">
        <v>1.141209599935793</v>
      </c>
      <c r="AJ30" s="2">
        <v>-175.09292165990939</v>
      </c>
      <c r="AK30" s="2">
        <v>-53.185221937651669</v>
      </c>
      <c r="AL30" s="2">
        <v>0</v>
      </c>
      <c r="AM30" s="2">
        <v>0</v>
      </c>
      <c r="AN30" s="2">
        <v>78.08</v>
      </c>
      <c r="AO30" s="2">
        <v>124.3304424912025</v>
      </c>
      <c r="AP30" s="2">
        <v>124.3304424912025</v>
      </c>
      <c r="AQ30" s="2">
        <v>4.6225875799277327</v>
      </c>
      <c r="AR30" s="2">
        <v>-303.59161094409859</v>
      </c>
      <c r="AS30" s="2">
        <v>0</v>
      </c>
      <c r="AT30" s="2">
        <v>0</v>
      </c>
      <c r="AU30" s="1">
        <v>59.653119999999987</v>
      </c>
      <c r="AV30" s="2">
        <v>3.5755043188164559</v>
      </c>
      <c r="AW30" s="2">
        <v>-231.80792047066231</v>
      </c>
      <c r="AX30" s="2">
        <v>124.3304424912025</v>
      </c>
      <c r="AZ30" s="1">
        <f t="shared" si="8"/>
        <v>45.754879999999993</v>
      </c>
      <c r="BA30" s="2">
        <f t="shared" si="9"/>
        <v>3.757015873945929</v>
      </c>
      <c r="BB30" s="7">
        <f t="shared" si="10"/>
        <v>-175.09292165990939</v>
      </c>
      <c r="BC30" s="1">
        <f t="shared" si="11"/>
        <v>13.898239999999999</v>
      </c>
      <c r="BD30" s="2">
        <f t="shared" si="12"/>
        <v>1.141209599935793</v>
      </c>
      <c r="BE30" s="2">
        <f t="shared" si="13"/>
        <v>-53.185221937651669</v>
      </c>
      <c r="BF30" s="2">
        <f t="shared" si="13"/>
        <v>0</v>
      </c>
      <c r="BG30" s="7">
        <f t="shared" si="13"/>
        <v>0</v>
      </c>
      <c r="BH30" s="1">
        <f t="shared" si="14"/>
        <v>59.653119999999994</v>
      </c>
      <c r="BI30" s="2">
        <f t="shared" si="14"/>
        <v>4.8982254738817215</v>
      </c>
      <c r="BJ30" s="2">
        <f t="shared" si="2"/>
        <v>228.27814359756107</v>
      </c>
      <c r="BK30" s="2">
        <f t="shared" si="5"/>
        <v>0</v>
      </c>
      <c r="BL30" s="7">
        <f t="shared" si="6"/>
        <v>0</v>
      </c>
      <c r="BM30" s="2"/>
      <c r="BN30" s="1"/>
      <c r="BO30" s="4"/>
      <c r="BP30" s="2"/>
      <c r="BQ30" s="2"/>
      <c r="BR30" s="3"/>
      <c r="BS30" s="1"/>
      <c r="BT30" s="2"/>
      <c r="BU30" s="21"/>
      <c r="BV30" s="2"/>
      <c r="BW30" s="2"/>
      <c r="BX30" s="21"/>
      <c r="BY30" s="10"/>
    </row>
    <row r="31" spans="1:77" x14ac:dyDescent="0.25">
      <c r="A31" t="str">
        <f t="shared" si="3"/>
        <v>Appui</v>
      </c>
      <c r="B31" t="b">
        <f t="shared" si="4"/>
        <v>0</v>
      </c>
      <c r="C31">
        <f t="shared" si="7"/>
        <v>3</v>
      </c>
      <c r="D31" s="5" t="s">
        <v>106</v>
      </c>
      <c r="E31" t="s">
        <v>47</v>
      </c>
      <c r="F31" s="5">
        <v>25</v>
      </c>
      <c r="G31" t="s">
        <v>46</v>
      </c>
      <c r="H31">
        <v>500</v>
      </c>
      <c r="I31">
        <v>220000</v>
      </c>
      <c r="J31">
        <v>1576</v>
      </c>
      <c r="K31" s="10">
        <v>1870</v>
      </c>
      <c r="L31" s="12">
        <v>1</v>
      </c>
      <c r="M31" s="5">
        <v>0.23</v>
      </c>
      <c r="N31" s="10">
        <v>5.3</v>
      </c>
      <c r="O31" s="5">
        <v>1.024E-4</v>
      </c>
      <c r="P31">
        <v>6.9999999999999993E-2</v>
      </c>
      <c r="Q31" s="10">
        <v>1</v>
      </c>
      <c r="R31" s="8">
        <v>0</v>
      </c>
      <c r="S31">
        <v>0</v>
      </c>
      <c r="T31">
        <v>1</v>
      </c>
      <c r="U31" s="9">
        <v>2.9099999999999999E-5</v>
      </c>
      <c r="V31">
        <v>0</v>
      </c>
      <c r="W31" s="10">
        <v>12</v>
      </c>
      <c r="X31" s="1">
        <v>54.1464</v>
      </c>
      <c r="Y31" s="2">
        <v>16.447199999999999</v>
      </c>
      <c r="Z31" s="13">
        <v>0</v>
      </c>
      <c r="AA31" s="2">
        <v>54.1464</v>
      </c>
      <c r="AB31" s="2">
        <v>16.447199999999999</v>
      </c>
      <c r="AC31" s="2">
        <v>92.4</v>
      </c>
      <c r="AD31" s="2"/>
      <c r="AE31" s="7">
        <v>70.593599999999995</v>
      </c>
      <c r="AF31" s="2">
        <v>54.1464</v>
      </c>
      <c r="AG31" s="2">
        <v>16.447199999999999</v>
      </c>
      <c r="AH31" s="2">
        <v>21.5657863834438</v>
      </c>
      <c r="AI31" s="2">
        <v>1.899253915764415</v>
      </c>
      <c r="AJ31" s="2">
        <v>-3357.2916666666661</v>
      </c>
      <c r="AK31" s="2">
        <v>-114.3260391493487</v>
      </c>
      <c r="AL31" s="2">
        <v>0</v>
      </c>
      <c r="AM31" s="2">
        <v>-186.585785930307</v>
      </c>
      <c r="AN31" s="2">
        <v>92.4</v>
      </c>
      <c r="AO31" s="2">
        <v>7.5145005533587623</v>
      </c>
      <c r="AP31" s="2">
        <v>152.10828212812649</v>
      </c>
      <c r="AQ31" s="2">
        <v>7.3452458003244239</v>
      </c>
      <c r="AR31" s="2">
        <v>-435.6212644934073</v>
      </c>
      <c r="AS31" s="2">
        <v>0</v>
      </c>
      <c r="AT31" s="2">
        <v>-1100.7223825299079</v>
      </c>
      <c r="AU31" s="1">
        <v>70.593599999999995</v>
      </c>
      <c r="AV31" s="2">
        <v>0</v>
      </c>
      <c r="AW31" s="2">
        <v>0</v>
      </c>
      <c r="AX31" s="2">
        <v>7.5145005533587623</v>
      </c>
      <c r="AZ31" s="1">
        <f t="shared" si="8"/>
        <v>54.1464</v>
      </c>
      <c r="BA31" s="2">
        <f t="shared" si="9"/>
        <v>21.5657863834438</v>
      </c>
      <c r="BB31" s="7">
        <f t="shared" si="10"/>
        <v>-3357.2916666666661</v>
      </c>
      <c r="BC31" s="1">
        <f t="shared" si="11"/>
        <v>16.447199999999999</v>
      </c>
      <c r="BD31" s="2">
        <f t="shared" si="12"/>
        <v>1.899253915764415</v>
      </c>
      <c r="BE31" s="2">
        <f t="shared" si="13"/>
        <v>-114.3260391493487</v>
      </c>
      <c r="BF31" s="2">
        <f t="shared" si="13"/>
        <v>0</v>
      </c>
      <c r="BG31" s="7">
        <f t="shared" si="13"/>
        <v>-186.585785930307</v>
      </c>
      <c r="BH31" s="1">
        <f t="shared" si="14"/>
        <v>70.593599999999995</v>
      </c>
      <c r="BI31" s="2">
        <f t="shared" si="14"/>
        <v>23.465040299208216</v>
      </c>
      <c r="BJ31" s="2">
        <f t="shared" si="2"/>
        <v>3471.6177058160147</v>
      </c>
      <c r="BK31" s="2">
        <f t="shared" si="5"/>
        <v>0</v>
      </c>
      <c r="BL31" s="7">
        <f t="shared" si="6"/>
        <v>-186.585785930307</v>
      </c>
      <c r="BM31" s="2"/>
      <c r="BN31" s="1"/>
      <c r="BO31" s="4"/>
      <c r="BP31" s="2"/>
      <c r="BQ31" s="2"/>
      <c r="BR31" s="3"/>
      <c r="BS31" s="1"/>
      <c r="BT31" s="2"/>
      <c r="BU31" s="21"/>
      <c r="BV31" s="2"/>
      <c r="BW31" s="2"/>
      <c r="BX31" s="21"/>
      <c r="BY31" s="15"/>
    </row>
    <row r="32" spans="1:77" x14ac:dyDescent="0.25">
      <c r="A32" t="str">
        <f t="shared" si="3"/>
        <v>Travée</v>
      </c>
      <c r="B32" t="b">
        <f t="shared" si="4"/>
        <v>0</v>
      </c>
      <c r="C32">
        <f t="shared" si="7"/>
        <v>3</v>
      </c>
      <c r="D32" s="5" t="s">
        <v>106</v>
      </c>
      <c r="E32" t="s">
        <v>48</v>
      </c>
      <c r="F32" s="5">
        <v>25</v>
      </c>
      <c r="G32" t="s">
        <v>46</v>
      </c>
      <c r="H32">
        <v>500</v>
      </c>
      <c r="I32">
        <v>220000</v>
      </c>
      <c r="J32">
        <v>1576</v>
      </c>
      <c r="K32" s="10">
        <v>1870</v>
      </c>
      <c r="L32" s="12">
        <v>1</v>
      </c>
      <c r="M32" s="5">
        <v>0.215</v>
      </c>
      <c r="N32" s="10">
        <v>5.3</v>
      </c>
      <c r="O32" s="5">
        <v>2.0400000000000001E-3</v>
      </c>
      <c r="P32">
        <v>0.04</v>
      </c>
      <c r="Q32" s="10">
        <v>1</v>
      </c>
      <c r="R32" s="8">
        <v>0</v>
      </c>
      <c r="S32">
        <v>0</v>
      </c>
      <c r="T32">
        <v>1</v>
      </c>
      <c r="U32" s="9">
        <v>2.9099999999999999E-5</v>
      </c>
      <c r="V32">
        <v>0</v>
      </c>
      <c r="W32" s="10">
        <v>10</v>
      </c>
      <c r="X32" s="1">
        <v>97.510400000000004</v>
      </c>
      <c r="Y32" s="2">
        <v>29.619199999999999</v>
      </c>
      <c r="Z32" s="13">
        <v>0</v>
      </c>
      <c r="AA32" s="2">
        <v>97.510400000000004</v>
      </c>
      <c r="AB32" s="2">
        <v>29.619199999999999</v>
      </c>
      <c r="AC32" s="2">
        <v>166.4</v>
      </c>
      <c r="AD32" s="2"/>
      <c r="AE32" s="7">
        <v>127.1296</v>
      </c>
      <c r="AF32" s="2">
        <v>97.510400000000004</v>
      </c>
      <c r="AG32" s="2">
        <v>29.619199999999999</v>
      </c>
      <c r="AH32" s="2">
        <v>8.2625760762865514</v>
      </c>
      <c r="AI32" s="2">
        <v>2.22533694784997</v>
      </c>
      <c r="AJ32" s="2">
        <v>-288.0288076933511</v>
      </c>
      <c r="AK32" s="2">
        <v>-70.436348282700621</v>
      </c>
      <c r="AL32" s="2">
        <v>0</v>
      </c>
      <c r="AM32" s="2">
        <v>-98.74488946054359</v>
      </c>
      <c r="AN32" s="2">
        <v>166.4</v>
      </c>
      <c r="AO32" s="2">
        <v>160.36511529064239</v>
      </c>
      <c r="AP32" s="2">
        <v>257.56757764017948</v>
      </c>
      <c r="AQ32" s="2">
        <v>8.6595867450026276</v>
      </c>
      <c r="AR32" s="2">
        <v>-404.08470075898282</v>
      </c>
      <c r="AS32" s="2">
        <v>0</v>
      </c>
      <c r="AT32" s="2">
        <v>-576.9542834998839</v>
      </c>
      <c r="AU32" s="1">
        <v>127.1296</v>
      </c>
      <c r="AV32" s="2">
        <v>7.5623840976051282</v>
      </c>
      <c r="AW32" s="2">
        <v>-384.1071716453925</v>
      </c>
      <c r="AX32" s="2">
        <v>160.36511529064239</v>
      </c>
      <c r="AZ32" s="1">
        <f t="shared" si="8"/>
        <v>97.510400000000004</v>
      </c>
      <c r="BA32" s="2">
        <f t="shared" si="9"/>
        <v>8.2625760762865514</v>
      </c>
      <c r="BB32" s="7">
        <f t="shared" si="10"/>
        <v>-288.0288076933511</v>
      </c>
      <c r="BC32" s="1">
        <f t="shared" si="11"/>
        <v>29.619199999999999</v>
      </c>
      <c r="BD32" s="2">
        <f t="shared" si="12"/>
        <v>2.22533694784997</v>
      </c>
      <c r="BE32" s="2">
        <f t="shared" si="13"/>
        <v>-70.436348282700621</v>
      </c>
      <c r="BF32" s="2">
        <f t="shared" si="13"/>
        <v>0</v>
      </c>
      <c r="BG32" s="7">
        <f t="shared" si="13"/>
        <v>-98.74488946054359</v>
      </c>
      <c r="BH32" s="1">
        <f t="shared" si="14"/>
        <v>127.12960000000001</v>
      </c>
      <c r="BI32" s="2">
        <f t="shared" si="14"/>
        <v>10.487913024136521</v>
      </c>
      <c r="BJ32" s="2">
        <f t="shared" si="2"/>
        <v>358.46515597605173</v>
      </c>
      <c r="BK32" s="2">
        <f t="shared" si="5"/>
        <v>0</v>
      </c>
      <c r="BL32" s="7">
        <f t="shared" si="6"/>
        <v>-98.74488946054359</v>
      </c>
      <c r="BM32" s="2"/>
      <c r="BN32" s="1"/>
      <c r="BO32" s="4"/>
      <c r="BP32" s="2"/>
      <c r="BQ32" s="2"/>
      <c r="BR32" s="3"/>
      <c r="BS32" s="1"/>
      <c r="BT32" s="2"/>
      <c r="BU32" s="21"/>
      <c r="BV32" s="2"/>
      <c r="BW32" s="2"/>
      <c r="BX32" s="21"/>
      <c r="BY32" s="10"/>
    </row>
    <row r="33" spans="1:77" x14ac:dyDescent="0.25">
      <c r="A33" t="str">
        <f t="shared" si="3"/>
        <v>Appui</v>
      </c>
      <c r="B33" t="b">
        <f t="shared" si="4"/>
        <v>0</v>
      </c>
      <c r="C33">
        <f>IF(D33=D31,C31,C31+1)</f>
        <v>3</v>
      </c>
      <c r="D33" s="5" t="s">
        <v>106</v>
      </c>
      <c r="E33" t="s">
        <v>49</v>
      </c>
      <c r="F33" s="5">
        <v>25</v>
      </c>
      <c r="G33" t="s">
        <v>46</v>
      </c>
      <c r="H33">
        <v>500</v>
      </c>
      <c r="I33">
        <v>220000</v>
      </c>
      <c r="J33">
        <v>1576</v>
      </c>
      <c r="K33" s="10">
        <v>1870</v>
      </c>
      <c r="L33" s="12">
        <v>1</v>
      </c>
      <c r="M33" s="5">
        <v>0.2</v>
      </c>
      <c r="N33" s="10">
        <v>5.3</v>
      </c>
      <c r="O33" s="5">
        <v>1.3439999999999999E-4</v>
      </c>
      <c r="P33">
        <v>0.04</v>
      </c>
      <c r="Q33" s="10">
        <v>1</v>
      </c>
      <c r="R33" s="8">
        <v>0</v>
      </c>
      <c r="S33">
        <v>0</v>
      </c>
      <c r="T33">
        <v>1</v>
      </c>
      <c r="U33" s="9">
        <v>2.9099999999999999E-5</v>
      </c>
      <c r="V33">
        <v>0</v>
      </c>
      <c r="W33" s="10">
        <v>12</v>
      </c>
      <c r="X33" s="1">
        <v>52.857199999999999</v>
      </c>
      <c r="Y33" s="2">
        <v>16.055599999999998</v>
      </c>
      <c r="Z33" s="13">
        <v>0</v>
      </c>
      <c r="AA33" s="2">
        <v>52.857199999999999</v>
      </c>
      <c r="AB33" s="2">
        <v>16.055599999999998</v>
      </c>
      <c r="AC33" s="2">
        <v>90.2</v>
      </c>
      <c r="AD33" s="2"/>
      <c r="AE33" s="7">
        <v>68.912800000000004</v>
      </c>
      <c r="AF33" s="2">
        <v>52.857199999999999</v>
      </c>
      <c r="AG33" s="2">
        <v>16.055599999999998</v>
      </c>
      <c r="AH33" s="2">
        <v>19.10300637726991</v>
      </c>
      <c r="AI33" s="2">
        <v>2.2071404695398318</v>
      </c>
      <c r="AJ33" s="2">
        <v>-2497.0332577475428</v>
      </c>
      <c r="AK33" s="2">
        <v>-138.12766944871009</v>
      </c>
      <c r="AL33" s="2">
        <v>0</v>
      </c>
      <c r="AM33" s="2">
        <v>-193.78224498411041</v>
      </c>
      <c r="AN33" s="2">
        <v>90.2</v>
      </c>
      <c r="AO33" s="2">
        <v>9.8627819762850404</v>
      </c>
      <c r="AP33" s="2">
        <v>134.88696809607541</v>
      </c>
      <c r="AQ33" s="2">
        <v>8.5656814002288453</v>
      </c>
      <c r="AR33" s="2">
        <v>-436.30139174099912</v>
      </c>
      <c r="AS33" s="2">
        <v>0</v>
      </c>
      <c r="AT33" s="2">
        <v>-1205.4261919623871</v>
      </c>
      <c r="AU33" s="1">
        <v>68.912800000000004</v>
      </c>
      <c r="AV33" s="2">
        <v>0</v>
      </c>
      <c r="AW33" s="2">
        <v>0</v>
      </c>
      <c r="AX33" s="2">
        <v>9.8627819762850404</v>
      </c>
      <c r="AZ33" s="1">
        <f t="shared" si="8"/>
        <v>52.857199999999999</v>
      </c>
      <c r="BA33" s="2">
        <f t="shared" si="9"/>
        <v>19.10300637726991</v>
      </c>
      <c r="BB33" s="7">
        <f t="shared" si="10"/>
        <v>-2497.0332577475428</v>
      </c>
      <c r="BC33" s="1">
        <f t="shared" si="11"/>
        <v>16.055599999999998</v>
      </c>
      <c r="BD33" s="2">
        <f t="shared" si="12"/>
        <v>2.2071404695398318</v>
      </c>
      <c r="BE33" s="2">
        <f t="shared" si="13"/>
        <v>-138.12766944871009</v>
      </c>
      <c r="BF33" s="2">
        <f t="shared" si="13"/>
        <v>0</v>
      </c>
      <c r="BG33" s="7">
        <f t="shared" si="13"/>
        <v>-193.78224498411041</v>
      </c>
      <c r="BH33" s="1">
        <f t="shared" si="14"/>
        <v>68.912800000000004</v>
      </c>
      <c r="BI33" s="2">
        <f t="shared" si="14"/>
        <v>21.310146846809744</v>
      </c>
      <c r="BJ33" s="2">
        <f t="shared" si="2"/>
        <v>2635.1609271962529</v>
      </c>
      <c r="BK33" s="2">
        <f t="shared" si="5"/>
        <v>0</v>
      </c>
      <c r="BL33" s="7">
        <f t="shared" si="6"/>
        <v>-193.78224498411041</v>
      </c>
      <c r="BM33" s="2"/>
      <c r="BN33" s="1"/>
      <c r="BO33" s="4"/>
      <c r="BP33" s="2"/>
      <c r="BQ33" s="2"/>
      <c r="BR33" s="3"/>
      <c r="BS33" s="1"/>
      <c r="BT33" s="2"/>
      <c r="BU33" s="21"/>
      <c r="BV33" s="2"/>
      <c r="BW33" s="2"/>
      <c r="BX33" s="21"/>
      <c r="BY33" s="15"/>
    </row>
    <row r="34" spans="1:77" x14ac:dyDescent="0.25">
      <c r="A34" t="str">
        <f t="shared" si="3"/>
        <v>Travée</v>
      </c>
      <c r="B34" t="b">
        <f t="shared" si="4"/>
        <v>0</v>
      </c>
      <c r="C34">
        <f>IF(D34=D32,C32,C32+1)</f>
        <v>3</v>
      </c>
      <c r="D34" s="5" t="s">
        <v>106</v>
      </c>
      <c r="E34" t="s">
        <v>51</v>
      </c>
      <c r="F34" s="5">
        <v>25</v>
      </c>
      <c r="G34" t="s">
        <v>46</v>
      </c>
      <c r="H34">
        <v>500</v>
      </c>
      <c r="I34">
        <v>220000</v>
      </c>
      <c r="J34">
        <v>1576</v>
      </c>
      <c r="K34" s="10">
        <v>1870</v>
      </c>
      <c r="L34" s="12">
        <v>1</v>
      </c>
      <c r="M34" s="5">
        <v>0.215</v>
      </c>
      <c r="N34" s="10">
        <v>5.3</v>
      </c>
      <c r="O34" s="5">
        <v>6.7840000000000001E-4</v>
      </c>
      <c r="P34">
        <v>0.04</v>
      </c>
      <c r="Q34" s="10">
        <v>1</v>
      </c>
      <c r="R34" s="8">
        <v>0</v>
      </c>
      <c r="S34">
        <v>0</v>
      </c>
      <c r="T34">
        <v>1</v>
      </c>
      <c r="U34" s="9">
        <v>0</v>
      </c>
      <c r="V34">
        <v>0</v>
      </c>
      <c r="W34" s="10">
        <v>0</v>
      </c>
      <c r="X34" s="1">
        <v>0.75007999999999997</v>
      </c>
      <c r="Y34" s="2">
        <v>0.22783999999999999</v>
      </c>
      <c r="Z34" s="13">
        <v>0</v>
      </c>
      <c r="AA34" s="2">
        <v>0.75007999999999997</v>
      </c>
      <c r="AB34" s="2">
        <v>0.22783999999999999</v>
      </c>
      <c r="AC34" s="2">
        <v>1.28</v>
      </c>
      <c r="AD34" s="2"/>
      <c r="AE34" s="7">
        <v>0.9779199999999999</v>
      </c>
      <c r="AF34" s="2">
        <v>0.75007999999999997</v>
      </c>
      <c r="AG34" s="2">
        <v>0.22783999999999999</v>
      </c>
      <c r="AH34" s="2">
        <v>0.1041655669383556</v>
      </c>
      <c r="AI34" s="2">
        <v>3.1612558160800663E-2</v>
      </c>
      <c r="AJ34" s="2">
        <v>-6.5255623235433111</v>
      </c>
      <c r="AK34" s="2">
        <v>-1.9814070755034081</v>
      </c>
      <c r="AL34" s="2">
        <v>0</v>
      </c>
      <c r="AM34" s="2">
        <v>0</v>
      </c>
      <c r="AN34" s="2">
        <v>1.28</v>
      </c>
      <c r="AO34" s="2">
        <v>54.524858181817933</v>
      </c>
      <c r="AP34" s="2">
        <v>54.524858181817933</v>
      </c>
      <c r="AQ34" s="2">
        <v>0.133063557538976</v>
      </c>
      <c r="AR34" s="2">
        <v>-11.254414745881499</v>
      </c>
      <c r="AS34" s="2">
        <v>0</v>
      </c>
      <c r="AT34" s="2">
        <v>0</v>
      </c>
      <c r="AU34" s="1">
        <v>0.9779199999999999</v>
      </c>
      <c r="AV34" s="2">
        <v>0.101688809179068</v>
      </c>
      <c r="AW34" s="2">
        <v>-8.5983164246912906</v>
      </c>
      <c r="AX34" s="2">
        <v>54.524858181817933</v>
      </c>
      <c r="AZ34" s="1">
        <f t="shared" si="8"/>
        <v>0.75007999999999997</v>
      </c>
      <c r="BA34" s="2">
        <f t="shared" si="9"/>
        <v>0.1041655669383556</v>
      </c>
      <c r="BB34" s="7">
        <f t="shared" si="10"/>
        <v>-6.5255623235433111</v>
      </c>
      <c r="BC34" s="1">
        <f t="shared" si="11"/>
        <v>0.22783999999999999</v>
      </c>
      <c r="BD34" s="2">
        <f t="shared" si="12"/>
        <v>3.1612558160800663E-2</v>
      </c>
      <c r="BE34" s="2">
        <f t="shared" si="13"/>
        <v>-1.9814070755034081</v>
      </c>
      <c r="BF34" s="2">
        <f t="shared" si="13"/>
        <v>0</v>
      </c>
      <c r="BG34" s="7">
        <f t="shared" si="13"/>
        <v>0</v>
      </c>
      <c r="BH34" s="1">
        <f t="shared" si="14"/>
        <v>0.9779199999999999</v>
      </c>
      <c r="BI34" s="2">
        <f t="shared" si="14"/>
        <v>0.13577812509915627</v>
      </c>
      <c r="BJ34" s="2">
        <f t="shared" si="2"/>
        <v>8.506969399046719</v>
      </c>
      <c r="BK34" s="2">
        <f t="shared" si="5"/>
        <v>0</v>
      </c>
      <c r="BL34" s="7">
        <f t="shared" si="6"/>
        <v>0</v>
      </c>
      <c r="BM34" s="2"/>
      <c r="BN34" s="1"/>
      <c r="BO34" s="4"/>
      <c r="BP34" s="2"/>
      <c r="BQ34" s="2"/>
      <c r="BR34" s="3"/>
      <c r="BS34" s="1"/>
      <c r="BT34" s="2"/>
      <c r="BU34" s="21"/>
      <c r="BV34" s="2"/>
      <c r="BW34" s="2"/>
      <c r="BX34" s="21"/>
      <c r="BY34" s="10"/>
    </row>
    <row r="35" spans="1:77" x14ac:dyDescent="0.25">
      <c r="A35" t="str">
        <f t="shared" si="3"/>
        <v>Appui</v>
      </c>
      <c r="B35" t="b">
        <f t="shared" si="4"/>
        <v>0</v>
      </c>
      <c r="C35">
        <f>IF(D35="",100000,IF(D35=D34,C34,C34+1))</f>
        <v>3</v>
      </c>
      <c r="D35" s="5" t="s">
        <v>106</v>
      </c>
      <c r="E35" t="s">
        <v>52</v>
      </c>
      <c r="F35" s="5">
        <v>25</v>
      </c>
      <c r="G35" t="s">
        <v>46</v>
      </c>
      <c r="H35">
        <v>500</v>
      </c>
      <c r="I35">
        <v>220000</v>
      </c>
      <c r="J35">
        <v>1576</v>
      </c>
      <c r="K35" s="10">
        <v>1870</v>
      </c>
      <c r="L35" s="12">
        <v>1</v>
      </c>
      <c r="M35" s="5">
        <v>0.23</v>
      </c>
      <c r="N35" s="10">
        <v>5.3</v>
      </c>
      <c r="O35" s="5">
        <v>1.3439999999999999E-4</v>
      </c>
      <c r="P35">
        <v>6.9999999999999993E-2</v>
      </c>
      <c r="Q35" s="10">
        <v>1</v>
      </c>
      <c r="R35" s="8">
        <v>0</v>
      </c>
      <c r="S35">
        <v>0</v>
      </c>
      <c r="T35">
        <v>1</v>
      </c>
      <c r="U35" s="9">
        <v>0</v>
      </c>
      <c r="V35">
        <v>0</v>
      </c>
      <c r="W35" s="10">
        <v>0</v>
      </c>
      <c r="X35" s="1">
        <v>0.64460000000000006</v>
      </c>
      <c r="Y35" s="2">
        <v>0.1958</v>
      </c>
      <c r="Z35" s="13">
        <v>0</v>
      </c>
      <c r="AA35" s="2">
        <v>0.64460000000000006</v>
      </c>
      <c r="AB35" s="2">
        <v>0.1958</v>
      </c>
      <c r="AC35" s="2">
        <v>1.1000000000000001</v>
      </c>
      <c r="AD35" s="2"/>
      <c r="AE35" s="7">
        <v>0.84040000000000004</v>
      </c>
      <c r="AF35" s="2">
        <v>0.64460000000000006</v>
      </c>
      <c r="AG35" s="2">
        <v>0.1958</v>
      </c>
      <c r="AH35" s="2">
        <v>0.233002840991759</v>
      </c>
      <c r="AI35" s="2">
        <v>0</v>
      </c>
      <c r="AJ35" s="2">
        <v>-30.451370648327561</v>
      </c>
      <c r="AK35" s="2">
        <v>0</v>
      </c>
      <c r="AL35" s="2">
        <v>0</v>
      </c>
      <c r="AM35" s="2">
        <v>0</v>
      </c>
      <c r="AN35" s="2">
        <v>1.1000000000000001</v>
      </c>
      <c r="AO35" s="2">
        <v>9.8627819762844648</v>
      </c>
      <c r="AP35" s="2">
        <v>9.8627819762844648</v>
      </c>
      <c r="AQ35" s="2">
        <v>0.27692407526505591</v>
      </c>
      <c r="AR35" s="2">
        <v>-52.344081939823482</v>
      </c>
      <c r="AS35" s="2">
        <v>0</v>
      </c>
      <c r="AT35" s="2">
        <v>0</v>
      </c>
      <c r="AU35" s="1">
        <v>0.84040000000000004</v>
      </c>
      <c r="AV35" s="2">
        <v>0.21171352326900081</v>
      </c>
      <c r="AW35" s="2">
        <v>-39.990555196219248</v>
      </c>
      <c r="AX35" s="2">
        <v>9.8627819762844648</v>
      </c>
      <c r="AZ35" s="1">
        <f t="shared" si="8"/>
        <v>0.64460000000000006</v>
      </c>
      <c r="BA35" s="2">
        <f t="shared" si="9"/>
        <v>0.233002840991759</v>
      </c>
      <c r="BB35" s="7">
        <f t="shared" si="10"/>
        <v>-30.451370648327561</v>
      </c>
      <c r="BC35" s="1">
        <f t="shared" si="11"/>
        <v>0.1958</v>
      </c>
      <c r="BD35" s="2">
        <f t="shared" si="12"/>
        <v>0</v>
      </c>
      <c r="BE35" s="2">
        <f t="shared" si="13"/>
        <v>0</v>
      </c>
      <c r="BF35" s="2">
        <f t="shared" si="13"/>
        <v>0</v>
      </c>
      <c r="BG35" s="7">
        <f t="shared" si="13"/>
        <v>0</v>
      </c>
      <c r="BH35" s="1">
        <f t="shared" si="14"/>
        <v>0.84040000000000004</v>
      </c>
      <c r="BI35" s="2">
        <f t="shared" si="14"/>
        <v>0.233002840991759</v>
      </c>
      <c r="BJ35" s="2">
        <f t="shared" si="2"/>
        <v>30.451370648327561</v>
      </c>
      <c r="BK35" s="2">
        <f t="shared" si="5"/>
        <v>0</v>
      </c>
      <c r="BL35" s="7">
        <f t="shared" si="6"/>
        <v>0</v>
      </c>
      <c r="BM35" s="2"/>
      <c r="BN35" s="1"/>
      <c r="BO35" s="4"/>
      <c r="BP35" s="2"/>
      <c r="BQ35" s="2"/>
      <c r="BR35" s="3"/>
      <c r="BS35" s="1"/>
      <c r="BT35" s="2"/>
      <c r="BU35" s="21"/>
      <c r="BV35" s="2"/>
      <c r="BW35" s="2"/>
      <c r="BX35" s="21"/>
      <c r="BY35" s="15"/>
    </row>
    <row r="36" spans="1:77" x14ac:dyDescent="0.25">
      <c r="A36" t="str">
        <f t="shared" si="3"/>
        <v>Travée</v>
      </c>
      <c r="B36" t="b">
        <f t="shared" si="4"/>
        <v>0</v>
      </c>
      <c r="C36">
        <f>IF(D36="",100000,IF(D36=D35,C35,C35+1))</f>
        <v>3</v>
      </c>
      <c r="D36" s="5" t="s">
        <v>106</v>
      </c>
      <c r="E36" t="s">
        <v>53</v>
      </c>
      <c r="F36" s="5">
        <v>25</v>
      </c>
      <c r="G36" t="s">
        <v>46</v>
      </c>
      <c r="H36">
        <v>500</v>
      </c>
      <c r="I36">
        <v>220000</v>
      </c>
      <c r="J36">
        <v>1576</v>
      </c>
      <c r="K36" s="10">
        <v>1870</v>
      </c>
      <c r="L36" s="12">
        <v>1</v>
      </c>
      <c r="M36" s="5">
        <v>0.215</v>
      </c>
      <c r="N36" s="10">
        <v>5.3</v>
      </c>
      <c r="O36" s="5">
        <v>6.7840000000000001E-4</v>
      </c>
      <c r="P36">
        <v>0.04</v>
      </c>
      <c r="Q36" s="10">
        <v>1</v>
      </c>
      <c r="R36" s="8">
        <v>0</v>
      </c>
      <c r="S36">
        <v>0</v>
      </c>
      <c r="T36">
        <v>1</v>
      </c>
      <c r="U36" s="9">
        <v>0</v>
      </c>
      <c r="V36">
        <v>0</v>
      </c>
      <c r="W36" s="10">
        <v>0</v>
      </c>
      <c r="X36" s="1">
        <v>0.75007999999999997</v>
      </c>
      <c r="Y36" s="2">
        <v>0.22783999999999999</v>
      </c>
      <c r="Z36" s="13">
        <v>0</v>
      </c>
      <c r="AA36" s="2">
        <v>0.75007999999999997</v>
      </c>
      <c r="AB36" s="2">
        <v>0.22783999999999999</v>
      </c>
      <c r="AC36" s="2">
        <v>1.28</v>
      </c>
      <c r="AD36" s="2"/>
      <c r="AE36" s="7">
        <v>0.9779199999999999</v>
      </c>
      <c r="AF36" s="2">
        <v>0.75007999999999997</v>
      </c>
      <c r="AG36" s="2">
        <v>0.22783999999999999</v>
      </c>
      <c r="AH36" s="2">
        <v>0.1041655669383556</v>
      </c>
      <c r="AI36" s="2">
        <v>3.1612558160800663E-2</v>
      </c>
      <c r="AJ36" s="2">
        <v>-6.5255623235433111</v>
      </c>
      <c r="AK36" s="2">
        <v>-1.9814070755034081</v>
      </c>
      <c r="AL36" s="2">
        <v>0</v>
      </c>
      <c r="AM36" s="2">
        <v>0</v>
      </c>
      <c r="AN36" s="2">
        <v>1.28</v>
      </c>
      <c r="AO36" s="2">
        <v>54.524858181817933</v>
      </c>
      <c r="AP36" s="2">
        <v>54.524858181817933</v>
      </c>
      <c r="AQ36" s="2">
        <v>0.133063557538976</v>
      </c>
      <c r="AR36" s="2">
        <v>-11.254414745881499</v>
      </c>
      <c r="AS36" s="2">
        <v>0</v>
      </c>
      <c r="AT36" s="2">
        <v>0</v>
      </c>
      <c r="AU36" s="1">
        <v>0.9779199999999999</v>
      </c>
      <c r="AV36" s="2">
        <v>0.101688809179068</v>
      </c>
      <c r="AW36" s="2">
        <v>-8.5983164246912906</v>
      </c>
      <c r="AX36" s="2">
        <v>54.524858181817933</v>
      </c>
      <c r="AZ36" s="1">
        <f t="shared" si="8"/>
        <v>0.75007999999999997</v>
      </c>
      <c r="BA36" s="2">
        <f t="shared" si="9"/>
        <v>0.1041655669383556</v>
      </c>
      <c r="BB36" s="7">
        <f t="shared" si="10"/>
        <v>-6.5255623235433111</v>
      </c>
      <c r="BC36" s="1">
        <f t="shared" si="11"/>
        <v>0.22783999999999999</v>
      </c>
      <c r="BD36" s="2">
        <f t="shared" si="12"/>
        <v>3.1612558160800663E-2</v>
      </c>
      <c r="BE36" s="2">
        <f t="shared" si="13"/>
        <v>-1.9814070755034081</v>
      </c>
      <c r="BF36" s="2">
        <f t="shared" si="13"/>
        <v>0</v>
      </c>
      <c r="BG36" s="7">
        <f t="shared" si="13"/>
        <v>0</v>
      </c>
      <c r="BH36" s="1">
        <f t="shared" si="14"/>
        <v>0.9779199999999999</v>
      </c>
      <c r="BI36" s="2">
        <f t="shared" si="14"/>
        <v>0.13577812509915627</v>
      </c>
      <c r="BJ36" s="2">
        <f t="shared" si="2"/>
        <v>8.506969399046719</v>
      </c>
      <c r="BK36" s="2">
        <f t="shared" si="5"/>
        <v>0</v>
      </c>
      <c r="BL36" s="7">
        <f t="shared" si="6"/>
        <v>0</v>
      </c>
      <c r="BN36" s="1"/>
      <c r="BO36" s="4"/>
      <c r="BP36" s="2"/>
      <c r="BQ36" s="2"/>
      <c r="BR36" s="3"/>
      <c r="BS36" s="1"/>
      <c r="BT36" s="2"/>
      <c r="BU36" s="21"/>
      <c r="BV36" s="2"/>
      <c r="BW36" s="2"/>
      <c r="BX36" s="21"/>
      <c r="BY36" s="10"/>
    </row>
    <row r="37" spans="1:77" x14ac:dyDescent="0.25">
      <c r="A37" t="str">
        <f t="shared" si="3"/>
        <v>Appui</v>
      </c>
      <c r="B37" t="b">
        <f t="shared" si="4"/>
        <v>0</v>
      </c>
      <c r="C37">
        <f t="shared" ref="C37:C67" si="15">IF(D37="",100000,IF(D37=D36,C36,C36+1))</f>
        <v>3</v>
      </c>
      <c r="D37" s="5" t="s">
        <v>106</v>
      </c>
      <c r="E37" t="s">
        <v>54</v>
      </c>
      <c r="F37" s="5">
        <v>25</v>
      </c>
      <c r="G37" t="s">
        <v>46</v>
      </c>
      <c r="H37">
        <v>500</v>
      </c>
      <c r="I37">
        <v>220000</v>
      </c>
      <c r="J37">
        <v>1576</v>
      </c>
      <c r="K37" s="10">
        <v>1870</v>
      </c>
      <c r="L37" s="12">
        <v>1</v>
      </c>
      <c r="M37" s="5">
        <v>0.2</v>
      </c>
      <c r="N37" s="10">
        <v>5.3</v>
      </c>
      <c r="O37" s="5">
        <v>1.3439999999999999E-4</v>
      </c>
      <c r="P37">
        <v>0.04</v>
      </c>
      <c r="Q37" s="10">
        <v>1</v>
      </c>
      <c r="R37" s="8">
        <v>0</v>
      </c>
      <c r="S37">
        <v>0</v>
      </c>
      <c r="T37">
        <v>1</v>
      </c>
      <c r="U37" s="9">
        <v>2.9099999999999999E-5</v>
      </c>
      <c r="V37">
        <v>0</v>
      </c>
      <c r="W37" s="10">
        <v>12</v>
      </c>
      <c r="X37" s="1">
        <v>34.808399999999999</v>
      </c>
      <c r="Y37" s="2">
        <v>10.5732</v>
      </c>
      <c r="Z37" s="13">
        <v>0.25</v>
      </c>
      <c r="AA37" s="2">
        <v>26.106300000000001</v>
      </c>
      <c r="AB37" s="2">
        <v>19.275300000000001</v>
      </c>
      <c r="AC37" s="2">
        <v>59.400000000000013</v>
      </c>
      <c r="AD37" s="2"/>
      <c r="AE37" s="7">
        <v>45.381599999999999</v>
      </c>
      <c r="AF37" s="2">
        <v>26.106300000000001</v>
      </c>
      <c r="AG37" s="2">
        <v>19.275300000000001</v>
      </c>
      <c r="AH37" s="2">
        <v>9.43502144243201</v>
      </c>
      <c r="AI37" s="2">
        <v>2.649748043830257</v>
      </c>
      <c r="AJ37" s="2">
        <v>-1233.2908163265299</v>
      </c>
      <c r="AK37" s="2">
        <v>-165.82701779595411</v>
      </c>
      <c r="AL37" s="2">
        <v>0</v>
      </c>
      <c r="AM37" s="2">
        <v>-232.6422498531492</v>
      </c>
      <c r="AN37" s="2">
        <v>59.400000000000013</v>
      </c>
      <c r="AO37" s="2">
        <v>9.8627819762850404</v>
      </c>
      <c r="AP37" s="2">
        <v>134.88696809607541</v>
      </c>
      <c r="AQ37" s="2">
        <v>5.7663667346653407</v>
      </c>
      <c r="AR37" s="2">
        <v>-435.12632216187211</v>
      </c>
      <c r="AS37" s="2">
        <v>0</v>
      </c>
      <c r="AT37" s="2">
        <v>-748.83422434959789</v>
      </c>
      <c r="AU37" s="1">
        <v>45.381599999999999</v>
      </c>
      <c r="AV37" s="2">
        <v>0</v>
      </c>
      <c r="AW37" s="2">
        <v>0</v>
      </c>
      <c r="AX37" s="2">
        <v>9.8627819762850404</v>
      </c>
      <c r="AZ37" s="1">
        <f t="shared" si="8"/>
        <v>26.106300000000001</v>
      </c>
      <c r="BA37" s="2">
        <f t="shared" si="9"/>
        <v>9.43502144243201</v>
      </c>
      <c r="BB37" s="7">
        <f t="shared" si="10"/>
        <v>-1233.2908163265299</v>
      </c>
      <c r="BC37" s="1">
        <f t="shared" si="11"/>
        <v>19.275300000000001</v>
      </c>
      <c r="BD37" s="2">
        <f t="shared" si="12"/>
        <v>2.649748043830257</v>
      </c>
      <c r="BE37" s="2">
        <f t="shared" si="13"/>
        <v>-165.82701779595411</v>
      </c>
      <c r="BF37" s="2">
        <f t="shared" si="13"/>
        <v>0</v>
      </c>
      <c r="BG37" s="7">
        <f t="shared" si="13"/>
        <v>-232.6422498531492</v>
      </c>
      <c r="BH37" s="1">
        <f t="shared" si="14"/>
        <v>45.381600000000006</v>
      </c>
      <c r="BI37" s="2">
        <f t="shared" si="14"/>
        <v>12.084769486262267</v>
      </c>
      <c r="BJ37" s="2">
        <f t="shared" si="2"/>
        <v>1399.1178341224841</v>
      </c>
      <c r="BK37" s="2">
        <f t="shared" si="5"/>
        <v>0</v>
      </c>
      <c r="BL37" s="7">
        <f t="shared" si="6"/>
        <v>-232.6422498531492</v>
      </c>
      <c r="BN37" s="1"/>
      <c r="BO37" s="4"/>
      <c r="BP37" s="2"/>
      <c r="BQ37" s="2"/>
      <c r="BR37" s="3"/>
      <c r="BS37" s="1"/>
      <c r="BT37" s="2"/>
      <c r="BU37" s="21"/>
      <c r="BV37" s="2"/>
      <c r="BW37" s="2"/>
      <c r="BX37" s="21"/>
      <c r="BY37" s="15"/>
    </row>
    <row r="38" spans="1:77" x14ac:dyDescent="0.25">
      <c r="A38" t="str">
        <f t="shared" si="3"/>
        <v>Travée</v>
      </c>
      <c r="B38" t="b">
        <f t="shared" si="4"/>
        <v>0</v>
      </c>
      <c r="C38">
        <f t="shared" si="15"/>
        <v>3</v>
      </c>
      <c r="D38" s="5" t="s">
        <v>106</v>
      </c>
      <c r="E38" t="s">
        <v>55</v>
      </c>
      <c r="F38" s="5">
        <v>25</v>
      </c>
      <c r="G38" t="s">
        <v>46</v>
      </c>
      <c r="H38">
        <v>500</v>
      </c>
      <c r="I38">
        <v>220000</v>
      </c>
      <c r="J38">
        <v>1576</v>
      </c>
      <c r="K38" s="10">
        <v>1870</v>
      </c>
      <c r="L38" s="12">
        <v>1</v>
      </c>
      <c r="M38" s="5">
        <v>0.215</v>
      </c>
      <c r="N38" s="10">
        <v>5.3</v>
      </c>
      <c r="O38" s="5">
        <v>2.0405000000000002E-3</v>
      </c>
      <c r="P38">
        <v>0.04</v>
      </c>
      <c r="Q38" s="10">
        <v>1</v>
      </c>
      <c r="R38" s="8">
        <v>0</v>
      </c>
      <c r="S38">
        <v>0</v>
      </c>
      <c r="T38">
        <v>1</v>
      </c>
      <c r="U38" s="9">
        <v>2.9099999999999999E-5</v>
      </c>
      <c r="V38">
        <v>0</v>
      </c>
      <c r="W38" s="10">
        <v>7</v>
      </c>
      <c r="X38" s="1">
        <v>99.760639999999995</v>
      </c>
      <c r="Y38" s="2">
        <v>30.302720000000001</v>
      </c>
      <c r="Z38" s="13">
        <v>0.5</v>
      </c>
      <c r="AA38" s="2">
        <v>49.880319999999998</v>
      </c>
      <c r="AB38" s="2">
        <v>80.183040000000005</v>
      </c>
      <c r="AC38" s="2">
        <v>170.24</v>
      </c>
      <c r="AD38" s="2"/>
      <c r="AE38" s="7">
        <v>130.06335999999999</v>
      </c>
      <c r="AF38" s="2">
        <v>49.880319999999998</v>
      </c>
      <c r="AG38" s="2">
        <v>80.183040000000005</v>
      </c>
      <c r="AH38" s="2">
        <v>4.2262080110271576</v>
      </c>
      <c r="AI38" s="2">
        <v>6.2269542447239887</v>
      </c>
      <c r="AJ38" s="2">
        <v>-147.302393887054</v>
      </c>
      <c r="AK38" s="2">
        <v>-202.4811067916562</v>
      </c>
      <c r="AL38" s="2">
        <v>0</v>
      </c>
      <c r="AM38" s="2">
        <v>-283.58692832407257</v>
      </c>
      <c r="AN38" s="2">
        <v>170.24</v>
      </c>
      <c r="AO38" s="2">
        <v>160.40134169602069</v>
      </c>
      <c r="AP38" s="2">
        <v>225.3077464950741</v>
      </c>
      <c r="AQ38" s="2">
        <v>9.2355399322355094</v>
      </c>
      <c r="AR38" s="2">
        <v>-434.87974825150752</v>
      </c>
      <c r="AS38" s="2">
        <v>0</v>
      </c>
      <c r="AT38" s="2">
        <v>-657.09541025467593</v>
      </c>
      <c r="AU38" s="1">
        <v>130.06335999999999</v>
      </c>
      <c r="AV38" s="2">
        <v>7.7193078306596909</v>
      </c>
      <c r="AW38" s="2">
        <v>-392.92133419070291</v>
      </c>
      <c r="AX38" s="2">
        <v>160.40134169602069</v>
      </c>
      <c r="AZ38" s="1">
        <f t="shared" si="8"/>
        <v>49.880319999999998</v>
      </c>
      <c r="BA38" s="2">
        <f t="shared" si="9"/>
        <v>4.2262080110271576</v>
      </c>
      <c r="BB38" s="7">
        <f t="shared" si="10"/>
        <v>-147.302393887054</v>
      </c>
      <c r="BC38" s="1">
        <f t="shared" si="11"/>
        <v>80.183040000000005</v>
      </c>
      <c r="BD38" s="2">
        <f t="shared" si="12"/>
        <v>6.2269542447239887</v>
      </c>
      <c r="BE38" s="2">
        <f t="shared" si="13"/>
        <v>-202.4811067916562</v>
      </c>
      <c r="BF38" s="2">
        <f t="shared" si="13"/>
        <v>0</v>
      </c>
      <c r="BG38" s="7">
        <f t="shared" si="13"/>
        <v>-283.58692832407257</v>
      </c>
      <c r="BH38" s="1">
        <f t="shared" si="14"/>
        <v>130.06335999999999</v>
      </c>
      <c r="BI38" s="2">
        <f t="shared" si="14"/>
        <v>10.453162255751145</v>
      </c>
      <c r="BJ38" s="2">
        <f t="shared" si="2"/>
        <v>349.7835006787102</v>
      </c>
      <c r="BK38" s="2">
        <f t="shared" si="5"/>
        <v>0</v>
      </c>
      <c r="BL38" s="7">
        <f t="shared" si="6"/>
        <v>-283.58692832407257</v>
      </c>
      <c r="BN38" s="1"/>
      <c r="BO38" s="4"/>
      <c r="BP38" s="2"/>
      <c r="BQ38" s="2"/>
      <c r="BR38" s="3"/>
      <c r="BS38" s="1"/>
      <c r="BT38" s="2"/>
      <c r="BU38" s="21"/>
      <c r="BV38" s="2"/>
      <c r="BW38" s="2"/>
      <c r="BX38" s="21"/>
      <c r="BY38" s="10"/>
    </row>
    <row r="39" spans="1:77" x14ac:dyDescent="0.25">
      <c r="A39" t="str">
        <f t="shared" si="3"/>
        <v>Appui</v>
      </c>
      <c r="B39" t="b">
        <f t="shared" si="4"/>
        <v>0</v>
      </c>
      <c r="C39">
        <f t="shared" si="15"/>
        <v>3</v>
      </c>
      <c r="D39" s="5" t="s">
        <v>106</v>
      </c>
      <c r="E39" t="s">
        <v>56</v>
      </c>
      <c r="F39" s="5">
        <v>25</v>
      </c>
      <c r="G39" t="s">
        <v>46</v>
      </c>
      <c r="H39">
        <v>500</v>
      </c>
      <c r="I39">
        <v>220000</v>
      </c>
      <c r="J39">
        <v>1576</v>
      </c>
      <c r="K39" s="10">
        <v>1870</v>
      </c>
      <c r="L39" s="12">
        <v>1</v>
      </c>
      <c r="M39" s="5">
        <v>0.23</v>
      </c>
      <c r="N39" s="10">
        <v>5.3</v>
      </c>
      <c r="O39" s="5">
        <v>2.6659000000000001E-3</v>
      </c>
      <c r="P39">
        <v>6.9999999999999993E-2</v>
      </c>
      <c r="Q39" s="10">
        <v>1</v>
      </c>
      <c r="R39" s="8">
        <v>0</v>
      </c>
      <c r="S39">
        <v>0</v>
      </c>
      <c r="T39">
        <v>1</v>
      </c>
      <c r="U39" s="9">
        <v>0</v>
      </c>
      <c r="V39">
        <v>0</v>
      </c>
      <c r="W39" s="10">
        <v>0</v>
      </c>
      <c r="X39" s="1">
        <v>83.798000000000002</v>
      </c>
      <c r="Y39" s="2">
        <v>25.454000000000001</v>
      </c>
      <c r="Z39" s="13">
        <v>0.5</v>
      </c>
      <c r="AA39" s="2">
        <v>41.899000000000001</v>
      </c>
      <c r="AB39" s="2">
        <v>67.352999999999994</v>
      </c>
      <c r="AC39" s="2">
        <v>143</v>
      </c>
      <c r="AD39" s="2"/>
      <c r="AE39" s="7">
        <v>109.252</v>
      </c>
      <c r="AF39" s="2">
        <v>41.899000000000001</v>
      </c>
      <c r="AG39" s="2">
        <v>67.352999999999994</v>
      </c>
      <c r="AH39" s="2">
        <v>3.6389366538839769</v>
      </c>
      <c r="AI39" s="2">
        <v>5.8496217200660574</v>
      </c>
      <c r="AJ39" s="2">
        <v>-104.62204521106641</v>
      </c>
      <c r="AK39" s="2">
        <v>-168.1808303563559</v>
      </c>
      <c r="AL39" s="2">
        <v>0</v>
      </c>
      <c r="AM39" s="2">
        <v>0</v>
      </c>
      <c r="AN39" s="2">
        <v>143</v>
      </c>
      <c r="AO39" s="2">
        <v>185.1846101195452</v>
      </c>
      <c r="AP39" s="2">
        <v>185.1846101195452</v>
      </c>
      <c r="AQ39" s="2">
        <v>8.6700923995090484</v>
      </c>
      <c r="AR39" s="2">
        <v>-367.05391803248119</v>
      </c>
      <c r="AS39" s="2">
        <v>0</v>
      </c>
      <c r="AT39" s="2">
        <v>0</v>
      </c>
      <c r="AU39" s="1">
        <v>109.252</v>
      </c>
      <c r="AV39" s="2">
        <v>6.8021879974825614</v>
      </c>
      <c r="AW39" s="2">
        <v>-279.92413574108718</v>
      </c>
      <c r="AX39" s="2">
        <v>185.1846101195452</v>
      </c>
      <c r="AZ39" s="1">
        <f t="shared" si="8"/>
        <v>41.899000000000001</v>
      </c>
      <c r="BA39" s="2">
        <f t="shared" si="9"/>
        <v>3.6389366538839769</v>
      </c>
      <c r="BB39" s="7">
        <f t="shared" si="10"/>
        <v>-104.62204521106641</v>
      </c>
      <c r="BC39" s="1">
        <f t="shared" si="11"/>
        <v>67.352999999999994</v>
      </c>
      <c r="BD39" s="2">
        <f t="shared" si="12"/>
        <v>5.8496217200660574</v>
      </c>
      <c r="BE39" s="2">
        <f t="shared" si="13"/>
        <v>-168.1808303563559</v>
      </c>
      <c r="BF39" s="2">
        <f t="shared" si="13"/>
        <v>0</v>
      </c>
      <c r="BG39" s="7">
        <f t="shared" si="13"/>
        <v>0</v>
      </c>
      <c r="BH39" s="1">
        <f t="shared" si="14"/>
        <v>109.252</v>
      </c>
      <c r="BI39" s="2">
        <f t="shared" si="14"/>
        <v>9.4885583739500348</v>
      </c>
      <c r="BJ39" s="2">
        <f t="shared" si="2"/>
        <v>272.80287556742229</v>
      </c>
      <c r="BK39" s="2">
        <f t="shared" si="5"/>
        <v>0</v>
      </c>
      <c r="BL39" s="7">
        <f t="shared" si="6"/>
        <v>0</v>
      </c>
      <c r="BN39" s="1"/>
      <c r="BO39" s="4"/>
      <c r="BP39" s="2"/>
      <c r="BQ39" s="2"/>
      <c r="BR39" s="3"/>
      <c r="BS39" s="1"/>
      <c r="BT39" s="2"/>
      <c r="BU39" s="21"/>
      <c r="BV39" s="2"/>
      <c r="BW39" s="2"/>
      <c r="BX39" s="21"/>
      <c r="BY39" s="15"/>
    </row>
    <row r="40" spans="1:77" x14ac:dyDescent="0.25">
      <c r="A40" t="str">
        <f t="shared" si="3"/>
        <v>Travée</v>
      </c>
      <c r="B40" t="b">
        <f t="shared" si="4"/>
        <v>0</v>
      </c>
      <c r="C40">
        <f t="shared" si="15"/>
        <v>3</v>
      </c>
      <c r="D40" s="5" t="s">
        <v>106</v>
      </c>
      <c r="E40" t="s">
        <v>57</v>
      </c>
      <c r="F40" s="5">
        <v>25</v>
      </c>
      <c r="G40" t="s">
        <v>46</v>
      </c>
      <c r="H40">
        <v>500</v>
      </c>
      <c r="I40">
        <v>220000</v>
      </c>
      <c r="J40">
        <v>1576</v>
      </c>
      <c r="K40" s="10">
        <v>1870</v>
      </c>
      <c r="L40" s="12">
        <v>1</v>
      </c>
      <c r="M40" s="5">
        <v>0.24</v>
      </c>
      <c r="N40" s="10">
        <v>5.3</v>
      </c>
      <c r="O40" s="5">
        <v>1.3621E-3</v>
      </c>
      <c r="P40">
        <v>0.04</v>
      </c>
      <c r="Q40" s="10">
        <v>1</v>
      </c>
      <c r="R40" s="8">
        <v>0</v>
      </c>
      <c r="S40">
        <v>0</v>
      </c>
      <c r="T40">
        <v>1</v>
      </c>
      <c r="U40" s="9">
        <v>0</v>
      </c>
      <c r="V40">
        <v>0</v>
      </c>
      <c r="W40" s="10">
        <v>1</v>
      </c>
      <c r="X40" s="1">
        <v>51.00544</v>
      </c>
      <c r="Y40" s="2">
        <v>15.493119999999999</v>
      </c>
      <c r="Z40" s="13">
        <v>0.5</v>
      </c>
      <c r="AA40" s="2">
        <v>25.50272</v>
      </c>
      <c r="AB40" s="2">
        <v>40.995840000000001</v>
      </c>
      <c r="AC40" s="2">
        <v>87.04</v>
      </c>
      <c r="AD40" s="2"/>
      <c r="AE40" s="7">
        <v>66.498559999999998</v>
      </c>
      <c r="AF40" s="2">
        <v>25.50272</v>
      </c>
      <c r="AG40" s="2">
        <v>40.995840000000001</v>
      </c>
      <c r="AH40" s="2">
        <v>2.0940744215436329</v>
      </c>
      <c r="AI40" s="2">
        <v>3.3662425001605869</v>
      </c>
      <c r="AJ40" s="2">
        <v>-97.592776007162641</v>
      </c>
      <c r="AK40" s="2">
        <v>-156.88122013438101</v>
      </c>
      <c r="AL40" s="2">
        <v>0</v>
      </c>
      <c r="AM40" s="2">
        <v>0</v>
      </c>
      <c r="AN40" s="2">
        <v>87.04</v>
      </c>
      <c r="AO40" s="2">
        <v>124.3304424912025</v>
      </c>
      <c r="AP40" s="2">
        <v>124.3304424912025</v>
      </c>
      <c r="AQ40" s="2">
        <v>5.1213982068796264</v>
      </c>
      <c r="AR40" s="2">
        <v>-338.52870144100922</v>
      </c>
      <c r="AS40" s="2">
        <v>0</v>
      </c>
      <c r="AT40" s="2">
        <v>0</v>
      </c>
      <c r="AU40" s="1">
        <v>66.498559999999998</v>
      </c>
      <c r="AV40" s="2">
        <v>3.9677803953533561</v>
      </c>
      <c r="AW40" s="2">
        <v>-258.46465619260113</v>
      </c>
      <c r="AX40" s="2">
        <v>124.3304424912025</v>
      </c>
      <c r="AZ40" s="1">
        <f t="shared" si="8"/>
        <v>25.50272</v>
      </c>
      <c r="BA40" s="2">
        <f t="shared" si="9"/>
        <v>2.0940744215436329</v>
      </c>
      <c r="BB40" s="7">
        <f t="shared" si="10"/>
        <v>-97.592776007162641</v>
      </c>
      <c r="BC40" s="1">
        <f t="shared" si="11"/>
        <v>40.995840000000001</v>
      </c>
      <c r="BD40" s="2">
        <f t="shared" si="12"/>
        <v>3.3662425001605869</v>
      </c>
      <c r="BE40" s="2">
        <f t="shared" si="13"/>
        <v>-156.88122013438101</v>
      </c>
      <c r="BF40" s="2">
        <f t="shared" si="13"/>
        <v>0</v>
      </c>
      <c r="BG40" s="7">
        <f t="shared" si="13"/>
        <v>0</v>
      </c>
      <c r="BH40" s="1">
        <f t="shared" si="14"/>
        <v>66.498559999999998</v>
      </c>
      <c r="BI40" s="2">
        <f t="shared" si="14"/>
        <v>5.4603169217042193</v>
      </c>
      <c r="BJ40" s="2">
        <f t="shared" si="2"/>
        <v>254.47399614154364</v>
      </c>
      <c r="BK40" s="2">
        <f t="shared" si="5"/>
        <v>0</v>
      </c>
      <c r="BL40" s="7">
        <f t="shared" si="6"/>
        <v>0</v>
      </c>
      <c r="BN40" s="1"/>
      <c r="BO40" s="4"/>
      <c r="BP40" s="2"/>
      <c r="BQ40" s="2"/>
      <c r="BR40" s="3"/>
      <c r="BS40" s="1"/>
      <c r="BT40" s="2"/>
      <c r="BU40" s="21"/>
      <c r="BV40" s="2"/>
      <c r="BW40" s="2"/>
      <c r="BX40" s="21"/>
      <c r="BY40" s="10"/>
    </row>
    <row r="41" spans="1:77" x14ac:dyDescent="0.25">
      <c r="A41" t="str">
        <f t="shared" si="3"/>
        <v/>
      </c>
      <c r="B41" t="b">
        <f t="shared" si="4"/>
        <v>0</v>
      </c>
      <c r="C41">
        <f t="shared" si="15"/>
        <v>3</v>
      </c>
      <c r="D41" s="5" t="s">
        <v>106</v>
      </c>
      <c r="F41" s="5"/>
      <c r="K41" s="10"/>
      <c r="L41" s="12"/>
      <c r="M41" s="5"/>
      <c r="N41" s="10"/>
      <c r="O41" s="5"/>
      <c r="Q41" s="10"/>
      <c r="R41" s="8"/>
      <c r="U41" s="9"/>
      <c r="W41" s="10"/>
      <c r="X41" s="1"/>
      <c r="Y41" s="2"/>
      <c r="Z41" s="13"/>
      <c r="AA41" s="2"/>
      <c r="AB41" s="2"/>
      <c r="AC41" s="2"/>
      <c r="AD41" s="2"/>
      <c r="AE41" s="7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"/>
      <c r="AV41" s="2"/>
      <c r="AW41" s="2"/>
      <c r="AX41" s="2"/>
      <c r="AZ41" s="1"/>
      <c r="BA41" s="2"/>
      <c r="BB41" s="7"/>
      <c r="BC41" s="1"/>
      <c r="BD41" s="2"/>
      <c r="BE41" s="2"/>
      <c r="BF41" s="2"/>
      <c r="BG41" s="7"/>
      <c r="BH41" s="1"/>
      <c r="BI41" s="2"/>
      <c r="BJ41" s="2"/>
      <c r="BK41" s="2"/>
      <c r="BL41" s="7"/>
      <c r="BN41" s="1"/>
      <c r="BO41" s="4"/>
      <c r="BP41" s="2"/>
      <c r="BQ41" s="2"/>
      <c r="BR41" s="3"/>
      <c r="BS41" s="1"/>
      <c r="BT41" s="2"/>
      <c r="BU41" s="21"/>
      <c r="BV41" s="2"/>
      <c r="BW41" s="2"/>
      <c r="BX41" s="21"/>
      <c r="BY41" s="15"/>
    </row>
    <row r="42" spans="1:77" x14ac:dyDescent="0.25">
      <c r="A42" t="str">
        <f t="shared" si="3"/>
        <v>Travée</v>
      </c>
      <c r="B42" t="b">
        <f t="shared" si="4"/>
        <v>1</v>
      </c>
      <c r="C42">
        <f t="shared" si="15"/>
        <v>4</v>
      </c>
      <c r="D42" s="5" t="s">
        <v>107</v>
      </c>
      <c r="E42" t="s">
        <v>45</v>
      </c>
      <c r="F42" s="5">
        <v>25</v>
      </c>
      <c r="G42" t="s">
        <v>46</v>
      </c>
      <c r="H42">
        <v>500</v>
      </c>
      <c r="I42">
        <v>220000</v>
      </c>
      <c r="J42">
        <v>1576</v>
      </c>
      <c r="K42" s="10">
        <v>1870</v>
      </c>
      <c r="L42" s="12">
        <v>1</v>
      </c>
      <c r="M42" s="5">
        <v>0.24</v>
      </c>
      <c r="N42" s="10">
        <v>5.3</v>
      </c>
      <c r="O42" s="5">
        <v>1.3621E-3</v>
      </c>
      <c r="P42">
        <v>0.04</v>
      </c>
      <c r="Q42" s="10">
        <v>1</v>
      </c>
      <c r="R42" s="8">
        <v>0</v>
      </c>
      <c r="S42">
        <v>0</v>
      </c>
      <c r="T42">
        <v>1</v>
      </c>
      <c r="U42" s="9">
        <v>0</v>
      </c>
      <c r="V42">
        <v>0</v>
      </c>
      <c r="W42" s="10">
        <v>0</v>
      </c>
      <c r="X42" s="1">
        <v>49.505279999999999</v>
      </c>
      <c r="Y42" s="2">
        <v>15.03744</v>
      </c>
      <c r="Z42" s="13">
        <v>0</v>
      </c>
      <c r="AA42" s="2">
        <v>49.505279999999999</v>
      </c>
      <c r="AB42" s="2">
        <v>15.03744</v>
      </c>
      <c r="AC42" s="2">
        <v>84.48</v>
      </c>
      <c r="AD42" s="2"/>
      <c r="AE42" s="7">
        <v>64.542720000000003</v>
      </c>
      <c r="AF42" s="2">
        <v>49.505279999999999</v>
      </c>
      <c r="AG42" s="2">
        <v>15.03744</v>
      </c>
      <c r="AH42" s="2">
        <v>4.064967994761175</v>
      </c>
      <c r="AI42" s="2">
        <v>1.2347513704223361</v>
      </c>
      <c r="AJ42" s="2">
        <v>-189.44480048449219</v>
      </c>
      <c r="AK42" s="2">
        <v>-57.544666358770669</v>
      </c>
      <c r="AL42" s="2">
        <v>0</v>
      </c>
      <c r="AM42" s="2">
        <v>0</v>
      </c>
      <c r="AN42" s="2">
        <v>84.48</v>
      </c>
      <c r="AO42" s="2">
        <v>124.3304424912025</v>
      </c>
      <c r="AP42" s="2">
        <v>124.3304424912025</v>
      </c>
      <c r="AQ42" s="2">
        <v>4.979581894695734</v>
      </c>
      <c r="AR42" s="2">
        <v>-328.544457194892</v>
      </c>
      <c r="AS42" s="2">
        <v>0</v>
      </c>
      <c r="AT42" s="2">
        <v>0</v>
      </c>
      <c r="AU42" s="1">
        <v>64.542720000000003</v>
      </c>
      <c r="AV42" s="2">
        <v>3.8560952952730552</v>
      </c>
      <c r="AW42" s="2">
        <v>-250.8472128669539</v>
      </c>
      <c r="AX42" s="2">
        <v>124.3304424912025</v>
      </c>
      <c r="AZ42" s="1">
        <f t="shared" si="8"/>
        <v>49.505279999999999</v>
      </c>
      <c r="BA42" s="2">
        <f t="shared" si="9"/>
        <v>4.064967994761175</v>
      </c>
      <c r="BB42" s="7">
        <f t="shared" si="10"/>
        <v>-189.44480048449219</v>
      </c>
      <c r="BC42" s="1">
        <f t="shared" si="11"/>
        <v>15.03744</v>
      </c>
      <c r="BD42" s="2">
        <f t="shared" si="12"/>
        <v>1.2347513704223361</v>
      </c>
      <c r="BE42" s="2">
        <f t="shared" si="13"/>
        <v>-57.544666358770669</v>
      </c>
      <c r="BF42" s="2">
        <f t="shared" si="13"/>
        <v>0</v>
      </c>
      <c r="BG42" s="7">
        <f t="shared" si="13"/>
        <v>0</v>
      </c>
      <c r="BH42" s="1">
        <f t="shared" si="14"/>
        <v>64.542720000000003</v>
      </c>
      <c r="BI42" s="2">
        <f t="shared" si="14"/>
        <v>5.2997193651835115</v>
      </c>
      <c r="BJ42" s="2">
        <f t="shared" si="2"/>
        <v>246.98946684326285</v>
      </c>
      <c r="BK42" s="2">
        <f t="shared" si="5"/>
        <v>0</v>
      </c>
      <c r="BL42" s="7">
        <f t="shared" si="6"/>
        <v>0</v>
      </c>
      <c r="BN42" s="1"/>
      <c r="BO42" s="4"/>
      <c r="BP42" s="2"/>
      <c r="BQ42" s="2"/>
      <c r="BR42" s="3"/>
      <c r="BS42" s="1"/>
      <c r="BT42" s="2"/>
      <c r="BU42" s="21"/>
      <c r="BV42" s="2"/>
      <c r="BW42" s="2"/>
      <c r="BX42" s="21"/>
      <c r="BY42" s="10"/>
    </row>
    <row r="43" spans="1:77" x14ac:dyDescent="0.25">
      <c r="A43" t="str">
        <f t="shared" si="3"/>
        <v>Appui</v>
      </c>
      <c r="B43" t="b">
        <f t="shared" si="4"/>
        <v>1</v>
      </c>
      <c r="C43">
        <f t="shared" si="15"/>
        <v>4</v>
      </c>
      <c r="D43" s="5" t="s">
        <v>107</v>
      </c>
      <c r="E43" t="s">
        <v>47</v>
      </c>
      <c r="F43" s="5">
        <v>25</v>
      </c>
      <c r="G43" t="s">
        <v>46</v>
      </c>
      <c r="H43">
        <v>500</v>
      </c>
      <c r="I43">
        <v>220000</v>
      </c>
      <c r="J43">
        <v>1576</v>
      </c>
      <c r="K43" s="10">
        <v>1870</v>
      </c>
      <c r="L43" s="12">
        <v>1</v>
      </c>
      <c r="M43" s="5">
        <v>0.23</v>
      </c>
      <c r="N43" s="10">
        <v>5.3</v>
      </c>
      <c r="O43" s="5">
        <v>1E-4</v>
      </c>
      <c r="P43">
        <v>6.9999999999999993E-2</v>
      </c>
      <c r="Q43" s="10">
        <v>1</v>
      </c>
      <c r="R43" s="8">
        <v>0</v>
      </c>
      <c r="S43">
        <v>0</v>
      </c>
      <c r="T43">
        <v>1</v>
      </c>
      <c r="U43" s="9">
        <v>2.9099999999999999E-5</v>
      </c>
      <c r="V43">
        <v>0</v>
      </c>
      <c r="W43" s="10">
        <v>12</v>
      </c>
      <c r="X43" s="1">
        <v>47.055799999999998</v>
      </c>
      <c r="Y43" s="2">
        <v>14.2934</v>
      </c>
      <c r="Z43" s="13">
        <v>0</v>
      </c>
      <c r="AA43" s="2">
        <v>47.055799999999998</v>
      </c>
      <c r="AB43" s="2">
        <v>14.2934</v>
      </c>
      <c r="AC43" s="2">
        <v>80.300000000000011</v>
      </c>
      <c r="AD43" s="2"/>
      <c r="AE43" s="7">
        <v>61.34920000000001</v>
      </c>
      <c r="AF43" s="2">
        <v>47.055799999999998</v>
      </c>
      <c r="AG43" s="2">
        <v>14.2934</v>
      </c>
      <c r="AH43" s="2">
        <v>18.91661963409285</v>
      </c>
      <c r="AI43" s="2">
        <v>1.65164284264539</v>
      </c>
      <c r="AJ43" s="2">
        <v>-2987.669841269842</v>
      </c>
      <c r="AK43" s="2">
        <v>-99.613668682229928</v>
      </c>
      <c r="AL43" s="2">
        <v>0</v>
      </c>
      <c r="AM43" s="2">
        <v>-162.5646791887813</v>
      </c>
      <c r="AN43" s="2">
        <v>80.300000000000011</v>
      </c>
      <c r="AO43" s="2">
        <v>7.3383794466509018</v>
      </c>
      <c r="AP43" s="2">
        <v>151.9515747714722</v>
      </c>
      <c r="AQ43" s="2">
        <v>6.4517305714553466</v>
      </c>
      <c r="AR43" s="2">
        <v>-435.28357376795333</v>
      </c>
      <c r="AS43" s="2">
        <v>0</v>
      </c>
      <c r="AT43" s="2">
        <v>-947.13773660966262</v>
      </c>
      <c r="AU43" s="1">
        <v>61.34920000000001</v>
      </c>
      <c r="AV43" s="2">
        <v>0</v>
      </c>
      <c r="AW43" s="2">
        <v>0</v>
      </c>
      <c r="AX43" s="2">
        <v>7.3383794466509018</v>
      </c>
      <c r="AZ43" s="1">
        <f t="shared" si="8"/>
        <v>47.055799999999998</v>
      </c>
      <c r="BA43" s="2">
        <f t="shared" si="9"/>
        <v>18.91661963409285</v>
      </c>
      <c r="BB43" s="7">
        <f t="shared" si="10"/>
        <v>-2987.669841269842</v>
      </c>
      <c r="BC43" s="1">
        <f t="shared" si="11"/>
        <v>14.2934</v>
      </c>
      <c r="BD43" s="2">
        <f t="shared" si="12"/>
        <v>1.65164284264539</v>
      </c>
      <c r="BE43" s="2">
        <f t="shared" si="13"/>
        <v>-99.613668682229928</v>
      </c>
      <c r="BF43" s="2">
        <f t="shared" si="13"/>
        <v>0</v>
      </c>
      <c r="BG43" s="7">
        <f t="shared" si="13"/>
        <v>-162.5646791887813</v>
      </c>
      <c r="BH43" s="1">
        <f t="shared" si="14"/>
        <v>61.349199999999996</v>
      </c>
      <c r="BI43" s="2">
        <f t="shared" si="14"/>
        <v>20.568262476738241</v>
      </c>
      <c r="BJ43" s="2">
        <f t="shared" si="2"/>
        <v>3087.2835099520721</v>
      </c>
      <c r="BK43" s="2">
        <f t="shared" si="5"/>
        <v>0</v>
      </c>
      <c r="BL43" s="7">
        <f t="shared" si="6"/>
        <v>-162.5646791887813</v>
      </c>
      <c r="BN43" s="1"/>
      <c r="BO43" s="4"/>
      <c r="BP43" s="2"/>
      <c r="BQ43" s="2"/>
      <c r="BR43" s="3"/>
      <c r="BS43" s="1"/>
      <c r="BT43" s="2"/>
      <c r="BU43" s="21"/>
      <c r="BV43" s="2"/>
      <c r="BW43" s="2"/>
      <c r="BX43" s="21"/>
      <c r="BY43" s="15"/>
    </row>
    <row r="44" spans="1:77" x14ac:dyDescent="0.25">
      <c r="A44" t="str">
        <f t="shared" si="3"/>
        <v>Travée</v>
      </c>
      <c r="B44" t="b">
        <f t="shared" si="4"/>
        <v>1</v>
      </c>
      <c r="C44">
        <f t="shared" si="15"/>
        <v>4</v>
      </c>
      <c r="D44" s="5" t="s">
        <v>107</v>
      </c>
      <c r="E44" t="s">
        <v>48</v>
      </c>
      <c r="F44" s="5">
        <v>25</v>
      </c>
      <c r="G44" t="s">
        <v>46</v>
      </c>
      <c r="H44">
        <v>500</v>
      </c>
      <c r="I44">
        <v>220000</v>
      </c>
      <c r="J44">
        <v>1576</v>
      </c>
      <c r="K44" s="10">
        <v>1870</v>
      </c>
      <c r="L44" s="12">
        <v>1</v>
      </c>
      <c r="M44" s="5">
        <v>0.215</v>
      </c>
      <c r="N44" s="10">
        <v>5.3</v>
      </c>
      <c r="O44" s="5">
        <v>2.0400000000000001E-3</v>
      </c>
      <c r="P44">
        <v>0.04</v>
      </c>
      <c r="Q44" s="10">
        <v>1</v>
      </c>
      <c r="R44" s="8">
        <v>0</v>
      </c>
      <c r="S44">
        <v>0</v>
      </c>
      <c r="T44">
        <v>1</v>
      </c>
      <c r="U44" s="9">
        <v>2.9099999999999999E-5</v>
      </c>
      <c r="V44">
        <v>0</v>
      </c>
      <c r="W44" s="10">
        <v>10</v>
      </c>
      <c r="X44" s="1">
        <v>93.009919999999994</v>
      </c>
      <c r="Y44" s="2">
        <v>28.25216</v>
      </c>
      <c r="Z44" s="13">
        <v>0</v>
      </c>
      <c r="AA44" s="2">
        <v>93.009919999999994</v>
      </c>
      <c r="AB44" s="2">
        <v>28.25216</v>
      </c>
      <c r="AC44" s="2">
        <v>158.72</v>
      </c>
      <c r="AD44" s="2"/>
      <c r="AE44" s="7">
        <v>121.26208</v>
      </c>
      <c r="AF44" s="2">
        <v>93.009919999999994</v>
      </c>
      <c r="AG44" s="2">
        <v>28.25216</v>
      </c>
      <c r="AH44" s="2">
        <v>7.8812264112271686</v>
      </c>
      <c r="AI44" s="2">
        <v>2.1226290887184378</v>
      </c>
      <c r="AJ44" s="2">
        <v>-274.73517041519631</v>
      </c>
      <c r="AK44" s="2">
        <v>-67.185439900422125</v>
      </c>
      <c r="AL44" s="2">
        <v>0</v>
      </c>
      <c r="AM44" s="2">
        <v>-94.187433023903111</v>
      </c>
      <c r="AN44" s="2">
        <v>158.72</v>
      </c>
      <c r="AO44" s="2">
        <v>160.36511529064239</v>
      </c>
      <c r="AP44" s="2">
        <v>257.56757764017948</v>
      </c>
      <c r="AQ44" s="2">
        <v>8.3047263602474004</v>
      </c>
      <c r="AR44" s="2">
        <v>-385.3272746432819</v>
      </c>
      <c r="AS44" s="2">
        <v>0</v>
      </c>
      <c r="AT44" s="2">
        <v>-550.07701966874436</v>
      </c>
      <c r="AU44" s="1">
        <v>121.26208</v>
      </c>
      <c r="AV44" s="2">
        <v>7.2447219782640353</v>
      </c>
      <c r="AW44" s="2">
        <v>-366.29782784049672</v>
      </c>
      <c r="AX44" s="2">
        <v>160.36511529064239</v>
      </c>
      <c r="AZ44" s="1">
        <f t="shared" si="8"/>
        <v>93.009919999999994</v>
      </c>
      <c r="BA44" s="2">
        <f t="shared" si="9"/>
        <v>7.8812264112271686</v>
      </c>
      <c r="BB44" s="7">
        <f t="shared" si="10"/>
        <v>-274.73517041519631</v>
      </c>
      <c r="BC44" s="1">
        <f t="shared" si="11"/>
        <v>28.25216</v>
      </c>
      <c r="BD44" s="2">
        <f t="shared" si="12"/>
        <v>2.1226290887184378</v>
      </c>
      <c r="BE44" s="2">
        <f t="shared" si="13"/>
        <v>-67.185439900422125</v>
      </c>
      <c r="BF44" s="2">
        <f t="shared" si="13"/>
        <v>0</v>
      </c>
      <c r="BG44" s="7">
        <f t="shared" si="13"/>
        <v>-94.187433023903111</v>
      </c>
      <c r="BH44" s="1">
        <f t="shared" si="14"/>
        <v>121.26208</v>
      </c>
      <c r="BI44" s="2">
        <f t="shared" si="14"/>
        <v>10.003855499945606</v>
      </c>
      <c r="BJ44" s="2">
        <f t="shared" si="2"/>
        <v>341.92061031561843</v>
      </c>
      <c r="BK44" s="2">
        <f t="shared" si="5"/>
        <v>0</v>
      </c>
      <c r="BL44" s="7">
        <f t="shared" si="6"/>
        <v>-94.187433023903111</v>
      </c>
      <c r="BN44" s="1"/>
      <c r="BO44" s="4"/>
      <c r="BP44" s="2"/>
      <c r="BQ44" s="2"/>
      <c r="BR44" s="3"/>
      <c r="BS44" s="1"/>
      <c r="BT44" s="2"/>
      <c r="BU44" s="21"/>
      <c r="BV44" s="2"/>
      <c r="BW44" s="2"/>
      <c r="BX44" s="21"/>
      <c r="BY44" s="10"/>
    </row>
    <row r="45" spans="1:77" x14ac:dyDescent="0.25">
      <c r="A45" t="str">
        <f t="shared" si="3"/>
        <v>Appui</v>
      </c>
      <c r="B45" t="b">
        <f t="shared" si="4"/>
        <v>1</v>
      </c>
      <c r="C45">
        <f>IF(D45="",100000,IF(D45=D43,C43,C43+1))</f>
        <v>4</v>
      </c>
      <c r="D45" s="5" t="s">
        <v>107</v>
      </c>
      <c r="E45" t="s">
        <v>49</v>
      </c>
      <c r="F45" s="5">
        <v>25</v>
      </c>
      <c r="G45" t="s">
        <v>46</v>
      </c>
      <c r="H45">
        <v>500</v>
      </c>
      <c r="I45">
        <v>220000</v>
      </c>
      <c r="J45">
        <v>1576</v>
      </c>
      <c r="K45" s="10">
        <v>1870</v>
      </c>
      <c r="L45" s="12">
        <v>1</v>
      </c>
      <c r="M45" s="5">
        <v>0.2</v>
      </c>
      <c r="N45" s="10">
        <v>5.3</v>
      </c>
      <c r="O45" s="5">
        <v>1E-4</v>
      </c>
      <c r="P45">
        <v>0.04</v>
      </c>
      <c r="Q45" s="10">
        <v>1</v>
      </c>
      <c r="R45" s="8">
        <v>0</v>
      </c>
      <c r="S45">
        <v>0</v>
      </c>
      <c r="T45">
        <v>1</v>
      </c>
      <c r="U45" s="9">
        <v>2.9099999999999999E-5</v>
      </c>
      <c r="V45">
        <v>0</v>
      </c>
      <c r="W45" s="10">
        <v>12</v>
      </c>
      <c r="X45" s="1">
        <v>54.790999999999997</v>
      </c>
      <c r="Y45" s="2">
        <v>16.643000000000001</v>
      </c>
      <c r="Z45" s="13">
        <v>0</v>
      </c>
      <c r="AA45" s="2">
        <v>54.790999999999997</v>
      </c>
      <c r="AB45" s="2">
        <v>16.643000000000001</v>
      </c>
      <c r="AC45" s="2">
        <v>93.500000000000014</v>
      </c>
      <c r="AD45" s="2"/>
      <c r="AE45" s="7">
        <v>71.433999999999997</v>
      </c>
      <c r="AF45" s="2">
        <v>54.790999999999997</v>
      </c>
      <c r="AG45" s="2">
        <v>16.643000000000001</v>
      </c>
      <c r="AH45" s="2">
        <v>22.02620094380665</v>
      </c>
      <c r="AI45" s="2">
        <v>2.3286067788992688</v>
      </c>
      <c r="AJ45" s="2">
        <v>-3478.7936507936511</v>
      </c>
      <c r="AK45" s="2">
        <v>-150.02635343439721</v>
      </c>
      <c r="AL45" s="2">
        <v>0</v>
      </c>
      <c r="AM45" s="2">
        <v>-210.3551825144404</v>
      </c>
      <c r="AN45" s="2">
        <v>93.500000000000014</v>
      </c>
      <c r="AO45" s="2">
        <v>7.3383794466356438</v>
      </c>
      <c r="AP45" s="2">
        <v>132.6389998973354</v>
      </c>
      <c r="AQ45" s="2">
        <v>8.9175372988041737</v>
      </c>
      <c r="AR45" s="2">
        <v>-436.5146731159744</v>
      </c>
      <c r="AS45" s="2">
        <v>0</v>
      </c>
      <c r="AT45" s="2">
        <v>-1287.7571599735791</v>
      </c>
      <c r="AU45" s="1">
        <v>71.433999999999997</v>
      </c>
      <c r="AV45" s="2">
        <v>0</v>
      </c>
      <c r="AW45" s="2">
        <v>0</v>
      </c>
      <c r="AX45" s="2">
        <v>7.3383794466356438</v>
      </c>
      <c r="AZ45" s="1">
        <f t="shared" si="8"/>
        <v>54.790999999999997</v>
      </c>
      <c r="BA45" s="2">
        <f t="shared" si="9"/>
        <v>22.02620094380665</v>
      </c>
      <c r="BB45" s="7">
        <f t="shared" si="10"/>
        <v>-3478.7936507936511</v>
      </c>
      <c r="BC45" s="1">
        <f t="shared" si="11"/>
        <v>16.643000000000001</v>
      </c>
      <c r="BD45" s="2">
        <f t="shared" si="12"/>
        <v>2.3286067788992688</v>
      </c>
      <c r="BE45" s="2">
        <f t="shared" si="13"/>
        <v>-150.02635343439721</v>
      </c>
      <c r="BF45" s="2">
        <f t="shared" si="13"/>
        <v>0</v>
      </c>
      <c r="BG45" s="7">
        <f t="shared" si="13"/>
        <v>-210.3551825144404</v>
      </c>
      <c r="BH45" s="1">
        <f t="shared" si="14"/>
        <v>71.433999999999997</v>
      </c>
      <c r="BI45" s="2">
        <f t="shared" si="14"/>
        <v>24.354807722705917</v>
      </c>
      <c r="BJ45" s="2">
        <f t="shared" si="2"/>
        <v>3628.8200042280482</v>
      </c>
      <c r="BK45" s="2">
        <f t="shared" si="5"/>
        <v>0</v>
      </c>
      <c r="BL45" s="7">
        <f t="shared" si="6"/>
        <v>-210.3551825144404</v>
      </c>
      <c r="BN45" s="1"/>
      <c r="BO45" s="4"/>
      <c r="BP45" s="2"/>
      <c r="BQ45" s="2"/>
      <c r="BR45" s="3"/>
      <c r="BS45" s="1"/>
      <c r="BT45" s="2"/>
      <c r="BU45" s="21"/>
      <c r="BV45" s="2"/>
      <c r="BW45" s="2"/>
      <c r="BX45" s="21"/>
      <c r="BY45" s="15"/>
    </row>
    <row r="46" spans="1:77" x14ac:dyDescent="0.25">
      <c r="A46" t="str">
        <f t="shared" si="3"/>
        <v>Travée</v>
      </c>
      <c r="B46" t="b">
        <f t="shared" si="4"/>
        <v>1</v>
      </c>
      <c r="C46">
        <f>IF(D46="",100000,IF(D46=D44,C44,C44+1))</f>
        <v>4</v>
      </c>
      <c r="D46" s="5" t="s">
        <v>107</v>
      </c>
      <c r="E46" t="s">
        <v>51</v>
      </c>
      <c r="F46" s="5">
        <v>25</v>
      </c>
      <c r="G46" t="s">
        <v>46</v>
      </c>
      <c r="H46">
        <v>500</v>
      </c>
      <c r="I46">
        <v>220000</v>
      </c>
      <c r="J46">
        <v>1576</v>
      </c>
      <c r="K46" s="10">
        <v>1870</v>
      </c>
      <c r="L46" s="12">
        <v>1</v>
      </c>
      <c r="M46" s="5">
        <v>0.215</v>
      </c>
      <c r="N46" s="10">
        <v>5.3</v>
      </c>
      <c r="O46" s="5">
        <v>6.7840000000000001E-4</v>
      </c>
      <c r="P46">
        <v>0.04</v>
      </c>
      <c r="Q46" s="10">
        <v>1</v>
      </c>
      <c r="R46" s="8">
        <v>0</v>
      </c>
      <c r="S46">
        <v>0</v>
      </c>
      <c r="T46">
        <v>1</v>
      </c>
      <c r="U46" s="9">
        <v>0</v>
      </c>
      <c r="V46">
        <v>0</v>
      </c>
      <c r="W46" s="10">
        <v>0</v>
      </c>
      <c r="X46" s="1">
        <v>0.75007999999999997</v>
      </c>
      <c r="Y46" s="2">
        <v>0.22783999999999999</v>
      </c>
      <c r="Z46" s="13">
        <v>0</v>
      </c>
      <c r="AA46" s="2">
        <v>0.75007999999999997</v>
      </c>
      <c r="AB46" s="2">
        <v>0.22783999999999999</v>
      </c>
      <c r="AC46" s="2">
        <v>1.28</v>
      </c>
      <c r="AD46" s="2"/>
      <c r="AE46" s="7">
        <v>0.9779199999999999</v>
      </c>
      <c r="AF46" s="2">
        <v>0.75007999999999997</v>
      </c>
      <c r="AG46" s="2">
        <v>0.22783999999999999</v>
      </c>
      <c r="AH46" s="2">
        <v>0.1041655669383556</v>
      </c>
      <c r="AI46" s="2">
        <v>3.1612558160800663E-2</v>
      </c>
      <c r="AJ46" s="2">
        <v>-6.5255623235433111</v>
      </c>
      <c r="AK46" s="2">
        <v>-1.9814070755034081</v>
      </c>
      <c r="AL46" s="2">
        <v>0</v>
      </c>
      <c r="AM46" s="2">
        <v>0</v>
      </c>
      <c r="AN46" s="2">
        <v>1.28</v>
      </c>
      <c r="AO46" s="2">
        <v>54.524858181817933</v>
      </c>
      <c r="AP46" s="2">
        <v>54.524858181817933</v>
      </c>
      <c r="AQ46" s="2">
        <v>0.133063557538976</v>
      </c>
      <c r="AR46" s="2">
        <v>-11.254414745881499</v>
      </c>
      <c r="AS46" s="2">
        <v>0</v>
      </c>
      <c r="AT46" s="2">
        <v>0</v>
      </c>
      <c r="AU46" s="1">
        <v>0.9779199999999999</v>
      </c>
      <c r="AV46" s="2">
        <v>0.101688809179068</v>
      </c>
      <c r="AW46" s="2">
        <v>-8.5983164246912906</v>
      </c>
      <c r="AX46" s="2">
        <v>54.524858181817933</v>
      </c>
      <c r="AZ46" s="1">
        <f t="shared" si="8"/>
        <v>0.75007999999999997</v>
      </c>
      <c r="BA46" s="2">
        <f t="shared" si="9"/>
        <v>0.1041655669383556</v>
      </c>
      <c r="BB46" s="7">
        <f t="shared" si="10"/>
        <v>-6.5255623235433111</v>
      </c>
      <c r="BC46" s="1">
        <f t="shared" si="11"/>
        <v>0.22783999999999999</v>
      </c>
      <c r="BD46" s="2">
        <f t="shared" si="12"/>
        <v>3.1612558160800663E-2</v>
      </c>
      <c r="BE46" s="2">
        <f t="shared" si="13"/>
        <v>-1.9814070755034081</v>
      </c>
      <c r="BF46" s="2">
        <f t="shared" si="13"/>
        <v>0</v>
      </c>
      <c r="BG46" s="7">
        <f t="shared" si="13"/>
        <v>0</v>
      </c>
      <c r="BH46" s="1">
        <f t="shared" si="14"/>
        <v>0.9779199999999999</v>
      </c>
      <c r="BI46" s="2">
        <f t="shared" si="14"/>
        <v>0.13577812509915627</v>
      </c>
      <c r="BJ46" s="2">
        <f t="shared" si="2"/>
        <v>8.506969399046719</v>
      </c>
      <c r="BK46" s="2">
        <f t="shared" si="5"/>
        <v>0</v>
      </c>
      <c r="BL46" s="7">
        <f t="shared" si="6"/>
        <v>0</v>
      </c>
      <c r="BN46" s="1"/>
      <c r="BO46" s="4"/>
      <c r="BP46" s="2"/>
      <c r="BQ46" s="2"/>
      <c r="BR46" s="3"/>
      <c r="BS46" s="1"/>
      <c r="BT46" s="2"/>
      <c r="BU46" s="21"/>
      <c r="BV46" s="2"/>
      <c r="BW46" s="2"/>
      <c r="BX46" s="21"/>
      <c r="BY46" s="10"/>
    </row>
    <row r="47" spans="1:77" x14ac:dyDescent="0.25">
      <c r="A47" t="str">
        <f t="shared" si="3"/>
        <v>Appui</v>
      </c>
      <c r="B47" t="b">
        <f t="shared" si="4"/>
        <v>1</v>
      </c>
      <c r="C47">
        <f t="shared" si="15"/>
        <v>4</v>
      </c>
      <c r="D47" s="5" t="s">
        <v>107</v>
      </c>
      <c r="E47" t="s">
        <v>52</v>
      </c>
      <c r="F47" s="5">
        <v>25</v>
      </c>
      <c r="G47" t="s">
        <v>46</v>
      </c>
      <c r="H47">
        <v>500</v>
      </c>
      <c r="I47">
        <v>220000</v>
      </c>
      <c r="J47">
        <v>1576</v>
      </c>
      <c r="K47" s="10">
        <v>1870</v>
      </c>
      <c r="L47" s="12">
        <v>1</v>
      </c>
      <c r="M47" s="5">
        <v>0.23</v>
      </c>
      <c r="N47" s="10">
        <v>5.3</v>
      </c>
      <c r="O47" s="5">
        <v>1E-4</v>
      </c>
      <c r="P47">
        <v>6.9999999999999993E-2</v>
      </c>
      <c r="Q47" s="10">
        <v>1</v>
      </c>
      <c r="R47" s="8">
        <v>0</v>
      </c>
      <c r="S47">
        <v>0</v>
      </c>
      <c r="T47">
        <v>1</v>
      </c>
      <c r="U47" s="9">
        <v>0</v>
      </c>
      <c r="V47">
        <v>0</v>
      </c>
      <c r="W47" s="10">
        <v>0</v>
      </c>
      <c r="X47" s="1">
        <v>0.64460000000000006</v>
      </c>
      <c r="Y47" s="2">
        <v>0.1958</v>
      </c>
      <c r="Z47" s="13">
        <v>0</v>
      </c>
      <c r="AA47" s="2">
        <v>0.64460000000000006</v>
      </c>
      <c r="AB47" s="2">
        <v>0.1958</v>
      </c>
      <c r="AC47" s="2">
        <v>1.1000000000000001</v>
      </c>
      <c r="AD47" s="2"/>
      <c r="AE47" s="7">
        <v>0.84040000000000004</v>
      </c>
      <c r="AF47" s="2">
        <v>0.64460000000000006</v>
      </c>
      <c r="AG47" s="2">
        <v>0.1958</v>
      </c>
      <c r="AH47" s="2">
        <v>0.2591317758094917</v>
      </c>
      <c r="AI47" s="2">
        <v>7.8712382413122103E-2</v>
      </c>
      <c r="AJ47" s="2">
        <v>-40.926984126984131</v>
      </c>
      <c r="AK47" s="2">
        <v>-12.43174603174603</v>
      </c>
      <c r="AL47" s="2">
        <v>0</v>
      </c>
      <c r="AM47" s="2">
        <v>0</v>
      </c>
      <c r="AN47" s="2">
        <v>1.1000000000000001</v>
      </c>
      <c r="AO47" s="2">
        <v>7.3383794466509018</v>
      </c>
      <c r="AP47" s="2">
        <v>7.3383794466509018</v>
      </c>
      <c r="AQ47" s="2">
        <v>0.32401489959688978</v>
      </c>
      <c r="AR47" s="2">
        <v>-70.146750841073057</v>
      </c>
      <c r="AS47" s="2">
        <v>0</v>
      </c>
      <c r="AT47" s="2">
        <v>0</v>
      </c>
      <c r="AU47" s="1">
        <v>0.84040000000000004</v>
      </c>
      <c r="AV47" s="2">
        <v>0.24775662937165011</v>
      </c>
      <c r="AW47" s="2">
        <v>-53.591541129367457</v>
      </c>
      <c r="AX47" s="2">
        <v>7.3383794466509018</v>
      </c>
      <c r="AZ47" s="1">
        <f t="shared" si="8"/>
        <v>0.64460000000000006</v>
      </c>
      <c r="BA47" s="2">
        <f t="shared" si="9"/>
        <v>0.2591317758094917</v>
      </c>
      <c r="BB47" s="7">
        <f t="shared" si="10"/>
        <v>-40.926984126984131</v>
      </c>
      <c r="BC47" s="1">
        <f t="shared" si="11"/>
        <v>0.1958</v>
      </c>
      <c r="BD47" s="2">
        <f t="shared" si="12"/>
        <v>7.8712382413122103E-2</v>
      </c>
      <c r="BE47" s="2">
        <f t="shared" si="13"/>
        <v>-12.43174603174603</v>
      </c>
      <c r="BF47" s="2">
        <f t="shared" si="13"/>
        <v>0</v>
      </c>
      <c r="BG47" s="7">
        <f t="shared" si="13"/>
        <v>0</v>
      </c>
      <c r="BH47" s="1">
        <f t="shared" si="14"/>
        <v>0.84040000000000004</v>
      </c>
      <c r="BI47" s="2">
        <f t="shared" si="14"/>
        <v>0.33784415822261382</v>
      </c>
      <c r="BJ47" s="2">
        <f t="shared" si="2"/>
        <v>53.358730158730161</v>
      </c>
      <c r="BK47" s="2">
        <f t="shared" si="5"/>
        <v>0</v>
      </c>
      <c r="BL47" s="7">
        <f t="shared" si="6"/>
        <v>0</v>
      </c>
      <c r="BN47" s="1"/>
      <c r="BO47" s="4"/>
      <c r="BP47" s="2"/>
      <c r="BQ47" s="2"/>
      <c r="BR47" s="3"/>
      <c r="BS47" s="1"/>
      <c r="BT47" s="2"/>
      <c r="BU47" s="21"/>
      <c r="BV47" s="2"/>
      <c r="BW47" s="2"/>
      <c r="BX47" s="21"/>
      <c r="BY47" s="15"/>
    </row>
    <row r="48" spans="1:77" x14ac:dyDescent="0.25">
      <c r="A48" t="str">
        <f t="shared" si="3"/>
        <v>Travée</v>
      </c>
      <c r="B48" t="b">
        <f t="shared" si="4"/>
        <v>1</v>
      </c>
      <c r="C48">
        <f t="shared" si="15"/>
        <v>4</v>
      </c>
      <c r="D48" s="5" t="s">
        <v>107</v>
      </c>
      <c r="E48" t="s">
        <v>53</v>
      </c>
      <c r="F48" s="5">
        <v>25</v>
      </c>
      <c r="G48" t="s">
        <v>46</v>
      </c>
      <c r="H48">
        <v>500</v>
      </c>
      <c r="I48">
        <v>220000</v>
      </c>
      <c r="J48">
        <v>1576</v>
      </c>
      <c r="K48" s="10">
        <v>1870</v>
      </c>
      <c r="L48" s="12">
        <v>1</v>
      </c>
      <c r="M48" s="5">
        <v>0.215</v>
      </c>
      <c r="N48" s="10">
        <v>5.3</v>
      </c>
      <c r="O48" s="5">
        <v>6.7840000000000001E-4</v>
      </c>
      <c r="P48">
        <v>0.04</v>
      </c>
      <c r="Q48" s="10">
        <v>1</v>
      </c>
      <c r="R48" s="8">
        <v>0</v>
      </c>
      <c r="S48">
        <v>0</v>
      </c>
      <c r="T48">
        <v>1</v>
      </c>
      <c r="U48" s="9">
        <v>0</v>
      </c>
      <c r="V48">
        <v>0</v>
      </c>
      <c r="W48" s="10">
        <v>0</v>
      </c>
      <c r="X48" s="1">
        <v>0.75007999999999997</v>
      </c>
      <c r="Y48" s="2">
        <v>0.22783999999999999</v>
      </c>
      <c r="Z48" s="13">
        <v>0</v>
      </c>
      <c r="AA48" s="2">
        <v>0.75007999999999997</v>
      </c>
      <c r="AB48" s="2">
        <v>0.22783999999999999</v>
      </c>
      <c r="AC48" s="2">
        <v>1.28</v>
      </c>
      <c r="AD48" s="2"/>
      <c r="AE48" s="7">
        <v>0.9779199999999999</v>
      </c>
      <c r="AF48" s="2">
        <v>0.75007999999999997</v>
      </c>
      <c r="AG48" s="2">
        <v>0.22783999999999999</v>
      </c>
      <c r="AH48" s="2">
        <v>0.1041655669383556</v>
      </c>
      <c r="AI48" s="2">
        <v>3.1612558160800663E-2</v>
      </c>
      <c r="AJ48" s="2">
        <v>-6.5255623235433111</v>
      </c>
      <c r="AK48" s="2">
        <v>-1.9814070755034081</v>
      </c>
      <c r="AL48" s="2">
        <v>0</v>
      </c>
      <c r="AM48" s="2">
        <v>0</v>
      </c>
      <c r="AN48" s="2">
        <v>1.28</v>
      </c>
      <c r="AO48" s="2">
        <v>54.524858181817933</v>
      </c>
      <c r="AP48" s="2">
        <v>54.524858181817933</v>
      </c>
      <c r="AQ48" s="2">
        <v>0.133063557538976</v>
      </c>
      <c r="AR48" s="2">
        <v>-11.254414745881499</v>
      </c>
      <c r="AS48" s="2">
        <v>0</v>
      </c>
      <c r="AT48" s="2">
        <v>0</v>
      </c>
      <c r="AU48" s="1">
        <v>0.9779199999999999</v>
      </c>
      <c r="AV48" s="2">
        <v>0.101688809179068</v>
      </c>
      <c r="AW48" s="2">
        <v>-8.5983164246912906</v>
      </c>
      <c r="AX48" s="2">
        <v>54.524858181817933</v>
      </c>
      <c r="AZ48" s="1">
        <f t="shared" si="8"/>
        <v>0.75007999999999997</v>
      </c>
      <c r="BA48" s="2">
        <f t="shared" si="9"/>
        <v>0.1041655669383556</v>
      </c>
      <c r="BB48" s="7">
        <f t="shared" si="10"/>
        <v>-6.5255623235433111</v>
      </c>
      <c r="BC48" s="1">
        <f t="shared" si="11"/>
        <v>0.22783999999999999</v>
      </c>
      <c r="BD48" s="2">
        <f t="shared" si="12"/>
        <v>3.1612558160800663E-2</v>
      </c>
      <c r="BE48" s="2">
        <f t="shared" si="13"/>
        <v>-1.9814070755034081</v>
      </c>
      <c r="BF48" s="2">
        <f t="shared" si="13"/>
        <v>0</v>
      </c>
      <c r="BG48" s="7">
        <f t="shared" si="13"/>
        <v>0</v>
      </c>
      <c r="BH48" s="1">
        <f t="shared" si="14"/>
        <v>0.9779199999999999</v>
      </c>
      <c r="BI48" s="2">
        <f t="shared" si="14"/>
        <v>0.13577812509915627</v>
      </c>
      <c r="BJ48" s="2">
        <f t="shared" si="2"/>
        <v>8.506969399046719</v>
      </c>
      <c r="BK48" s="2">
        <f t="shared" si="5"/>
        <v>0</v>
      </c>
      <c r="BL48" s="7">
        <f t="shared" si="6"/>
        <v>0</v>
      </c>
      <c r="BN48" s="1"/>
      <c r="BO48" s="4"/>
      <c r="BP48" s="2"/>
      <c r="BQ48" s="2"/>
      <c r="BR48" s="3"/>
      <c r="BS48" s="1"/>
      <c r="BT48" s="2"/>
      <c r="BU48" s="21"/>
      <c r="BV48" s="2"/>
      <c r="BW48" s="2"/>
      <c r="BX48" s="21"/>
      <c r="BY48" s="10"/>
    </row>
    <row r="49" spans="1:77" x14ac:dyDescent="0.25">
      <c r="A49" t="str">
        <f t="shared" si="3"/>
        <v>Appui</v>
      </c>
      <c r="B49" t="b">
        <f t="shared" si="4"/>
        <v>1</v>
      </c>
      <c r="C49">
        <f t="shared" si="15"/>
        <v>4</v>
      </c>
      <c r="D49" s="5" t="s">
        <v>107</v>
      </c>
      <c r="E49" t="s">
        <v>54</v>
      </c>
      <c r="F49" s="5">
        <v>25</v>
      </c>
      <c r="G49" t="s">
        <v>46</v>
      </c>
      <c r="H49">
        <v>500</v>
      </c>
      <c r="I49">
        <v>220000</v>
      </c>
      <c r="J49">
        <v>1576</v>
      </c>
      <c r="K49" s="10">
        <v>1870</v>
      </c>
      <c r="L49" s="12">
        <v>1</v>
      </c>
      <c r="M49" s="5">
        <v>0.2</v>
      </c>
      <c r="N49" s="10">
        <v>5.3</v>
      </c>
      <c r="O49" s="5">
        <v>1E-4</v>
      </c>
      <c r="P49">
        <v>0.04</v>
      </c>
      <c r="Q49" s="10">
        <v>1</v>
      </c>
      <c r="R49" s="8">
        <v>0</v>
      </c>
      <c r="S49">
        <v>0</v>
      </c>
      <c r="T49">
        <v>1</v>
      </c>
      <c r="U49" s="9">
        <v>2.9099999999999999E-5</v>
      </c>
      <c r="V49">
        <v>0</v>
      </c>
      <c r="W49" s="10">
        <v>12</v>
      </c>
      <c r="X49" s="1">
        <v>61.237000000000002</v>
      </c>
      <c r="Y49" s="2">
        <v>18.600999999999999</v>
      </c>
      <c r="Z49" s="13">
        <v>0</v>
      </c>
      <c r="AA49" s="2">
        <v>61.237000000000002</v>
      </c>
      <c r="AB49" s="2">
        <v>18.600999999999999</v>
      </c>
      <c r="AC49" s="2">
        <v>104.5</v>
      </c>
      <c r="AD49" s="2"/>
      <c r="AE49" s="7">
        <v>79.838000000000008</v>
      </c>
      <c r="AF49" s="2">
        <v>61.237000000000002</v>
      </c>
      <c r="AG49" s="2">
        <v>18.600999999999999</v>
      </c>
      <c r="AH49" s="2">
        <v>24.61751870190162</v>
      </c>
      <c r="AI49" s="2">
        <v>2.602560517593298</v>
      </c>
      <c r="AJ49" s="2">
        <v>-3888.063492063492</v>
      </c>
      <c r="AK49" s="2">
        <v>-167.6765126619735</v>
      </c>
      <c r="AL49" s="2">
        <v>0</v>
      </c>
      <c r="AM49" s="2">
        <v>-235.10285104555109</v>
      </c>
      <c r="AN49" s="2">
        <v>104.5</v>
      </c>
      <c r="AO49" s="2">
        <v>7.3383794466356438</v>
      </c>
      <c r="AP49" s="2">
        <v>132.6389998973354</v>
      </c>
      <c r="AQ49" s="2">
        <v>9.8291199323580773</v>
      </c>
      <c r="AR49" s="2">
        <v>-436.93484914456599</v>
      </c>
      <c r="AS49" s="2">
        <v>0</v>
      </c>
      <c r="AT49" s="2">
        <v>-1451.1859286881249</v>
      </c>
      <c r="AU49" s="1">
        <v>79.838000000000008</v>
      </c>
      <c r="AV49" s="2">
        <v>0</v>
      </c>
      <c r="AW49" s="2">
        <v>0</v>
      </c>
      <c r="AX49" s="2">
        <v>7.3383794466356438</v>
      </c>
      <c r="AZ49" s="1">
        <f t="shared" si="8"/>
        <v>61.237000000000002</v>
      </c>
      <c r="BA49" s="2">
        <f t="shared" si="9"/>
        <v>24.61751870190162</v>
      </c>
      <c r="BB49" s="7">
        <f t="shared" si="10"/>
        <v>-3888.063492063492</v>
      </c>
      <c r="BC49" s="1">
        <f t="shared" si="11"/>
        <v>18.600999999999999</v>
      </c>
      <c r="BD49" s="2">
        <f t="shared" si="12"/>
        <v>2.602560517593298</v>
      </c>
      <c r="BE49" s="2">
        <f t="shared" si="13"/>
        <v>-167.6765126619735</v>
      </c>
      <c r="BF49" s="2">
        <f t="shared" si="13"/>
        <v>0</v>
      </c>
      <c r="BG49" s="7">
        <f t="shared" si="13"/>
        <v>-235.10285104555109</v>
      </c>
      <c r="BH49" s="1">
        <f t="shared" si="14"/>
        <v>79.837999999999994</v>
      </c>
      <c r="BI49" s="2">
        <f t="shared" si="14"/>
        <v>27.220079219494917</v>
      </c>
      <c r="BJ49" s="2">
        <f t="shared" si="2"/>
        <v>4055.7400047254655</v>
      </c>
      <c r="BK49" s="2">
        <f t="shared" si="5"/>
        <v>0</v>
      </c>
      <c r="BL49" s="7">
        <f t="shared" si="6"/>
        <v>-235.10285104555109</v>
      </c>
      <c r="BN49" s="1"/>
      <c r="BO49" s="4"/>
      <c r="BP49" s="2"/>
      <c r="BQ49" s="2"/>
      <c r="BR49" s="3"/>
      <c r="BS49" s="1"/>
      <c r="BT49" s="2"/>
      <c r="BU49" s="21"/>
      <c r="BV49" s="2"/>
      <c r="BW49" s="2"/>
      <c r="BX49" s="21"/>
      <c r="BY49" s="15"/>
    </row>
    <row r="50" spans="1:77" x14ac:dyDescent="0.25">
      <c r="A50" t="str">
        <f t="shared" si="3"/>
        <v>Travée</v>
      </c>
      <c r="B50" t="b">
        <f t="shared" si="4"/>
        <v>1</v>
      </c>
      <c r="C50">
        <f t="shared" si="15"/>
        <v>4</v>
      </c>
      <c r="D50" s="5" t="s">
        <v>107</v>
      </c>
      <c r="E50" t="s">
        <v>55</v>
      </c>
      <c r="F50" s="5">
        <v>25</v>
      </c>
      <c r="G50" t="s">
        <v>46</v>
      </c>
      <c r="H50">
        <v>500</v>
      </c>
      <c r="I50">
        <v>220000</v>
      </c>
      <c r="J50">
        <v>1576</v>
      </c>
      <c r="K50" s="10">
        <v>1870</v>
      </c>
      <c r="L50" s="12">
        <v>1</v>
      </c>
      <c r="M50" s="5">
        <v>0.215</v>
      </c>
      <c r="N50" s="10">
        <v>5.3</v>
      </c>
      <c r="O50" s="5">
        <v>2.0405000000000002E-3</v>
      </c>
      <c r="P50">
        <v>0.04</v>
      </c>
      <c r="Q50" s="10">
        <v>1</v>
      </c>
      <c r="R50" s="8">
        <v>0</v>
      </c>
      <c r="S50">
        <v>0</v>
      </c>
      <c r="T50">
        <v>1</v>
      </c>
      <c r="U50" s="9">
        <v>2.9099999999999999E-5</v>
      </c>
      <c r="V50">
        <v>0</v>
      </c>
      <c r="W50" s="10">
        <v>7</v>
      </c>
      <c r="X50" s="1">
        <v>93.759999999999991</v>
      </c>
      <c r="Y50" s="2">
        <v>28.48</v>
      </c>
      <c r="Z50" s="13">
        <v>0</v>
      </c>
      <c r="AA50" s="2">
        <v>93.759999999999991</v>
      </c>
      <c r="AB50" s="2">
        <v>28.48</v>
      </c>
      <c r="AC50" s="2">
        <v>160</v>
      </c>
      <c r="AD50" s="2"/>
      <c r="AE50" s="7">
        <v>122.24</v>
      </c>
      <c r="AF50" s="2">
        <v>93.759999999999991</v>
      </c>
      <c r="AG50" s="2">
        <v>28.48</v>
      </c>
      <c r="AH50" s="2">
        <v>7.9440000207277448</v>
      </c>
      <c r="AI50" s="2">
        <v>2.2117352608449261</v>
      </c>
      <c r="AJ50" s="2">
        <v>-276.88419903581581</v>
      </c>
      <c r="AK50" s="2">
        <v>-71.918723977369297</v>
      </c>
      <c r="AL50" s="2">
        <v>0</v>
      </c>
      <c r="AM50" s="2">
        <v>-100.7264842873203</v>
      </c>
      <c r="AN50" s="2">
        <v>160</v>
      </c>
      <c r="AO50" s="2">
        <v>160.40134169602069</v>
      </c>
      <c r="AP50" s="2">
        <v>225.3077464950741</v>
      </c>
      <c r="AQ50" s="2">
        <v>8.5994136934385477</v>
      </c>
      <c r="AR50" s="2">
        <v>-412.94824500229481</v>
      </c>
      <c r="AS50" s="2">
        <v>0</v>
      </c>
      <c r="AT50" s="2">
        <v>-588.67129071749753</v>
      </c>
      <c r="AU50" s="1">
        <v>122.24</v>
      </c>
      <c r="AV50" s="2">
        <v>7.2972804718837221</v>
      </c>
      <c r="AW50" s="2">
        <v>-369.17728870516402</v>
      </c>
      <c r="AX50" s="2">
        <v>160.40134169602069</v>
      </c>
      <c r="AZ50" s="1">
        <f t="shared" si="8"/>
        <v>93.759999999999991</v>
      </c>
      <c r="BA50" s="2">
        <f t="shared" si="9"/>
        <v>7.9440000207277448</v>
      </c>
      <c r="BB50" s="7">
        <f t="shared" si="10"/>
        <v>-276.88419903581581</v>
      </c>
      <c r="BC50" s="1">
        <f t="shared" si="11"/>
        <v>28.48</v>
      </c>
      <c r="BD50" s="2">
        <f t="shared" si="12"/>
        <v>2.2117352608449261</v>
      </c>
      <c r="BE50" s="2">
        <f t="shared" si="13"/>
        <v>-71.918723977369297</v>
      </c>
      <c r="BF50" s="2">
        <f t="shared" si="13"/>
        <v>0</v>
      </c>
      <c r="BG50" s="7">
        <f t="shared" si="13"/>
        <v>-100.7264842873203</v>
      </c>
      <c r="BH50" s="1">
        <f t="shared" si="14"/>
        <v>122.24</v>
      </c>
      <c r="BI50" s="2">
        <f t="shared" si="14"/>
        <v>10.155735281572671</v>
      </c>
      <c r="BJ50" s="2">
        <f t="shared" si="2"/>
        <v>348.80292301318514</v>
      </c>
      <c r="BK50" s="2">
        <f t="shared" si="5"/>
        <v>0</v>
      </c>
      <c r="BL50" s="7">
        <f t="shared" si="6"/>
        <v>-100.7264842873203</v>
      </c>
      <c r="BN50" s="1"/>
      <c r="BO50" s="4"/>
      <c r="BP50" s="2"/>
      <c r="BQ50" s="2"/>
      <c r="BR50" s="3"/>
      <c r="BS50" s="1"/>
      <c r="BT50" s="2"/>
      <c r="BU50" s="21"/>
      <c r="BV50" s="2"/>
      <c r="BW50" s="2"/>
      <c r="BX50" s="21"/>
      <c r="BY50" s="10"/>
    </row>
    <row r="51" spans="1:77" x14ac:dyDescent="0.25">
      <c r="A51" t="str">
        <f t="shared" si="3"/>
        <v>Appui</v>
      </c>
      <c r="B51" t="b">
        <f t="shared" si="4"/>
        <v>1</v>
      </c>
      <c r="C51">
        <f t="shared" si="15"/>
        <v>4</v>
      </c>
      <c r="D51" s="5" t="s">
        <v>107</v>
      </c>
      <c r="E51" t="s">
        <v>56</v>
      </c>
      <c r="F51" s="5">
        <v>25</v>
      </c>
      <c r="G51" t="s">
        <v>46</v>
      </c>
      <c r="H51">
        <v>500</v>
      </c>
      <c r="I51">
        <v>220000</v>
      </c>
      <c r="J51">
        <v>1576</v>
      </c>
      <c r="K51" s="10">
        <v>1870</v>
      </c>
      <c r="L51" s="12">
        <v>1</v>
      </c>
      <c r="M51" s="5">
        <v>0.23</v>
      </c>
      <c r="N51" s="10">
        <v>5.3</v>
      </c>
      <c r="O51" s="5">
        <v>2.6700000000000001E-3</v>
      </c>
      <c r="P51">
        <v>6.9999999999999993E-2</v>
      </c>
      <c r="Q51" s="10">
        <v>1</v>
      </c>
      <c r="R51" s="8">
        <v>0</v>
      </c>
      <c r="S51">
        <v>0</v>
      </c>
      <c r="T51">
        <v>1</v>
      </c>
      <c r="U51" s="9">
        <v>0</v>
      </c>
      <c r="V51">
        <v>0</v>
      </c>
      <c r="W51" s="10">
        <v>1</v>
      </c>
      <c r="X51" s="1">
        <v>90.244</v>
      </c>
      <c r="Y51" s="2">
        <v>27.411999999999999</v>
      </c>
      <c r="Z51" s="13">
        <v>0</v>
      </c>
      <c r="AA51" s="2">
        <v>90.244</v>
      </c>
      <c r="AB51" s="2">
        <v>27.411999999999999</v>
      </c>
      <c r="AC51" s="2">
        <v>154</v>
      </c>
      <c r="AD51" s="2"/>
      <c r="AE51" s="7">
        <v>117.65600000000001</v>
      </c>
      <c r="AF51" s="2">
        <v>90.244</v>
      </c>
      <c r="AG51" s="2">
        <v>27.411999999999999</v>
      </c>
      <c r="AH51" s="2">
        <v>7.832454099995128</v>
      </c>
      <c r="AI51" s="2">
        <v>2.3791413477800911</v>
      </c>
      <c r="AJ51" s="2">
        <v>-225.0046187063719</v>
      </c>
      <c r="AK51" s="2">
        <v>-68.346112849375757</v>
      </c>
      <c r="AL51" s="2">
        <v>0</v>
      </c>
      <c r="AM51" s="2">
        <v>0</v>
      </c>
      <c r="AN51" s="2">
        <v>154</v>
      </c>
      <c r="AO51" s="2">
        <v>185.43195948430241</v>
      </c>
      <c r="AP51" s="2">
        <v>185.43195948430241</v>
      </c>
      <c r="AQ51" s="2">
        <v>9.2469815456674755</v>
      </c>
      <c r="AR51" s="2">
        <v>-394.94678700208442</v>
      </c>
      <c r="AS51" s="2">
        <v>0</v>
      </c>
      <c r="AT51" s="2">
        <v>0</v>
      </c>
      <c r="AU51" s="1">
        <v>117.65600000000001</v>
      </c>
      <c r="AV51" s="2">
        <v>7.2747090164522206</v>
      </c>
      <c r="AW51" s="2">
        <v>-301.14275379607483</v>
      </c>
      <c r="AX51" s="2">
        <v>185.43195948430241</v>
      </c>
      <c r="AZ51" s="1">
        <f t="shared" si="8"/>
        <v>90.244</v>
      </c>
      <c r="BA51" s="2">
        <f t="shared" si="9"/>
        <v>7.832454099995128</v>
      </c>
      <c r="BB51" s="7">
        <f t="shared" si="10"/>
        <v>-225.0046187063719</v>
      </c>
      <c r="BC51" s="1">
        <f t="shared" si="11"/>
        <v>27.411999999999999</v>
      </c>
      <c r="BD51" s="2">
        <f t="shared" si="12"/>
        <v>2.3791413477800911</v>
      </c>
      <c r="BE51" s="2">
        <f t="shared" si="13"/>
        <v>-68.346112849375757</v>
      </c>
      <c r="BF51" s="2">
        <f t="shared" si="13"/>
        <v>0</v>
      </c>
      <c r="BG51" s="7">
        <f t="shared" si="13"/>
        <v>0</v>
      </c>
      <c r="BH51" s="1">
        <f t="shared" si="14"/>
        <v>117.65600000000001</v>
      </c>
      <c r="BI51" s="2">
        <f t="shared" si="14"/>
        <v>10.211595447775219</v>
      </c>
      <c r="BJ51" s="2">
        <f t="shared" si="2"/>
        <v>293.35073155574764</v>
      </c>
      <c r="BK51" s="2">
        <f t="shared" si="5"/>
        <v>0</v>
      </c>
      <c r="BL51" s="7">
        <f t="shared" si="6"/>
        <v>0</v>
      </c>
      <c r="BN51" s="1"/>
      <c r="BO51" s="4"/>
      <c r="BP51" s="2"/>
      <c r="BQ51" s="2"/>
      <c r="BR51" s="3"/>
      <c r="BS51" s="1"/>
      <c r="BT51" s="2"/>
      <c r="BU51" s="21"/>
      <c r="BV51" s="2"/>
      <c r="BW51" s="2"/>
      <c r="BX51" s="21"/>
      <c r="BY51" s="15"/>
    </row>
    <row r="52" spans="1:77" x14ac:dyDescent="0.25">
      <c r="A52" t="str">
        <f t="shared" si="3"/>
        <v>Travée</v>
      </c>
      <c r="B52" t="b">
        <f t="shared" si="4"/>
        <v>1</v>
      </c>
      <c r="C52">
        <f t="shared" si="15"/>
        <v>4</v>
      </c>
      <c r="D52" s="5" t="s">
        <v>107</v>
      </c>
      <c r="E52" t="s">
        <v>57</v>
      </c>
      <c r="F52" s="5">
        <v>25</v>
      </c>
      <c r="G52" t="s">
        <v>46</v>
      </c>
      <c r="H52">
        <v>500</v>
      </c>
      <c r="I52">
        <v>220000</v>
      </c>
      <c r="J52">
        <v>1576</v>
      </c>
      <c r="K52" s="10">
        <v>1870</v>
      </c>
      <c r="L52" s="12">
        <v>1</v>
      </c>
      <c r="M52" s="5">
        <v>0.24</v>
      </c>
      <c r="N52" s="10">
        <v>5.3</v>
      </c>
      <c r="O52" s="5">
        <v>1.3621E-3</v>
      </c>
      <c r="P52">
        <v>0.04</v>
      </c>
      <c r="Q52" s="10">
        <v>1</v>
      </c>
      <c r="R52" s="8">
        <v>0</v>
      </c>
      <c r="S52">
        <v>0</v>
      </c>
      <c r="T52">
        <v>1</v>
      </c>
      <c r="U52" s="9">
        <v>0</v>
      </c>
      <c r="V52">
        <v>0</v>
      </c>
      <c r="W52" s="10">
        <v>1</v>
      </c>
      <c r="X52" s="1">
        <v>7.5007999999999999</v>
      </c>
      <c r="Y52" s="2">
        <v>2.2784</v>
      </c>
      <c r="Z52" s="13">
        <v>0</v>
      </c>
      <c r="AA52" s="2">
        <v>7.5007999999999999</v>
      </c>
      <c r="AB52" s="2">
        <v>2.2784</v>
      </c>
      <c r="AC52" s="2">
        <v>12.8</v>
      </c>
      <c r="AD52" s="2"/>
      <c r="AE52" s="7">
        <v>9.7791999999999994</v>
      </c>
      <c r="AF52" s="2">
        <v>7.5007999999999999</v>
      </c>
      <c r="AG52" s="2">
        <v>2.2784</v>
      </c>
      <c r="AH52" s="2">
        <v>0.61590424163048096</v>
      </c>
      <c r="AI52" s="2">
        <v>0.18708344069268379</v>
      </c>
      <c r="AJ52" s="2">
        <v>-28.703757649165471</v>
      </c>
      <c r="AK52" s="2">
        <v>-8.7188893108838457</v>
      </c>
      <c r="AL52" s="2">
        <v>0</v>
      </c>
      <c r="AM52" s="2">
        <v>0</v>
      </c>
      <c r="AN52" s="2">
        <v>12.8</v>
      </c>
      <c r="AO52" s="2">
        <v>124.3304424912025</v>
      </c>
      <c r="AP52" s="2">
        <v>124.3304424912025</v>
      </c>
      <c r="AQ52" s="2">
        <v>0.7898058860059084</v>
      </c>
      <c r="AR52" s="2">
        <v>-49.674408410284322</v>
      </c>
      <c r="AS52" s="2">
        <v>0</v>
      </c>
      <c r="AT52" s="2">
        <v>0</v>
      </c>
      <c r="AU52" s="1">
        <v>9.7791999999999994</v>
      </c>
      <c r="AV52" s="2">
        <v>0.6044379876160374</v>
      </c>
      <c r="AW52" s="2">
        <v>-37.948813989656273</v>
      </c>
      <c r="AX52" s="2">
        <v>124.3304424912025</v>
      </c>
      <c r="AZ52" s="1">
        <f t="shared" si="8"/>
        <v>7.5007999999999999</v>
      </c>
      <c r="BA52" s="2">
        <f t="shared" si="9"/>
        <v>0.61590424163048096</v>
      </c>
      <c r="BB52" s="7">
        <f t="shared" si="10"/>
        <v>-28.703757649165471</v>
      </c>
      <c r="BC52" s="1">
        <f t="shared" si="11"/>
        <v>2.2784</v>
      </c>
      <c r="BD52" s="2">
        <f t="shared" si="12"/>
        <v>0.18708344069268379</v>
      </c>
      <c r="BE52" s="2">
        <f t="shared" si="13"/>
        <v>-8.7188893108838457</v>
      </c>
      <c r="BF52" s="2">
        <f t="shared" si="13"/>
        <v>0</v>
      </c>
      <c r="BG52" s="7">
        <f t="shared" si="13"/>
        <v>0</v>
      </c>
      <c r="BH52" s="1">
        <f t="shared" si="14"/>
        <v>9.7791999999999994</v>
      </c>
      <c r="BI52" s="2">
        <f t="shared" si="14"/>
        <v>0.80298768232316475</v>
      </c>
      <c r="BJ52" s="2">
        <f t="shared" si="2"/>
        <v>37.42264696004932</v>
      </c>
      <c r="BK52" s="2">
        <f t="shared" si="5"/>
        <v>0</v>
      </c>
      <c r="BL52" s="7">
        <f t="shared" si="6"/>
        <v>0</v>
      </c>
      <c r="BN52" s="1"/>
      <c r="BO52" s="4"/>
      <c r="BP52" s="2"/>
      <c r="BQ52" s="2"/>
      <c r="BR52" s="3"/>
      <c r="BS52" s="1"/>
      <c r="BT52" s="2"/>
      <c r="BU52" s="21"/>
      <c r="BV52" s="2"/>
      <c r="BW52" s="2"/>
      <c r="BX52" s="21"/>
      <c r="BY52" s="10"/>
    </row>
    <row r="53" spans="1:77" x14ac:dyDescent="0.25">
      <c r="A53" t="str">
        <f t="shared" si="3"/>
        <v/>
      </c>
      <c r="B53" t="b">
        <f t="shared" si="4"/>
        <v>1</v>
      </c>
      <c r="C53">
        <f t="shared" si="15"/>
        <v>4</v>
      </c>
      <c r="D53" s="5" t="s">
        <v>107</v>
      </c>
      <c r="F53" s="5"/>
      <c r="K53" s="10"/>
      <c r="L53" s="12"/>
      <c r="M53" s="5"/>
      <c r="N53" s="10"/>
      <c r="O53" s="5"/>
      <c r="Q53" s="10"/>
      <c r="R53" s="8"/>
      <c r="U53" s="9"/>
      <c r="W53" s="10"/>
      <c r="X53" s="1"/>
      <c r="Y53" s="2"/>
      <c r="Z53" s="13"/>
      <c r="AA53" s="2"/>
      <c r="AB53" s="2"/>
      <c r="AC53" s="2"/>
      <c r="AD53" s="2"/>
      <c r="AE53" s="7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"/>
      <c r="AV53" s="2"/>
      <c r="AW53" s="2"/>
      <c r="AX53" s="2"/>
      <c r="AZ53" s="1"/>
      <c r="BA53" s="2"/>
      <c r="BB53" s="7"/>
      <c r="BC53" s="1"/>
      <c r="BD53" s="2"/>
      <c r="BE53" s="2"/>
      <c r="BF53" s="2"/>
      <c r="BG53" s="7"/>
      <c r="BH53" s="1"/>
      <c r="BI53" s="2"/>
      <c r="BJ53" s="2"/>
      <c r="BK53" s="2"/>
      <c r="BL53" s="7"/>
      <c r="BN53" s="1"/>
      <c r="BO53" s="4"/>
      <c r="BP53" s="2"/>
      <c r="BQ53" s="2"/>
      <c r="BR53" s="3"/>
      <c r="BS53" s="1"/>
      <c r="BT53" s="2"/>
      <c r="BU53" s="21"/>
      <c r="BV53" s="2"/>
      <c r="BW53" s="2"/>
      <c r="BX53" s="21"/>
      <c r="BY53" s="15"/>
    </row>
    <row r="54" spans="1:77" x14ac:dyDescent="0.25">
      <c r="A54" t="str">
        <f t="shared" si="3"/>
        <v>Travée</v>
      </c>
      <c r="B54" t="b">
        <f t="shared" si="4"/>
        <v>0</v>
      </c>
      <c r="C54">
        <f t="shared" si="15"/>
        <v>5</v>
      </c>
      <c r="D54" s="5" t="s">
        <v>108</v>
      </c>
      <c r="E54" t="s">
        <v>45</v>
      </c>
      <c r="F54" s="5">
        <v>25</v>
      </c>
      <c r="G54" t="s">
        <v>46</v>
      </c>
      <c r="H54">
        <v>500</v>
      </c>
      <c r="I54">
        <v>220000</v>
      </c>
      <c r="J54">
        <v>1576</v>
      </c>
      <c r="K54" s="10">
        <v>1870</v>
      </c>
      <c r="L54" s="12">
        <v>1</v>
      </c>
      <c r="M54" s="5">
        <v>0.24</v>
      </c>
      <c r="N54" s="10">
        <v>5.25</v>
      </c>
      <c r="O54" s="5">
        <v>1.3489999999999999E-3</v>
      </c>
      <c r="P54">
        <v>0.04</v>
      </c>
      <c r="Q54" s="10">
        <v>1</v>
      </c>
      <c r="R54" s="8">
        <v>0</v>
      </c>
      <c r="S54">
        <v>0</v>
      </c>
      <c r="T54">
        <v>1</v>
      </c>
      <c r="U54" s="9">
        <v>2.9099999999999999E-5</v>
      </c>
      <c r="V54">
        <v>0</v>
      </c>
      <c r="W54" s="10">
        <v>7</v>
      </c>
      <c r="X54" s="1">
        <v>60.006399999999999</v>
      </c>
      <c r="Y54" s="2">
        <v>18.2272</v>
      </c>
      <c r="Z54" s="13">
        <v>0</v>
      </c>
      <c r="AA54" s="2">
        <v>60.006399999999999</v>
      </c>
      <c r="AB54" s="2">
        <v>18.2272</v>
      </c>
      <c r="AC54" s="2">
        <v>102.4</v>
      </c>
      <c r="AD54" s="2"/>
      <c r="AE54" s="7">
        <v>78.233599999999996</v>
      </c>
      <c r="AF54" s="2">
        <v>60.006399999999999</v>
      </c>
      <c r="AG54" s="2">
        <v>18.2272</v>
      </c>
      <c r="AH54" s="2">
        <v>4.974591095784489</v>
      </c>
      <c r="AI54" s="2">
        <v>1.3430309130247871</v>
      </c>
      <c r="AJ54" s="2">
        <v>-231.85906070179399</v>
      </c>
      <c r="AK54" s="2">
        <v>-56.679239800812788</v>
      </c>
      <c r="AL54" s="2">
        <v>0</v>
      </c>
      <c r="AM54" s="2">
        <v>-76.694018191622263</v>
      </c>
      <c r="AN54" s="2">
        <v>102.4</v>
      </c>
      <c r="AO54" s="2">
        <v>123.1349930388125</v>
      </c>
      <c r="AP54" s="2">
        <v>200.6835165470458</v>
      </c>
      <c r="AQ54" s="2">
        <v>5.393776191783747</v>
      </c>
      <c r="AR54" s="2">
        <v>-323.33929543551591</v>
      </c>
      <c r="AS54" s="2">
        <v>0</v>
      </c>
      <c r="AT54" s="2">
        <v>-442.43497566872787</v>
      </c>
      <c r="AU54" s="1">
        <v>78.233599999999996</v>
      </c>
      <c r="AV54" s="2">
        <v>4.6732994847657103</v>
      </c>
      <c r="AW54" s="2">
        <v>-307.14996647143221</v>
      </c>
      <c r="AX54" s="2">
        <v>123.1349930388125</v>
      </c>
      <c r="AZ54" s="1">
        <f t="shared" si="8"/>
        <v>60.006399999999999</v>
      </c>
      <c r="BA54" s="2">
        <f t="shared" si="9"/>
        <v>4.974591095784489</v>
      </c>
      <c r="BB54" s="7">
        <f t="shared" si="10"/>
        <v>-231.85906070179399</v>
      </c>
      <c r="BC54" s="1">
        <f t="shared" si="11"/>
        <v>18.2272</v>
      </c>
      <c r="BD54" s="2">
        <f t="shared" si="12"/>
        <v>1.3430309130247871</v>
      </c>
      <c r="BE54" s="2">
        <f t="shared" si="13"/>
        <v>-56.679239800812788</v>
      </c>
      <c r="BF54" s="2">
        <f t="shared" si="13"/>
        <v>0</v>
      </c>
      <c r="BG54" s="7">
        <f t="shared" si="13"/>
        <v>-76.694018191622263</v>
      </c>
      <c r="BH54" s="1">
        <f t="shared" si="14"/>
        <v>78.233599999999996</v>
      </c>
      <c r="BI54" s="2">
        <f t="shared" si="14"/>
        <v>6.317622008809276</v>
      </c>
      <c r="BJ54" s="2">
        <f t="shared" si="2"/>
        <v>288.53830050260677</v>
      </c>
      <c r="BK54" s="2">
        <f t="shared" si="5"/>
        <v>0</v>
      </c>
      <c r="BL54" s="7">
        <f t="shared" si="6"/>
        <v>-76.694018191622263</v>
      </c>
      <c r="BN54" s="1"/>
      <c r="BO54" s="4"/>
      <c r="BP54" s="2"/>
      <c r="BQ54" s="2"/>
      <c r="BR54" s="3"/>
      <c r="BS54" s="1"/>
      <c r="BT54" s="2"/>
      <c r="BU54" s="21"/>
      <c r="BV54" s="2"/>
      <c r="BW54" s="2"/>
      <c r="BX54" s="21"/>
      <c r="BY54" s="10"/>
    </row>
    <row r="55" spans="1:77" x14ac:dyDescent="0.25">
      <c r="A55" t="str">
        <f t="shared" si="3"/>
        <v>Appui</v>
      </c>
      <c r="B55" t="b">
        <f t="shared" si="4"/>
        <v>0</v>
      </c>
      <c r="C55">
        <f t="shared" si="15"/>
        <v>5</v>
      </c>
      <c r="D55" s="5" t="s">
        <v>108</v>
      </c>
      <c r="E55" t="s">
        <v>47</v>
      </c>
      <c r="F55" s="5">
        <v>25</v>
      </c>
      <c r="G55" t="s">
        <v>46</v>
      </c>
      <c r="H55">
        <v>500</v>
      </c>
      <c r="I55">
        <v>220000</v>
      </c>
      <c r="J55">
        <v>1576</v>
      </c>
      <c r="K55" s="10">
        <v>1870</v>
      </c>
      <c r="L55" s="12">
        <v>1</v>
      </c>
      <c r="M55" s="5">
        <v>0.23</v>
      </c>
      <c r="N55" s="10">
        <v>5.25</v>
      </c>
      <c r="O55" s="5">
        <v>1.024E-4</v>
      </c>
      <c r="P55">
        <v>6.9999999999999993E-2</v>
      </c>
      <c r="Q55" s="10">
        <v>1</v>
      </c>
      <c r="R55" s="8">
        <v>0</v>
      </c>
      <c r="S55">
        <v>0</v>
      </c>
      <c r="T55">
        <v>1</v>
      </c>
      <c r="U55" s="9">
        <v>2.9099999999999999E-5</v>
      </c>
      <c r="V55">
        <v>0</v>
      </c>
      <c r="W55" s="10">
        <v>12</v>
      </c>
      <c r="X55" s="1">
        <v>29.007000000000001</v>
      </c>
      <c r="Y55" s="2">
        <v>8.8110000000000017</v>
      </c>
      <c r="Z55" s="13">
        <v>0</v>
      </c>
      <c r="AA55" s="2">
        <v>29.007000000000001</v>
      </c>
      <c r="AB55" s="2">
        <v>8.8110000000000017</v>
      </c>
      <c r="AC55" s="2">
        <v>49.500000000000007</v>
      </c>
      <c r="AD55" s="2"/>
      <c r="AE55" s="7">
        <v>37.817999999999998</v>
      </c>
      <c r="AF55" s="2">
        <v>29.007000000000001</v>
      </c>
      <c r="AG55" s="2">
        <v>8.8110000000000017</v>
      </c>
      <c r="AH55" s="2">
        <v>11.62033966303744</v>
      </c>
      <c r="AI55" s="2">
        <v>1.0226543844051239</v>
      </c>
      <c r="AJ55" s="2">
        <v>-1798.5491071428571</v>
      </c>
      <c r="AK55" s="2">
        <v>-61.242909600494883</v>
      </c>
      <c r="AL55" s="2">
        <v>0</v>
      </c>
      <c r="AM55" s="2">
        <v>-99.967529942743326</v>
      </c>
      <c r="AN55" s="2">
        <v>49.500000000000007</v>
      </c>
      <c r="AO55" s="2">
        <v>7.5145005533521134</v>
      </c>
      <c r="AP55" s="2">
        <v>152.08740381784949</v>
      </c>
      <c r="AQ55" s="2">
        <v>4.0947827845495262</v>
      </c>
      <c r="AR55" s="2">
        <v>-342.93572882937991</v>
      </c>
      <c r="AS55" s="2">
        <v>0</v>
      </c>
      <c r="AT55" s="2">
        <v>-567.57856799562762</v>
      </c>
      <c r="AU55" s="1">
        <v>37.817999999999998</v>
      </c>
      <c r="AV55" s="2">
        <v>0</v>
      </c>
      <c r="AW55" s="2">
        <v>0</v>
      </c>
      <c r="AX55" s="2">
        <v>7.5145005533521134</v>
      </c>
      <c r="AZ55" s="1">
        <f t="shared" si="8"/>
        <v>29.007000000000001</v>
      </c>
      <c r="BA55" s="2">
        <f t="shared" si="9"/>
        <v>11.62033966303744</v>
      </c>
      <c r="BB55" s="7">
        <f t="shared" si="10"/>
        <v>-1798.5491071428571</v>
      </c>
      <c r="BC55" s="1">
        <f t="shared" si="11"/>
        <v>8.8110000000000017</v>
      </c>
      <c r="BD55" s="2">
        <f t="shared" si="12"/>
        <v>1.0226543844051239</v>
      </c>
      <c r="BE55" s="2">
        <f t="shared" si="13"/>
        <v>-61.242909600494883</v>
      </c>
      <c r="BF55" s="2">
        <f t="shared" si="13"/>
        <v>0</v>
      </c>
      <c r="BG55" s="7">
        <f t="shared" si="13"/>
        <v>-99.967529942743326</v>
      </c>
      <c r="BH55" s="1">
        <f t="shared" si="14"/>
        <v>37.818000000000005</v>
      </c>
      <c r="BI55" s="2">
        <f t="shared" si="14"/>
        <v>12.642994047442563</v>
      </c>
      <c r="BJ55" s="2">
        <f t="shared" si="2"/>
        <v>1859.792016743352</v>
      </c>
      <c r="BK55" s="2">
        <f t="shared" si="5"/>
        <v>0</v>
      </c>
      <c r="BL55" s="7">
        <f t="shared" si="6"/>
        <v>-99.967529942743326</v>
      </c>
      <c r="BN55" s="1"/>
      <c r="BO55" s="4"/>
      <c r="BP55" s="2"/>
      <c r="BQ55" s="2"/>
      <c r="BR55" s="3"/>
      <c r="BS55" s="1"/>
      <c r="BT55" s="2"/>
      <c r="BU55" s="21"/>
      <c r="BV55" s="2"/>
      <c r="BW55" s="2"/>
      <c r="BX55" s="21"/>
      <c r="BY55" s="15"/>
    </row>
    <row r="56" spans="1:77" x14ac:dyDescent="0.25">
      <c r="A56" t="str">
        <f t="shared" si="3"/>
        <v>Travée</v>
      </c>
      <c r="B56" t="b">
        <f t="shared" si="4"/>
        <v>0</v>
      </c>
      <c r="C56">
        <f t="shared" si="15"/>
        <v>5</v>
      </c>
      <c r="D56" s="5" t="s">
        <v>108</v>
      </c>
      <c r="E56" t="s">
        <v>48</v>
      </c>
      <c r="F56" s="5">
        <v>25</v>
      </c>
      <c r="G56" t="s">
        <v>46</v>
      </c>
      <c r="H56">
        <v>500</v>
      </c>
      <c r="I56">
        <v>220000</v>
      </c>
      <c r="J56">
        <v>1576</v>
      </c>
      <c r="K56" s="10">
        <v>1870</v>
      </c>
      <c r="L56" s="12">
        <v>1</v>
      </c>
      <c r="M56" s="5">
        <v>0.215</v>
      </c>
      <c r="N56" s="10">
        <v>5.25</v>
      </c>
      <c r="O56" s="5">
        <v>2.02125E-3</v>
      </c>
      <c r="P56">
        <v>0.05</v>
      </c>
      <c r="Q56" s="10">
        <v>1</v>
      </c>
      <c r="R56" s="8">
        <v>0</v>
      </c>
      <c r="S56">
        <v>0</v>
      </c>
      <c r="T56">
        <v>1</v>
      </c>
      <c r="U56" s="9">
        <v>2.9099999999999999E-5</v>
      </c>
      <c r="V56">
        <v>0</v>
      </c>
      <c r="W56" s="10">
        <v>7</v>
      </c>
      <c r="X56" s="1">
        <v>93.759999999999991</v>
      </c>
      <c r="Y56" s="2">
        <v>28.48</v>
      </c>
      <c r="Z56" s="13">
        <v>0</v>
      </c>
      <c r="AA56" s="2">
        <v>93.759999999999991</v>
      </c>
      <c r="AB56" s="2">
        <v>28.48</v>
      </c>
      <c r="AC56" s="2">
        <v>160</v>
      </c>
      <c r="AD56" s="2"/>
      <c r="AE56" s="7">
        <v>122.24</v>
      </c>
      <c r="AF56" s="2">
        <v>93.759999999999991</v>
      </c>
      <c r="AG56" s="2">
        <v>28.48</v>
      </c>
      <c r="AH56" s="2">
        <v>8.7803798824217623</v>
      </c>
      <c r="AI56" s="2">
        <v>2.413310038956328</v>
      </c>
      <c r="AJ56" s="2">
        <v>-297.01359273786238</v>
      </c>
      <c r="AK56" s="2">
        <v>-75.439231698069491</v>
      </c>
      <c r="AL56" s="2">
        <v>0</v>
      </c>
      <c r="AM56" s="2">
        <v>-113.2410257999</v>
      </c>
      <c r="AN56" s="2">
        <v>160</v>
      </c>
      <c r="AO56" s="2">
        <v>148.93853659112881</v>
      </c>
      <c r="AP56" s="2">
        <v>214.94010164236491</v>
      </c>
      <c r="AQ56" s="2">
        <v>9.2801676113762444</v>
      </c>
      <c r="AR56" s="2">
        <v>-433.18232104337733</v>
      </c>
      <c r="AS56" s="2">
        <v>0</v>
      </c>
      <c r="AT56" s="2">
        <v>-665.46464336921315</v>
      </c>
      <c r="AU56" s="1">
        <v>122.24</v>
      </c>
      <c r="AV56" s="2">
        <v>8.000427994355837</v>
      </c>
      <c r="AW56" s="2">
        <v>-396.48247001780669</v>
      </c>
      <c r="AX56" s="2">
        <v>148.93853659112881</v>
      </c>
      <c r="AZ56" s="1">
        <f t="shared" si="8"/>
        <v>93.759999999999991</v>
      </c>
      <c r="BA56" s="2">
        <f t="shared" si="9"/>
        <v>8.7803798824217623</v>
      </c>
      <c r="BB56" s="7">
        <f t="shared" si="10"/>
        <v>-297.01359273786238</v>
      </c>
      <c r="BC56" s="1">
        <f t="shared" si="11"/>
        <v>28.48</v>
      </c>
      <c r="BD56" s="2">
        <f t="shared" si="12"/>
        <v>2.413310038956328</v>
      </c>
      <c r="BE56" s="2">
        <f t="shared" si="13"/>
        <v>-75.439231698069491</v>
      </c>
      <c r="BF56" s="2">
        <f t="shared" si="13"/>
        <v>0</v>
      </c>
      <c r="BG56" s="7">
        <f t="shared" si="13"/>
        <v>-113.2410257999</v>
      </c>
      <c r="BH56" s="1">
        <f t="shared" si="14"/>
        <v>122.24</v>
      </c>
      <c r="BI56" s="2">
        <f t="shared" si="14"/>
        <v>11.193689921378091</v>
      </c>
      <c r="BJ56" s="2">
        <f t="shared" si="2"/>
        <v>372.45282443593186</v>
      </c>
      <c r="BK56" s="2">
        <f t="shared" si="5"/>
        <v>0</v>
      </c>
      <c r="BL56" s="7">
        <f t="shared" si="6"/>
        <v>-113.2410257999</v>
      </c>
      <c r="BN56" s="1"/>
      <c r="BO56" s="4"/>
      <c r="BP56" s="2"/>
      <c r="BQ56" s="2"/>
      <c r="BR56" s="3"/>
      <c r="BS56" s="1"/>
      <c r="BT56" s="2"/>
      <c r="BU56" s="21"/>
      <c r="BV56" s="2"/>
      <c r="BW56" s="2"/>
      <c r="BX56" s="21"/>
      <c r="BY56" s="10"/>
    </row>
    <row r="57" spans="1:77" x14ac:dyDescent="0.25">
      <c r="A57" t="str">
        <f t="shared" si="3"/>
        <v/>
      </c>
      <c r="B57" t="b">
        <f t="shared" si="4"/>
        <v>1</v>
      </c>
      <c r="C57">
        <f>IF(D57="",100000,IF(D57=D55,C55,C55+1))</f>
        <v>100000</v>
      </c>
      <c r="D57" s="5"/>
      <c r="F57" s="5"/>
      <c r="K57" s="10"/>
      <c r="L57" s="12"/>
      <c r="M57" s="5"/>
      <c r="N57" s="10"/>
      <c r="O57" s="5"/>
      <c r="Q57" s="10"/>
      <c r="R57" s="8"/>
      <c r="U57" s="9"/>
      <c r="W57" s="10"/>
      <c r="X57" s="1"/>
      <c r="Y57" s="2"/>
      <c r="Z57" s="13"/>
      <c r="AA57" s="2"/>
      <c r="AB57" s="2"/>
      <c r="AC57" s="2"/>
      <c r="AD57" s="2"/>
      <c r="AE57" s="7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"/>
      <c r="AV57" s="2"/>
      <c r="AW57" s="2"/>
      <c r="AX57" s="2"/>
      <c r="AZ57" s="1"/>
      <c r="BA57" s="2"/>
      <c r="BB57" s="7"/>
      <c r="BC57" s="1"/>
      <c r="BD57" s="2"/>
      <c r="BE57" s="2"/>
      <c r="BF57" s="2"/>
      <c r="BG57" s="7"/>
      <c r="BH57" s="1"/>
      <c r="BI57" s="2"/>
      <c r="BJ57" s="2"/>
      <c r="BK57" s="2"/>
      <c r="BL57" s="7"/>
      <c r="BN57" s="1"/>
      <c r="BO57" s="4"/>
      <c r="BP57" s="2"/>
      <c r="BQ57" s="2"/>
      <c r="BR57" s="3"/>
      <c r="BS57" s="1"/>
      <c r="BT57" s="2"/>
      <c r="BU57" s="21"/>
      <c r="BV57" s="2"/>
      <c r="BW57" s="2"/>
      <c r="BX57" s="21"/>
      <c r="BY57" s="15"/>
    </row>
    <row r="58" spans="1:77" x14ac:dyDescent="0.25">
      <c r="A58" t="str">
        <f t="shared" si="3"/>
        <v/>
      </c>
      <c r="B58" t="b">
        <f t="shared" si="4"/>
        <v>1</v>
      </c>
      <c r="C58">
        <f>IF(D58="",100000,IF(D58=D56,C56,C56+1))</f>
        <v>100000</v>
      </c>
      <c r="D58" s="5"/>
      <c r="F58" s="5"/>
      <c r="K58" s="10"/>
      <c r="L58" s="12"/>
      <c r="M58" s="5"/>
      <c r="N58" s="10"/>
      <c r="O58" s="5"/>
      <c r="Q58" s="10"/>
      <c r="R58" s="8"/>
      <c r="U58" s="9"/>
      <c r="W58" s="10"/>
      <c r="X58" s="1"/>
      <c r="Y58" s="2"/>
      <c r="Z58" s="13"/>
      <c r="AA58" s="2"/>
      <c r="AB58" s="2"/>
      <c r="AC58" s="2"/>
      <c r="AD58" s="2"/>
      <c r="AE58" s="7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"/>
      <c r="AV58" s="2"/>
      <c r="AW58" s="2"/>
      <c r="AX58" s="2"/>
      <c r="AZ58" s="1"/>
      <c r="BA58" s="2"/>
      <c r="BB58" s="7"/>
      <c r="BC58" s="1"/>
      <c r="BD58" s="2"/>
      <c r="BE58" s="2"/>
      <c r="BF58" s="2"/>
      <c r="BG58" s="7"/>
      <c r="BH58" s="1"/>
      <c r="BI58" s="2"/>
      <c r="BJ58" s="2"/>
      <c r="BK58" s="2"/>
      <c r="BL58" s="7"/>
      <c r="BN58" s="1"/>
      <c r="BO58" s="4"/>
      <c r="BP58" s="2"/>
      <c r="BQ58" s="2"/>
      <c r="BR58" s="3"/>
      <c r="BS58" s="1"/>
      <c r="BT58" s="2"/>
      <c r="BU58" s="21"/>
      <c r="BV58" s="2"/>
      <c r="BW58" s="2"/>
      <c r="BX58" s="21"/>
      <c r="BY58" s="10"/>
    </row>
    <row r="59" spans="1:77" x14ac:dyDescent="0.25">
      <c r="A59" t="str">
        <f t="shared" si="3"/>
        <v/>
      </c>
      <c r="B59" t="b">
        <f t="shared" si="4"/>
        <v>1</v>
      </c>
      <c r="C59">
        <f t="shared" si="15"/>
        <v>100000</v>
      </c>
      <c r="D59" s="5"/>
      <c r="F59" s="5"/>
      <c r="K59" s="10"/>
      <c r="L59" s="12"/>
      <c r="M59" s="5"/>
      <c r="N59" s="10"/>
      <c r="O59" s="5"/>
      <c r="Q59" s="10"/>
      <c r="R59" s="8"/>
      <c r="U59" s="9"/>
      <c r="W59" s="10"/>
      <c r="X59" s="1"/>
      <c r="Y59" s="2"/>
      <c r="Z59" s="13"/>
      <c r="AA59" s="2"/>
      <c r="AB59" s="2"/>
      <c r="AC59" s="2"/>
      <c r="AD59" s="2"/>
      <c r="AE59" s="7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"/>
      <c r="AV59" s="2"/>
      <c r="AW59" s="2"/>
      <c r="AX59" s="2"/>
      <c r="AZ59" s="1"/>
      <c r="BA59" s="2"/>
      <c r="BB59" s="7"/>
      <c r="BC59" s="1"/>
      <c r="BD59" s="2"/>
      <c r="BE59" s="2"/>
      <c r="BF59" s="2"/>
      <c r="BG59" s="7"/>
      <c r="BH59" s="1"/>
      <c r="BI59" s="2"/>
      <c r="BJ59" s="2"/>
      <c r="BK59" s="2"/>
      <c r="BL59" s="7"/>
      <c r="BN59" s="1"/>
      <c r="BO59" s="4"/>
      <c r="BP59" s="2"/>
      <c r="BQ59" s="2"/>
      <c r="BR59" s="3"/>
      <c r="BS59" s="1"/>
      <c r="BT59" s="2"/>
      <c r="BU59" s="21"/>
      <c r="BV59" s="2"/>
      <c r="BW59" s="2"/>
      <c r="BX59" s="21"/>
      <c r="BY59" s="15"/>
    </row>
    <row r="60" spans="1:77" x14ac:dyDescent="0.25">
      <c r="A60" t="str">
        <f t="shared" si="3"/>
        <v/>
      </c>
      <c r="B60" t="b">
        <f t="shared" si="4"/>
        <v>1</v>
      </c>
      <c r="C60">
        <f t="shared" si="15"/>
        <v>100000</v>
      </c>
      <c r="D60" s="5"/>
      <c r="F60" s="5"/>
      <c r="K60" s="10"/>
      <c r="L60" s="12"/>
      <c r="M60" s="5"/>
      <c r="N60" s="10"/>
      <c r="O60" s="5"/>
      <c r="Q60" s="10"/>
      <c r="R60" s="8"/>
      <c r="U60" s="9"/>
      <c r="W60" s="10"/>
      <c r="X60" s="1"/>
      <c r="Y60" s="2"/>
      <c r="Z60" s="13"/>
      <c r="AA60" s="2"/>
      <c r="AB60" s="2"/>
      <c r="AC60" s="2"/>
      <c r="AD60" s="2"/>
      <c r="AE60" s="7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"/>
      <c r="AV60" s="2"/>
      <c r="AW60" s="2"/>
      <c r="AX60" s="2"/>
      <c r="AZ60" s="1"/>
      <c r="BA60" s="2"/>
      <c r="BB60" s="7"/>
      <c r="BC60" s="1"/>
      <c r="BD60" s="2"/>
      <c r="BE60" s="2"/>
      <c r="BF60" s="2"/>
      <c r="BG60" s="7"/>
      <c r="BH60" s="1"/>
      <c r="BI60" s="2"/>
      <c r="BJ60" s="2"/>
      <c r="BK60" s="2"/>
      <c r="BL60" s="7"/>
      <c r="BN60" s="1"/>
      <c r="BO60" s="4"/>
      <c r="BP60" s="2"/>
      <c r="BQ60" s="2"/>
      <c r="BR60" s="3"/>
      <c r="BS60" s="1"/>
      <c r="BT60" s="2"/>
      <c r="BU60" s="21"/>
      <c r="BV60" s="2"/>
      <c r="BW60" s="2"/>
      <c r="BX60" s="21"/>
      <c r="BY60" s="10"/>
    </row>
    <row r="61" spans="1:77" x14ac:dyDescent="0.25">
      <c r="B61" t="b">
        <f t="shared" si="4"/>
        <v>1</v>
      </c>
      <c r="C61">
        <f t="shared" si="15"/>
        <v>100000</v>
      </c>
      <c r="D61" s="5"/>
      <c r="F61" s="5"/>
      <c r="K61" s="10"/>
      <c r="L61" s="12"/>
      <c r="M61" s="5"/>
      <c r="N61" s="10"/>
      <c r="O61" s="5"/>
      <c r="Q61" s="10"/>
      <c r="R61" s="8"/>
      <c r="U61" s="9"/>
      <c r="W61" s="10"/>
      <c r="X61" s="1"/>
      <c r="Y61" s="2"/>
      <c r="Z61" s="13"/>
      <c r="AA61" s="2"/>
      <c r="AB61" s="2"/>
      <c r="AC61" s="2"/>
      <c r="AD61" s="2"/>
      <c r="AE61" s="7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"/>
      <c r="AV61" s="2"/>
      <c r="AW61" s="2"/>
      <c r="AX61" s="2"/>
      <c r="AZ61" s="1"/>
      <c r="BA61" s="2"/>
      <c r="BB61" s="7"/>
      <c r="BC61" s="1"/>
      <c r="BD61" s="2"/>
      <c r="BE61" s="2"/>
      <c r="BF61" s="2"/>
      <c r="BG61" s="7"/>
      <c r="BH61" s="1"/>
      <c r="BI61" s="2"/>
      <c r="BJ61" s="2"/>
      <c r="BK61" s="2"/>
      <c r="BL61" s="7"/>
      <c r="BN61" s="1"/>
      <c r="BO61" s="4" t="str">
        <f t="shared" ref="BO61:BO66" si="16">IF(ISNUMBER(SEARCH("Appui",E61)),0,"0")</f>
        <v>0</v>
      </c>
      <c r="BP61" s="2">
        <f t="shared" ref="BP61:BP66" si="17">IF(ISNUMBER(SEARCH("Appui",E61)),BN61+BO61*BN61,IF(C60&lt;C61,BN61-BO62*BN62/2,IF(C61=C62,BN61-(BO62*BN62+BO60*BN60)/2,BN61-(BO60*BN60)/2)))</f>
        <v>0</v>
      </c>
      <c r="BQ61" s="2"/>
      <c r="BR61" s="3"/>
      <c r="BS61" s="1"/>
      <c r="BT61" s="2"/>
      <c r="BU61" s="21"/>
      <c r="BV61" s="2" t="str">
        <f t="shared" ref="BV61:BV66" si="18">IF(ISNUMBER(SEARCH("Travée",E61)),BS61+(IF(C60&lt;C61,0,BS60)+IF(C62&gt;C61,0,BS62))/2,"")</f>
        <v/>
      </c>
      <c r="BW61" s="2" t="str">
        <f t="shared" ref="BW61:BW66" si="19">IF(ISNUMBER(SEARCH("Travée",E61)),BT61+(IF(C60&lt;C61,0,BT60)+IF(C62&gt;C61,0,BT62))/2,"")</f>
        <v/>
      </c>
      <c r="BX61" s="21" t="str">
        <f t="shared" ref="BX61:BX66" si="20">IF(ISNUMBER(SEARCH("Travée",E61)),BW61/BV61,"")</f>
        <v/>
      </c>
      <c r="BY61" s="15"/>
    </row>
    <row r="62" spans="1:77" x14ac:dyDescent="0.25">
      <c r="A62" t="str">
        <f t="shared" si="3"/>
        <v/>
      </c>
      <c r="B62" t="b">
        <f t="shared" si="4"/>
        <v>1</v>
      </c>
      <c r="C62">
        <f>IF(D62="",100000,IF(D62=D60,C60,C60+1))</f>
        <v>100000</v>
      </c>
      <c r="D62" s="5"/>
      <c r="F62" s="5"/>
      <c r="K62" s="10"/>
      <c r="L62" s="12"/>
      <c r="M62" s="5"/>
      <c r="N62" s="10"/>
      <c r="O62" s="5"/>
      <c r="Q62" s="10"/>
      <c r="R62" s="8"/>
      <c r="U62" s="9"/>
      <c r="W62" s="10"/>
      <c r="X62" s="1"/>
      <c r="Y62" s="2"/>
      <c r="Z62" s="13"/>
      <c r="AA62" s="2"/>
      <c r="AB62" s="2"/>
      <c r="AC62" s="2"/>
      <c r="AD62" s="2"/>
      <c r="AE62" s="7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"/>
      <c r="AV62" s="2"/>
      <c r="AW62" s="2"/>
      <c r="AX62" s="2"/>
      <c r="AZ62" s="1"/>
      <c r="BA62" s="2"/>
      <c r="BB62" s="7"/>
      <c r="BC62" s="1"/>
      <c r="BD62" s="2"/>
      <c r="BE62" s="2"/>
      <c r="BF62" s="2"/>
      <c r="BG62" s="7"/>
      <c r="BH62" s="1"/>
      <c r="BI62" s="2"/>
      <c r="BJ62" s="2"/>
      <c r="BK62" s="2"/>
      <c r="BL62" s="7"/>
      <c r="BN62" s="1">
        <f t="shared" ref="BN62:BN66" si="21">AU62</f>
        <v>0</v>
      </c>
      <c r="BO62" s="4" t="str">
        <f t="shared" si="16"/>
        <v>0</v>
      </c>
      <c r="BP62" s="2">
        <f t="shared" si="17"/>
        <v>0</v>
      </c>
      <c r="BQ62" s="2">
        <f t="shared" ref="BQ62:BQ66" si="22">AX62</f>
        <v>0</v>
      </c>
      <c r="BR62" s="3" t="e">
        <f t="shared" ref="BR62:BR66" si="23">BP62/BQ62</f>
        <v>#DIV/0!</v>
      </c>
      <c r="BS62" s="1">
        <f t="shared" ref="BS62:BS66" si="24">AN62</f>
        <v>0</v>
      </c>
      <c r="BT62" s="2">
        <f t="shared" ref="BT62:BT66" si="25">AP62</f>
        <v>0</v>
      </c>
      <c r="BU62" s="21" t="e">
        <f t="shared" ref="BU62:BU66" si="26">BS62/BT62</f>
        <v>#DIV/0!</v>
      </c>
      <c r="BV62" s="2" t="str">
        <f t="shared" si="18"/>
        <v/>
      </c>
      <c r="BW62" s="2" t="str">
        <f t="shared" si="19"/>
        <v/>
      </c>
      <c r="BX62" s="21" t="str">
        <f t="shared" si="20"/>
        <v/>
      </c>
      <c r="BY62" s="10" t="str">
        <f t="shared" ref="BY62" si="27">IF(C61&lt;C62,"Rive",IF(C63&gt;C62,"Rive","Inter"))</f>
        <v>Inter</v>
      </c>
    </row>
    <row r="63" spans="1:77" x14ac:dyDescent="0.25">
      <c r="A63" t="str">
        <f t="shared" si="3"/>
        <v/>
      </c>
      <c r="B63" t="b">
        <f t="shared" si="4"/>
        <v>1</v>
      </c>
      <c r="C63">
        <f t="shared" si="15"/>
        <v>100000</v>
      </c>
      <c r="D63" s="5"/>
      <c r="F63" s="5"/>
      <c r="K63" s="10"/>
      <c r="L63" s="12"/>
      <c r="M63" s="5"/>
      <c r="N63" s="10"/>
      <c r="O63" s="5"/>
      <c r="Q63" s="10"/>
      <c r="R63" s="8"/>
      <c r="U63" s="9"/>
      <c r="W63" s="10"/>
      <c r="X63" s="1"/>
      <c r="Y63" s="2"/>
      <c r="Z63" s="13"/>
      <c r="AA63" s="2"/>
      <c r="AB63" s="2"/>
      <c r="AC63" s="2"/>
      <c r="AD63" s="2"/>
      <c r="AE63" s="7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"/>
      <c r="AV63" s="2"/>
      <c r="AW63" s="2"/>
      <c r="AX63" s="2"/>
      <c r="AZ63" s="1"/>
      <c r="BA63" s="2"/>
      <c r="BB63" s="7"/>
      <c r="BC63" s="1"/>
      <c r="BD63" s="2"/>
      <c r="BE63" s="2"/>
      <c r="BF63" s="2"/>
      <c r="BG63" s="7"/>
      <c r="BH63" s="1"/>
      <c r="BI63" s="2"/>
      <c r="BJ63" s="2"/>
      <c r="BK63" s="2"/>
      <c r="BL63" s="7"/>
      <c r="BN63" s="1">
        <f t="shared" si="21"/>
        <v>0</v>
      </c>
      <c r="BO63" s="4" t="str">
        <f t="shared" si="16"/>
        <v>0</v>
      </c>
      <c r="BP63" s="2">
        <f t="shared" si="17"/>
        <v>0</v>
      </c>
      <c r="BQ63" s="2">
        <f t="shared" si="22"/>
        <v>0</v>
      </c>
      <c r="BR63" s="3" t="e">
        <f t="shared" si="23"/>
        <v>#DIV/0!</v>
      </c>
      <c r="BS63" s="1">
        <f t="shared" si="24"/>
        <v>0</v>
      </c>
      <c r="BT63" s="2">
        <f t="shared" si="25"/>
        <v>0</v>
      </c>
      <c r="BU63" s="21" t="e">
        <f t="shared" si="26"/>
        <v>#DIV/0!</v>
      </c>
      <c r="BV63" s="2" t="str">
        <f t="shared" si="18"/>
        <v/>
      </c>
      <c r="BW63" s="2" t="str">
        <f t="shared" si="19"/>
        <v/>
      </c>
      <c r="BX63" s="21" t="str">
        <f t="shared" si="20"/>
        <v/>
      </c>
      <c r="BY63" s="15"/>
    </row>
    <row r="64" spans="1:77" x14ac:dyDescent="0.25">
      <c r="A64" t="str">
        <f t="shared" si="3"/>
        <v/>
      </c>
      <c r="B64" t="b">
        <f t="shared" si="4"/>
        <v>1</v>
      </c>
      <c r="C64">
        <f t="shared" si="15"/>
        <v>100000</v>
      </c>
      <c r="D64" s="5"/>
      <c r="F64" s="5"/>
      <c r="K64" s="10"/>
      <c r="L64" s="12"/>
      <c r="M64" s="5"/>
      <c r="N64" s="10"/>
      <c r="O64" s="5"/>
      <c r="Q64" s="10"/>
      <c r="R64" s="8"/>
      <c r="U64" s="9"/>
      <c r="W64" s="10"/>
      <c r="X64" s="1"/>
      <c r="Y64" s="2"/>
      <c r="Z64" s="13"/>
      <c r="AA64" s="2"/>
      <c r="AB64" s="2"/>
      <c r="AC64" s="2"/>
      <c r="AD64" s="2"/>
      <c r="AE64" s="7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"/>
      <c r="AV64" s="2"/>
      <c r="AW64" s="2"/>
      <c r="AX64" s="2"/>
      <c r="AZ64" s="1"/>
      <c r="BA64" s="2"/>
      <c r="BB64" s="7"/>
      <c r="BC64" s="1"/>
      <c r="BD64" s="2"/>
      <c r="BE64" s="2"/>
      <c r="BF64" s="2"/>
      <c r="BG64" s="7"/>
      <c r="BH64" s="1"/>
      <c r="BI64" s="2"/>
      <c r="BJ64" s="2"/>
      <c r="BK64" s="2"/>
      <c r="BL64" s="7"/>
      <c r="BN64" s="1">
        <f t="shared" si="21"/>
        <v>0</v>
      </c>
      <c r="BO64" s="4" t="str">
        <f t="shared" si="16"/>
        <v>0</v>
      </c>
      <c r="BP64" s="2">
        <f t="shared" si="17"/>
        <v>0</v>
      </c>
      <c r="BQ64" s="2">
        <f t="shared" si="22"/>
        <v>0</v>
      </c>
      <c r="BR64" s="3" t="e">
        <f t="shared" si="23"/>
        <v>#DIV/0!</v>
      </c>
      <c r="BS64" s="1">
        <f t="shared" si="24"/>
        <v>0</v>
      </c>
      <c r="BT64" s="2">
        <f t="shared" si="25"/>
        <v>0</v>
      </c>
      <c r="BU64" s="21" t="e">
        <f t="shared" si="26"/>
        <v>#DIV/0!</v>
      </c>
      <c r="BV64" s="2" t="str">
        <f t="shared" si="18"/>
        <v/>
      </c>
      <c r="BW64" s="2" t="str">
        <f t="shared" si="19"/>
        <v/>
      </c>
      <c r="BX64" s="21" t="str">
        <f t="shared" si="20"/>
        <v/>
      </c>
      <c r="BY64" s="10" t="str">
        <f t="shared" ref="BY64" si="28">IF(C63&lt;C64,"Rive",IF(C65&gt;C64,"Rive","Inter"))</f>
        <v>Inter</v>
      </c>
    </row>
    <row r="65" spans="1:77" x14ac:dyDescent="0.25">
      <c r="A65" t="str">
        <f t="shared" si="3"/>
        <v/>
      </c>
      <c r="B65" t="b">
        <f t="shared" si="4"/>
        <v>1</v>
      </c>
      <c r="C65">
        <f t="shared" si="15"/>
        <v>100000</v>
      </c>
      <c r="D65" s="5"/>
      <c r="F65" s="5"/>
      <c r="K65" s="10"/>
      <c r="L65" s="12"/>
      <c r="M65" s="5"/>
      <c r="N65" s="10"/>
      <c r="O65" s="5"/>
      <c r="Q65" s="10"/>
      <c r="R65" s="8"/>
      <c r="U65" s="9"/>
      <c r="W65" s="10"/>
      <c r="X65" s="1"/>
      <c r="Y65" s="2"/>
      <c r="Z65" s="13"/>
      <c r="AA65" s="2"/>
      <c r="AB65" s="2"/>
      <c r="AC65" s="2"/>
      <c r="AD65" s="2"/>
      <c r="AE65" s="7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"/>
      <c r="AV65" s="2"/>
      <c r="AW65" s="2"/>
      <c r="AX65" s="2"/>
      <c r="AZ65" s="1"/>
      <c r="BA65" s="2"/>
      <c r="BB65" s="7"/>
      <c r="BC65" s="1"/>
      <c r="BD65" s="2"/>
      <c r="BE65" s="2"/>
      <c r="BF65" s="2"/>
      <c r="BG65" s="7"/>
      <c r="BH65" s="1"/>
      <c r="BI65" s="2"/>
      <c r="BJ65" s="2"/>
      <c r="BK65" s="2"/>
      <c r="BL65" s="7"/>
      <c r="BN65" s="1">
        <f t="shared" si="21"/>
        <v>0</v>
      </c>
      <c r="BO65" s="4" t="str">
        <f t="shared" si="16"/>
        <v>0</v>
      </c>
      <c r="BP65" s="2">
        <f t="shared" si="17"/>
        <v>0</v>
      </c>
      <c r="BQ65" s="2">
        <f t="shared" si="22"/>
        <v>0</v>
      </c>
      <c r="BR65" s="3" t="e">
        <f t="shared" si="23"/>
        <v>#DIV/0!</v>
      </c>
      <c r="BS65" s="1">
        <f t="shared" si="24"/>
        <v>0</v>
      </c>
      <c r="BT65" s="2">
        <f t="shared" si="25"/>
        <v>0</v>
      </c>
      <c r="BU65" s="21" t="e">
        <f t="shared" si="26"/>
        <v>#DIV/0!</v>
      </c>
      <c r="BV65" s="2" t="str">
        <f t="shared" si="18"/>
        <v/>
      </c>
      <c r="BW65" s="2" t="str">
        <f t="shared" si="19"/>
        <v/>
      </c>
      <c r="BX65" s="21" t="str">
        <f t="shared" si="20"/>
        <v/>
      </c>
      <c r="BY65" s="15"/>
    </row>
    <row r="66" spans="1:77" x14ac:dyDescent="0.25">
      <c r="A66" t="str">
        <f t="shared" si="3"/>
        <v/>
      </c>
      <c r="B66" t="b">
        <f t="shared" si="4"/>
        <v>1</v>
      </c>
      <c r="C66">
        <f t="shared" si="15"/>
        <v>100000</v>
      </c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1"/>
      <c r="Y66" s="2"/>
      <c r="Z66" s="13"/>
      <c r="AA66" s="2"/>
      <c r="AB66" s="2"/>
      <c r="AC66" s="2"/>
      <c r="AD66" s="2"/>
      <c r="AE66" s="7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"/>
      <c r="AV66" s="2"/>
      <c r="AW66" s="2"/>
      <c r="AX66" s="2"/>
      <c r="AZ66" s="1"/>
      <c r="BA66" s="2"/>
      <c r="BB66" s="7"/>
      <c r="BC66" s="1"/>
      <c r="BD66" s="2"/>
      <c r="BE66" s="2"/>
      <c r="BF66" s="2"/>
      <c r="BG66" s="7"/>
      <c r="BH66" s="1"/>
      <c r="BI66" s="2"/>
      <c r="BJ66" s="2"/>
      <c r="BK66" s="2"/>
      <c r="BL66" s="7"/>
      <c r="BN66" s="1">
        <f t="shared" si="21"/>
        <v>0</v>
      </c>
      <c r="BO66" s="4" t="str">
        <f t="shared" si="16"/>
        <v>0</v>
      </c>
      <c r="BP66" s="2">
        <f t="shared" si="17"/>
        <v>0</v>
      </c>
      <c r="BQ66" s="2">
        <f t="shared" si="22"/>
        <v>0</v>
      </c>
      <c r="BR66" s="3" t="e">
        <f t="shared" si="23"/>
        <v>#DIV/0!</v>
      </c>
      <c r="BS66" s="1">
        <f t="shared" si="24"/>
        <v>0</v>
      </c>
      <c r="BT66" s="2">
        <f t="shared" si="25"/>
        <v>0</v>
      </c>
      <c r="BU66" s="21" t="e">
        <f t="shared" si="26"/>
        <v>#DIV/0!</v>
      </c>
      <c r="BV66" s="2" t="str">
        <f t="shared" si="18"/>
        <v/>
      </c>
      <c r="BW66" s="2" t="str">
        <f t="shared" si="19"/>
        <v/>
      </c>
      <c r="BX66" s="21" t="str">
        <f t="shared" si="20"/>
        <v/>
      </c>
      <c r="BY66" s="10" t="str">
        <f t="shared" ref="BY66" si="29">IF(C65&lt;C66,"Rive",IF(C67&gt;C66,"Rive","Inter"))</f>
        <v>Inter</v>
      </c>
    </row>
    <row r="67" spans="1:77" x14ac:dyDescent="0.25">
      <c r="C67">
        <f t="shared" si="15"/>
        <v>100000</v>
      </c>
    </row>
  </sheetData>
  <mergeCells count="19">
    <mergeCell ref="BX5:BY5"/>
    <mergeCell ref="BC3:BG4"/>
    <mergeCell ref="BH3:BL3"/>
    <mergeCell ref="BN3:BR4"/>
    <mergeCell ref="BS3:BY4"/>
    <mergeCell ref="G4:H4"/>
    <mergeCell ref="I4:K4"/>
    <mergeCell ref="R4:T4"/>
    <mergeCell ref="U4:W4"/>
    <mergeCell ref="AZ1:BY1"/>
    <mergeCell ref="AZ2:BL2"/>
    <mergeCell ref="BN2:BY2"/>
    <mergeCell ref="F3:K3"/>
    <mergeCell ref="M3:N4"/>
    <mergeCell ref="O3:Q4"/>
    <mergeCell ref="R3:W3"/>
    <mergeCell ref="X3:AE4"/>
    <mergeCell ref="AF3:AX4"/>
    <mergeCell ref="AZ3:BB4"/>
  </mergeCells>
  <conditionalFormatting sqref="D6:D66">
    <cfRule type="expression" dxfId="63" priority="11">
      <formula>$B6=FALSE</formula>
    </cfRule>
  </conditionalFormatting>
  <conditionalFormatting sqref="BI6:BI66">
    <cfRule type="cellIs" dxfId="62" priority="5" operator="greaterThan">
      <formula>$BI$4</formula>
    </cfRule>
  </conditionalFormatting>
  <conditionalFormatting sqref="BJ6:BK66">
    <cfRule type="cellIs" dxfId="61" priority="9" operator="greaterThan">
      <formula>$BJ$4</formula>
    </cfRule>
  </conditionalFormatting>
  <conditionalFormatting sqref="BL6:BM9 BM10:BM35 BL10:BL66">
    <cfRule type="expression" dxfId="60" priority="10">
      <formula>ABS($BL6)&gt;$BL$4</formula>
    </cfRule>
  </conditionalFormatting>
  <conditionalFormatting sqref="BO6:BO66">
    <cfRule type="expression" dxfId="59" priority="4">
      <formula>$A6="Travée"</formula>
    </cfRule>
  </conditionalFormatting>
  <conditionalFormatting sqref="BR6:BR66">
    <cfRule type="cellIs" dxfId="58" priority="8" operator="greaterThan">
      <formula>1</formula>
    </cfRule>
  </conditionalFormatting>
  <conditionalFormatting sqref="BU6:BU66">
    <cfRule type="cellIs" dxfId="57" priority="7" operator="greaterThan">
      <formula>1</formula>
    </cfRule>
  </conditionalFormatting>
  <conditionalFormatting sqref="BV7:BX59 BV60:BY66">
    <cfRule type="cellIs" dxfId="56" priority="6" operator="equal">
      <formula>""</formula>
    </cfRule>
  </conditionalFormatting>
  <conditionalFormatting sqref="BX6:BX66">
    <cfRule type="cellIs" dxfId="55" priority="3" operator="lessThan">
      <formula>IF($BY6="Rive",1.15,IF($BY6="Inter",1.1,0))</formula>
    </cfRule>
  </conditionalFormatting>
  <conditionalFormatting sqref="BY6:BY59">
    <cfRule type="cellIs" dxfId="54" priority="1" operator="equal">
      <formula>""</formula>
    </cfRule>
  </conditionalFormatting>
  <pageMargins left="0.7" right="0.7" top="0.75" bottom="0.75" header="0.3" footer="0.3"/>
  <pageSetup paperSize="8" scale="7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D91B-568B-444B-9875-1CB4AC6E4729}">
  <sheetPr>
    <pageSetUpPr fitToPage="1"/>
  </sheetPr>
  <dimension ref="A1:CH76"/>
  <sheetViews>
    <sheetView topLeftCell="A27" zoomScale="70" zoomScaleNormal="70" workbookViewId="0">
      <pane xSplit="5" topLeftCell="F1" activePane="topRight" state="frozen"/>
      <selection activeCell="D6" sqref="D6:BA71"/>
      <selection pane="topRight" activeCell="D6" sqref="D6:BA57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6.140625" bestFit="1" customWidth="1"/>
    <col min="7" max="7" width="3.85546875" bestFit="1" customWidth="1"/>
    <col min="8" max="8" width="4.140625" bestFit="1" customWidth="1"/>
    <col min="9" max="9" width="7.42578125" bestFit="1" customWidth="1"/>
    <col min="10" max="11" width="5.14062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5" width="3.42578125" customWidth="1"/>
    <col min="26" max="26" width="7.85546875" bestFit="1" customWidth="1"/>
    <col min="27" max="34" width="5.140625" customWidth="1"/>
    <col min="35" max="38" width="3.85546875" customWidth="1" outlineLevel="1"/>
    <col min="39" max="39" width="8" customWidth="1" outlineLevel="1"/>
    <col min="40" max="42" width="4.85546875" customWidth="1" outlineLevel="1"/>
    <col min="43" max="45" width="4.140625" customWidth="1" outlineLevel="1"/>
    <col min="46" max="46" width="3.85546875" customWidth="1" outlineLevel="1"/>
    <col min="47" max="47" width="4.85546875" customWidth="1" outlineLevel="1"/>
    <col min="48" max="48" width="5.28515625" customWidth="1" outlineLevel="1"/>
    <col min="49" max="49" width="5.85546875" customWidth="1" outlineLevel="1"/>
    <col min="50" max="51" width="4.140625" customWidth="1" outlineLevel="1"/>
    <col min="52" max="53" width="4.85546875" customWidth="1" outlineLevel="1"/>
    <col min="54" max="54" width="2.85546875" customWidth="1"/>
    <col min="55" max="56" width="3.85546875" bestFit="1" customWidth="1"/>
    <col min="57" max="57" width="4.85546875" bestFit="1" customWidth="1"/>
    <col min="58" max="59" width="3.85546875" bestFit="1" customWidth="1"/>
    <col min="60" max="62" width="4.85546875" bestFit="1" customWidth="1"/>
    <col min="63" max="63" width="3.85546875" bestFit="1" customWidth="1"/>
    <col min="64" max="64" width="4.28515625" bestFit="1" customWidth="1"/>
    <col min="65" max="67" width="5.28515625" bestFit="1" customWidth="1"/>
    <col min="69" max="69" width="4.140625" bestFit="1" customWidth="1"/>
    <col min="70" max="70" width="10.28515625" bestFit="1" customWidth="1"/>
    <col min="71" max="71" width="4.85546875" bestFit="1" customWidth="1"/>
    <col min="72" max="72" width="4.5703125" bestFit="1" customWidth="1"/>
    <col min="73" max="73" width="7.140625" customWidth="1"/>
    <col min="74" max="75" width="6.85546875" bestFit="1" customWidth="1"/>
    <col min="76" max="76" width="6.140625" bestFit="1" customWidth="1"/>
    <col min="77" max="77" width="4.140625" bestFit="1" customWidth="1"/>
    <col min="78" max="78" width="6.140625" bestFit="1" customWidth="1"/>
    <col min="79" max="79" width="4.140625" customWidth="1"/>
    <col min="80" max="80" width="4.140625" bestFit="1" customWidth="1"/>
    <col min="81" max="81" width="7.42578125" bestFit="1" customWidth="1"/>
    <col min="82" max="83" width="4.140625" bestFit="1" customWidth="1"/>
    <col min="84" max="84" width="5.7109375" bestFit="1" customWidth="1"/>
    <col min="85" max="85" width="5.5703125" bestFit="1" customWidth="1"/>
    <col min="87" max="87" width="9.140625" bestFit="1" customWidth="1"/>
  </cols>
  <sheetData>
    <row r="1" spans="1:86" ht="15.75" thickBot="1" x14ac:dyDescent="0.3">
      <c r="BC1" s="80" t="s">
        <v>67</v>
      </c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2"/>
    </row>
    <row r="2" spans="1:86" ht="15.75" thickBot="1" x14ac:dyDescent="0.3">
      <c r="BC2" s="67" t="s">
        <v>78</v>
      </c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79"/>
      <c r="BP2" s="6"/>
      <c r="BQ2" s="67" t="s">
        <v>79</v>
      </c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79"/>
    </row>
    <row r="3" spans="1:86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38"/>
      <c r="Y3" s="39"/>
      <c r="Z3" s="39"/>
      <c r="AA3" s="62" t="s">
        <v>68</v>
      </c>
      <c r="AB3" s="62"/>
      <c r="AC3" s="62"/>
      <c r="AD3" s="62"/>
      <c r="AE3" s="62"/>
      <c r="AF3" s="62"/>
      <c r="AG3" s="62"/>
      <c r="AH3" s="63"/>
      <c r="AI3" s="67" t="s">
        <v>67</v>
      </c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C3" s="83" t="s">
        <v>87</v>
      </c>
      <c r="BD3" s="62"/>
      <c r="BE3" s="63"/>
      <c r="BF3" s="83" t="s">
        <v>88</v>
      </c>
      <c r="BG3" s="62"/>
      <c r="BH3" s="62"/>
      <c r="BI3" s="62"/>
      <c r="BJ3" s="63"/>
      <c r="BK3" s="71" t="s">
        <v>77</v>
      </c>
      <c r="BL3" s="72"/>
      <c r="BM3" s="72"/>
      <c r="BN3" s="72"/>
      <c r="BO3" s="73"/>
      <c r="BQ3" s="83" t="s">
        <v>89</v>
      </c>
      <c r="BR3" s="62"/>
      <c r="BS3" s="62"/>
      <c r="BT3" s="62"/>
      <c r="BU3" s="63"/>
      <c r="BV3" s="40"/>
      <c r="BW3" s="40"/>
      <c r="BX3" s="40"/>
      <c r="BY3" s="83" t="s">
        <v>90</v>
      </c>
      <c r="BZ3" s="84"/>
      <c r="CA3" s="84"/>
      <c r="CB3" s="62"/>
      <c r="CC3" s="62"/>
      <c r="CD3" s="62"/>
      <c r="CE3" s="62"/>
      <c r="CF3" s="62"/>
      <c r="CG3" s="63"/>
    </row>
    <row r="4" spans="1:86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44"/>
      <c r="Y4" s="45"/>
      <c r="Z4" s="45"/>
      <c r="AA4" s="65"/>
      <c r="AB4" s="65"/>
      <c r="AC4" s="65"/>
      <c r="AD4" s="65"/>
      <c r="AE4" s="65"/>
      <c r="AF4" s="65"/>
      <c r="AG4" s="65"/>
      <c r="AH4" s="66"/>
      <c r="AI4" s="67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C4" s="64"/>
      <c r="BD4" s="65"/>
      <c r="BE4" s="66"/>
      <c r="BF4" s="64"/>
      <c r="BG4" s="65"/>
      <c r="BH4" s="65"/>
      <c r="BI4" s="65"/>
      <c r="BJ4" s="66"/>
      <c r="BK4" s="23"/>
      <c r="BL4" s="24">
        <f>0.6*F7</f>
        <v>15</v>
      </c>
      <c r="BM4" s="24">
        <f>0.8*H7</f>
        <v>400</v>
      </c>
      <c r="BN4" s="24">
        <f>0.8*H7</f>
        <v>400</v>
      </c>
      <c r="BO4" s="25">
        <f>MIN(J7,0.9*0.8*H7)</f>
        <v>360.00000000000006</v>
      </c>
      <c r="BP4" s="14"/>
      <c r="BQ4" s="64"/>
      <c r="BR4" s="65"/>
      <c r="BS4" s="65"/>
      <c r="BT4" s="65"/>
      <c r="BU4" s="66"/>
      <c r="BV4" s="42"/>
      <c r="BW4" s="42"/>
      <c r="BX4" s="42"/>
      <c r="BY4" s="64"/>
      <c r="BZ4" s="65"/>
      <c r="CA4" s="65"/>
      <c r="CB4" s="65"/>
      <c r="CC4" s="65"/>
      <c r="CD4" s="65"/>
      <c r="CE4" s="65"/>
      <c r="CF4" s="65"/>
      <c r="CG4" s="66"/>
      <c r="CH4" t="s">
        <v>113</v>
      </c>
    </row>
    <row r="5" spans="1:86" ht="81.95" customHeight="1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46" t="s">
        <v>114</v>
      </c>
      <c r="Y5" s="47" t="s">
        <v>115</v>
      </c>
      <c r="Z5" s="47" t="s">
        <v>116</v>
      </c>
      <c r="AA5" s="48" t="s">
        <v>69</v>
      </c>
      <c r="AB5" s="32" t="s">
        <v>70</v>
      </c>
      <c r="AC5" s="32" t="s">
        <v>71</v>
      </c>
      <c r="AD5" s="32" t="s">
        <v>20</v>
      </c>
      <c r="AE5" s="32" t="s">
        <v>21</v>
      </c>
      <c r="AF5" s="32" t="s">
        <v>22</v>
      </c>
      <c r="AG5" s="32" t="s">
        <v>23</v>
      </c>
      <c r="AH5" s="33" t="s">
        <v>24</v>
      </c>
      <c r="AI5" s="34" t="s">
        <v>25</v>
      </c>
      <c r="AJ5" s="35" t="s">
        <v>26</v>
      </c>
      <c r="AK5" s="35" t="s">
        <v>27</v>
      </c>
      <c r="AL5" s="35" t="s">
        <v>28</v>
      </c>
      <c r="AM5" s="35" t="s">
        <v>29</v>
      </c>
      <c r="AN5" s="35" t="s">
        <v>30</v>
      </c>
      <c r="AO5" s="35" t="s">
        <v>31</v>
      </c>
      <c r="AP5" s="35" t="s">
        <v>32</v>
      </c>
      <c r="AQ5" s="35" t="s">
        <v>33</v>
      </c>
      <c r="AR5" s="35" t="s">
        <v>34</v>
      </c>
      <c r="AS5" s="35" t="s">
        <v>35</v>
      </c>
      <c r="AT5" s="35" t="s">
        <v>36</v>
      </c>
      <c r="AU5" s="35" t="s">
        <v>37</v>
      </c>
      <c r="AV5" s="35" t="s">
        <v>38</v>
      </c>
      <c r="AW5" s="36" t="s">
        <v>39</v>
      </c>
      <c r="AX5" s="37" t="s">
        <v>40</v>
      </c>
      <c r="AY5" s="35" t="s">
        <v>42</v>
      </c>
      <c r="AZ5" s="35" t="s">
        <v>43</v>
      </c>
      <c r="BA5" s="35" t="s">
        <v>41</v>
      </c>
      <c r="BB5" s="20"/>
      <c r="BC5" s="16" t="s">
        <v>72</v>
      </c>
      <c r="BD5" s="18" t="s">
        <v>73</v>
      </c>
      <c r="BE5" s="17" t="s">
        <v>74</v>
      </c>
      <c r="BF5" s="18" t="s">
        <v>72</v>
      </c>
      <c r="BG5" s="18" t="s">
        <v>73</v>
      </c>
      <c r="BH5" s="18" t="s">
        <v>74</v>
      </c>
      <c r="BI5" s="18" t="s">
        <v>75</v>
      </c>
      <c r="BJ5" s="17" t="s">
        <v>76</v>
      </c>
      <c r="BK5" s="16" t="s">
        <v>72</v>
      </c>
      <c r="BL5" s="18" t="s">
        <v>73</v>
      </c>
      <c r="BM5" s="18" t="s">
        <v>74</v>
      </c>
      <c r="BN5" s="18" t="s">
        <v>75</v>
      </c>
      <c r="BO5" s="17" t="s">
        <v>76</v>
      </c>
      <c r="BP5" s="18"/>
      <c r="BQ5" s="16" t="s">
        <v>80</v>
      </c>
      <c r="BR5" s="19" t="s">
        <v>66</v>
      </c>
      <c r="BS5" s="18" t="s">
        <v>82</v>
      </c>
      <c r="BT5" s="18" t="s">
        <v>81</v>
      </c>
      <c r="BU5" s="18" t="s">
        <v>117</v>
      </c>
      <c r="BV5" s="18" t="s">
        <v>118</v>
      </c>
      <c r="BW5" s="18" t="s">
        <v>119</v>
      </c>
      <c r="BX5" s="49" t="s">
        <v>120</v>
      </c>
      <c r="BY5" s="16" t="s">
        <v>80</v>
      </c>
      <c r="BZ5" s="19" t="s">
        <v>66</v>
      </c>
      <c r="CA5" s="18" t="s">
        <v>82</v>
      </c>
      <c r="CB5" s="18" t="s">
        <v>81</v>
      </c>
      <c r="CC5" s="20"/>
      <c r="CD5" s="18" t="s">
        <v>121</v>
      </c>
      <c r="CE5" s="18" t="s">
        <v>122</v>
      </c>
      <c r="CF5" s="77" t="s">
        <v>86</v>
      </c>
      <c r="CG5" s="78"/>
      <c r="CH5" s="50" t="s">
        <v>123</v>
      </c>
    </row>
    <row r="6" spans="1:86" x14ac:dyDescent="0.25">
      <c r="A6" t="str">
        <f>IF(ISNUMBER(SEARCH("Appui",E6)),"Appui",IF(ISNUMBER(SEARCH("Travée",E6)),"Travée",""))</f>
        <v/>
      </c>
      <c r="B6" t="b">
        <f>MOD(C6,2)=0</f>
        <v>0</v>
      </c>
      <c r="C6">
        <v>1</v>
      </c>
      <c r="D6" s="5" t="s">
        <v>129</v>
      </c>
      <c r="F6" s="5">
        <v>25</v>
      </c>
      <c r="G6" t="s">
        <v>46</v>
      </c>
      <c r="H6">
        <v>500</v>
      </c>
      <c r="I6">
        <v>220000</v>
      </c>
      <c r="J6">
        <v>1576</v>
      </c>
      <c r="K6" s="10">
        <v>1870</v>
      </c>
      <c r="L6" s="12">
        <v>1</v>
      </c>
      <c r="M6" s="5">
        <v>0.2</v>
      </c>
      <c r="N6" s="10">
        <v>2.2000000000000002</v>
      </c>
      <c r="O6" s="5">
        <v>1.0000000000000001E-5</v>
      </c>
      <c r="P6">
        <v>0.03</v>
      </c>
      <c r="Q6" s="10">
        <v>1</v>
      </c>
      <c r="R6" s="8">
        <v>0</v>
      </c>
      <c r="S6">
        <v>0</v>
      </c>
      <c r="T6">
        <v>1</v>
      </c>
      <c r="U6" s="9">
        <v>0</v>
      </c>
      <c r="V6">
        <v>0</v>
      </c>
      <c r="W6" s="10">
        <v>0</v>
      </c>
      <c r="X6" s="5">
        <v>0</v>
      </c>
      <c r="Y6">
        <v>0</v>
      </c>
      <c r="Z6" s="4">
        <v>0</v>
      </c>
      <c r="AA6" s="2">
        <v>0</v>
      </c>
      <c r="AB6" s="2">
        <v>0</v>
      </c>
      <c r="AC6" s="13">
        <v>0</v>
      </c>
      <c r="AD6" s="2">
        <v>0</v>
      </c>
      <c r="AE6" s="2">
        <v>0</v>
      </c>
      <c r="AF6" s="2">
        <v>0</v>
      </c>
      <c r="AG6" s="2"/>
      <c r="AH6" s="7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0.78043082983844214</v>
      </c>
      <c r="AS6" s="2">
        <v>0.78043082983844214</v>
      </c>
      <c r="AT6" s="2">
        <v>0</v>
      </c>
      <c r="AU6" s="2">
        <v>0</v>
      </c>
      <c r="AV6" s="2">
        <v>0</v>
      </c>
      <c r="AW6" s="2">
        <v>0</v>
      </c>
      <c r="AX6" s="1">
        <v>0</v>
      </c>
      <c r="AY6" s="2">
        <v>0</v>
      </c>
      <c r="AZ6" s="2">
        <v>0</v>
      </c>
      <c r="BA6" s="2">
        <v>0.78043082983844214</v>
      </c>
      <c r="BC6" s="1">
        <f t="shared" ref="BC6:BC57" si="0">AI6</f>
        <v>0</v>
      </c>
      <c r="BD6" s="2">
        <f t="shared" ref="BD6:BD57" si="1">AK6</f>
        <v>0</v>
      </c>
      <c r="BE6" s="7">
        <f t="shared" ref="BE6:BE57" si="2">AM6</f>
        <v>0</v>
      </c>
      <c r="BF6" s="1">
        <f t="shared" ref="BF6:BF57" si="3">AJ6</f>
        <v>0</v>
      </c>
      <c r="BG6" s="2">
        <f t="shared" ref="BG6:BG57" si="4">AL6</f>
        <v>0</v>
      </c>
      <c r="BH6" s="2">
        <f t="shared" ref="BH6:BJ21" si="5">AN6</f>
        <v>0</v>
      </c>
      <c r="BI6" s="2">
        <f t="shared" si="5"/>
        <v>0</v>
      </c>
      <c r="BJ6" s="7">
        <f t="shared" si="5"/>
        <v>0</v>
      </c>
      <c r="BK6" s="1">
        <f t="shared" ref="BK6:BL21" si="6">BC6+BF6</f>
        <v>0</v>
      </c>
      <c r="BL6" s="2">
        <f t="shared" si="6"/>
        <v>0</v>
      </c>
      <c r="BM6" s="2">
        <f t="shared" ref="BM6:BM19" si="7">ABS(BE6+BH6)</f>
        <v>0</v>
      </c>
      <c r="BN6" s="2">
        <f t="shared" ref="BN6:BN57" si="8">ABS(BI6)</f>
        <v>0</v>
      </c>
      <c r="BO6" s="7">
        <f t="shared" ref="BO6:BO57" si="9">BJ6</f>
        <v>0</v>
      </c>
      <c r="BP6" s="2"/>
      <c r="BQ6" s="1">
        <f t="shared" ref="BQ6:BQ12" si="10">AX6</f>
        <v>0</v>
      </c>
      <c r="BR6" s="4" t="str">
        <f t="shared" ref="BR6" si="11">IF(ISNUMBER(SEARCH("Appui",E6)),0,"0")</f>
        <v>0</v>
      </c>
      <c r="BS6" s="2">
        <f>IF(ISNUMBER(SEARCH("Appui",$E6)),BQ6+BR6*BQ6,IF($C5&lt;$C6,BQ6-BR7*BQ7/2,IF($C6&lt;$C7,BQ6-(BR5*BQ5)/2,BQ6-(BR7*BQ7+BR5*BQ5)/2)))</f>
        <v>0</v>
      </c>
      <c r="BT6" s="60">
        <v>20</v>
      </c>
      <c r="BU6" s="21">
        <f>IFERROR(IF(BT6=0,"",BT6/BS6),1)</f>
        <v>1</v>
      </c>
      <c r="BV6" s="21" t="str">
        <f>IF(ISNUMBER(SEARCH("Travée",E6)),BS6+(IF(C5&lt;C6,0,BS5)+IF(C7&gt;C6,0,BS7))/2,"")</f>
        <v/>
      </c>
      <c r="BW6" s="21" t="str">
        <f t="shared" ref="BW6:BW57" si="12">IF(ISNUMBER(SEARCH("Travée",E6)),BT6+(IF(C5&lt;C6,0,BT5)+IF(C7&gt;C6,0,BT7))/2,"")</f>
        <v/>
      </c>
      <c r="BX6" s="21" t="str">
        <f t="shared" ref="BX6:BX57" si="13">IF(ISNUMBER(SEARCH("Travée",E6)),IF(BV6=0,"",BW6/BV6),"")</f>
        <v/>
      </c>
      <c r="BY6" s="1">
        <f>AQ6</f>
        <v>0</v>
      </c>
      <c r="BZ6" s="4" t="str">
        <f t="shared" ref="BZ6" si="14">IF(ISNUMBER(SEARCH("Appui",M6)),0,"0")</f>
        <v>0</v>
      </c>
      <c r="CA6" s="2">
        <f>IF(ISNUMBER(SEARCH("Appui",$E6)),BY6+BZ6*BY6,IF($C5&lt;$C6,BY6-BZ7*BY7/2,IF($C6&lt;$C7,BY6-(BZ5*BY5)/2,BY6-(BZ7*BY7+BZ5*BY5)/2)))</f>
        <v>0</v>
      </c>
      <c r="CB6" s="2">
        <v>20</v>
      </c>
      <c r="CC6" s="21">
        <f>IFERROR(IF(CB6=0,"",CB6/CA6),1)</f>
        <v>1</v>
      </c>
      <c r="CD6" s="2" t="str">
        <f>IF(ISNUMBER(SEARCH("Travée",E6)),CA6+(IF(C5&lt;C6,0,CA5)+IF(C7&gt;C6,0,CA7))/2,"")</f>
        <v/>
      </c>
      <c r="CE6" s="2" t="str">
        <f>IF(ISNUMBER(SEARCH("Travée",E6)),CB6+(IF(C5&lt;C6,0,CB5)+IF(C7&gt;C6,0,CB7))/2,"")</f>
        <v/>
      </c>
      <c r="CF6" s="21" t="str">
        <f>IF(ISNUMBER(SEARCH("Travée",E6)),CE6/CD6,"")</f>
        <v/>
      </c>
      <c r="CG6" s="10" t="str">
        <f>IF(C4&lt;C6,"Rive",IF(C8&gt;C6,"Rive","Inter"))</f>
        <v>Rive</v>
      </c>
      <c r="CH6" s="21" t="str">
        <f t="shared" ref="CH6:CH57" si="15">IF(ISNUMBER(SEARCH("Travée",E6)),BW6/CD6,"")</f>
        <v/>
      </c>
    </row>
    <row r="7" spans="1:86" x14ac:dyDescent="0.25">
      <c r="A7" t="str">
        <f>IF(ISNUMBER(SEARCH("Appui",E7)),"Appui",IF(ISNUMBER(SEARCH("Travée",E7)),"Travée",""))</f>
        <v>Travée</v>
      </c>
      <c r="B7" t="b">
        <f>MOD(C7,2)=0</f>
        <v>0</v>
      </c>
      <c r="C7">
        <v>1</v>
      </c>
      <c r="D7" s="5" t="s">
        <v>104</v>
      </c>
      <c r="E7" t="s">
        <v>45</v>
      </c>
      <c r="F7" s="5">
        <v>25</v>
      </c>
      <c r="G7" t="s">
        <v>46</v>
      </c>
      <c r="H7">
        <v>500</v>
      </c>
      <c r="I7">
        <v>220000</v>
      </c>
      <c r="J7">
        <v>1576</v>
      </c>
      <c r="K7" s="10">
        <v>1870</v>
      </c>
      <c r="L7" s="12">
        <v>1</v>
      </c>
      <c r="M7" s="5">
        <v>0.26</v>
      </c>
      <c r="N7" s="10">
        <v>5.35</v>
      </c>
      <c r="O7" s="5">
        <v>1.3878E-3</v>
      </c>
      <c r="P7">
        <v>0.04</v>
      </c>
      <c r="Q7" s="10">
        <v>1</v>
      </c>
      <c r="R7" s="8">
        <v>0</v>
      </c>
      <c r="S7">
        <v>0</v>
      </c>
      <c r="T7">
        <v>1</v>
      </c>
      <c r="U7" s="9">
        <v>2.9099999999999999E-5</v>
      </c>
      <c r="V7">
        <v>0</v>
      </c>
      <c r="W7" s="10">
        <v>7</v>
      </c>
      <c r="X7" s="5">
        <v>57.756160000000001</v>
      </c>
      <c r="Y7">
        <v>17.543679999999998</v>
      </c>
      <c r="Z7" s="4">
        <v>0</v>
      </c>
      <c r="AA7" s="2">
        <v>57.756160000000001</v>
      </c>
      <c r="AB7" s="2">
        <v>17.543679999999998</v>
      </c>
      <c r="AC7" s="13">
        <v>0</v>
      </c>
      <c r="AD7" s="2">
        <v>57.756160000000001</v>
      </c>
      <c r="AE7" s="2">
        <v>17.543679999999998</v>
      </c>
      <c r="AF7" s="2">
        <v>104.28633600000001</v>
      </c>
      <c r="AG7" s="2"/>
      <c r="AH7" s="7">
        <v>75.299840000000003</v>
      </c>
      <c r="AI7" s="2">
        <v>57.756160000000001</v>
      </c>
      <c r="AJ7" s="2">
        <v>17.543679999999998</v>
      </c>
      <c r="AK7" s="2">
        <v>4.0322116337661296</v>
      </c>
      <c r="AL7" s="2">
        <v>1.1004045440426531</v>
      </c>
      <c r="AM7" s="2">
        <v>-196.86799206682849</v>
      </c>
      <c r="AN7" s="2">
        <v>-48.680315068296537</v>
      </c>
      <c r="AO7" s="2">
        <v>0</v>
      </c>
      <c r="AP7" s="2">
        <v>-64.68282275310645</v>
      </c>
      <c r="AQ7" s="2">
        <v>104.28633600000001</v>
      </c>
      <c r="AR7" s="2">
        <v>139.5608127713233</v>
      </c>
      <c r="AS7" s="2">
        <v>223.48780452535189</v>
      </c>
      <c r="AT7" s="2">
        <v>4.7009966915882959</v>
      </c>
      <c r="AU7" s="2">
        <v>-293.70378204299641</v>
      </c>
      <c r="AV7" s="2">
        <v>0</v>
      </c>
      <c r="AW7" s="2">
        <v>-394.0298351819448</v>
      </c>
      <c r="AX7" s="1">
        <v>75.299840000000003</v>
      </c>
      <c r="AY7" s="2">
        <v>3.8159028373493018</v>
      </c>
      <c r="AZ7" s="2">
        <v>-260.60626198277089</v>
      </c>
      <c r="BA7" s="2">
        <v>139.5608127713233</v>
      </c>
      <c r="BC7" s="1">
        <f t="shared" si="0"/>
        <v>57.756160000000001</v>
      </c>
      <c r="BD7" s="2">
        <f t="shared" si="1"/>
        <v>4.0322116337661296</v>
      </c>
      <c r="BE7" s="7">
        <f t="shared" si="2"/>
        <v>-196.86799206682849</v>
      </c>
      <c r="BF7" s="1">
        <f t="shared" si="3"/>
        <v>17.543679999999998</v>
      </c>
      <c r="BG7" s="2">
        <f t="shared" si="4"/>
        <v>1.1004045440426531</v>
      </c>
      <c r="BH7" s="2">
        <f t="shared" si="5"/>
        <v>-48.680315068296537</v>
      </c>
      <c r="BI7" s="2">
        <f t="shared" si="5"/>
        <v>0</v>
      </c>
      <c r="BJ7" s="7">
        <f t="shared" si="5"/>
        <v>-64.68282275310645</v>
      </c>
      <c r="BK7" s="1">
        <f t="shared" si="6"/>
        <v>75.299840000000003</v>
      </c>
      <c r="BL7" s="2">
        <f t="shared" si="6"/>
        <v>5.1326161778087824</v>
      </c>
      <c r="BM7" s="2">
        <f t="shared" si="7"/>
        <v>245.54830713512501</v>
      </c>
      <c r="BN7" s="2">
        <f t="shared" si="8"/>
        <v>0</v>
      </c>
      <c r="BO7" s="7">
        <f t="shared" si="9"/>
        <v>-64.68282275310645</v>
      </c>
      <c r="BP7" s="2"/>
      <c r="BQ7" s="1">
        <f t="shared" si="10"/>
        <v>75.299840000000003</v>
      </c>
      <c r="BR7" s="4">
        <v>0</v>
      </c>
      <c r="BS7" s="2">
        <f t="shared" ref="BS7:BS57" si="16">IF(ISNUMBER(SEARCH("Appui",E7)),BQ7+BR7*BQ7,IF(C6&lt;C7,BQ7-BR8*BQ8/2,IF(C7&lt;C8,BQ7-(BR6*BQ6)/2,BQ7-(BR8*BQ8+BR6*BQ6)/2)))</f>
        <v>75.299840000000003</v>
      </c>
      <c r="BT7" s="2">
        <f>BA7</f>
        <v>139.5608127713233</v>
      </c>
      <c r="BU7" s="21">
        <f t="shared" ref="BU7:BU57" si="17">IFERROR(IF(BT7=0,"",BT7/BS7),1)</f>
        <v>1.8534011861289916</v>
      </c>
      <c r="BV7" s="21">
        <f t="shared" ref="BV7:BV57" si="18">IF(ISNUMBER(SEARCH("Travée",E7)),BS7+(IF(C6&lt;C7,0,BS6)+IF(C8&gt;C7,0,BS8))/2,"")</f>
        <v>102.61284000000001</v>
      </c>
      <c r="BW7" s="21">
        <f t="shared" si="12"/>
        <v>149.5608127713233</v>
      </c>
      <c r="BX7" s="21">
        <f t="shared" si="13"/>
        <v>1.4575253230621361</v>
      </c>
      <c r="BY7" s="1">
        <f>AQ7</f>
        <v>104.28633600000001</v>
      </c>
      <c r="BZ7" s="4">
        <v>0</v>
      </c>
      <c r="CA7" s="2">
        <f t="shared" ref="CA7:CA57" si="19">IF(ISNUMBER(SEARCH("Appui",$E7)),BY7+BZ7*BY7,IF($C6&lt;$C7,BY7-BZ8*BY8/2,IF($C7&lt;$C8,BY7-(BZ6*BY6)/2,BY7-(BZ8*BY8+BZ6*BY6)/2)))</f>
        <v>104.28633600000001</v>
      </c>
      <c r="CB7" s="2">
        <f>AS7</f>
        <v>223.48780452535189</v>
      </c>
      <c r="CC7" s="21">
        <f t="shared" ref="CC7:CC57" si="20">IFERROR(IF(CB7=0,"",CB7/CA7),1)</f>
        <v>2.1430209660961901</v>
      </c>
      <c r="CD7" s="2">
        <f>IF(ISNUMBER(SEARCH("Travée",E7)),CA7+(IF(C6&lt;C7,0,CA6)+IF(C8&gt;C7,0,CA8))/2,"")</f>
        <v>142.11341100000001</v>
      </c>
      <c r="CE7" s="2">
        <f t="shared" ref="CE7:CE57" si="21">IF(ISNUMBER(SEARCH("Travée",E7)),CB7+(IF(C6&lt;C7,0,CB6)+IF(C8&gt;C7,0,CB8))/2,"")</f>
        <v>233.48780452535189</v>
      </c>
      <c r="CF7" s="21">
        <f t="shared" ref="CF7:CF57" si="22">IF(ISNUMBER(SEARCH("Travée",E7)),CE7/CD7,"")</f>
        <v>1.6429681258255906</v>
      </c>
      <c r="CG7" s="15"/>
      <c r="CH7" s="21">
        <f t="shared" si="15"/>
        <v>1.0524046373872715</v>
      </c>
    </row>
    <row r="8" spans="1:86" x14ac:dyDescent="0.25">
      <c r="A8" t="str">
        <f t="shared" ref="A8:A71" si="23">IF(ISNUMBER(SEARCH("Appui",E8)),"Appui",IF(ISNUMBER(SEARCH("Travée",E8)),"Travée",""))</f>
        <v>Appui</v>
      </c>
      <c r="B8" t="b">
        <f t="shared" ref="B8:B71" si="24">MOD(C8,2)=0</f>
        <v>0</v>
      </c>
      <c r="C8">
        <f>IF(D8=D7,C7,C7+1)</f>
        <v>1</v>
      </c>
      <c r="D8" s="5" t="s">
        <v>104</v>
      </c>
      <c r="E8" t="s">
        <v>47</v>
      </c>
      <c r="F8" s="5">
        <v>25</v>
      </c>
      <c r="G8" t="s">
        <v>46</v>
      </c>
      <c r="H8">
        <v>500</v>
      </c>
      <c r="I8">
        <v>220000</v>
      </c>
      <c r="J8">
        <v>1576</v>
      </c>
      <c r="K8" s="10">
        <v>1870</v>
      </c>
      <c r="L8" s="12">
        <v>1</v>
      </c>
      <c r="M8" s="5">
        <v>0.25</v>
      </c>
      <c r="N8" s="10">
        <v>5.35</v>
      </c>
      <c r="O8" s="5">
        <v>0</v>
      </c>
      <c r="P8">
        <v>6.9999999999999993E-2</v>
      </c>
      <c r="Q8" s="10">
        <v>1</v>
      </c>
      <c r="R8" s="8">
        <v>0</v>
      </c>
      <c r="S8">
        <v>0</v>
      </c>
      <c r="T8">
        <v>1</v>
      </c>
      <c r="U8" s="9">
        <v>0</v>
      </c>
      <c r="V8">
        <v>0</v>
      </c>
      <c r="W8" s="10">
        <v>0</v>
      </c>
      <c r="X8" s="5">
        <v>41.899000000000001</v>
      </c>
      <c r="Y8">
        <v>12.727</v>
      </c>
      <c r="Z8" s="4">
        <v>0</v>
      </c>
      <c r="AA8" s="2">
        <v>41.899000000000001</v>
      </c>
      <c r="AB8" s="2">
        <v>12.727</v>
      </c>
      <c r="AC8" s="13">
        <v>0</v>
      </c>
      <c r="AD8" s="2">
        <v>41.899000000000001</v>
      </c>
      <c r="AE8" s="2">
        <v>12.727</v>
      </c>
      <c r="AF8" s="2">
        <v>75.654150000000001</v>
      </c>
      <c r="AG8" s="2"/>
      <c r="AH8" s="7">
        <v>54.625999999999998</v>
      </c>
      <c r="AI8" s="2">
        <v>41.899000000000001</v>
      </c>
      <c r="AJ8" s="2">
        <v>12.727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75.654150000000001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1">
        <v>54.625999999999998</v>
      </c>
      <c r="AY8" s="2">
        <v>0</v>
      </c>
      <c r="AZ8" s="2">
        <v>0</v>
      </c>
      <c r="BA8" s="2">
        <v>0</v>
      </c>
      <c r="BC8" s="1">
        <f t="shared" si="0"/>
        <v>41.899000000000001</v>
      </c>
      <c r="BD8" s="2">
        <f t="shared" si="1"/>
        <v>0</v>
      </c>
      <c r="BE8" s="7">
        <f t="shared" si="2"/>
        <v>0</v>
      </c>
      <c r="BF8" s="1">
        <f t="shared" si="3"/>
        <v>12.727</v>
      </c>
      <c r="BG8" s="2">
        <f t="shared" si="4"/>
        <v>0</v>
      </c>
      <c r="BH8" s="2">
        <f t="shared" si="5"/>
        <v>0</v>
      </c>
      <c r="BI8" s="2">
        <f t="shared" si="5"/>
        <v>0</v>
      </c>
      <c r="BJ8" s="7">
        <f t="shared" si="5"/>
        <v>0</v>
      </c>
      <c r="BK8" s="1">
        <f t="shared" si="6"/>
        <v>54.626000000000005</v>
      </c>
      <c r="BL8" s="2">
        <f t="shared" si="6"/>
        <v>0</v>
      </c>
      <c r="BM8" s="2">
        <f t="shared" si="7"/>
        <v>0</v>
      </c>
      <c r="BN8" s="2">
        <f t="shared" si="8"/>
        <v>0</v>
      </c>
      <c r="BO8" s="7">
        <f t="shared" si="9"/>
        <v>0</v>
      </c>
      <c r="BP8" s="2"/>
      <c r="BQ8" s="1">
        <f t="shared" si="10"/>
        <v>54.625999999999998</v>
      </c>
      <c r="BR8" s="4">
        <f t="shared" ref="BR8" si="25">IF(ISNUMBER(SEARCH("Appui",E8)),0,"0")</f>
        <v>0</v>
      </c>
      <c r="BS8" s="2">
        <f t="shared" si="16"/>
        <v>54.625999999999998</v>
      </c>
      <c r="BT8" s="2">
        <f>BA8</f>
        <v>0</v>
      </c>
      <c r="BU8" s="21" t="str">
        <f t="shared" si="17"/>
        <v/>
      </c>
      <c r="BV8" s="21" t="str">
        <f t="shared" si="18"/>
        <v/>
      </c>
      <c r="BW8" s="21" t="str">
        <f t="shared" si="12"/>
        <v/>
      </c>
      <c r="BX8" s="21" t="str">
        <f t="shared" si="13"/>
        <v/>
      </c>
      <c r="BY8" s="1">
        <f>AQ8</f>
        <v>75.654150000000001</v>
      </c>
      <c r="BZ8" s="4" t="str">
        <f t="shared" ref="BZ8" si="26">IF(ISNUMBER(SEARCH("Appui",M8)),0,"0")</f>
        <v>0</v>
      </c>
      <c r="CA8" s="2">
        <f t="shared" si="19"/>
        <v>75.654150000000001</v>
      </c>
      <c r="CB8" s="2">
        <f>AS8</f>
        <v>0</v>
      </c>
      <c r="CC8" s="21" t="str">
        <f t="shared" si="20"/>
        <v/>
      </c>
      <c r="CD8" s="2" t="str">
        <f>IF(ISNUMBER(SEARCH("Travée",E8)),CA8+(IF(C7&lt;C8,0,CA7)+IF(C9&gt;C8,0,CA9))/2,"")</f>
        <v/>
      </c>
      <c r="CE8" s="2" t="str">
        <f t="shared" si="21"/>
        <v/>
      </c>
      <c r="CF8" s="21" t="str">
        <f t="shared" si="22"/>
        <v/>
      </c>
      <c r="CG8" s="10" t="str">
        <f>IF(C6&lt;C8,"Rive",IF(C10&gt;C8,"Rive","Inter"))</f>
        <v>Inter</v>
      </c>
      <c r="CH8" s="21" t="str">
        <f t="shared" si="15"/>
        <v/>
      </c>
    </row>
    <row r="9" spans="1:86" x14ac:dyDescent="0.25">
      <c r="A9" t="str">
        <f t="shared" si="23"/>
        <v>Travée</v>
      </c>
      <c r="B9" t="b">
        <f t="shared" si="24"/>
        <v>0</v>
      </c>
      <c r="C9">
        <f t="shared" ref="C9:C32" si="27">IF(D9=D8,C8,C8+1)</f>
        <v>1</v>
      </c>
      <c r="D9" s="5" t="s">
        <v>104</v>
      </c>
      <c r="E9" t="s">
        <v>48</v>
      </c>
      <c r="F9" s="5">
        <v>25</v>
      </c>
      <c r="G9" t="s">
        <v>46</v>
      </c>
      <c r="H9">
        <v>500</v>
      </c>
      <c r="I9">
        <v>220000</v>
      </c>
      <c r="J9">
        <v>1576</v>
      </c>
      <c r="K9" s="10">
        <v>1870</v>
      </c>
      <c r="L9" s="12">
        <v>1</v>
      </c>
      <c r="M9" s="5">
        <v>0.23499999999999999</v>
      </c>
      <c r="N9" s="10">
        <v>4.1749999999999998</v>
      </c>
      <c r="O9" s="5">
        <v>2.1545000000000002E-3</v>
      </c>
      <c r="P9">
        <v>0.04</v>
      </c>
      <c r="Q9" s="10">
        <v>1</v>
      </c>
      <c r="R9" s="8">
        <v>0</v>
      </c>
      <c r="S9">
        <v>0</v>
      </c>
      <c r="T9">
        <v>1</v>
      </c>
      <c r="U9" s="9">
        <v>2.9099999999999999E-5</v>
      </c>
      <c r="V9">
        <v>0</v>
      </c>
      <c r="W9" s="10">
        <v>7</v>
      </c>
      <c r="X9" s="5">
        <v>82.508800000000008</v>
      </c>
      <c r="Y9">
        <v>25.0624</v>
      </c>
      <c r="Z9" s="4">
        <v>0</v>
      </c>
      <c r="AA9" s="2">
        <v>82.508800000000008</v>
      </c>
      <c r="AB9" s="2">
        <v>25.0624</v>
      </c>
      <c r="AC9" s="13">
        <v>0</v>
      </c>
      <c r="AD9" s="2">
        <v>82.508800000000008</v>
      </c>
      <c r="AE9" s="2">
        <v>25.0624</v>
      </c>
      <c r="AF9" s="2">
        <v>148.98048</v>
      </c>
      <c r="AG9" s="2"/>
      <c r="AH9" s="7">
        <v>107.5712</v>
      </c>
      <c r="AI9" s="2">
        <v>82.508800000000008</v>
      </c>
      <c r="AJ9" s="2">
        <v>25.0624</v>
      </c>
      <c r="AK9" s="2">
        <v>6.5979235326448418</v>
      </c>
      <c r="AL9" s="2">
        <v>1.8520866601750521</v>
      </c>
      <c r="AM9" s="2">
        <v>-208.04369212307299</v>
      </c>
      <c r="AN9" s="2">
        <v>-54.765435385584773</v>
      </c>
      <c r="AO9" s="2">
        <v>0</v>
      </c>
      <c r="AP9" s="2">
        <v>-75.254723530504535</v>
      </c>
      <c r="AQ9" s="2">
        <v>148.98048</v>
      </c>
      <c r="AR9" s="2">
        <v>185.37580294423111</v>
      </c>
      <c r="AS9" s="2">
        <v>257.02661781315118</v>
      </c>
      <c r="AT9" s="2">
        <v>7.7749365846187439</v>
      </c>
      <c r="AU9" s="2">
        <v>-333.04408349909158</v>
      </c>
      <c r="AV9" s="2">
        <v>0</v>
      </c>
      <c r="AW9" s="2">
        <v>-465.82881487628862</v>
      </c>
      <c r="AX9" s="1">
        <v>107.5712</v>
      </c>
      <c r="AY9" s="2">
        <v>6.1748739630418434</v>
      </c>
      <c r="AZ9" s="2">
        <v>-277.7955462225471</v>
      </c>
      <c r="BA9" s="2">
        <v>185.37580294423111</v>
      </c>
      <c r="BC9" s="1">
        <f t="shared" si="0"/>
        <v>82.508800000000008</v>
      </c>
      <c r="BD9" s="2">
        <f t="shared" si="1"/>
        <v>6.5979235326448418</v>
      </c>
      <c r="BE9" s="7">
        <f t="shared" si="2"/>
        <v>-208.04369212307299</v>
      </c>
      <c r="BF9" s="1">
        <f t="shared" si="3"/>
        <v>25.0624</v>
      </c>
      <c r="BG9" s="2">
        <f t="shared" si="4"/>
        <v>1.8520866601750521</v>
      </c>
      <c r="BH9" s="2">
        <f t="shared" si="5"/>
        <v>-54.765435385584773</v>
      </c>
      <c r="BI9" s="2">
        <f t="shared" si="5"/>
        <v>0</v>
      </c>
      <c r="BJ9" s="7">
        <f t="shared" si="5"/>
        <v>-75.254723530504535</v>
      </c>
      <c r="BK9" s="1">
        <f t="shared" si="6"/>
        <v>107.5712</v>
      </c>
      <c r="BL9" s="2">
        <f t="shared" si="6"/>
        <v>8.4500101928198941</v>
      </c>
      <c r="BM9" s="2">
        <f t="shared" si="7"/>
        <v>262.80912750865775</v>
      </c>
      <c r="BN9" s="2">
        <f t="shared" si="8"/>
        <v>0</v>
      </c>
      <c r="BO9" s="7">
        <f t="shared" si="9"/>
        <v>-75.254723530504535</v>
      </c>
      <c r="BP9" s="2"/>
      <c r="BQ9" s="1">
        <f t="shared" si="10"/>
        <v>107.5712</v>
      </c>
      <c r="BR9" s="4">
        <v>0</v>
      </c>
      <c r="BS9" s="2">
        <f>IF(ISNUMBER(SEARCH("Appui",E9)),BQ9+BR9*BQ9,IF(C8&lt;C9,BQ9-BS10*BR10/2,IF(C9&lt;C10,BQ9-(BR8*BQ8)/2,BQ9-(BS10*BR10+BR8*BQ8)/2)))</f>
        <v>107.5712</v>
      </c>
      <c r="BT9" s="2">
        <f>BA9</f>
        <v>185.37580294423111</v>
      </c>
      <c r="BU9" s="21">
        <f t="shared" si="17"/>
        <v>1.7232846983600731</v>
      </c>
      <c r="BV9" s="21">
        <f>IF(ISNUMBER(SEARCH("Travée",E9)),BS9+(IF(C8&lt;C9,0,BS8)+IF(C10&gt;C9,0,BT10))/2,"")</f>
        <v>134.88419999999999</v>
      </c>
      <c r="BW9" s="21" t="e">
        <f>IF(ISNUMBER(SEARCH("Travée",E9)),BT9+(IF(C8&lt;C9,0,BT8)+IF(C10&gt;C9,0,BU10))/2,"")</f>
        <v>#VALUE!</v>
      </c>
      <c r="BX9" s="21" t="e">
        <f t="shared" si="13"/>
        <v>#VALUE!</v>
      </c>
      <c r="BY9" s="1">
        <f t="shared" ref="BY9:BY57" si="28">AQ9</f>
        <v>148.98048</v>
      </c>
      <c r="BZ9" s="4">
        <v>0</v>
      </c>
      <c r="CA9" s="2">
        <f t="shared" si="19"/>
        <v>148.98048</v>
      </c>
      <c r="CB9" s="2">
        <f t="shared" ref="CB9:CB57" si="29">AS9</f>
        <v>257.02661781315118</v>
      </c>
      <c r="CC9" s="21">
        <f t="shared" si="20"/>
        <v>1.7252368754158343</v>
      </c>
      <c r="CD9" s="2">
        <f>IF(ISNUMBER(SEARCH("Travée",E9)),CA9+(IF(C8&lt;C9,0,CA8)+IF(C10&gt;C9,0,CA10))/2,"")</f>
        <v>224.63463000000002</v>
      </c>
      <c r="CE9" s="2">
        <f t="shared" si="21"/>
        <v>257.02661781315118</v>
      </c>
      <c r="CF9" s="21">
        <f t="shared" si="22"/>
        <v>1.1441985494985842</v>
      </c>
      <c r="CG9" s="15"/>
      <c r="CH9" s="21" t="e">
        <f t="shared" si="15"/>
        <v>#VALUE!</v>
      </c>
    </row>
    <row r="10" spans="1:86" x14ac:dyDescent="0.25">
      <c r="A10" t="str">
        <f t="shared" si="23"/>
        <v>Appui</v>
      </c>
      <c r="B10" t="b">
        <f t="shared" si="24"/>
        <v>0</v>
      </c>
      <c r="C10">
        <f t="shared" si="27"/>
        <v>1</v>
      </c>
      <c r="D10" s="5" t="s">
        <v>104</v>
      </c>
      <c r="E10" t="s">
        <v>49</v>
      </c>
      <c r="F10" s="5">
        <v>25</v>
      </c>
      <c r="G10" t="s">
        <v>46</v>
      </c>
      <c r="H10">
        <v>500</v>
      </c>
      <c r="I10">
        <v>220000</v>
      </c>
      <c r="J10">
        <v>1576</v>
      </c>
      <c r="K10" s="10">
        <v>1870</v>
      </c>
      <c r="L10" s="12">
        <v>1</v>
      </c>
      <c r="M10" s="5">
        <v>0.22</v>
      </c>
      <c r="N10" s="10">
        <v>3</v>
      </c>
      <c r="O10" s="5">
        <v>0</v>
      </c>
      <c r="P10">
        <v>0.04</v>
      </c>
      <c r="Q10" s="10">
        <v>1</v>
      </c>
      <c r="R10" s="8">
        <v>0</v>
      </c>
      <c r="S10">
        <v>0</v>
      </c>
      <c r="T10">
        <v>1</v>
      </c>
      <c r="U10" s="9">
        <v>0</v>
      </c>
      <c r="V10">
        <v>0</v>
      </c>
      <c r="W10" s="10">
        <v>0</v>
      </c>
      <c r="X10" s="5">
        <v>41.899000000000001</v>
      </c>
      <c r="Y10">
        <v>12.727</v>
      </c>
      <c r="Z10" s="4">
        <v>0</v>
      </c>
      <c r="AA10" s="2">
        <v>41.899000000000001</v>
      </c>
      <c r="AB10" s="2">
        <v>12.727</v>
      </c>
      <c r="AC10" s="13">
        <v>0</v>
      </c>
      <c r="AD10" s="2">
        <v>41.899000000000001</v>
      </c>
      <c r="AE10" s="2">
        <v>12.727</v>
      </c>
      <c r="AF10" s="2">
        <v>75.654150000000001</v>
      </c>
      <c r="AG10" s="2"/>
      <c r="AH10" s="7">
        <v>54.625999999999998</v>
      </c>
      <c r="AI10" s="2">
        <v>41.899000000000001</v>
      </c>
      <c r="AJ10" s="2">
        <v>12.727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75.654150000000001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1">
        <v>54.625999999999998</v>
      </c>
      <c r="AY10" s="2">
        <v>0</v>
      </c>
      <c r="AZ10" s="2">
        <v>0</v>
      </c>
      <c r="BA10" s="2">
        <v>0</v>
      </c>
      <c r="BC10" s="1">
        <f t="shared" si="0"/>
        <v>41.899000000000001</v>
      </c>
      <c r="BD10" s="2">
        <f t="shared" si="1"/>
        <v>0</v>
      </c>
      <c r="BE10" s="7">
        <f t="shared" si="2"/>
        <v>0</v>
      </c>
      <c r="BF10" s="1">
        <f t="shared" si="3"/>
        <v>12.727</v>
      </c>
      <c r="BG10" s="2">
        <f t="shared" si="4"/>
        <v>0</v>
      </c>
      <c r="BH10" s="2">
        <f t="shared" si="5"/>
        <v>0</v>
      </c>
      <c r="BI10" s="2">
        <f t="shared" si="5"/>
        <v>0</v>
      </c>
      <c r="BJ10" s="7">
        <f t="shared" si="5"/>
        <v>0</v>
      </c>
      <c r="BK10" s="1">
        <f t="shared" si="6"/>
        <v>54.626000000000005</v>
      </c>
      <c r="BL10" s="2">
        <f t="shared" si="6"/>
        <v>0</v>
      </c>
      <c r="BM10" s="2">
        <f t="shared" si="7"/>
        <v>0</v>
      </c>
      <c r="BN10" s="2">
        <f t="shared" si="8"/>
        <v>0</v>
      </c>
      <c r="BO10" s="7">
        <f t="shared" si="9"/>
        <v>0</v>
      </c>
      <c r="BP10" s="7"/>
      <c r="BQ10" s="1">
        <f t="shared" si="10"/>
        <v>54.625999999999998</v>
      </c>
      <c r="BR10" s="4">
        <f t="shared" ref="BR10:BR11" si="30">IF(ISNUMBER(SEARCH("Appui",E10)),0,"0")</f>
        <v>0</v>
      </c>
      <c r="BS10" s="2">
        <f>IF(ISNUMBER(SEARCH("Appui",E10)),BQ10+BR10*BQ10,IF(C9&lt;C10,BQ10-BR11*BQ11/2,IF(C10&lt;C11,BQ10-(BS9*BR9)/2,BQ10-(BR11*BQ11+BS9*BR9)/2)))</f>
        <v>54.625999999999998</v>
      </c>
      <c r="BT10" s="2">
        <f>BA10</f>
        <v>0</v>
      </c>
      <c r="BU10" s="21" t="str">
        <f t="shared" si="17"/>
        <v/>
      </c>
      <c r="BV10" s="21" t="str">
        <f>IF(ISNUMBER(SEARCH("Travée",E10)),BS10+(IF(C9&lt;C10,0,BT9)+IF(C11&gt;C10,0,BS11))/2,"")</f>
        <v/>
      </c>
      <c r="BW10" s="21" t="str">
        <f>IF(ISNUMBER(SEARCH("Travée",E10)),BT10+(IF(C9&lt;C10,0,BU9)+IF(C11&gt;C10,0,BT11))/2,"")</f>
        <v/>
      </c>
      <c r="BX10" s="21" t="str">
        <f t="shared" si="13"/>
        <v/>
      </c>
      <c r="BY10" s="1">
        <f>AQ10</f>
        <v>75.654150000000001</v>
      </c>
      <c r="BZ10" s="4" t="str">
        <f t="shared" ref="BZ10:BZ11" si="31">IF(ISNUMBER(SEARCH("Appui",M10)),0,"0")</f>
        <v>0</v>
      </c>
      <c r="CA10" s="2">
        <f t="shared" si="19"/>
        <v>75.654150000000001</v>
      </c>
      <c r="CB10" s="2">
        <f>AS10</f>
        <v>0</v>
      </c>
      <c r="CC10" s="21" t="str">
        <f t="shared" si="20"/>
        <v/>
      </c>
      <c r="CD10" s="2" t="str">
        <f t="shared" ref="CD10:CD57" si="32">IF(ISNUMBER(SEARCH("Travée",E10)),CA10+(IF(C9&lt;C10,0,CA9)+IF(C11&gt;C10,0,CA11))/2,"")</f>
        <v/>
      </c>
      <c r="CE10" s="2" t="str">
        <f t="shared" si="21"/>
        <v/>
      </c>
      <c r="CF10" s="21" t="str">
        <f t="shared" si="22"/>
        <v/>
      </c>
      <c r="CG10" s="10" t="str">
        <f>IF(C8&lt;C10,"Rive",IF(C12&gt;C10,"Rive","Inter"))</f>
        <v>Inter</v>
      </c>
      <c r="CH10" s="21" t="str">
        <f t="shared" si="15"/>
        <v/>
      </c>
    </row>
    <row r="11" spans="1:86" x14ac:dyDescent="0.25">
      <c r="A11" t="str">
        <f t="shared" si="23"/>
        <v>Travée</v>
      </c>
      <c r="B11" t="b">
        <f t="shared" si="24"/>
        <v>0</v>
      </c>
      <c r="C11">
        <f>IF(D11=D10,C10,C10+1)</f>
        <v>1</v>
      </c>
      <c r="D11" s="5" t="s">
        <v>104</v>
      </c>
      <c r="E11" t="s">
        <v>51</v>
      </c>
      <c r="F11" s="5">
        <v>25</v>
      </c>
      <c r="G11" t="s">
        <v>46</v>
      </c>
      <c r="H11">
        <v>500</v>
      </c>
      <c r="I11">
        <v>220000</v>
      </c>
      <c r="J11">
        <v>1576</v>
      </c>
      <c r="K11" s="10">
        <v>1870</v>
      </c>
      <c r="L11" s="12">
        <v>1</v>
      </c>
      <c r="M11" s="5">
        <v>0.23499999999999999</v>
      </c>
      <c r="N11" s="10">
        <v>3</v>
      </c>
      <c r="O11" s="5">
        <v>3.8400000000000001E-4</v>
      </c>
      <c r="P11">
        <v>0.04</v>
      </c>
      <c r="Q11" s="10">
        <v>1</v>
      </c>
      <c r="R11" s="8">
        <v>0</v>
      </c>
      <c r="S11">
        <v>0</v>
      </c>
      <c r="T11">
        <v>1</v>
      </c>
      <c r="U11" s="9">
        <v>2.9099999999999999E-5</v>
      </c>
      <c r="V11">
        <v>0</v>
      </c>
      <c r="W11" s="10">
        <v>7</v>
      </c>
      <c r="X11" s="5">
        <v>0.75007999999999997</v>
      </c>
      <c r="Y11">
        <v>0.22783999999999999</v>
      </c>
      <c r="Z11" s="4">
        <v>0</v>
      </c>
      <c r="AA11" s="2">
        <v>0.75007999999999997</v>
      </c>
      <c r="AB11" s="2">
        <v>0.22783999999999999</v>
      </c>
      <c r="AC11" s="13">
        <v>0</v>
      </c>
      <c r="AD11" s="2">
        <v>0.75007999999999997</v>
      </c>
      <c r="AE11" s="2">
        <v>0.22783999999999999</v>
      </c>
      <c r="AF11" s="2">
        <v>1.354368</v>
      </c>
      <c r="AG11" s="2"/>
      <c r="AH11" s="7">
        <v>0.9779199999999999</v>
      </c>
      <c r="AI11" s="2">
        <v>0.75007999999999997</v>
      </c>
      <c r="AJ11" s="2">
        <v>0.22783999999999999</v>
      </c>
      <c r="AK11" s="2">
        <v>0.15657695067640851</v>
      </c>
      <c r="AL11" s="2">
        <v>3.3770328978834127E-2</v>
      </c>
      <c r="AM11" s="2">
        <v>-10.322733406276321</v>
      </c>
      <c r="AN11" s="2">
        <v>-1.683001728498895</v>
      </c>
      <c r="AO11" s="2">
        <v>0</v>
      </c>
      <c r="AP11" s="2">
        <v>-2.2794740977567032</v>
      </c>
      <c r="AQ11" s="2">
        <v>1.354368</v>
      </c>
      <c r="AR11" s="2">
        <v>34.441460869565063</v>
      </c>
      <c r="AS11" s="2">
        <v>117.3278258371712</v>
      </c>
      <c r="AT11" s="2">
        <v>0.150947503293869</v>
      </c>
      <c r="AU11" s="2">
        <v>-10.13458999731081</v>
      </c>
      <c r="AV11" s="2">
        <v>0</v>
      </c>
      <c r="AW11" s="2">
        <v>-13.844477314203241</v>
      </c>
      <c r="AX11" s="1">
        <v>0.9779199999999999</v>
      </c>
      <c r="AY11" s="2">
        <v>0.15181599347983871</v>
      </c>
      <c r="AZ11" s="2">
        <v>-13.60228827782394</v>
      </c>
      <c r="BA11" s="2">
        <v>34.441460869565063</v>
      </c>
      <c r="BC11" s="1">
        <f t="shared" si="0"/>
        <v>0.75007999999999997</v>
      </c>
      <c r="BD11" s="2">
        <f t="shared" si="1"/>
        <v>0.15657695067640851</v>
      </c>
      <c r="BE11" s="7">
        <f t="shared" si="2"/>
        <v>-10.322733406276321</v>
      </c>
      <c r="BF11" s="1">
        <f t="shared" si="3"/>
        <v>0.22783999999999999</v>
      </c>
      <c r="BG11" s="2">
        <f t="shared" si="4"/>
        <v>3.3770328978834127E-2</v>
      </c>
      <c r="BH11" s="2">
        <f t="shared" si="5"/>
        <v>-1.683001728498895</v>
      </c>
      <c r="BI11" s="2">
        <f t="shared" si="5"/>
        <v>0</v>
      </c>
      <c r="BJ11" s="7">
        <f t="shared" si="5"/>
        <v>-2.2794740977567032</v>
      </c>
      <c r="BK11" s="1">
        <f t="shared" si="6"/>
        <v>0.9779199999999999</v>
      </c>
      <c r="BL11" s="2">
        <f t="shared" si="6"/>
        <v>0.19034727965524262</v>
      </c>
      <c r="BM11" s="2">
        <f t="shared" si="7"/>
        <v>12.005735134775215</v>
      </c>
      <c r="BN11" s="2">
        <f t="shared" si="8"/>
        <v>0</v>
      </c>
      <c r="BO11" s="7">
        <f t="shared" si="9"/>
        <v>-2.2794740977567032</v>
      </c>
      <c r="BP11" s="2"/>
      <c r="BQ11" s="1">
        <f t="shared" si="10"/>
        <v>0.9779199999999999</v>
      </c>
      <c r="BR11" s="4" t="str">
        <f t="shared" si="30"/>
        <v>0</v>
      </c>
      <c r="BS11" s="2">
        <f>IF(ISNUMBER(SEARCH("Appui",E11)),BQ11+BR11*BQ11,IF(C10&lt;C11,BQ11-BR12*BQ12/2,IF(C11&lt;C12,BQ11-(BS10*BR10)/2,BQ11-(BR12*BQ12+BS10*BR10)/2)))</f>
        <v>0.9779199999999999</v>
      </c>
      <c r="BT11" s="2">
        <f>BA11</f>
        <v>34.441460869565063</v>
      </c>
      <c r="BU11" s="21">
        <f t="shared" si="17"/>
        <v>35.21909856590014</v>
      </c>
      <c r="BV11" s="21">
        <f>IF(ISNUMBER(SEARCH("Travée",E11)),BS11+(IF(C10&lt;C11,0,BT10)+IF(C12&gt;C11,0,BS12))/2,"")</f>
        <v>1.39812</v>
      </c>
      <c r="BW11" s="21" t="e">
        <f>IF(ISNUMBER(SEARCH("Travée",E11)),BT11+(IF(C10&lt;C11,0,BU10)+IF(C12&gt;C11,0,BT12))/2,"")</f>
        <v>#VALUE!</v>
      </c>
      <c r="BX11" s="21" t="e">
        <f t="shared" si="13"/>
        <v>#VALUE!</v>
      </c>
      <c r="BY11" s="1">
        <f>AQ11</f>
        <v>1.354368</v>
      </c>
      <c r="BZ11" s="4" t="str">
        <f t="shared" si="31"/>
        <v>0</v>
      </c>
      <c r="CA11" s="2">
        <f t="shared" si="19"/>
        <v>1.354368</v>
      </c>
      <c r="CB11" s="2">
        <f>AS11</f>
        <v>117.3278258371712</v>
      </c>
      <c r="CC11" s="21">
        <f t="shared" si="20"/>
        <v>86.629207008118328</v>
      </c>
      <c r="CD11" s="2">
        <f t="shared" si="32"/>
        <v>39.763398000000002</v>
      </c>
      <c r="CE11" s="2">
        <f t="shared" si="21"/>
        <v>117.3278258371712</v>
      </c>
      <c r="CF11" s="21">
        <f t="shared" si="22"/>
        <v>2.9506488815963667</v>
      </c>
      <c r="CG11" s="10" t="str">
        <f>IF(C9&lt;C11,"Rive",IF(C13&gt;C11,"Rive","Inter"))</f>
        <v>Inter</v>
      </c>
      <c r="CH11" s="21" t="e">
        <f t="shared" si="15"/>
        <v>#VALUE!</v>
      </c>
    </row>
    <row r="12" spans="1:86" x14ac:dyDescent="0.25">
      <c r="A12" t="str">
        <f t="shared" si="23"/>
        <v>Appui</v>
      </c>
      <c r="B12" t="b">
        <f t="shared" si="24"/>
        <v>0</v>
      </c>
      <c r="C12">
        <f t="shared" si="27"/>
        <v>1</v>
      </c>
      <c r="D12" s="5" t="s">
        <v>104</v>
      </c>
      <c r="E12" t="s">
        <v>52</v>
      </c>
      <c r="F12" s="5">
        <v>25</v>
      </c>
      <c r="G12" t="s">
        <v>46</v>
      </c>
      <c r="H12">
        <v>500</v>
      </c>
      <c r="I12">
        <v>220000</v>
      </c>
      <c r="J12">
        <v>1576</v>
      </c>
      <c r="K12" s="10">
        <v>1870</v>
      </c>
      <c r="L12" s="12">
        <v>1</v>
      </c>
      <c r="M12" s="5">
        <v>0.25</v>
      </c>
      <c r="N12" s="10">
        <v>3</v>
      </c>
      <c r="O12" s="5">
        <v>0</v>
      </c>
      <c r="P12">
        <v>6.9999999999999993E-2</v>
      </c>
      <c r="Q12" s="10">
        <v>1</v>
      </c>
      <c r="R12" s="8">
        <v>0</v>
      </c>
      <c r="S12">
        <v>0</v>
      </c>
      <c r="T12">
        <v>1</v>
      </c>
      <c r="U12" s="9">
        <v>0</v>
      </c>
      <c r="V12">
        <v>0</v>
      </c>
      <c r="W12" s="10">
        <v>0</v>
      </c>
      <c r="X12" s="5">
        <v>0.64460000000000006</v>
      </c>
      <c r="Y12">
        <v>0.1958</v>
      </c>
      <c r="Z12" s="4">
        <v>0</v>
      </c>
      <c r="AA12" s="2">
        <v>0.64460000000000006</v>
      </c>
      <c r="AB12" s="2">
        <v>0.1958</v>
      </c>
      <c r="AC12" s="13">
        <v>0.25</v>
      </c>
      <c r="AD12" s="2">
        <v>0.48344999999999999</v>
      </c>
      <c r="AE12" s="2">
        <v>0.35694999999999999</v>
      </c>
      <c r="AF12" s="2">
        <v>1.16391</v>
      </c>
      <c r="AG12" s="2"/>
      <c r="AH12" s="7">
        <v>0.84040000000000004</v>
      </c>
      <c r="AI12" s="2">
        <v>0.48344999999999999</v>
      </c>
      <c r="AJ12" s="2">
        <v>0.35694999999999999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1.16391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1">
        <v>0.84040000000000004</v>
      </c>
      <c r="AY12" s="2">
        <v>0</v>
      </c>
      <c r="AZ12" s="2">
        <v>0</v>
      </c>
      <c r="BA12" s="2">
        <v>0</v>
      </c>
      <c r="BC12" s="1">
        <f t="shared" si="0"/>
        <v>0.48344999999999999</v>
      </c>
      <c r="BD12" s="2">
        <f t="shared" si="1"/>
        <v>0</v>
      </c>
      <c r="BE12" s="7">
        <f t="shared" si="2"/>
        <v>0</v>
      </c>
      <c r="BF12" s="1">
        <f t="shared" si="3"/>
        <v>0.35694999999999999</v>
      </c>
      <c r="BG12" s="2">
        <f t="shared" si="4"/>
        <v>0</v>
      </c>
      <c r="BH12" s="2">
        <f t="shared" si="5"/>
        <v>0</v>
      </c>
      <c r="BI12" s="2">
        <f t="shared" si="5"/>
        <v>0</v>
      </c>
      <c r="BJ12" s="7">
        <f t="shared" si="5"/>
        <v>0</v>
      </c>
      <c r="BK12" s="1">
        <f t="shared" si="6"/>
        <v>0.84040000000000004</v>
      </c>
      <c r="BL12" s="2">
        <f t="shared" si="6"/>
        <v>0</v>
      </c>
      <c r="BM12" s="2">
        <f t="shared" si="7"/>
        <v>0</v>
      </c>
      <c r="BN12" s="2">
        <f t="shared" si="8"/>
        <v>0</v>
      </c>
      <c r="BO12" s="7">
        <f t="shared" si="9"/>
        <v>0</v>
      </c>
      <c r="BP12" s="2"/>
      <c r="BQ12" s="1">
        <f t="shared" si="10"/>
        <v>0.84040000000000004</v>
      </c>
      <c r="BR12" s="4">
        <v>0</v>
      </c>
      <c r="BS12" s="2">
        <f t="shared" si="16"/>
        <v>0.84040000000000004</v>
      </c>
      <c r="BT12" s="2">
        <f t="shared" ref="BT12" si="33">BA12</f>
        <v>0</v>
      </c>
      <c r="BU12" s="21" t="str">
        <f t="shared" si="17"/>
        <v/>
      </c>
      <c r="BV12" s="21" t="str">
        <f t="shared" si="18"/>
        <v/>
      </c>
      <c r="BW12" s="21" t="str">
        <f t="shared" si="12"/>
        <v/>
      </c>
      <c r="BX12" s="21" t="str">
        <f t="shared" si="13"/>
        <v/>
      </c>
      <c r="BY12" s="1">
        <f t="shared" ref="BY12" si="34">AQ12</f>
        <v>1.16391</v>
      </c>
      <c r="BZ12" s="4">
        <v>0</v>
      </c>
      <c r="CA12" s="2">
        <f t="shared" si="19"/>
        <v>1.16391</v>
      </c>
      <c r="CB12" s="2">
        <f t="shared" ref="CB12" si="35">AS12</f>
        <v>0</v>
      </c>
      <c r="CC12" s="21" t="str">
        <f t="shared" si="20"/>
        <v/>
      </c>
      <c r="CD12" s="2" t="str">
        <f t="shared" si="32"/>
        <v/>
      </c>
      <c r="CE12" s="2" t="str">
        <f t="shared" si="21"/>
        <v/>
      </c>
      <c r="CF12" s="21" t="str">
        <f t="shared" si="22"/>
        <v/>
      </c>
      <c r="CG12" s="15"/>
      <c r="CH12" s="21" t="str">
        <f t="shared" si="15"/>
        <v/>
      </c>
    </row>
    <row r="13" spans="1:86" x14ac:dyDescent="0.25">
      <c r="A13" t="str">
        <f t="shared" si="23"/>
        <v>Travée</v>
      </c>
      <c r="B13" t="b">
        <f t="shared" si="24"/>
        <v>0</v>
      </c>
      <c r="C13">
        <f t="shared" si="27"/>
        <v>1</v>
      </c>
      <c r="D13" s="5" t="s">
        <v>104</v>
      </c>
      <c r="E13" t="s">
        <v>53</v>
      </c>
      <c r="F13" s="5">
        <v>25</v>
      </c>
      <c r="G13" t="s">
        <v>46</v>
      </c>
      <c r="H13">
        <v>500</v>
      </c>
      <c r="I13">
        <v>220000</v>
      </c>
      <c r="J13">
        <v>1576</v>
      </c>
      <c r="K13" s="10">
        <v>1870</v>
      </c>
      <c r="L13" s="12">
        <v>1</v>
      </c>
      <c r="M13" s="5">
        <v>0.23499999999999999</v>
      </c>
      <c r="N13" s="10">
        <v>3</v>
      </c>
      <c r="O13" s="5">
        <v>3.8400000000000001E-4</v>
      </c>
      <c r="P13">
        <v>0.04</v>
      </c>
      <c r="Q13" s="10">
        <v>1</v>
      </c>
      <c r="R13" s="8">
        <v>0</v>
      </c>
      <c r="S13">
        <v>0</v>
      </c>
      <c r="T13">
        <v>1</v>
      </c>
      <c r="U13" s="9">
        <v>2.9099999999999999E-5</v>
      </c>
      <c r="V13">
        <v>0</v>
      </c>
      <c r="W13" s="10">
        <v>7</v>
      </c>
      <c r="X13" s="5">
        <v>0.75007999999999997</v>
      </c>
      <c r="Y13">
        <v>0.22783999999999999</v>
      </c>
      <c r="Z13" s="4">
        <v>0</v>
      </c>
      <c r="AA13" s="2">
        <v>0.75007999999999997</v>
      </c>
      <c r="AB13" s="2">
        <v>0.22783999999999999</v>
      </c>
      <c r="AC13" s="13">
        <v>0.5</v>
      </c>
      <c r="AD13" s="2">
        <v>0.37503999999999998</v>
      </c>
      <c r="AE13" s="2">
        <v>0.60287999999999997</v>
      </c>
      <c r="AF13" s="2">
        <v>1.354368</v>
      </c>
      <c r="AG13" s="2"/>
      <c r="AH13" s="7">
        <v>0.9779199999999999</v>
      </c>
      <c r="AI13" s="2">
        <v>0.37503999999999998</v>
      </c>
      <c r="AJ13" s="2">
        <v>0.60287999999999997</v>
      </c>
      <c r="AK13" s="2">
        <v>7.8302175179609093E-2</v>
      </c>
      <c r="AL13" s="2">
        <v>8.989222916785386E-2</v>
      </c>
      <c r="AM13" s="2">
        <v>-5.1612436986087369</v>
      </c>
      <c r="AN13" s="2">
        <v>-4.4714022654179866</v>
      </c>
      <c r="AO13" s="2">
        <v>0</v>
      </c>
      <c r="AP13" s="2">
        <v>-6.0563566061068501</v>
      </c>
      <c r="AQ13" s="2">
        <v>1.354368</v>
      </c>
      <c r="AR13" s="2">
        <v>34.441460869565063</v>
      </c>
      <c r="AS13" s="2">
        <v>117.3278258371712</v>
      </c>
      <c r="AT13" s="2">
        <v>0.150947503293869</v>
      </c>
      <c r="AU13" s="2">
        <v>-10.13458999731081</v>
      </c>
      <c r="AV13" s="2">
        <v>0</v>
      </c>
      <c r="AW13" s="2">
        <v>-13.844477314203241</v>
      </c>
      <c r="AX13" s="1">
        <v>0.9779199999999999</v>
      </c>
      <c r="AY13" s="2">
        <v>0.15181599347983871</v>
      </c>
      <c r="AZ13" s="2">
        <v>-13.60228827782394</v>
      </c>
      <c r="BA13" s="2">
        <v>34.441460869565063</v>
      </c>
      <c r="BC13" s="1">
        <f t="shared" si="0"/>
        <v>0.37503999999999998</v>
      </c>
      <c r="BD13" s="2">
        <f t="shared" si="1"/>
        <v>7.8302175179609093E-2</v>
      </c>
      <c r="BE13" s="7">
        <f t="shared" si="2"/>
        <v>-5.1612436986087369</v>
      </c>
      <c r="BF13" s="1">
        <f t="shared" si="3"/>
        <v>0.60287999999999997</v>
      </c>
      <c r="BG13" s="2">
        <f t="shared" si="4"/>
        <v>8.989222916785386E-2</v>
      </c>
      <c r="BH13" s="2">
        <f t="shared" si="5"/>
        <v>-4.4714022654179866</v>
      </c>
      <c r="BI13" s="2">
        <f t="shared" si="5"/>
        <v>0</v>
      </c>
      <c r="BJ13" s="7">
        <f t="shared" si="5"/>
        <v>-6.0563566061068501</v>
      </c>
      <c r="BK13" s="1">
        <f t="shared" si="6"/>
        <v>0.9779199999999999</v>
      </c>
      <c r="BL13" s="2">
        <f t="shared" si="6"/>
        <v>0.16819440434746297</v>
      </c>
      <c r="BM13" s="2">
        <f t="shared" si="7"/>
        <v>9.6326459640267235</v>
      </c>
      <c r="BN13" s="2">
        <f t="shared" si="8"/>
        <v>0</v>
      </c>
      <c r="BO13" s="7">
        <f t="shared" si="9"/>
        <v>-6.0563566061068501</v>
      </c>
      <c r="BP13" s="2"/>
      <c r="BQ13" s="1">
        <f>AX13</f>
        <v>0.9779199999999999</v>
      </c>
      <c r="BR13" s="4" t="str">
        <f t="shared" ref="BR13" si="36">IF(ISNUMBER(SEARCH("Appui",E13)),0,"0")</f>
        <v>0</v>
      </c>
      <c r="BS13" s="2">
        <f t="shared" si="16"/>
        <v>0.9779199999999999</v>
      </c>
      <c r="BT13" s="2">
        <f>BA13</f>
        <v>34.441460869565063</v>
      </c>
      <c r="BU13" s="21">
        <f t="shared" si="17"/>
        <v>35.21909856590014</v>
      </c>
      <c r="BV13" s="21">
        <f t="shared" si="18"/>
        <v>25.464120000000001</v>
      </c>
      <c r="BW13" s="21">
        <f t="shared" si="12"/>
        <v>47.177488287694473</v>
      </c>
      <c r="BX13" s="21">
        <f t="shared" si="13"/>
        <v>1.8527044440449727</v>
      </c>
      <c r="BY13" s="1">
        <f>AQ13</f>
        <v>1.354368</v>
      </c>
      <c r="BZ13" s="4" t="str">
        <f t="shared" ref="BZ13" si="37">IF(ISNUMBER(SEARCH("Appui",M13)),0,"0")</f>
        <v>0</v>
      </c>
      <c r="CA13" s="2">
        <f t="shared" si="19"/>
        <v>1.354368</v>
      </c>
      <c r="CB13" s="2">
        <f>AS13</f>
        <v>117.3278258371712</v>
      </c>
      <c r="CC13" s="21">
        <f t="shared" si="20"/>
        <v>86.629207008118328</v>
      </c>
      <c r="CD13" s="2">
        <f t="shared" si="32"/>
        <v>35.266473000000005</v>
      </c>
      <c r="CE13" s="2">
        <f t="shared" si="21"/>
        <v>130.06385325530061</v>
      </c>
      <c r="CF13" s="21">
        <f t="shared" si="22"/>
        <v>3.6880312146695418</v>
      </c>
      <c r="CG13" s="10" t="str">
        <f>IF(C11&lt;C13,"Rive",IF(C15&gt;C13,"Rive","Inter"))</f>
        <v>Inter</v>
      </c>
      <c r="CH13" s="21">
        <f t="shared" si="15"/>
        <v>1.3377433089975985</v>
      </c>
    </row>
    <row r="14" spans="1:86" x14ac:dyDescent="0.25">
      <c r="A14" t="str">
        <f t="shared" si="23"/>
        <v>Appui</v>
      </c>
      <c r="B14" t="b">
        <f t="shared" si="24"/>
        <v>0</v>
      </c>
      <c r="C14">
        <f t="shared" si="27"/>
        <v>1</v>
      </c>
      <c r="D14" s="5" t="s">
        <v>104</v>
      </c>
      <c r="E14" t="s">
        <v>54</v>
      </c>
      <c r="F14" s="5">
        <v>25</v>
      </c>
      <c r="G14" t="s">
        <v>46</v>
      </c>
      <c r="H14">
        <v>500</v>
      </c>
      <c r="I14">
        <v>220000</v>
      </c>
      <c r="J14">
        <v>1576</v>
      </c>
      <c r="K14" s="10">
        <v>1870</v>
      </c>
      <c r="L14" s="12">
        <v>1</v>
      </c>
      <c r="M14" s="5">
        <v>0.22</v>
      </c>
      <c r="N14" s="10">
        <v>3</v>
      </c>
      <c r="O14" s="5">
        <v>0</v>
      </c>
      <c r="P14">
        <v>0.04</v>
      </c>
      <c r="Q14" s="10">
        <v>1</v>
      </c>
      <c r="R14" s="8">
        <v>3.0799666758620691E-4</v>
      </c>
      <c r="S14">
        <v>0.04</v>
      </c>
      <c r="T14">
        <v>1</v>
      </c>
      <c r="U14" s="9">
        <v>0</v>
      </c>
      <c r="V14">
        <v>0</v>
      </c>
      <c r="W14" s="10">
        <v>0</v>
      </c>
      <c r="X14" s="5">
        <v>36.917999999999999</v>
      </c>
      <c r="Y14">
        <v>11.214</v>
      </c>
      <c r="Z14" s="4">
        <v>0</v>
      </c>
      <c r="AA14" s="2">
        <v>36.917999999999999</v>
      </c>
      <c r="AB14" s="2">
        <v>11.214</v>
      </c>
      <c r="AC14" s="13">
        <v>0.5</v>
      </c>
      <c r="AD14" s="2">
        <v>18.459</v>
      </c>
      <c r="AE14" s="2">
        <v>29.672999999999998</v>
      </c>
      <c r="AF14" s="2">
        <v>66.660300000000007</v>
      </c>
      <c r="AG14" s="2"/>
      <c r="AH14" s="7">
        <v>48.131999999999998</v>
      </c>
      <c r="AI14" s="2">
        <v>18.459</v>
      </c>
      <c r="AJ14" s="2">
        <v>29.672999999999998</v>
      </c>
      <c r="AK14" s="2">
        <v>0</v>
      </c>
      <c r="AL14" s="2">
        <v>7.706836920401595</v>
      </c>
      <c r="AM14" s="2">
        <v>0</v>
      </c>
      <c r="AN14" s="2">
        <v>-551.09777586528355</v>
      </c>
      <c r="AO14" s="2">
        <v>-551.09777586528355</v>
      </c>
      <c r="AP14" s="2">
        <v>0</v>
      </c>
      <c r="AQ14" s="2">
        <v>66.660300000000007</v>
      </c>
      <c r="AR14" s="2">
        <v>0</v>
      </c>
      <c r="AS14" s="2">
        <v>25.47205483625882</v>
      </c>
      <c r="AT14" s="2">
        <v>0</v>
      </c>
      <c r="AU14" s="2">
        <v>0</v>
      </c>
      <c r="AV14" s="2">
        <v>0</v>
      </c>
      <c r="AW14" s="2">
        <v>0</v>
      </c>
      <c r="AX14" s="1">
        <v>48.131999999999998</v>
      </c>
      <c r="AY14" s="2">
        <v>0</v>
      </c>
      <c r="AZ14" s="2">
        <v>0</v>
      </c>
      <c r="BA14" s="2">
        <v>25.47205483625882</v>
      </c>
      <c r="BC14" s="1">
        <f t="shared" si="0"/>
        <v>18.459</v>
      </c>
      <c r="BD14" s="2">
        <f t="shared" si="1"/>
        <v>0</v>
      </c>
      <c r="BE14" s="7">
        <f t="shared" si="2"/>
        <v>0</v>
      </c>
      <c r="BF14" s="1">
        <f t="shared" si="3"/>
        <v>29.672999999999998</v>
      </c>
      <c r="BG14" s="2">
        <f t="shared" si="4"/>
        <v>7.706836920401595</v>
      </c>
      <c r="BH14" s="2">
        <f t="shared" si="5"/>
        <v>-551.09777586528355</v>
      </c>
      <c r="BI14" s="2">
        <f t="shared" si="5"/>
        <v>-551.09777586528355</v>
      </c>
      <c r="BJ14" s="7">
        <f t="shared" si="5"/>
        <v>0</v>
      </c>
      <c r="BK14" s="1">
        <f t="shared" si="6"/>
        <v>48.131999999999998</v>
      </c>
      <c r="BL14" s="2">
        <f t="shared" si="6"/>
        <v>7.706836920401595</v>
      </c>
      <c r="BM14" s="2">
        <f t="shared" si="7"/>
        <v>551.09777586528355</v>
      </c>
      <c r="BN14" s="2">
        <f t="shared" si="8"/>
        <v>551.09777586528355</v>
      </c>
      <c r="BO14" s="7">
        <f t="shared" si="9"/>
        <v>0</v>
      </c>
      <c r="BP14" s="2"/>
      <c r="BQ14" s="1">
        <f t="shared" ref="BQ14:BQ16" si="38">AX14</f>
        <v>48.131999999999998</v>
      </c>
      <c r="BR14" s="4">
        <v>0</v>
      </c>
      <c r="BS14" s="2">
        <f t="shared" si="16"/>
        <v>48.131999999999998</v>
      </c>
      <c r="BT14" s="2">
        <f t="shared" ref="BT14:BT16" si="39">BA14</f>
        <v>25.47205483625882</v>
      </c>
      <c r="BU14" s="21">
        <f t="shared" si="17"/>
        <v>0.52921247478307198</v>
      </c>
      <c r="BV14" s="21" t="str">
        <f t="shared" si="18"/>
        <v/>
      </c>
      <c r="BW14" s="21" t="str">
        <f t="shared" si="12"/>
        <v/>
      </c>
      <c r="BX14" s="21" t="str">
        <f t="shared" si="13"/>
        <v/>
      </c>
      <c r="BY14" s="1">
        <f t="shared" ref="BY14:BY16" si="40">AQ14</f>
        <v>66.660300000000007</v>
      </c>
      <c r="BZ14" s="4">
        <v>0</v>
      </c>
      <c r="CA14" s="2">
        <f t="shared" si="19"/>
        <v>66.660300000000007</v>
      </c>
      <c r="CB14" s="2">
        <f t="shared" ref="CB14:CB16" si="41">AS14</f>
        <v>25.47205483625882</v>
      </c>
      <c r="CC14" s="21">
        <f t="shared" si="20"/>
        <v>0.38211731474744065</v>
      </c>
      <c r="CD14" s="2" t="str">
        <f t="shared" si="32"/>
        <v/>
      </c>
      <c r="CE14" s="2" t="str">
        <f t="shared" si="21"/>
        <v/>
      </c>
      <c r="CF14" s="21" t="str">
        <f t="shared" si="22"/>
        <v/>
      </c>
      <c r="CG14" s="15"/>
      <c r="CH14" s="21" t="str">
        <f t="shared" si="15"/>
        <v/>
      </c>
    </row>
    <row r="15" spans="1:86" x14ac:dyDescent="0.25">
      <c r="A15" t="str">
        <f t="shared" si="23"/>
        <v>Travée</v>
      </c>
      <c r="B15" t="b">
        <f t="shared" si="24"/>
        <v>0</v>
      </c>
      <c r="C15">
        <f t="shared" si="27"/>
        <v>1</v>
      </c>
      <c r="D15" s="5" t="s">
        <v>104</v>
      </c>
      <c r="E15" t="s">
        <v>55</v>
      </c>
      <c r="F15" s="5">
        <v>25</v>
      </c>
      <c r="G15" t="s">
        <v>46</v>
      </c>
      <c r="H15">
        <v>500</v>
      </c>
      <c r="I15">
        <v>220000</v>
      </c>
      <c r="J15">
        <v>1576</v>
      </c>
      <c r="K15" s="10">
        <v>1870</v>
      </c>
      <c r="L15" s="12">
        <v>1</v>
      </c>
      <c r="M15" s="5">
        <v>0.23499999999999999</v>
      </c>
      <c r="N15" s="10">
        <v>4.1749999999999998</v>
      </c>
      <c r="O15" s="5">
        <v>1.6169999999999999E-3</v>
      </c>
      <c r="P15">
        <v>0.04</v>
      </c>
      <c r="Q15" s="10">
        <v>1</v>
      </c>
      <c r="R15" s="8">
        <v>0</v>
      </c>
      <c r="S15">
        <v>0</v>
      </c>
      <c r="T15">
        <v>1</v>
      </c>
      <c r="U15" s="9">
        <v>2.9099999999999999E-5</v>
      </c>
      <c r="V15">
        <v>0</v>
      </c>
      <c r="W15" s="10">
        <v>7</v>
      </c>
      <c r="X15" s="5">
        <v>58.599999999999987</v>
      </c>
      <c r="Y15">
        <v>17.8</v>
      </c>
      <c r="Z15" s="4">
        <v>0</v>
      </c>
      <c r="AA15" s="2">
        <v>58.599999999999987</v>
      </c>
      <c r="AB15" s="2">
        <v>17.8</v>
      </c>
      <c r="AC15" s="13">
        <v>0.5</v>
      </c>
      <c r="AD15" s="2">
        <v>29.3</v>
      </c>
      <c r="AE15" s="2">
        <v>47.099999999999987</v>
      </c>
      <c r="AF15" s="2">
        <v>105.81</v>
      </c>
      <c r="AG15" s="2"/>
      <c r="AH15" s="7">
        <v>76.399999999999991</v>
      </c>
      <c r="AI15" s="2">
        <v>29.3</v>
      </c>
      <c r="AJ15" s="2">
        <v>47.099999999999987</v>
      </c>
      <c r="AK15" s="2">
        <v>2.6495077306657828</v>
      </c>
      <c r="AL15" s="2">
        <v>3.849100347561103</v>
      </c>
      <c r="AM15" s="2">
        <v>-97.764395881827454</v>
      </c>
      <c r="AN15" s="2">
        <v>-130.42885717034039</v>
      </c>
      <c r="AO15" s="2">
        <v>0</v>
      </c>
      <c r="AP15" s="2">
        <v>-178.42046324196539</v>
      </c>
      <c r="AQ15" s="2">
        <v>105.81</v>
      </c>
      <c r="AR15" s="2">
        <v>142.6007553479555</v>
      </c>
      <c r="AS15" s="2">
        <v>215.5728637086456</v>
      </c>
      <c r="AT15" s="2">
        <v>6.1922883592442624</v>
      </c>
      <c r="AU15" s="2">
        <v>-298.53193064769857</v>
      </c>
      <c r="AV15" s="2">
        <v>0</v>
      </c>
      <c r="AW15" s="2">
        <v>-414.45123875803682</v>
      </c>
      <c r="AX15" s="1">
        <v>76.399999999999991</v>
      </c>
      <c r="AY15" s="2">
        <v>4.9993461638780401</v>
      </c>
      <c r="AZ15" s="2">
        <v>-260.07746830093879</v>
      </c>
      <c r="BA15" s="2">
        <v>142.6007553479555</v>
      </c>
      <c r="BC15" s="1">
        <f t="shared" si="0"/>
        <v>29.3</v>
      </c>
      <c r="BD15" s="2">
        <f t="shared" si="1"/>
        <v>2.6495077306657828</v>
      </c>
      <c r="BE15" s="7">
        <f t="shared" si="2"/>
        <v>-97.764395881827454</v>
      </c>
      <c r="BF15" s="1">
        <f t="shared" si="3"/>
        <v>47.099999999999987</v>
      </c>
      <c r="BG15" s="2">
        <f t="shared" si="4"/>
        <v>3.849100347561103</v>
      </c>
      <c r="BH15" s="2">
        <f t="shared" si="5"/>
        <v>-130.42885717034039</v>
      </c>
      <c r="BI15" s="2">
        <f t="shared" si="5"/>
        <v>0</v>
      </c>
      <c r="BJ15" s="7">
        <f t="shared" si="5"/>
        <v>-178.42046324196539</v>
      </c>
      <c r="BK15" s="1">
        <f t="shared" si="6"/>
        <v>76.399999999999991</v>
      </c>
      <c r="BL15" s="2">
        <f t="shared" si="6"/>
        <v>6.4986080782268854</v>
      </c>
      <c r="BM15" s="2">
        <f t="shared" si="7"/>
        <v>228.19325305216785</v>
      </c>
      <c r="BN15" s="2">
        <f t="shared" si="8"/>
        <v>0</v>
      </c>
      <c r="BO15" s="7">
        <f t="shared" si="9"/>
        <v>-178.42046324196539</v>
      </c>
      <c r="BP15" s="2"/>
      <c r="BQ15" s="1">
        <f>AX15</f>
        <v>76.399999999999991</v>
      </c>
      <c r="BR15" s="4" t="str">
        <f t="shared" ref="BR15" si="42">IF(ISNUMBER(SEARCH("Appui",E15)),0,"0")</f>
        <v>0</v>
      </c>
      <c r="BS15" s="2">
        <f t="shared" si="16"/>
        <v>76.399999999999991</v>
      </c>
      <c r="BT15" s="2">
        <f>BA15</f>
        <v>142.6007553479555</v>
      </c>
      <c r="BU15" s="21">
        <f t="shared" si="17"/>
        <v>1.8665020333502031</v>
      </c>
      <c r="BV15" s="21">
        <f t="shared" si="18"/>
        <v>119.56599999999999</v>
      </c>
      <c r="BW15" s="21">
        <f t="shared" si="12"/>
        <v>185.11397363090259</v>
      </c>
      <c r="BX15" s="21">
        <f t="shared" si="13"/>
        <v>1.5482158275003146</v>
      </c>
      <c r="BY15" s="1">
        <f>AQ15</f>
        <v>105.81</v>
      </c>
      <c r="BZ15" s="4" t="str">
        <f t="shared" ref="BZ15" si="43">IF(ISNUMBER(SEARCH("Appui",M15)),0,"0")</f>
        <v>0</v>
      </c>
      <c r="CA15" s="2">
        <f t="shared" si="19"/>
        <v>105.81</v>
      </c>
      <c r="CB15" s="2">
        <f>AS15</f>
        <v>215.5728637086456</v>
      </c>
      <c r="CC15" s="21">
        <f t="shared" si="20"/>
        <v>2.0373581297480916</v>
      </c>
      <c r="CD15" s="2">
        <f t="shared" si="32"/>
        <v>165.59264999999999</v>
      </c>
      <c r="CE15" s="2">
        <f t="shared" si="21"/>
        <v>258.08608199159266</v>
      </c>
      <c r="CF15" s="21">
        <f t="shared" si="22"/>
        <v>1.558560008500333</v>
      </c>
      <c r="CG15" s="10" t="str">
        <f>IF(C13&lt;C15,"Rive",IF(C17&gt;C15,"Rive","Inter"))</f>
        <v>Inter</v>
      </c>
      <c r="CH15" s="21">
        <f t="shared" si="15"/>
        <v>1.1178876214065214</v>
      </c>
    </row>
    <row r="16" spans="1:86" x14ac:dyDescent="0.25">
      <c r="A16" t="str">
        <f t="shared" si="23"/>
        <v>Appui</v>
      </c>
      <c r="B16" t="b">
        <f t="shared" si="24"/>
        <v>0</v>
      </c>
      <c r="C16">
        <f t="shared" si="27"/>
        <v>1</v>
      </c>
      <c r="D16" s="5" t="s">
        <v>104</v>
      </c>
      <c r="E16" t="s">
        <v>56</v>
      </c>
      <c r="F16" s="5">
        <v>25</v>
      </c>
      <c r="G16" t="s">
        <v>46</v>
      </c>
      <c r="H16">
        <v>500</v>
      </c>
      <c r="I16">
        <v>220000</v>
      </c>
      <c r="J16">
        <v>1576</v>
      </c>
      <c r="K16" s="10">
        <v>1870</v>
      </c>
      <c r="L16" s="12">
        <v>1</v>
      </c>
      <c r="M16" s="5">
        <v>0.25</v>
      </c>
      <c r="N16" s="10">
        <v>5.35</v>
      </c>
      <c r="O16" s="5">
        <v>0</v>
      </c>
      <c r="P16">
        <v>6.9999999999999993E-2</v>
      </c>
      <c r="Q16" s="10">
        <v>1</v>
      </c>
      <c r="R16" s="8">
        <v>6.1599333517241381E-4</v>
      </c>
      <c r="S16">
        <v>0.04</v>
      </c>
      <c r="T16">
        <v>1</v>
      </c>
      <c r="U16" s="9">
        <v>0</v>
      </c>
      <c r="V16">
        <v>0</v>
      </c>
      <c r="W16" s="10">
        <v>0</v>
      </c>
      <c r="X16" s="5">
        <v>29.3</v>
      </c>
      <c r="Y16">
        <v>8.9</v>
      </c>
      <c r="Z16" s="4">
        <v>0</v>
      </c>
      <c r="AA16" s="2">
        <v>29.3</v>
      </c>
      <c r="AB16" s="2">
        <v>8.9</v>
      </c>
      <c r="AC16" s="13">
        <v>0.5</v>
      </c>
      <c r="AD16" s="2">
        <v>14.65</v>
      </c>
      <c r="AE16" s="2">
        <v>23.55</v>
      </c>
      <c r="AF16" s="2">
        <v>52.905000000000001</v>
      </c>
      <c r="AG16" s="2"/>
      <c r="AH16" s="7">
        <v>38.200000000000003</v>
      </c>
      <c r="AI16" s="2">
        <v>14.65</v>
      </c>
      <c r="AJ16" s="2">
        <v>23.55</v>
      </c>
      <c r="AK16" s="2">
        <v>0</v>
      </c>
      <c r="AL16" s="2">
        <v>2.58074994946876</v>
      </c>
      <c r="AM16" s="2">
        <v>0</v>
      </c>
      <c r="AN16" s="2">
        <v>-158.07940042029671</v>
      </c>
      <c r="AO16" s="2">
        <v>-187.1590186233241</v>
      </c>
      <c r="AP16" s="2">
        <v>0</v>
      </c>
      <c r="AQ16" s="2">
        <v>52.905000000000001</v>
      </c>
      <c r="AR16" s="2">
        <v>0</v>
      </c>
      <c r="AS16" s="2">
        <v>59.554381729635352</v>
      </c>
      <c r="AT16" s="2">
        <v>4.1262190372800607</v>
      </c>
      <c r="AU16" s="2">
        <v>-356.77495427470109</v>
      </c>
      <c r="AV16" s="2">
        <v>-425.07575204475393</v>
      </c>
      <c r="AW16" s="2">
        <v>0</v>
      </c>
      <c r="AX16" s="1">
        <v>38.200000000000003</v>
      </c>
      <c r="AY16" s="2">
        <v>3.0187639728769811</v>
      </c>
      <c r="AZ16" s="2">
        <v>-257.53851385940249</v>
      </c>
      <c r="BA16" s="2">
        <v>59.554381729635352</v>
      </c>
      <c r="BC16" s="1">
        <f t="shared" si="0"/>
        <v>14.65</v>
      </c>
      <c r="BD16" s="2">
        <f t="shared" si="1"/>
        <v>0</v>
      </c>
      <c r="BE16" s="7">
        <f t="shared" si="2"/>
        <v>0</v>
      </c>
      <c r="BF16" s="1">
        <f t="shared" si="3"/>
        <v>23.55</v>
      </c>
      <c r="BG16" s="2">
        <f t="shared" si="4"/>
        <v>2.58074994946876</v>
      </c>
      <c r="BH16" s="2">
        <f t="shared" si="5"/>
        <v>-158.07940042029671</v>
      </c>
      <c r="BI16" s="2">
        <f t="shared" si="5"/>
        <v>-187.1590186233241</v>
      </c>
      <c r="BJ16" s="7">
        <f t="shared" si="5"/>
        <v>0</v>
      </c>
      <c r="BK16" s="1">
        <f t="shared" si="6"/>
        <v>38.200000000000003</v>
      </c>
      <c r="BL16" s="2">
        <f t="shared" si="6"/>
        <v>2.58074994946876</v>
      </c>
      <c r="BM16" s="2">
        <f t="shared" si="7"/>
        <v>158.07940042029671</v>
      </c>
      <c r="BN16" s="2">
        <f t="shared" si="8"/>
        <v>187.1590186233241</v>
      </c>
      <c r="BO16" s="7">
        <f t="shared" si="9"/>
        <v>0</v>
      </c>
      <c r="BP16" s="2"/>
      <c r="BQ16" s="1">
        <f t="shared" si="38"/>
        <v>38.200000000000003</v>
      </c>
      <c r="BR16" s="4">
        <v>0</v>
      </c>
      <c r="BS16" s="2">
        <f t="shared" si="16"/>
        <v>38.200000000000003</v>
      </c>
      <c r="BT16" s="2">
        <f t="shared" si="39"/>
        <v>59.554381729635352</v>
      </c>
      <c r="BU16" s="21">
        <f t="shared" si="17"/>
        <v>1.5590152285244856</v>
      </c>
      <c r="BV16" s="21" t="str">
        <f t="shared" si="18"/>
        <v/>
      </c>
      <c r="BW16" s="21" t="str">
        <f t="shared" si="12"/>
        <v/>
      </c>
      <c r="BX16" s="21" t="str">
        <f t="shared" si="13"/>
        <v/>
      </c>
      <c r="BY16" s="1">
        <f t="shared" si="40"/>
        <v>52.905000000000001</v>
      </c>
      <c r="BZ16" s="4">
        <v>0</v>
      </c>
      <c r="CA16" s="2">
        <f t="shared" si="19"/>
        <v>52.905000000000001</v>
      </c>
      <c r="CB16" s="2">
        <f t="shared" si="41"/>
        <v>59.554381729635352</v>
      </c>
      <c r="CC16" s="21">
        <f t="shared" si="20"/>
        <v>1.1256853176379427</v>
      </c>
      <c r="CD16" s="2" t="str">
        <f t="shared" si="32"/>
        <v/>
      </c>
      <c r="CE16" s="2" t="str">
        <f t="shared" si="21"/>
        <v/>
      </c>
      <c r="CF16" s="21" t="str">
        <f t="shared" si="22"/>
        <v/>
      </c>
      <c r="CG16" s="15"/>
      <c r="CH16" s="21" t="str">
        <f t="shared" si="15"/>
        <v/>
      </c>
    </row>
    <row r="17" spans="1:86" x14ac:dyDescent="0.25">
      <c r="A17" t="str">
        <f t="shared" si="23"/>
        <v>Travée</v>
      </c>
      <c r="B17" t="b">
        <f t="shared" si="24"/>
        <v>0</v>
      </c>
      <c r="C17">
        <f>IF(D17=D15,C15,C15+1)</f>
        <v>1</v>
      </c>
      <c r="D17" s="5" t="s">
        <v>104</v>
      </c>
      <c r="E17" t="s">
        <v>57</v>
      </c>
      <c r="F17" s="5">
        <v>25</v>
      </c>
      <c r="G17" t="s">
        <v>46</v>
      </c>
      <c r="H17">
        <v>500</v>
      </c>
      <c r="I17">
        <v>220000</v>
      </c>
      <c r="J17">
        <v>1576</v>
      </c>
      <c r="K17" s="10">
        <v>1870</v>
      </c>
      <c r="L17" s="12">
        <v>1</v>
      </c>
      <c r="M17" s="5">
        <v>0.26</v>
      </c>
      <c r="N17" s="10">
        <v>5.35</v>
      </c>
      <c r="O17" s="5">
        <v>1.3878E-3</v>
      </c>
      <c r="P17">
        <v>0.04</v>
      </c>
      <c r="Q17" s="10">
        <v>1</v>
      </c>
      <c r="R17" s="8">
        <v>0</v>
      </c>
      <c r="S17">
        <v>0</v>
      </c>
      <c r="T17">
        <v>1</v>
      </c>
      <c r="U17" s="9">
        <v>0</v>
      </c>
      <c r="V17">
        <v>0</v>
      </c>
      <c r="W17" s="10">
        <v>0</v>
      </c>
      <c r="X17" s="5">
        <v>49.81</v>
      </c>
      <c r="Y17">
        <v>15.13</v>
      </c>
      <c r="Z17" s="4">
        <v>0</v>
      </c>
      <c r="AA17" s="2">
        <v>49.81</v>
      </c>
      <c r="AB17" s="2">
        <v>15.13</v>
      </c>
      <c r="AC17" s="13">
        <v>0.5</v>
      </c>
      <c r="AD17" s="2">
        <v>24.905000000000001</v>
      </c>
      <c r="AE17" s="2">
        <v>40.034999999999997</v>
      </c>
      <c r="AF17" s="2">
        <v>89.938500000000005</v>
      </c>
      <c r="AG17" s="2"/>
      <c r="AH17" s="7">
        <v>64.94</v>
      </c>
      <c r="AI17" s="2">
        <v>24.905000000000001</v>
      </c>
      <c r="AJ17" s="2">
        <v>40.034999999999997</v>
      </c>
      <c r="AK17" s="2">
        <v>1.738727622108974</v>
      </c>
      <c r="AL17" s="2">
        <v>2.795019488100094</v>
      </c>
      <c r="AM17" s="2">
        <v>-84.89133180641447</v>
      </c>
      <c r="AN17" s="2">
        <v>-136.46354020758091</v>
      </c>
      <c r="AO17" s="2">
        <v>0</v>
      </c>
      <c r="AP17" s="2">
        <v>0</v>
      </c>
      <c r="AQ17" s="2">
        <v>89.938500000000005</v>
      </c>
      <c r="AR17" s="2">
        <v>139.5608127713233</v>
      </c>
      <c r="AS17" s="2">
        <v>139.5608127713233</v>
      </c>
      <c r="AT17" s="2">
        <v>4.5206233632559067</v>
      </c>
      <c r="AU17" s="2">
        <v>-311.37564374125031</v>
      </c>
      <c r="AV17" s="2">
        <v>0</v>
      </c>
      <c r="AW17" s="2">
        <v>0</v>
      </c>
      <c r="AX17" s="1">
        <v>64.94</v>
      </c>
      <c r="AY17" s="2">
        <v>3.3096200902342199</v>
      </c>
      <c r="AZ17" s="2">
        <v>-224.69836061713801</v>
      </c>
      <c r="BA17" s="2">
        <v>139.5608127713233</v>
      </c>
      <c r="BC17" s="1">
        <f t="shared" si="0"/>
        <v>24.905000000000001</v>
      </c>
      <c r="BD17" s="2">
        <f t="shared" si="1"/>
        <v>1.738727622108974</v>
      </c>
      <c r="BE17" s="7">
        <f t="shared" si="2"/>
        <v>-84.89133180641447</v>
      </c>
      <c r="BF17" s="1">
        <f t="shared" si="3"/>
        <v>40.034999999999997</v>
      </c>
      <c r="BG17" s="2">
        <f t="shared" si="4"/>
        <v>2.795019488100094</v>
      </c>
      <c r="BH17" s="2">
        <f t="shared" si="5"/>
        <v>-136.46354020758091</v>
      </c>
      <c r="BI17" s="2">
        <f t="shared" si="5"/>
        <v>0</v>
      </c>
      <c r="BJ17" s="7">
        <f t="shared" si="5"/>
        <v>0</v>
      </c>
      <c r="BK17" s="1">
        <f t="shared" si="6"/>
        <v>64.94</v>
      </c>
      <c r="BL17" s="2">
        <f t="shared" si="6"/>
        <v>4.5337471102090685</v>
      </c>
      <c r="BM17" s="2">
        <f t="shared" si="7"/>
        <v>221.35487201399536</v>
      </c>
      <c r="BN17" s="2">
        <f t="shared" si="8"/>
        <v>0</v>
      </c>
      <c r="BO17" s="7">
        <f t="shared" si="9"/>
        <v>0</v>
      </c>
      <c r="BP17" s="2"/>
      <c r="BQ17" s="1">
        <f>AX17</f>
        <v>64.94</v>
      </c>
      <c r="BR17" s="4" t="str">
        <f>IF(ISNUMBER(SEARCH("Appui",E17)),0,"0")</f>
        <v>0</v>
      </c>
      <c r="BS17" s="2">
        <f t="shared" si="16"/>
        <v>64.94</v>
      </c>
      <c r="BT17" s="2">
        <f>BA17</f>
        <v>139.5608127713233</v>
      </c>
      <c r="BU17" s="21">
        <f t="shared" si="17"/>
        <v>2.1490731871161581</v>
      </c>
      <c r="BV17" s="21">
        <f t="shared" si="18"/>
        <v>84.039999999999992</v>
      </c>
      <c r="BW17" s="21">
        <f t="shared" si="12"/>
        <v>169.72821905106019</v>
      </c>
      <c r="BX17" s="21">
        <f t="shared" si="13"/>
        <v>2.0196123161715875</v>
      </c>
      <c r="BY17" s="1">
        <f>AQ17</f>
        <v>89.938500000000005</v>
      </c>
      <c r="BZ17" s="4" t="str">
        <f>IF(ISNUMBER(SEARCH("Appui",M17)),0,"0")</f>
        <v>0</v>
      </c>
      <c r="CA17" s="2">
        <f t="shared" si="19"/>
        <v>89.938500000000005</v>
      </c>
      <c r="CB17" s="2">
        <f>AS17</f>
        <v>139.5608127713233</v>
      </c>
      <c r="CC17" s="21">
        <f t="shared" si="20"/>
        <v>1.5517360504269395</v>
      </c>
      <c r="CD17" s="2">
        <f t="shared" si="32"/>
        <v>116.39100000000001</v>
      </c>
      <c r="CE17" s="2">
        <f t="shared" si="21"/>
        <v>169.72821905106019</v>
      </c>
      <c r="CF17" s="21">
        <f t="shared" si="22"/>
        <v>1.4582589637606016</v>
      </c>
      <c r="CG17" s="10" t="str">
        <f>IF(C15&lt;C17,"Rive",IF(C19&gt;C17,"Rive","Inter"))</f>
        <v>Rive</v>
      </c>
      <c r="CH17" s="21">
        <f t="shared" si="15"/>
        <v>1.4582589637606016</v>
      </c>
    </row>
    <row r="18" spans="1:86" x14ac:dyDescent="0.25">
      <c r="A18" t="str">
        <f t="shared" si="23"/>
        <v/>
      </c>
      <c r="B18" t="b">
        <f t="shared" si="24"/>
        <v>0</v>
      </c>
      <c r="C18">
        <f t="shared" si="27"/>
        <v>1</v>
      </c>
      <c r="D18" s="5" t="s">
        <v>104</v>
      </c>
      <c r="F18" s="5">
        <v>25</v>
      </c>
      <c r="G18" t="s">
        <v>46</v>
      </c>
      <c r="H18">
        <v>500</v>
      </c>
      <c r="I18">
        <v>220000</v>
      </c>
      <c r="J18">
        <v>1576</v>
      </c>
      <c r="K18" s="10">
        <v>1870</v>
      </c>
      <c r="L18" s="12">
        <v>1</v>
      </c>
      <c r="M18" s="5">
        <v>0.2</v>
      </c>
      <c r="N18" s="10">
        <v>2.2000000000000002</v>
      </c>
      <c r="O18" s="5">
        <v>1.0000000000000001E-5</v>
      </c>
      <c r="P18">
        <v>0.03</v>
      </c>
      <c r="Q18" s="10">
        <v>1</v>
      </c>
      <c r="R18" s="8">
        <v>0</v>
      </c>
      <c r="S18">
        <v>0</v>
      </c>
      <c r="T18">
        <v>1</v>
      </c>
      <c r="U18" s="9">
        <v>0</v>
      </c>
      <c r="V18">
        <v>0</v>
      </c>
      <c r="W18" s="10">
        <v>0</v>
      </c>
      <c r="X18" s="5">
        <v>0</v>
      </c>
      <c r="Y18">
        <v>0</v>
      </c>
      <c r="Z18" s="4">
        <v>0</v>
      </c>
      <c r="AA18" s="2">
        <v>0</v>
      </c>
      <c r="AB18" s="2">
        <v>0</v>
      </c>
      <c r="AC18" s="13"/>
      <c r="AD18" s="2">
        <v>0</v>
      </c>
      <c r="AE18" s="2">
        <v>0</v>
      </c>
      <c r="AF18" s="2"/>
      <c r="AG18" s="2"/>
      <c r="AH18" s="7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/>
      <c r="AR18" s="2">
        <v>0.78043082983844214</v>
      </c>
      <c r="AS18" s="2">
        <v>0.78043082983844214</v>
      </c>
      <c r="AT18" s="2">
        <v>0</v>
      </c>
      <c r="AU18" s="2">
        <v>0</v>
      </c>
      <c r="AV18" s="2">
        <v>0</v>
      </c>
      <c r="AW18" s="2">
        <v>0</v>
      </c>
      <c r="AX18" s="1">
        <v>0</v>
      </c>
      <c r="AY18" s="2">
        <v>0</v>
      </c>
      <c r="AZ18" s="2">
        <v>0</v>
      </c>
      <c r="BA18" s="2">
        <v>0.78043082983844214</v>
      </c>
      <c r="BC18" s="1">
        <f t="shared" si="0"/>
        <v>0</v>
      </c>
      <c r="BD18" s="2">
        <f t="shared" si="1"/>
        <v>0</v>
      </c>
      <c r="BE18" s="7">
        <f t="shared" si="2"/>
        <v>0</v>
      </c>
      <c r="BF18" s="1">
        <f t="shared" si="3"/>
        <v>0</v>
      </c>
      <c r="BG18" s="2">
        <f t="shared" si="4"/>
        <v>0</v>
      </c>
      <c r="BH18" s="2">
        <f t="shared" si="5"/>
        <v>0</v>
      </c>
      <c r="BI18" s="2">
        <f t="shared" si="5"/>
        <v>0</v>
      </c>
      <c r="BJ18" s="7">
        <f t="shared" si="5"/>
        <v>0</v>
      </c>
      <c r="BK18" s="1">
        <f t="shared" si="6"/>
        <v>0</v>
      </c>
      <c r="BL18" s="2">
        <f t="shared" si="6"/>
        <v>0</v>
      </c>
      <c r="BM18" s="2">
        <f t="shared" si="7"/>
        <v>0</v>
      </c>
      <c r="BN18" s="2">
        <f t="shared" si="8"/>
        <v>0</v>
      </c>
      <c r="BO18" s="7">
        <f t="shared" si="9"/>
        <v>0</v>
      </c>
      <c r="BP18" s="2"/>
      <c r="BQ18" s="1">
        <f t="shared" ref="BQ18:BQ57" si="44">AX18</f>
        <v>0</v>
      </c>
      <c r="BR18" s="4" t="str">
        <f t="shared" ref="BR18:BR31" si="45">IF(ISNUMBER(SEARCH("Appui",E18)),0,"0")</f>
        <v>0</v>
      </c>
      <c r="BS18" s="2">
        <f t="shared" si="16"/>
        <v>0</v>
      </c>
      <c r="BT18" s="2">
        <f t="shared" ref="BT18:BT57" si="46">BA18</f>
        <v>0.78043082983844214</v>
      </c>
      <c r="BU18" s="21">
        <f t="shared" si="17"/>
        <v>1</v>
      </c>
      <c r="BV18" s="21" t="str">
        <f t="shared" si="18"/>
        <v/>
      </c>
      <c r="BW18" s="21" t="str">
        <f t="shared" si="12"/>
        <v/>
      </c>
      <c r="BX18" s="21" t="str">
        <f t="shared" si="13"/>
        <v/>
      </c>
      <c r="BY18" s="1">
        <f t="shared" si="28"/>
        <v>0</v>
      </c>
      <c r="BZ18" s="4" t="str">
        <f t="shared" ref="BZ18:BZ31" si="47">IF(ISNUMBER(SEARCH("Appui",M18)),0,"0")</f>
        <v>0</v>
      </c>
      <c r="CA18" s="2">
        <f t="shared" si="19"/>
        <v>0</v>
      </c>
      <c r="CB18" s="2">
        <f t="shared" si="29"/>
        <v>0.78043082983844214</v>
      </c>
      <c r="CC18" s="21">
        <f t="shared" si="20"/>
        <v>1</v>
      </c>
      <c r="CD18" s="2" t="str">
        <f t="shared" si="32"/>
        <v/>
      </c>
      <c r="CE18" s="2" t="str">
        <f t="shared" si="21"/>
        <v/>
      </c>
      <c r="CF18" s="21" t="str">
        <f t="shared" si="22"/>
        <v/>
      </c>
      <c r="CG18" s="15"/>
      <c r="CH18" s="21" t="str">
        <f t="shared" si="15"/>
        <v/>
      </c>
    </row>
    <row r="19" spans="1:86" x14ac:dyDescent="0.25">
      <c r="A19" t="str">
        <f t="shared" si="23"/>
        <v>Travée</v>
      </c>
      <c r="B19" t="b">
        <f t="shared" si="24"/>
        <v>1</v>
      </c>
      <c r="C19">
        <f t="shared" si="27"/>
        <v>2</v>
      </c>
      <c r="D19" s="5" t="s">
        <v>105</v>
      </c>
      <c r="E19" t="s">
        <v>45</v>
      </c>
      <c r="F19" s="5">
        <v>25</v>
      </c>
      <c r="G19" t="s">
        <v>46</v>
      </c>
      <c r="H19">
        <v>500</v>
      </c>
      <c r="I19">
        <v>220000</v>
      </c>
      <c r="J19">
        <v>1576</v>
      </c>
      <c r="K19" s="10">
        <v>1870</v>
      </c>
      <c r="L19" s="12">
        <v>1</v>
      </c>
      <c r="M19" s="5">
        <v>0.26</v>
      </c>
      <c r="N19" s="10">
        <v>5.3</v>
      </c>
      <c r="O19" s="5">
        <v>1.3621E-3</v>
      </c>
      <c r="P19">
        <v>0.04</v>
      </c>
      <c r="Q19" s="10">
        <v>1</v>
      </c>
      <c r="R19" s="8">
        <v>0</v>
      </c>
      <c r="S19">
        <v>0</v>
      </c>
      <c r="T19">
        <v>1</v>
      </c>
      <c r="U19" s="9">
        <v>2.9099999999999999E-5</v>
      </c>
      <c r="V19">
        <v>0</v>
      </c>
      <c r="W19" s="10">
        <v>7</v>
      </c>
      <c r="X19" s="5">
        <v>41.02</v>
      </c>
      <c r="Y19">
        <v>12.46</v>
      </c>
      <c r="Z19" s="4">
        <v>0</v>
      </c>
      <c r="AA19" s="2">
        <v>41.02</v>
      </c>
      <c r="AB19" s="2">
        <v>12.46</v>
      </c>
      <c r="AC19" s="13">
        <v>0</v>
      </c>
      <c r="AD19" s="2">
        <v>41.02</v>
      </c>
      <c r="AE19" s="2">
        <v>12.46</v>
      </c>
      <c r="AF19" s="2">
        <v>74.066999999999993</v>
      </c>
      <c r="AG19" s="2"/>
      <c r="AH19" s="7">
        <v>53.48</v>
      </c>
      <c r="AI19" s="2">
        <v>41.02</v>
      </c>
      <c r="AJ19" s="2">
        <v>12.46</v>
      </c>
      <c r="AK19" s="2">
        <v>2.9028401124917371</v>
      </c>
      <c r="AL19" s="2">
        <v>0.79092848494055668</v>
      </c>
      <c r="AM19" s="2">
        <v>-142.43613476725889</v>
      </c>
      <c r="AN19" s="2">
        <v>-35.096667944593563</v>
      </c>
      <c r="AO19" s="2">
        <v>0</v>
      </c>
      <c r="AP19" s="2">
        <v>-46.630793953238431</v>
      </c>
      <c r="AQ19" s="2">
        <v>74.066999999999993</v>
      </c>
      <c r="AR19" s="2">
        <v>136.9899254721916</v>
      </c>
      <c r="AS19" s="2">
        <v>221.12457412887409</v>
      </c>
      <c r="AT19" s="2">
        <v>3.428926283505807</v>
      </c>
      <c r="AU19" s="2">
        <v>-211.591676430332</v>
      </c>
      <c r="AV19" s="2">
        <v>0</v>
      </c>
      <c r="AW19" s="2">
        <v>-283.77196828400622</v>
      </c>
      <c r="AX19" s="1">
        <v>53.48</v>
      </c>
      <c r="AY19" s="2">
        <v>2.77857313089295</v>
      </c>
      <c r="AZ19" s="2">
        <v>-188.44540331087819</v>
      </c>
      <c r="BA19" s="2">
        <v>136.9899254721916</v>
      </c>
      <c r="BC19" s="1">
        <f t="shared" si="0"/>
        <v>41.02</v>
      </c>
      <c r="BD19" s="2">
        <f t="shared" si="1"/>
        <v>2.9028401124917371</v>
      </c>
      <c r="BE19" s="7">
        <f t="shared" si="2"/>
        <v>-142.43613476725889</v>
      </c>
      <c r="BF19" s="1">
        <f t="shared" si="3"/>
        <v>12.46</v>
      </c>
      <c r="BG19" s="2">
        <f t="shared" si="4"/>
        <v>0.79092848494055668</v>
      </c>
      <c r="BH19" s="2">
        <f t="shared" si="5"/>
        <v>-35.096667944593563</v>
      </c>
      <c r="BI19" s="2">
        <f t="shared" si="5"/>
        <v>0</v>
      </c>
      <c r="BJ19" s="7">
        <f t="shared" si="5"/>
        <v>-46.630793953238431</v>
      </c>
      <c r="BK19" s="1">
        <f t="shared" si="6"/>
        <v>53.480000000000004</v>
      </c>
      <c r="BL19" s="2">
        <f t="shared" si="6"/>
        <v>3.6937685974322938</v>
      </c>
      <c r="BM19" s="2">
        <f t="shared" si="7"/>
        <v>177.53280271185247</v>
      </c>
      <c r="BN19" s="2">
        <f t="shared" si="8"/>
        <v>0</v>
      </c>
      <c r="BO19" s="7">
        <f t="shared" si="9"/>
        <v>-46.630793953238431</v>
      </c>
      <c r="BP19" s="2"/>
      <c r="BQ19" s="1">
        <f>AX19</f>
        <v>53.48</v>
      </c>
      <c r="BR19" s="4" t="str">
        <f t="shared" si="45"/>
        <v>0</v>
      </c>
      <c r="BS19" s="2">
        <f t="shared" si="16"/>
        <v>53.48</v>
      </c>
      <c r="BT19" s="2">
        <f>BA19</f>
        <v>136.9899254721916</v>
      </c>
      <c r="BU19" s="21">
        <f t="shared" si="17"/>
        <v>2.561516931043224</v>
      </c>
      <c r="BV19" s="21">
        <f t="shared" si="18"/>
        <v>83.657999999999987</v>
      </c>
      <c r="BW19" s="21">
        <f t="shared" si="12"/>
        <v>136.9899254721916</v>
      </c>
      <c r="BX19" s="21">
        <f t="shared" si="13"/>
        <v>1.6374994079728373</v>
      </c>
      <c r="BY19" s="1">
        <f>AQ19</f>
        <v>74.066999999999993</v>
      </c>
      <c r="BZ19" s="4" t="str">
        <f t="shared" si="47"/>
        <v>0</v>
      </c>
      <c r="CA19" s="2">
        <f t="shared" si="19"/>
        <v>74.066999999999993</v>
      </c>
      <c r="CB19" s="2">
        <f>AS19</f>
        <v>221.12457412887409</v>
      </c>
      <c r="CC19" s="21">
        <f t="shared" si="20"/>
        <v>2.9854668628252004</v>
      </c>
      <c r="CD19" s="2">
        <f t="shared" si="32"/>
        <v>115.86194999999999</v>
      </c>
      <c r="CE19" s="2">
        <f t="shared" si="21"/>
        <v>221.12457412887409</v>
      </c>
      <c r="CF19" s="21">
        <f t="shared" si="22"/>
        <v>1.9085176292033244</v>
      </c>
      <c r="CG19" s="10" t="str">
        <f>IF(C17&lt;C19,"Rive",IF(C21&gt;C19,"Rive","Inter"))</f>
        <v>Rive</v>
      </c>
      <c r="CH19" s="21">
        <f t="shared" si="15"/>
        <v>1.1823547374456551</v>
      </c>
    </row>
    <row r="20" spans="1:86" x14ac:dyDescent="0.25">
      <c r="A20" t="str">
        <f t="shared" si="23"/>
        <v>Appui</v>
      </c>
      <c r="B20" t="b">
        <f t="shared" si="24"/>
        <v>1</v>
      </c>
      <c r="C20">
        <f t="shared" si="27"/>
        <v>2</v>
      </c>
      <c r="D20" s="5" t="s">
        <v>105</v>
      </c>
      <c r="E20" t="s">
        <v>47</v>
      </c>
      <c r="F20" s="5">
        <v>25</v>
      </c>
      <c r="G20" t="s">
        <v>46</v>
      </c>
      <c r="H20">
        <v>500</v>
      </c>
      <c r="I20">
        <v>220000</v>
      </c>
      <c r="J20">
        <v>1576</v>
      </c>
      <c r="K20" s="10">
        <v>1870</v>
      </c>
      <c r="L20" s="12">
        <v>1</v>
      </c>
      <c r="M20" s="5">
        <v>0.25</v>
      </c>
      <c r="N20" s="10">
        <v>5.3</v>
      </c>
      <c r="O20" s="5">
        <v>0</v>
      </c>
      <c r="P20">
        <v>6.9999999999999993E-2</v>
      </c>
      <c r="Q20" s="10">
        <v>1</v>
      </c>
      <c r="R20" s="8">
        <v>0</v>
      </c>
      <c r="S20">
        <v>0</v>
      </c>
      <c r="T20">
        <v>1</v>
      </c>
      <c r="U20" s="9">
        <v>0</v>
      </c>
      <c r="V20">
        <v>0</v>
      </c>
      <c r="W20" s="10">
        <v>0</v>
      </c>
      <c r="X20" s="5">
        <v>46.293999999999997</v>
      </c>
      <c r="Y20">
        <v>14.061999999999999</v>
      </c>
      <c r="Z20" s="4">
        <v>0</v>
      </c>
      <c r="AA20" s="2">
        <v>46.293999999999997</v>
      </c>
      <c r="AB20" s="2">
        <v>14.061999999999999</v>
      </c>
      <c r="AC20" s="13">
        <v>0</v>
      </c>
      <c r="AD20" s="2">
        <v>46.293999999999997</v>
      </c>
      <c r="AE20" s="2">
        <v>14.061999999999999</v>
      </c>
      <c r="AF20" s="2">
        <v>83.5899</v>
      </c>
      <c r="AG20" s="2"/>
      <c r="AH20" s="7">
        <v>60.355999999999987</v>
      </c>
      <c r="AI20" s="2">
        <v>46.293999999999997</v>
      </c>
      <c r="AJ20" s="2">
        <v>14.061999999999999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83.5899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1">
        <v>60.355999999999987</v>
      </c>
      <c r="AY20" s="2">
        <v>0</v>
      </c>
      <c r="AZ20" s="2">
        <v>0</v>
      </c>
      <c r="BA20" s="2">
        <v>0</v>
      </c>
      <c r="BC20" s="1">
        <f t="shared" si="0"/>
        <v>46.293999999999997</v>
      </c>
      <c r="BD20" s="2">
        <f t="shared" si="1"/>
        <v>0</v>
      </c>
      <c r="BE20" s="7">
        <f t="shared" si="2"/>
        <v>0</v>
      </c>
      <c r="BF20" s="1">
        <f t="shared" si="3"/>
        <v>14.061999999999999</v>
      </c>
      <c r="BG20" s="2">
        <f t="shared" si="4"/>
        <v>0</v>
      </c>
      <c r="BH20" s="2">
        <f t="shared" si="5"/>
        <v>0</v>
      </c>
      <c r="BI20" s="2">
        <f t="shared" si="5"/>
        <v>0</v>
      </c>
      <c r="BJ20" s="7">
        <f t="shared" si="5"/>
        <v>0</v>
      </c>
      <c r="BK20" s="1">
        <f t="shared" si="6"/>
        <v>60.355999999999995</v>
      </c>
      <c r="BL20" s="2">
        <f t="shared" si="6"/>
        <v>0</v>
      </c>
      <c r="BM20" s="2">
        <f>ABS(BE20+BH20)</f>
        <v>0</v>
      </c>
      <c r="BN20" s="2">
        <f t="shared" si="8"/>
        <v>0</v>
      </c>
      <c r="BO20" s="7">
        <f t="shared" si="9"/>
        <v>0</v>
      </c>
      <c r="BP20" s="2"/>
      <c r="BQ20" s="1">
        <f t="shared" si="44"/>
        <v>60.355999999999987</v>
      </c>
      <c r="BR20" s="4">
        <v>0</v>
      </c>
      <c r="BS20" s="2">
        <f t="shared" si="16"/>
        <v>60.355999999999987</v>
      </c>
      <c r="BT20" s="2">
        <f t="shared" si="46"/>
        <v>0</v>
      </c>
      <c r="BU20" s="21" t="str">
        <f t="shared" si="17"/>
        <v/>
      </c>
      <c r="BV20" s="21" t="str">
        <f t="shared" si="18"/>
        <v/>
      </c>
      <c r="BW20" s="21" t="str">
        <f t="shared" si="12"/>
        <v/>
      </c>
      <c r="BX20" s="21" t="str">
        <f t="shared" si="13"/>
        <v/>
      </c>
      <c r="BY20" s="1">
        <f t="shared" si="28"/>
        <v>83.5899</v>
      </c>
      <c r="BZ20" s="4">
        <v>0</v>
      </c>
      <c r="CA20" s="2">
        <f t="shared" si="19"/>
        <v>83.5899</v>
      </c>
      <c r="CB20" s="2">
        <f t="shared" si="29"/>
        <v>0</v>
      </c>
      <c r="CC20" s="21" t="str">
        <f t="shared" si="20"/>
        <v/>
      </c>
      <c r="CD20" s="2" t="str">
        <f t="shared" si="32"/>
        <v/>
      </c>
      <c r="CE20" s="2" t="str">
        <f t="shared" si="21"/>
        <v/>
      </c>
      <c r="CF20" s="21" t="str">
        <f t="shared" si="22"/>
        <v/>
      </c>
      <c r="CG20" s="15"/>
      <c r="CH20" s="21" t="str">
        <f t="shared" si="15"/>
        <v/>
      </c>
    </row>
    <row r="21" spans="1:86" x14ac:dyDescent="0.25">
      <c r="A21" t="str">
        <f t="shared" si="23"/>
        <v>Travée</v>
      </c>
      <c r="B21" t="b">
        <f t="shared" si="24"/>
        <v>1</v>
      </c>
      <c r="C21">
        <f t="shared" si="27"/>
        <v>2</v>
      </c>
      <c r="D21" s="5" t="s">
        <v>105</v>
      </c>
      <c r="E21" t="s">
        <v>48</v>
      </c>
      <c r="F21" s="5">
        <v>25</v>
      </c>
      <c r="G21" t="s">
        <v>46</v>
      </c>
      <c r="H21">
        <v>500</v>
      </c>
      <c r="I21">
        <v>220000</v>
      </c>
      <c r="J21">
        <v>1576</v>
      </c>
      <c r="K21" s="10">
        <v>1870</v>
      </c>
      <c r="L21" s="12">
        <v>1</v>
      </c>
      <c r="M21" s="5">
        <v>0.23499999999999999</v>
      </c>
      <c r="N21" s="10">
        <v>5.3</v>
      </c>
      <c r="O21" s="5">
        <v>2.7188999999999998E-3</v>
      </c>
      <c r="P21">
        <v>0.04</v>
      </c>
      <c r="Q21" s="10">
        <v>1</v>
      </c>
      <c r="R21" s="8">
        <v>0</v>
      </c>
      <c r="S21">
        <v>0</v>
      </c>
      <c r="T21">
        <v>1</v>
      </c>
      <c r="U21" s="9">
        <v>2.9099999999999999E-5</v>
      </c>
      <c r="V21">
        <v>0</v>
      </c>
      <c r="W21" s="10">
        <v>7</v>
      </c>
      <c r="X21" s="5">
        <v>92.587999999999994</v>
      </c>
      <c r="Y21">
        <v>28.123999999999999</v>
      </c>
      <c r="Z21" s="4">
        <v>0</v>
      </c>
      <c r="AA21" s="2">
        <v>92.587999999999994</v>
      </c>
      <c r="AB21" s="2">
        <v>28.123999999999999</v>
      </c>
      <c r="AC21" s="13">
        <v>0</v>
      </c>
      <c r="AD21" s="2">
        <v>92.587999999999994</v>
      </c>
      <c r="AE21" s="2">
        <v>28.123999999999999</v>
      </c>
      <c r="AF21" s="2">
        <v>167.1798</v>
      </c>
      <c r="AG21" s="2"/>
      <c r="AH21" s="7">
        <v>120.712</v>
      </c>
      <c r="AI21" s="2">
        <v>92.587999999999994</v>
      </c>
      <c r="AJ21" s="2">
        <v>28.123999999999999</v>
      </c>
      <c r="AK21" s="2">
        <v>5.8481515472668866</v>
      </c>
      <c r="AL21" s="2">
        <v>1.666406591315464</v>
      </c>
      <c r="AM21" s="2">
        <v>-184.96006219932539</v>
      </c>
      <c r="AN21" s="2">
        <v>-50.079485546270753</v>
      </c>
      <c r="AO21" s="2">
        <v>0</v>
      </c>
      <c r="AP21" s="2">
        <v>-68.776618749435983</v>
      </c>
      <c r="AQ21" s="2">
        <v>167.1798</v>
      </c>
      <c r="AR21" s="2">
        <v>234.05165478922521</v>
      </c>
      <c r="AS21" s="2">
        <v>303.01572371689122</v>
      </c>
      <c r="AT21" s="2">
        <v>7.0566688206171237</v>
      </c>
      <c r="AU21" s="2">
        <v>-304.49381118829751</v>
      </c>
      <c r="AV21" s="2">
        <v>0</v>
      </c>
      <c r="AW21" s="2">
        <v>-425.37043924756807</v>
      </c>
      <c r="AX21" s="1">
        <v>120.712</v>
      </c>
      <c r="AY21" s="2">
        <v>5.5164106309888554</v>
      </c>
      <c r="AZ21" s="2">
        <v>-246.8383739347172</v>
      </c>
      <c r="BA21" s="2">
        <v>234.05165478922521</v>
      </c>
      <c r="BC21" s="1">
        <f t="shared" si="0"/>
        <v>92.587999999999994</v>
      </c>
      <c r="BD21" s="2">
        <f t="shared" si="1"/>
        <v>5.8481515472668866</v>
      </c>
      <c r="BE21" s="7">
        <f t="shared" si="2"/>
        <v>-184.96006219932539</v>
      </c>
      <c r="BF21" s="1">
        <f t="shared" si="3"/>
        <v>28.123999999999999</v>
      </c>
      <c r="BG21" s="2">
        <f t="shared" si="4"/>
        <v>1.666406591315464</v>
      </c>
      <c r="BH21" s="2">
        <f t="shared" si="5"/>
        <v>-50.079485546270753</v>
      </c>
      <c r="BI21" s="2">
        <f t="shared" si="5"/>
        <v>0</v>
      </c>
      <c r="BJ21" s="7">
        <f t="shared" si="5"/>
        <v>-68.776618749435983</v>
      </c>
      <c r="BK21" s="1">
        <f t="shared" si="6"/>
        <v>120.71199999999999</v>
      </c>
      <c r="BL21" s="2">
        <f t="shared" si="6"/>
        <v>7.5145581385823501</v>
      </c>
      <c r="BM21" s="2">
        <f t="shared" ref="BM21:BM57" si="48">ABS(BE21+BH21)</f>
        <v>235.03954774559614</v>
      </c>
      <c r="BN21" s="2">
        <f t="shared" si="8"/>
        <v>0</v>
      </c>
      <c r="BO21" s="7">
        <f t="shared" si="9"/>
        <v>-68.776618749435983</v>
      </c>
      <c r="BP21" s="2"/>
      <c r="BQ21" s="1">
        <f>AX21</f>
        <v>120.712</v>
      </c>
      <c r="BR21" s="4" t="str">
        <f t="shared" ref="BR21" si="49">IF(ISNUMBER(SEARCH("Appui",E21)),0,"0")</f>
        <v>0</v>
      </c>
      <c r="BS21" s="2">
        <f t="shared" si="16"/>
        <v>120.712</v>
      </c>
      <c r="BT21" s="2">
        <f>BA21</f>
        <v>234.05165478922521</v>
      </c>
      <c r="BU21" s="21">
        <f t="shared" si="17"/>
        <v>1.9389261613528499</v>
      </c>
      <c r="BV21" s="21">
        <f t="shared" si="18"/>
        <v>177.63</v>
      </c>
      <c r="BW21" s="21">
        <f t="shared" si="12"/>
        <v>234.05165478922521</v>
      </c>
      <c r="BX21" s="21">
        <f t="shared" si="13"/>
        <v>1.3176358429838722</v>
      </c>
      <c r="BY21" s="1">
        <f>AQ21</f>
        <v>167.1798</v>
      </c>
      <c r="BZ21" s="4" t="str">
        <f t="shared" ref="BZ21" si="50">IF(ISNUMBER(SEARCH("Appui",M21)),0,"0")</f>
        <v>0</v>
      </c>
      <c r="CA21" s="2">
        <f t="shared" si="19"/>
        <v>167.1798</v>
      </c>
      <c r="CB21" s="2">
        <f>AS21</f>
        <v>303.01572371689122</v>
      </c>
      <c r="CC21" s="21">
        <f t="shared" si="20"/>
        <v>1.8125139742773422</v>
      </c>
      <c r="CD21" s="2">
        <f t="shared" si="32"/>
        <v>246.00825</v>
      </c>
      <c r="CE21" s="2">
        <f t="shared" si="21"/>
        <v>303.01572371689122</v>
      </c>
      <c r="CF21" s="21">
        <f t="shared" si="22"/>
        <v>1.2317299266056776</v>
      </c>
      <c r="CG21" s="10" t="str">
        <f>IF(C19&lt;C21,"Rive",IF(C23&gt;C21,"Rive","Inter"))</f>
        <v>Inter</v>
      </c>
      <c r="CH21" s="21">
        <f t="shared" si="15"/>
        <v>0.951397584386805</v>
      </c>
    </row>
    <row r="22" spans="1:86" x14ac:dyDescent="0.25">
      <c r="A22" t="str">
        <f t="shared" si="23"/>
        <v>Appui</v>
      </c>
      <c r="B22" t="b">
        <f t="shared" si="24"/>
        <v>1</v>
      </c>
      <c r="C22">
        <f>IF(D22=D20,C20,C20+1)</f>
        <v>2</v>
      </c>
      <c r="D22" s="5" t="s">
        <v>105</v>
      </c>
      <c r="E22" t="s">
        <v>49</v>
      </c>
      <c r="F22" s="5">
        <v>25</v>
      </c>
      <c r="G22" t="s">
        <v>46</v>
      </c>
      <c r="H22">
        <v>500</v>
      </c>
      <c r="I22">
        <v>220000</v>
      </c>
      <c r="J22">
        <v>1576</v>
      </c>
      <c r="K22" s="10">
        <v>1870</v>
      </c>
      <c r="L22" s="12">
        <v>1</v>
      </c>
      <c r="M22" s="5">
        <v>0.22</v>
      </c>
      <c r="N22" s="10">
        <v>5.3</v>
      </c>
      <c r="O22" s="5">
        <v>0</v>
      </c>
      <c r="P22">
        <v>0.04</v>
      </c>
      <c r="Q22" s="10">
        <v>1</v>
      </c>
      <c r="R22" s="8">
        <v>0</v>
      </c>
      <c r="S22">
        <v>0</v>
      </c>
      <c r="T22">
        <v>1</v>
      </c>
      <c r="U22" s="9">
        <v>0</v>
      </c>
      <c r="V22">
        <v>0</v>
      </c>
      <c r="W22" s="10">
        <v>0</v>
      </c>
      <c r="X22" s="5">
        <v>41.02</v>
      </c>
      <c r="Y22">
        <v>12.46</v>
      </c>
      <c r="Z22" s="4">
        <v>0</v>
      </c>
      <c r="AA22" s="2">
        <v>41.02</v>
      </c>
      <c r="AB22" s="2">
        <v>12.46</v>
      </c>
      <c r="AC22" s="13">
        <v>0</v>
      </c>
      <c r="AD22" s="2">
        <v>41.02</v>
      </c>
      <c r="AE22" s="2">
        <v>12.46</v>
      </c>
      <c r="AF22" s="2">
        <v>74.066999999999993</v>
      </c>
      <c r="AG22" s="2"/>
      <c r="AH22" s="7">
        <v>53.48</v>
      </c>
      <c r="AI22" s="2">
        <v>41.02</v>
      </c>
      <c r="AJ22" s="2">
        <v>12.46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74.066999999999993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1">
        <v>53.48</v>
      </c>
      <c r="AY22" s="2">
        <v>0</v>
      </c>
      <c r="AZ22" s="2">
        <v>0</v>
      </c>
      <c r="BA22" s="2">
        <v>0</v>
      </c>
      <c r="BC22" s="1">
        <f t="shared" si="0"/>
        <v>41.02</v>
      </c>
      <c r="BD22" s="2">
        <f t="shared" si="1"/>
        <v>0</v>
      </c>
      <c r="BE22" s="7">
        <f t="shared" si="2"/>
        <v>0</v>
      </c>
      <c r="BF22" s="1">
        <f t="shared" si="3"/>
        <v>12.46</v>
      </c>
      <c r="BG22" s="2">
        <f t="shared" si="4"/>
        <v>0</v>
      </c>
      <c r="BH22" s="2">
        <f t="shared" ref="BH22:BJ57" si="51">AN22</f>
        <v>0</v>
      </c>
      <c r="BI22" s="2">
        <f t="shared" si="51"/>
        <v>0</v>
      </c>
      <c r="BJ22" s="7">
        <f t="shared" si="51"/>
        <v>0</v>
      </c>
      <c r="BK22" s="1">
        <f t="shared" ref="BK22:BL57" si="52">BC22+BF22</f>
        <v>53.480000000000004</v>
      </c>
      <c r="BL22" s="2">
        <f t="shared" si="52"/>
        <v>0</v>
      </c>
      <c r="BM22" s="2">
        <f t="shared" si="48"/>
        <v>0</v>
      </c>
      <c r="BN22" s="2">
        <f t="shared" si="8"/>
        <v>0</v>
      </c>
      <c r="BO22" s="7">
        <f t="shared" si="9"/>
        <v>0</v>
      </c>
      <c r="BP22" s="2"/>
      <c r="BQ22" s="1">
        <f t="shared" si="44"/>
        <v>53.48</v>
      </c>
      <c r="BR22" s="4">
        <f t="shared" si="45"/>
        <v>0</v>
      </c>
      <c r="BS22" s="2">
        <f t="shared" si="16"/>
        <v>53.48</v>
      </c>
      <c r="BT22" s="2">
        <f t="shared" si="46"/>
        <v>0</v>
      </c>
      <c r="BU22" s="21" t="str">
        <f t="shared" si="17"/>
        <v/>
      </c>
      <c r="BV22" s="21" t="str">
        <f t="shared" si="18"/>
        <v/>
      </c>
      <c r="BW22" s="21" t="str">
        <f t="shared" si="12"/>
        <v/>
      </c>
      <c r="BX22" s="21" t="str">
        <f t="shared" si="13"/>
        <v/>
      </c>
      <c r="BY22" s="1">
        <f t="shared" si="28"/>
        <v>74.066999999999993</v>
      </c>
      <c r="BZ22" s="4" t="str">
        <f t="shared" si="47"/>
        <v>0</v>
      </c>
      <c r="CA22" s="2">
        <f t="shared" si="19"/>
        <v>74.066999999999993</v>
      </c>
      <c r="CB22" s="2">
        <f t="shared" si="29"/>
        <v>0</v>
      </c>
      <c r="CC22" s="21" t="str">
        <f t="shared" si="20"/>
        <v/>
      </c>
      <c r="CD22" s="2" t="str">
        <f t="shared" si="32"/>
        <v/>
      </c>
      <c r="CE22" s="2" t="str">
        <f t="shared" si="21"/>
        <v/>
      </c>
      <c r="CF22" s="21" t="str">
        <f t="shared" si="22"/>
        <v/>
      </c>
      <c r="CG22" s="15"/>
      <c r="CH22" s="21" t="str">
        <f t="shared" si="15"/>
        <v/>
      </c>
    </row>
    <row r="23" spans="1:86" x14ac:dyDescent="0.25">
      <c r="A23" t="str">
        <f t="shared" si="23"/>
        <v>Travée</v>
      </c>
      <c r="B23" t="b">
        <f t="shared" si="24"/>
        <v>1</v>
      </c>
      <c r="C23">
        <f t="shared" si="27"/>
        <v>2</v>
      </c>
      <c r="D23" s="5" t="s">
        <v>105</v>
      </c>
      <c r="E23" t="s">
        <v>51</v>
      </c>
      <c r="F23" s="5">
        <v>25</v>
      </c>
      <c r="G23" t="s">
        <v>46</v>
      </c>
      <c r="H23">
        <v>500</v>
      </c>
      <c r="I23">
        <v>220000</v>
      </c>
      <c r="J23">
        <v>1576</v>
      </c>
      <c r="K23" s="10">
        <v>1870</v>
      </c>
      <c r="L23" s="12">
        <v>1</v>
      </c>
      <c r="M23" s="5">
        <v>0.23499999999999999</v>
      </c>
      <c r="N23" s="10">
        <v>5.3</v>
      </c>
      <c r="O23" s="5">
        <v>6.7840000000000001E-4</v>
      </c>
      <c r="P23">
        <v>0.04</v>
      </c>
      <c r="Q23" s="10">
        <v>1</v>
      </c>
      <c r="R23" s="8">
        <v>0</v>
      </c>
      <c r="S23">
        <v>0</v>
      </c>
      <c r="T23">
        <v>1</v>
      </c>
      <c r="U23" s="9">
        <v>0</v>
      </c>
      <c r="V23">
        <v>0</v>
      </c>
      <c r="W23" s="10">
        <v>0</v>
      </c>
      <c r="X23" s="5">
        <v>0</v>
      </c>
      <c r="Y23">
        <v>0</v>
      </c>
      <c r="Z23" s="4">
        <v>0</v>
      </c>
      <c r="AA23" s="2">
        <v>0</v>
      </c>
      <c r="AB23" s="2">
        <v>0</v>
      </c>
      <c r="AC23" s="13">
        <v>0</v>
      </c>
      <c r="AD23" s="2">
        <v>0</v>
      </c>
      <c r="AE23" s="2">
        <v>0</v>
      </c>
      <c r="AF23" s="2">
        <v>0</v>
      </c>
      <c r="AG23" s="2"/>
      <c r="AH23" s="7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60.846580869564939</v>
      </c>
      <c r="AS23" s="2">
        <v>60.846580869564939</v>
      </c>
      <c r="AT23" s="2">
        <v>0</v>
      </c>
      <c r="AU23" s="2">
        <v>0</v>
      </c>
      <c r="AV23" s="2">
        <v>0</v>
      </c>
      <c r="AW23" s="2">
        <v>0</v>
      </c>
      <c r="AX23" s="1">
        <v>0</v>
      </c>
      <c r="AY23" s="2">
        <v>0</v>
      </c>
      <c r="AZ23" s="2">
        <v>0</v>
      </c>
      <c r="BA23" s="2">
        <v>60.846580869564939</v>
      </c>
      <c r="BC23" s="1">
        <f t="shared" si="0"/>
        <v>0</v>
      </c>
      <c r="BD23" s="2">
        <f t="shared" si="1"/>
        <v>0</v>
      </c>
      <c r="BE23" s="7">
        <f t="shared" si="2"/>
        <v>0</v>
      </c>
      <c r="BF23" s="1">
        <f t="shared" si="3"/>
        <v>0</v>
      </c>
      <c r="BG23" s="2">
        <f t="shared" si="4"/>
        <v>0</v>
      </c>
      <c r="BH23" s="2">
        <f t="shared" si="51"/>
        <v>0</v>
      </c>
      <c r="BI23" s="2">
        <f t="shared" si="51"/>
        <v>0</v>
      </c>
      <c r="BJ23" s="7">
        <f t="shared" si="51"/>
        <v>0</v>
      </c>
      <c r="BK23" s="1">
        <f t="shared" si="52"/>
        <v>0</v>
      </c>
      <c r="BL23" s="2">
        <f t="shared" si="52"/>
        <v>0</v>
      </c>
      <c r="BM23" s="2">
        <f t="shared" si="48"/>
        <v>0</v>
      </c>
      <c r="BN23" s="2">
        <f t="shared" si="8"/>
        <v>0</v>
      </c>
      <c r="BO23" s="7">
        <f t="shared" si="9"/>
        <v>0</v>
      </c>
      <c r="BP23" s="2"/>
      <c r="BQ23" s="1">
        <f t="shared" si="44"/>
        <v>0</v>
      </c>
      <c r="BR23" s="4" t="str">
        <f t="shared" si="45"/>
        <v>0</v>
      </c>
      <c r="BS23" s="2">
        <f t="shared" si="16"/>
        <v>0</v>
      </c>
      <c r="BT23" s="2">
        <f t="shared" si="46"/>
        <v>60.846580869564939</v>
      </c>
      <c r="BU23" s="21">
        <f t="shared" si="17"/>
        <v>1</v>
      </c>
      <c r="BV23" s="21">
        <f t="shared" si="18"/>
        <v>26.74</v>
      </c>
      <c r="BW23" s="21">
        <f t="shared" si="12"/>
        <v>60.846580869564939</v>
      </c>
      <c r="BX23" s="21">
        <f t="shared" si="13"/>
        <v>2.2754891873434908</v>
      </c>
      <c r="BY23" s="1">
        <f t="shared" si="28"/>
        <v>0</v>
      </c>
      <c r="BZ23" s="4" t="str">
        <f t="shared" si="47"/>
        <v>0</v>
      </c>
      <c r="CA23" s="2">
        <f t="shared" si="19"/>
        <v>0</v>
      </c>
      <c r="CB23" s="2">
        <f t="shared" si="29"/>
        <v>60.846580869564939</v>
      </c>
      <c r="CC23" s="21">
        <f t="shared" si="20"/>
        <v>1</v>
      </c>
      <c r="CD23" s="2">
        <f t="shared" si="32"/>
        <v>37.033499999999997</v>
      </c>
      <c r="CE23" s="2">
        <f t="shared" si="21"/>
        <v>60.846580869564939</v>
      </c>
      <c r="CF23" s="21">
        <f t="shared" si="22"/>
        <v>1.6430145913717296</v>
      </c>
      <c r="CG23" s="10" t="str">
        <f t="shared" ref="CG23" si="53">IF(C21&lt;C23,"Rive",IF(C25&gt;C23,"Rive","Inter"))</f>
        <v>Inter</v>
      </c>
      <c r="CH23" s="21">
        <f t="shared" si="15"/>
        <v>1.6430145913717296</v>
      </c>
    </row>
    <row r="24" spans="1:86" x14ac:dyDescent="0.25">
      <c r="A24" t="str">
        <f t="shared" si="23"/>
        <v>Appui</v>
      </c>
      <c r="B24" t="b">
        <f t="shared" si="24"/>
        <v>1</v>
      </c>
      <c r="C24">
        <f t="shared" si="27"/>
        <v>2</v>
      </c>
      <c r="D24" s="5" t="s">
        <v>105</v>
      </c>
      <c r="E24" t="s">
        <v>52</v>
      </c>
      <c r="F24" s="5">
        <v>25</v>
      </c>
      <c r="G24" t="s">
        <v>46</v>
      </c>
      <c r="H24">
        <v>500</v>
      </c>
      <c r="I24">
        <v>220000</v>
      </c>
      <c r="J24">
        <v>1576</v>
      </c>
      <c r="K24" s="10">
        <v>1870</v>
      </c>
      <c r="L24" s="12">
        <v>1</v>
      </c>
      <c r="M24" s="5">
        <v>0.25</v>
      </c>
      <c r="N24" s="10">
        <v>5.3</v>
      </c>
      <c r="O24" s="5">
        <v>0</v>
      </c>
      <c r="P24">
        <v>6.9999999999999993E-2</v>
      </c>
      <c r="Q24" s="10">
        <v>1</v>
      </c>
      <c r="R24" s="8">
        <v>0</v>
      </c>
      <c r="S24">
        <v>0</v>
      </c>
      <c r="T24">
        <v>1</v>
      </c>
      <c r="U24" s="9">
        <v>0</v>
      </c>
      <c r="V24">
        <v>0</v>
      </c>
      <c r="W24" s="10">
        <v>0</v>
      </c>
      <c r="X24" s="5">
        <v>0</v>
      </c>
      <c r="Y24">
        <v>0</v>
      </c>
      <c r="Z24" s="4">
        <v>0</v>
      </c>
      <c r="AA24" s="2">
        <v>0</v>
      </c>
      <c r="AB24" s="2">
        <v>0</v>
      </c>
      <c r="AC24" s="13">
        <v>0</v>
      </c>
      <c r="AD24" s="2">
        <v>0</v>
      </c>
      <c r="AE24" s="2">
        <v>0</v>
      </c>
      <c r="AF24" s="2">
        <v>0</v>
      </c>
      <c r="AG24" s="2"/>
      <c r="AH24" s="7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1">
        <v>0</v>
      </c>
      <c r="AY24" s="2">
        <v>0</v>
      </c>
      <c r="AZ24" s="2">
        <v>0</v>
      </c>
      <c r="BA24" s="2">
        <v>0</v>
      </c>
      <c r="BC24" s="1">
        <f t="shared" si="0"/>
        <v>0</v>
      </c>
      <c r="BD24" s="2">
        <f t="shared" si="1"/>
        <v>0</v>
      </c>
      <c r="BE24" s="7">
        <f t="shared" si="2"/>
        <v>0</v>
      </c>
      <c r="BF24" s="1">
        <f t="shared" si="3"/>
        <v>0</v>
      </c>
      <c r="BG24" s="2">
        <f t="shared" si="4"/>
        <v>0</v>
      </c>
      <c r="BH24" s="2">
        <f t="shared" si="51"/>
        <v>0</v>
      </c>
      <c r="BI24" s="2">
        <f t="shared" si="51"/>
        <v>0</v>
      </c>
      <c r="BJ24" s="7">
        <f t="shared" si="51"/>
        <v>0</v>
      </c>
      <c r="BK24" s="1">
        <f t="shared" si="52"/>
        <v>0</v>
      </c>
      <c r="BL24" s="2">
        <f t="shared" si="52"/>
        <v>0</v>
      </c>
      <c r="BM24" s="2">
        <f t="shared" si="48"/>
        <v>0</v>
      </c>
      <c r="BN24" s="2">
        <f t="shared" si="8"/>
        <v>0</v>
      </c>
      <c r="BO24" s="7">
        <f t="shared" si="9"/>
        <v>0</v>
      </c>
      <c r="BP24" s="2"/>
      <c r="BQ24" s="1">
        <f t="shared" si="44"/>
        <v>0</v>
      </c>
      <c r="BR24" s="4">
        <f t="shared" si="45"/>
        <v>0</v>
      </c>
      <c r="BS24" s="2">
        <f t="shared" si="16"/>
        <v>0</v>
      </c>
      <c r="BT24" s="2">
        <f t="shared" si="46"/>
        <v>0</v>
      </c>
      <c r="BU24" s="21" t="str">
        <f t="shared" si="17"/>
        <v/>
      </c>
      <c r="BV24" s="21" t="str">
        <f t="shared" si="18"/>
        <v/>
      </c>
      <c r="BW24" s="21" t="str">
        <f t="shared" si="12"/>
        <v/>
      </c>
      <c r="BX24" s="21" t="str">
        <f t="shared" si="13"/>
        <v/>
      </c>
      <c r="BY24" s="1">
        <f t="shared" si="28"/>
        <v>0</v>
      </c>
      <c r="BZ24" s="4" t="str">
        <f t="shared" si="47"/>
        <v>0</v>
      </c>
      <c r="CA24" s="2">
        <f t="shared" si="19"/>
        <v>0</v>
      </c>
      <c r="CB24" s="2">
        <f t="shared" si="29"/>
        <v>0</v>
      </c>
      <c r="CC24" s="21" t="str">
        <f t="shared" si="20"/>
        <v/>
      </c>
      <c r="CD24" s="2" t="str">
        <f t="shared" si="32"/>
        <v/>
      </c>
      <c r="CE24" s="2" t="str">
        <f t="shared" si="21"/>
        <v/>
      </c>
      <c r="CF24" s="21" t="str">
        <f t="shared" si="22"/>
        <v/>
      </c>
      <c r="CG24" s="15"/>
      <c r="CH24" s="21" t="str">
        <f t="shared" si="15"/>
        <v/>
      </c>
    </row>
    <row r="25" spans="1:86" x14ac:dyDescent="0.25">
      <c r="A25" t="str">
        <f t="shared" si="23"/>
        <v>Travée</v>
      </c>
      <c r="B25" t="b">
        <f t="shared" si="24"/>
        <v>1</v>
      </c>
      <c r="C25">
        <f t="shared" si="27"/>
        <v>2</v>
      </c>
      <c r="D25" s="5" t="s">
        <v>105</v>
      </c>
      <c r="E25" t="s">
        <v>53</v>
      </c>
      <c r="F25" s="5">
        <v>25</v>
      </c>
      <c r="G25" t="s">
        <v>46</v>
      </c>
      <c r="H25">
        <v>500</v>
      </c>
      <c r="I25">
        <v>220000</v>
      </c>
      <c r="J25">
        <v>1576</v>
      </c>
      <c r="K25" s="10">
        <v>1870</v>
      </c>
      <c r="L25" s="12">
        <v>1</v>
      </c>
      <c r="M25" s="5">
        <v>0.23499999999999999</v>
      </c>
      <c r="N25" s="10">
        <v>5.3</v>
      </c>
      <c r="O25" s="5">
        <v>6.7840000000000001E-4</v>
      </c>
      <c r="P25">
        <v>0.04</v>
      </c>
      <c r="Q25" s="10">
        <v>1</v>
      </c>
      <c r="R25" s="8">
        <v>0</v>
      </c>
      <c r="S25">
        <v>0</v>
      </c>
      <c r="T25">
        <v>1</v>
      </c>
      <c r="U25" s="9">
        <v>0</v>
      </c>
      <c r="V25">
        <v>0</v>
      </c>
      <c r="W25" s="10">
        <v>0</v>
      </c>
      <c r="X25" s="5">
        <v>0</v>
      </c>
      <c r="Y25">
        <v>0</v>
      </c>
      <c r="Z25" s="4">
        <v>0</v>
      </c>
      <c r="AA25" s="2">
        <v>0</v>
      </c>
      <c r="AB25" s="2">
        <v>0</v>
      </c>
      <c r="AC25" s="13">
        <v>0</v>
      </c>
      <c r="AD25" s="2">
        <v>0</v>
      </c>
      <c r="AE25" s="2">
        <v>0</v>
      </c>
      <c r="AF25" s="2">
        <v>0</v>
      </c>
      <c r="AG25" s="2"/>
      <c r="AH25" s="7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60.846580869564939</v>
      </c>
      <c r="AS25" s="2">
        <v>60.846580869564939</v>
      </c>
      <c r="AT25" s="2">
        <v>0</v>
      </c>
      <c r="AU25" s="2">
        <v>0</v>
      </c>
      <c r="AV25" s="2">
        <v>0</v>
      </c>
      <c r="AW25" s="2">
        <v>0</v>
      </c>
      <c r="AX25" s="1">
        <v>0</v>
      </c>
      <c r="AY25" s="2">
        <v>0</v>
      </c>
      <c r="AZ25" s="2">
        <v>0</v>
      </c>
      <c r="BA25" s="2">
        <v>60.846580869564939</v>
      </c>
      <c r="BC25" s="1">
        <f t="shared" si="0"/>
        <v>0</v>
      </c>
      <c r="BD25" s="2">
        <f t="shared" si="1"/>
        <v>0</v>
      </c>
      <c r="BE25" s="7">
        <f t="shared" si="2"/>
        <v>0</v>
      </c>
      <c r="BF25" s="1">
        <f t="shared" si="3"/>
        <v>0</v>
      </c>
      <c r="BG25" s="2">
        <f t="shared" si="4"/>
        <v>0</v>
      </c>
      <c r="BH25" s="2">
        <f t="shared" si="51"/>
        <v>0</v>
      </c>
      <c r="BI25" s="2">
        <f t="shared" si="51"/>
        <v>0</v>
      </c>
      <c r="BJ25" s="7">
        <f t="shared" si="51"/>
        <v>0</v>
      </c>
      <c r="BK25" s="1">
        <f t="shared" si="52"/>
        <v>0</v>
      </c>
      <c r="BL25" s="2">
        <f t="shared" si="52"/>
        <v>0</v>
      </c>
      <c r="BM25" s="2">
        <f t="shared" si="48"/>
        <v>0</v>
      </c>
      <c r="BN25" s="2">
        <f t="shared" si="8"/>
        <v>0</v>
      </c>
      <c r="BO25" s="7">
        <f t="shared" si="9"/>
        <v>0</v>
      </c>
      <c r="BP25" s="2"/>
      <c r="BQ25" s="1">
        <f t="shared" si="44"/>
        <v>0</v>
      </c>
      <c r="BR25" s="4" t="str">
        <f t="shared" si="45"/>
        <v>0</v>
      </c>
      <c r="BS25" s="2">
        <f t="shared" si="16"/>
        <v>0</v>
      </c>
      <c r="BT25" s="2">
        <f t="shared" si="46"/>
        <v>60.846580869564939</v>
      </c>
      <c r="BU25" s="21">
        <f t="shared" si="17"/>
        <v>1</v>
      </c>
      <c r="BV25" s="21">
        <f t="shared" si="18"/>
        <v>25.594000000000001</v>
      </c>
      <c r="BW25" s="21">
        <f t="shared" si="12"/>
        <v>60.846580869564939</v>
      </c>
      <c r="BX25" s="21">
        <f t="shared" si="13"/>
        <v>2.3773767628961839</v>
      </c>
      <c r="BY25" s="1">
        <f t="shared" si="28"/>
        <v>0</v>
      </c>
      <c r="BZ25" s="4" t="str">
        <f t="shared" si="47"/>
        <v>0</v>
      </c>
      <c r="CA25" s="2">
        <f t="shared" si="19"/>
        <v>0</v>
      </c>
      <c r="CB25" s="2">
        <f t="shared" si="29"/>
        <v>60.846580869564939</v>
      </c>
      <c r="CC25" s="21">
        <f t="shared" si="20"/>
        <v>1</v>
      </c>
      <c r="CD25" s="2">
        <f t="shared" si="32"/>
        <v>35.446350000000002</v>
      </c>
      <c r="CE25" s="2">
        <f t="shared" si="21"/>
        <v>60.846580869564939</v>
      </c>
      <c r="CF25" s="21">
        <f t="shared" si="22"/>
        <v>1.7165824088958366</v>
      </c>
      <c r="CG25" s="10" t="str">
        <f t="shared" ref="CG25" si="54">IF(C23&lt;C25,"Rive",IF(C27&gt;C25,"Rive","Inter"))</f>
        <v>Inter</v>
      </c>
      <c r="CH25" s="21">
        <f t="shared" si="15"/>
        <v>1.7165824088958366</v>
      </c>
    </row>
    <row r="26" spans="1:86" x14ac:dyDescent="0.25">
      <c r="A26" t="str">
        <f t="shared" si="23"/>
        <v>Appui</v>
      </c>
      <c r="B26" t="b">
        <f t="shared" si="24"/>
        <v>1</v>
      </c>
      <c r="C26">
        <f t="shared" si="27"/>
        <v>2</v>
      </c>
      <c r="D26" s="5" t="s">
        <v>105</v>
      </c>
      <c r="E26" t="s">
        <v>54</v>
      </c>
      <c r="F26" s="5">
        <v>25</v>
      </c>
      <c r="G26" t="s">
        <v>46</v>
      </c>
      <c r="H26">
        <v>500</v>
      </c>
      <c r="I26">
        <v>220000</v>
      </c>
      <c r="J26">
        <v>1576</v>
      </c>
      <c r="K26" s="10">
        <v>1870</v>
      </c>
      <c r="L26" s="12">
        <v>1</v>
      </c>
      <c r="M26" s="5">
        <v>0.22</v>
      </c>
      <c r="N26" s="10">
        <v>5.3</v>
      </c>
      <c r="O26" s="5">
        <v>0</v>
      </c>
      <c r="P26">
        <v>0.04</v>
      </c>
      <c r="Q26" s="10">
        <v>1</v>
      </c>
      <c r="R26" s="8">
        <v>0</v>
      </c>
      <c r="S26">
        <v>0</v>
      </c>
      <c r="T26">
        <v>1</v>
      </c>
      <c r="U26" s="9">
        <v>0</v>
      </c>
      <c r="V26">
        <v>0</v>
      </c>
      <c r="W26" s="10">
        <v>0</v>
      </c>
      <c r="X26" s="5">
        <v>39.262</v>
      </c>
      <c r="Y26">
        <v>11.926</v>
      </c>
      <c r="Z26" s="4">
        <v>0</v>
      </c>
      <c r="AA26" s="2">
        <v>39.262</v>
      </c>
      <c r="AB26" s="2">
        <v>11.926</v>
      </c>
      <c r="AC26" s="13">
        <v>0</v>
      </c>
      <c r="AD26" s="2">
        <v>39.262</v>
      </c>
      <c r="AE26" s="2">
        <v>11.926</v>
      </c>
      <c r="AF26" s="2">
        <v>70.892700000000005</v>
      </c>
      <c r="AG26" s="2"/>
      <c r="AH26" s="7">
        <v>51.188000000000002</v>
      </c>
      <c r="AI26" s="2">
        <v>39.262</v>
      </c>
      <c r="AJ26" s="2">
        <v>11.926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70.892700000000005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1">
        <v>51.188000000000002</v>
      </c>
      <c r="AY26" s="2">
        <v>0</v>
      </c>
      <c r="AZ26" s="2">
        <v>0</v>
      </c>
      <c r="BA26" s="2">
        <v>0</v>
      </c>
      <c r="BC26" s="1">
        <f t="shared" si="0"/>
        <v>39.262</v>
      </c>
      <c r="BD26" s="2">
        <f t="shared" si="1"/>
        <v>0</v>
      </c>
      <c r="BE26" s="7">
        <f t="shared" si="2"/>
        <v>0</v>
      </c>
      <c r="BF26" s="1">
        <f t="shared" si="3"/>
        <v>11.926</v>
      </c>
      <c r="BG26" s="2">
        <f t="shared" si="4"/>
        <v>0</v>
      </c>
      <c r="BH26" s="2">
        <f t="shared" si="51"/>
        <v>0</v>
      </c>
      <c r="BI26" s="2">
        <f t="shared" si="51"/>
        <v>0</v>
      </c>
      <c r="BJ26" s="7">
        <f t="shared" si="51"/>
        <v>0</v>
      </c>
      <c r="BK26" s="1">
        <f t="shared" si="52"/>
        <v>51.188000000000002</v>
      </c>
      <c r="BL26" s="2">
        <f t="shared" si="52"/>
        <v>0</v>
      </c>
      <c r="BM26" s="2">
        <f t="shared" si="48"/>
        <v>0</v>
      </c>
      <c r="BN26" s="2">
        <f t="shared" si="8"/>
        <v>0</v>
      </c>
      <c r="BO26" s="7">
        <f t="shared" si="9"/>
        <v>0</v>
      </c>
      <c r="BP26" s="2"/>
      <c r="BQ26" s="1">
        <f t="shared" si="44"/>
        <v>51.188000000000002</v>
      </c>
      <c r="BR26" s="4">
        <f t="shared" si="45"/>
        <v>0</v>
      </c>
      <c r="BS26" s="2">
        <f t="shared" si="16"/>
        <v>51.188000000000002</v>
      </c>
      <c r="BT26" s="2">
        <f t="shared" si="46"/>
        <v>0</v>
      </c>
      <c r="BU26" s="21" t="str">
        <f t="shared" si="17"/>
        <v/>
      </c>
      <c r="BV26" s="21" t="str">
        <f t="shared" si="18"/>
        <v/>
      </c>
      <c r="BW26" s="21" t="str">
        <f t="shared" si="12"/>
        <v/>
      </c>
      <c r="BX26" s="21" t="str">
        <f t="shared" si="13"/>
        <v/>
      </c>
      <c r="BY26" s="1">
        <f t="shared" si="28"/>
        <v>70.892700000000005</v>
      </c>
      <c r="BZ26" s="4" t="str">
        <f t="shared" si="47"/>
        <v>0</v>
      </c>
      <c r="CA26" s="2">
        <f t="shared" si="19"/>
        <v>70.892700000000005</v>
      </c>
      <c r="CB26" s="2">
        <f t="shared" si="29"/>
        <v>0</v>
      </c>
      <c r="CC26" s="21" t="str">
        <f t="shared" si="20"/>
        <v/>
      </c>
      <c r="CD26" s="2" t="str">
        <f t="shared" si="32"/>
        <v/>
      </c>
      <c r="CE26" s="2" t="str">
        <f t="shared" si="21"/>
        <v/>
      </c>
      <c r="CF26" s="21" t="str">
        <f t="shared" si="22"/>
        <v/>
      </c>
      <c r="CG26" s="15"/>
      <c r="CH26" s="21" t="str">
        <f t="shared" si="15"/>
        <v/>
      </c>
    </row>
    <row r="27" spans="1:86" x14ac:dyDescent="0.25">
      <c r="A27" t="str">
        <f t="shared" si="23"/>
        <v>Travée</v>
      </c>
      <c r="B27" t="b">
        <f t="shared" si="24"/>
        <v>1</v>
      </c>
      <c r="C27">
        <f t="shared" si="27"/>
        <v>2</v>
      </c>
      <c r="D27" s="5" t="s">
        <v>105</v>
      </c>
      <c r="E27" t="s">
        <v>55</v>
      </c>
      <c r="F27" s="5">
        <v>25</v>
      </c>
      <c r="G27" t="s">
        <v>46</v>
      </c>
      <c r="H27">
        <v>500</v>
      </c>
      <c r="I27">
        <v>220000</v>
      </c>
      <c r="J27">
        <v>1576</v>
      </c>
      <c r="K27" s="10">
        <v>1870</v>
      </c>
      <c r="L27" s="12">
        <v>1</v>
      </c>
      <c r="M27" s="5">
        <v>0.23499999999999999</v>
      </c>
      <c r="N27" s="10">
        <v>5.3</v>
      </c>
      <c r="O27" s="5">
        <v>2.0405000000000002E-3</v>
      </c>
      <c r="P27">
        <v>0.04</v>
      </c>
      <c r="Q27" s="10">
        <v>1</v>
      </c>
      <c r="R27" s="8">
        <v>0</v>
      </c>
      <c r="S27">
        <v>0</v>
      </c>
      <c r="T27">
        <v>1</v>
      </c>
      <c r="U27" s="9">
        <v>2.9099999999999999E-5</v>
      </c>
      <c r="V27">
        <v>0</v>
      </c>
      <c r="W27" s="10">
        <v>10</v>
      </c>
      <c r="X27" s="5">
        <v>86.141999999999996</v>
      </c>
      <c r="Y27">
        <v>26.166</v>
      </c>
      <c r="Z27" s="4">
        <v>0</v>
      </c>
      <c r="AA27" s="2">
        <v>86.141999999999996</v>
      </c>
      <c r="AB27" s="2">
        <v>26.166</v>
      </c>
      <c r="AC27" s="13">
        <v>0</v>
      </c>
      <c r="AD27" s="2">
        <v>86.141999999999996</v>
      </c>
      <c r="AE27" s="2">
        <v>26.166</v>
      </c>
      <c r="AF27" s="2">
        <v>155.54069999999999</v>
      </c>
      <c r="AG27" s="2"/>
      <c r="AH27" s="7">
        <v>112.30800000000001</v>
      </c>
      <c r="AI27" s="2">
        <v>86.141999999999996</v>
      </c>
      <c r="AJ27" s="2">
        <v>26.166</v>
      </c>
      <c r="AK27" s="2">
        <v>6.1529093502086853</v>
      </c>
      <c r="AL27" s="2">
        <v>1.6693379763445051</v>
      </c>
      <c r="AM27" s="2">
        <v>-227.73626275148251</v>
      </c>
      <c r="AN27" s="2">
        <v>-56.148879697329448</v>
      </c>
      <c r="AO27" s="2">
        <v>0</v>
      </c>
      <c r="AP27" s="2">
        <v>-76.826659488541608</v>
      </c>
      <c r="AQ27" s="2">
        <v>155.54069999999999</v>
      </c>
      <c r="AR27" s="2">
        <v>179.98051321430049</v>
      </c>
      <c r="AS27" s="2">
        <v>285.9197783522705</v>
      </c>
      <c r="AT27" s="2">
        <v>7.0262133324728993</v>
      </c>
      <c r="AU27" s="2">
        <v>-340.21497452005138</v>
      </c>
      <c r="AV27" s="2">
        <v>0</v>
      </c>
      <c r="AW27" s="2">
        <v>-472.61536530461262</v>
      </c>
      <c r="AX27" s="1">
        <v>112.30800000000001</v>
      </c>
      <c r="AY27" s="2">
        <v>5.7502914545196244</v>
      </c>
      <c r="AZ27" s="2">
        <v>-303.0593952316504</v>
      </c>
      <c r="BA27" s="2">
        <v>179.98051321430049</v>
      </c>
      <c r="BC27" s="1">
        <f t="shared" si="0"/>
        <v>86.141999999999996</v>
      </c>
      <c r="BD27" s="2">
        <f t="shared" si="1"/>
        <v>6.1529093502086853</v>
      </c>
      <c r="BE27" s="7">
        <f t="shared" si="2"/>
        <v>-227.73626275148251</v>
      </c>
      <c r="BF27" s="1">
        <f t="shared" si="3"/>
        <v>26.166</v>
      </c>
      <c r="BG27" s="2">
        <f t="shared" si="4"/>
        <v>1.6693379763445051</v>
      </c>
      <c r="BH27" s="2">
        <f t="shared" si="51"/>
        <v>-56.148879697329448</v>
      </c>
      <c r="BI27" s="2">
        <f t="shared" si="51"/>
        <v>0</v>
      </c>
      <c r="BJ27" s="7">
        <f t="shared" si="51"/>
        <v>-76.826659488541608</v>
      </c>
      <c r="BK27" s="1">
        <f t="shared" si="52"/>
        <v>112.30799999999999</v>
      </c>
      <c r="BL27" s="2">
        <f t="shared" si="52"/>
        <v>7.8222473265531907</v>
      </c>
      <c r="BM27" s="2">
        <f t="shared" si="48"/>
        <v>283.88514244881196</v>
      </c>
      <c r="BN27" s="2">
        <f t="shared" si="8"/>
        <v>0</v>
      </c>
      <c r="BO27" s="7">
        <f t="shared" si="9"/>
        <v>-76.826659488541608</v>
      </c>
      <c r="BP27" s="2"/>
      <c r="BQ27" s="1">
        <f t="shared" si="44"/>
        <v>112.30800000000001</v>
      </c>
      <c r="BR27" s="4" t="str">
        <f t="shared" si="45"/>
        <v>0</v>
      </c>
      <c r="BS27" s="2">
        <f t="shared" si="16"/>
        <v>112.30800000000001</v>
      </c>
      <c r="BT27" s="2">
        <f t="shared" si="46"/>
        <v>179.98051321430049</v>
      </c>
      <c r="BU27" s="21">
        <f t="shared" si="17"/>
        <v>1.6025618229716536</v>
      </c>
      <c r="BV27" s="21">
        <f t="shared" si="18"/>
        <v>164.642</v>
      </c>
      <c r="BW27" s="21">
        <f t="shared" si="12"/>
        <v>179.98051321430049</v>
      </c>
      <c r="BX27" s="21">
        <f t="shared" si="13"/>
        <v>1.0931628212382047</v>
      </c>
      <c r="BY27" s="1">
        <f t="shared" si="28"/>
        <v>155.54069999999999</v>
      </c>
      <c r="BZ27" s="4" t="str">
        <f t="shared" si="47"/>
        <v>0</v>
      </c>
      <c r="CA27" s="2">
        <f t="shared" si="19"/>
        <v>155.54069999999999</v>
      </c>
      <c r="CB27" s="2">
        <f t="shared" si="29"/>
        <v>285.9197783522705</v>
      </c>
      <c r="CC27" s="21">
        <f t="shared" si="20"/>
        <v>1.8382312690650777</v>
      </c>
      <c r="CD27" s="2">
        <f t="shared" si="32"/>
        <v>228.02054999999999</v>
      </c>
      <c r="CE27" s="2">
        <f t="shared" si="21"/>
        <v>285.9197783522705</v>
      </c>
      <c r="CF27" s="21">
        <f t="shared" si="22"/>
        <v>1.2539210976917234</v>
      </c>
      <c r="CG27" s="10" t="str">
        <f t="shared" ref="CG27" si="55">IF(C25&lt;C27,"Rive",IF(C29&gt;C27,"Rive","Inter"))</f>
        <v>Inter</v>
      </c>
      <c r="CH27" s="21">
        <f t="shared" si="15"/>
        <v>0.78931707345807423</v>
      </c>
    </row>
    <row r="28" spans="1:86" x14ac:dyDescent="0.25">
      <c r="A28" t="str">
        <f t="shared" si="23"/>
        <v>Appui</v>
      </c>
      <c r="B28" t="b">
        <f t="shared" si="24"/>
        <v>1</v>
      </c>
      <c r="C28">
        <f t="shared" si="27"/>
        <v>2</v>
      </c>
      <c r="D28" s="5" t="s">
        <v>105</v>
      </c>
      <c r="E28" t="s">
        <v>56</v>
      </c>
      <c r="F28" s="5">
        <v>25</v>
      </c>
      <c r="G28" t="s">
        <v>46</v>
      </c>
      <c r="H28">
        <v>500</v>
      </c>
      <c r="I28">
        <v>220000</v>
      </c>
      <c r="J28">
        <v>1576</v>
      </c>
      <c r="K28" s="10">
        <v>1870</v>
      </c>
      <c r="L28" s="12">
        <v>1</v>
      </c>
      <c r="M28" s="5">
        <v>0.25</v>
      </c>
      <c r="N28" s="10">
        <v>5.3</v>
      </c>
      <c r="O28" s="5">
        <v>0</v>
      </c>
      <c r="P28">
        <v>6.9999999999999993E-2</v>
      </c>
      <c r="Q28" s="10">
        <v>1</v>
      </c>
      <c r="R28" s="8">
        <v>0</v>
      </c>
      <c r="S28">
        <v>0</v>
      </c>
      <c r="T28">
        <v>1</v>
      </c>
      <c r="U28" s="9">
        <v>0</v>
      </c>
      <c r="V28">
        <v>0</v>
      </c>
      <c r="W28" s="10">
        <v>0</v>
      </c>
      <c r="X28" s="5">
        <v>41.02</v>
      </c>
      <c r="Y28">
        <v>12.46</v>
      </c>
      <c r="Z28" s="4">
        <v>0</v>
      </c>
      <c r="AA28" s="2">
        <v>41.02</v>
      </c>
      <c r="AB28" s="2">
        <v>12.46</v>
      </c>
      <c r="AC28" s="13">
        <v>0</v>
      </c>
      <c r="AD28" s="2">
        <v>41.02</v>
      </c>
      <c r="AE28" s="2">
        <v>12.46</v>
      </c>
      <c r="AF28" s="2">
        <v>74.066999999999993</v>
      </c>
      <c r="AG28" s="2"/>
      <c r="AH28" s="7">
        <v>53.48</v>
      </c>
      <c r="AI28" s="2">
        <v>41.02</v>
      </c>
      <c r="AJ28" s="2">
        <v>12.46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74.066999999999993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1">
        <v>53.48</v>
      </c>
      <c r="AY28" s="2">
        <v>0</v>
      </c>
      <c r="AZ28" s="2">
        <v>0</v>
      </c>
      <c r="BA28" s="2">
        <v>0</v>
      </c>
      <c r="BC28" s="1">
        <f t="shared" si="0"/>
        <v>41.02</v>
      </c>
      <c r="BD28" s="2">
        <f t="shared" si="1"/>
        <v>0</v>
      </c>
      <c r="BE28" s="7">
        <f t="shared" si="2"/>
        <v>0</v>
      </c>
      <c r="BF28" s="1">
        <f t="shared" si="3"/>
        <v>12.46</v>
      </c>
      <c r="BG28" s="2">
        <f t="shared" si="4"/>
        <v>0</v>
      </c>
      <c r="BH28" s="2">
        <f t="shared" si="51"/>
        <v>0</v>
      </c>
      <c r="BI28" s="2">
        <f t="shared" si="51"/>
        <v>0</v>
      </c>
      <c r="BJ28" s="7">
        <f t="shared" si="51"/>
        <v>0</v>
      </c>
      <c r="BK28" s="1">
        <f t="shared" si="52"/>
        <v>53.480000000000004</v>
      </c>
      <c r="BL28" s="2">
        <f t="shared" si="52"/>
        <v>0</v>
      </c>
      <c r="BM28" s="2">
        <f t="shared" si="48"/>
        <v>0</v>
      </c>
      <c r="BN28" s="2">
        <f t="shared" si="8"/>
        <v>0</v>
      </c>
      <c r="BO28" s="7">
        <f t="shared" si="9"/>
        <v>0</v>
      </c>
      <c r="BP28" s="2"/>
      <c r="BQ28" s="1">
        <f t="shared" si="44"/>
        <v>53.48</v>
      </c>
      <c r="BR28" s="4">
        <f t="shared" si="45"/>
        <v>0</v>
      </c>
      <c r="BS28" s="2">
        <f t="shared" si="16"/>
        <v>53.48</v>
      </c>
      <c r="BT28" s="2">
        <f t="shared" si="46"/>
        <v>0</v>
      </c>
      <c r="BU28" s="21" t="str">
        <f t="shared" si="17"/>
        <v/>
      </c>
      <c r="BV28" s="21" t="str">
        <f t="shared" si="18"/>
        <v/>
      </c>
      <c r="BW28" s="21" t="str">
        <f t="shared" si="12"/>
        <v/>
      </c>
      <c r="BX28" s="21" t="str">
        <f t="shared" si="13"/>
        <v/>
      </c>
      <c r="BY28" s="1">
        <f t="shared" si="28"/>
        <v>74.066999999999993</v>
      </c>
      <c r="BZ28" s="4" t="str">
        <f t="shared" si="47"/>
        <v>0</v>
      </c>
      <c r="CA28" s="2">
        <f t="shared" si="19"/>
        <v>74.066999999999993</v>
      </c>
      <c r="CB28" s="2">
        <f t="shared" si="29"/>
        <v>0</v>
      </c>
      <c r="CC28" s="21" t="str">
        <f t="shared" si="20"/>
        <v/>
      </c>
      <c r="CD28" s="2" t="str">
        <f t="shared" si="32"/>
        <v/>
      </c>
      <c r="CE28" s="2" t="str">
        <f t="shared" si="21"/>
        <v/>
      </c>
      <c r="CF28" s="21" t="str">
        <f t="shared" si="22"/>
        <v/>
      </c>
      <c r="CG28" s="15"/>
      <c r="CH28" s="21" t="str">
        <f t="shared" si="15"/>
        <v/>
      </c>
    </row>
    <row r="29" spans="1:86" x14ac:dyDescent="0.25">
      <c r="A29" t="str">
        <f t="shared" si="23"/>
        <v>Travée</v>
      </c>
      <c r="B29" t="b">
        <f t="shared" si="24"/>
        <v>1</v>
      </c>
      <c r="C29">
        <f t="shared" si="27"/>
        <v>2</v>
      </c>
      <c r="D29" s="5" t="s">
        <v>105</v>
      </c>
      <c r="E29" t="s">
        <v>57</v>
      </c>
      <c r="F29" s="5">
        <v>25</v>
      </c>
      <c r="G29" t="s">
        <v>46</v>
      </c>
      <c r="H29">
        <v>500</v>
      </c>
      <c r="I29">
        <v>220000</v>
      </c>
      <c r="J29">
        <v>1576</v>
      </c>
      <c r="K29" s="10">
        <v>1870</v>
      </c>
      <c r="L29" s="12">
        <v>1</v>
      </c>
      <c r="M29" s="5">
        <v>0.26</v>
      </c>
      <c r="N29" s="10">
        <v>5.3</v>
      </c>
      <c r="O29" s="5">
        <v>1.3621E-3</v>
      </c>
      <c r="P29">
        <v>0.04</v>
      </c>
      <c r="Q29" s="10">
        <v>1</v>
      </c>
      <c r="R29" s="8">
        <v>0</v>
      </c>
      <c r="S29">
        <v>0</v>
      </c>
      <c r="T29">
        <v>1</v>
      </c>
      <c r="U29" s="9">
        <v>2.9099999999999999E-5</v>
      </c>
      <c r="V29">
        <v>0</v>
      </c>
      <c r="W29" s="10">
        <v>7</v>
      </c>
      <c r="X29" s="5">
        <v>42.192</v>
      </c>
      <c r="Y29">
        <v>12.816000000000001</v>
      </c>
      <c r="Z29" s="4">
        <v>0</v>
      </c>
      <c r="AA29" s="2">
        <v>42.192</v>
      </c>
      <c r="AB29" s="2">
        <v>12.816000000000001</v>
      </c>
      <c r="AC29" s="13">
        <v>0</v>
      </c>
      <c r="AD29" s="2">
        <v>42.192</v>
      </c>
      <c r="AE29" s="2">
        <v>12.816000000000001</v>
      </c>
      <c r="AF29" s="2">
        <v>76.183199999999999</v>
      </c>
      <c r="AG29" s="2"/>
      <c r="AH29" s="7">
        <v>55.008000000000003</v>
      </c>
      <c r="AI29" s="2">
        <v>42.192</v>
      </c>
      <c r="AJ29" s="2">
        <v>12.816000000000001</v>
      </c>
      <c r="AK29" s="2">
        <v>2.985778401420073</v>
      </c>
      <c r="AL29" s="2">
        <v>0.81352740937329704</v>
      </c>
      <c r="AM29" s="2">
        <v>-146.50573861775209</v>
      </c>
      <c r="AN29" s="2">
        <v>-36.099423766764247</v>
      </c>
      <c r="AO29" s="2">
        <v>0</v>
      </c>
      <c r="AP29" s="2">
        <v>-47.963095626863478</v>
      </c>
      <c r="AQ29" s="2">
        <v>76.183199999999999</v>
      </c>
      <c r="AR29" s="2">
        <v>136.9899254721916</v>
      </c>
      <c r="AS29" s="2">
        <v>221.12457412887409</v>
      </c>
      <c r="AT29" s="2">
        <v>3.5231309525494341</v>
      </c>
      <c r="AU29" s="2">
        <v>-217.64767616366299</v>
      </c>
      <c r="AV29" s="2">
        <v>0</v>
      </c>
      <c r="AW29" s="2">
        <v>-291.89890958145833</v>
      </c>
      <c r="AX29" s="1">
        <v>55.008000000000003</v>
      </c>
      <c r="AY29" s="2">
        <v>2.8555910834164999</v>
      </c>
      <c r="AZ29" s="2">
        <v>-193.83633720575631</v>
      </c>
      <c r="BA29" s="2">
        <v>136.9899254721916</v>
      </c>
      <c r="BC29" s="1">
        <f t="shared" si="0"/>
        <v>42.192</v>
      </c>
      <c r="BD29" s="2">
        <f t="shared" si="1"/>
        <v>2.985778401420073</v>
      </c>
      <c r="BE29" s="7">
        <f t="shared" si="2"/>
        <v>-146.50573861775209</v>
      </c>
      <c r="BF29" s="1">
        <f t="shared" si="3"/>
        <v>12.816000000000001</v>
      </c>
      <c r="BG29" s="2">
        <f t="shared" si="4"/>
        <v>0.81352740937329704</v>
      </c>
      <c r="BH29" s="2">
        <f t="shared" si="51"/>
        <v>-36.099423766764247</v>
      </c>
      <c r="BI29" s="2">
        <f t="shared" si="51"/>
        <v>0</v>
      </c>
      <c r="BJ29" s="7">
        <f t="shared" si="51"/>
        <v>-47.963095626863478</v>
      </c>
      <c r="BK29" s="1">
        <f t="shared" si="52"/>
        <v>55.008000000000003</v>
      </c>
      <c r="BL29" s="2">
        <f t="shared" si="52"/>
        <v>3.7993058107933702</v>
      </c>
      <c r="BM29" s="2">
        <f t="shared" si="48"/>
        <v>182.60516238451635</v>
      </c>
      <c r="BN29" s="2">
        <f t="shared" si="8"/>
        <v>0</v>
      </c>
      <c r="BO29" s="7">
        <f t="shared" si="9"/>
        <v>-47.963095626863478</v>
      </c>
      <c r="BP29" s="2"/>
      <c r="BQ29" s="1">
        <f t="shared" si="44"/>
        <v>55.008000000000003</v>
      </c>
      <c r="BR29" s="4" t="str">
        <f t="shared" si="45"/>
        <v>0</v>
      </c>
      <c r="BS29" s="2">
        <f t="shared" si="16"/>
        <v>55.008000000000003</v>
      </c>
      <c r="BT29" s="2">
        <f t="shared" si="46"/>
        <v>136.9899254721916</v>
      </c>
      <c r="BU29" s="21">
        <f t="shared" si="17"/>
        <v>2.4903636829586895</v>
      </c>
      <c r="BV29" s="21">
        <f t="shared" si="18"/>
        <v>81.748000000000005</v>
      </c>
      <c r="BW29" s="21">
        <f t="shared" si="12"/>
        <v>137.38014088711083</v>
      </c>
      <c r="BX29" s="21">
        <f t="shared" si="13"/>
        <v>1.6805321339618196</v>
      </c>
      <c r="BY29" s="1">
        <f t="shared" si="28"/>
        <v>76.183199999999999</v>
      </c>
      <c r="BZ29" s="4" t="str">
        <f t="shared" si="47"/>
        <v>0</v>
      </c>
      <c r="CA29" s="2">
        <f t="shared" si="19"/>
        <v>76.183199999999999</v>
      </c>
      <c r="CB29" s="2">
        <f t="shared" si="29"/>
        <v>221.12457412887409</v>
      </c>
      <c r="CC29" s="21">
        <f t="shared" si="20"/>
        <v>2.9025372277467221</v>
      </c>
      <c r="CD29" s="2">
        <f t="shared" si="32"/>
        <v>113.2167</v>
      </c>
      <c r="CE29" s="2">
        <f t="shared" si="21"/>
        <v>221.51478954379331</v>
      </c>
      <c r="CF29" s="21">
        <f t="shared" si="22"/>
        <v>1.9565557867681473</v>
      </c>
      <c r="CG29" s="10" t="str">
        <f t="shared" ref="CG29" si="56">IF(C27&lt;C29,"Rive",IF(C31&gt;C29,"Rive","Inter"))</f>
        <v>Rive</v>
      </c>
      <c r="CH29" s="21">
        <f t="shared" si="15"/>
        <v>1.2134264723058596</v>
      </c>
    </row>
    <row r="30" spans="1:86" x14ac:dyDescent="0.25">
      <c r="A30" t="str">
        <f t="shared" si="23"/>
        <v/>
      </c>
      <c r="B30" t="b">
        <f t="shared" si="24"/>
        <v>1</v>
      </c>
      <c r="C30">
        <f t="shared" si="27"/>
        <v>2</v>
      </c>
      <c r="D30" s="5" t="s">
        <v>105</v>
      </c>
      <c r="F30" s="5">
        <v>25</v>
      </c>
      <c r="G30" t="s">
        <v>46</v>
      </c>
      <c r="H30">
        <v>500</v>
      </c>
      <c r="I30">
        <v>220000</v>
      </c>
      <c r="J30">
        <v>1576</v>
      </c>
      <c r="K30" s="10">
        <v>1870</v>
      </c>
      <c r="L30" s="12">
        <v>1</v>
      </c>
      <c r="M30" s="5">
        <v>0.2</v>
      </c>
      <c r="N30" s="10">
        <v>2.2000000000000002</v>
      </c>
      <c r="O30" s="5">
        <v>1.0000000000000001E-5</v>
      </c>
      <c r="P30">
        <v>0.03</v>
      </c>
      <c r="Q30" s="10">
        <v>1</v>
      </c>
      <c r="R30" s="8">
        <v>0</v>
      </c>
      <c r="S30">
        <v>0</v>
      </c>
      <c r="T30">
        <v>1</v>
      </c>
      <c r="U30" s="9">
        <v>0</v>
      </c>
      <c r="V30">
        <v>0</v>
      </c>
      <c r="W30" s="10">
        <v>0</v>
      </c>
      <c r="X30" s="5">
        <v>0</v>
      </c>
      <c r="Y30">
        <v>0</v>
      </c>
      <c r="Z30" s="4">
        <v>0</v>
      </c>
      <c r="AA30" s="2">
        <v>0</v>
      </c>
      <c r="AB30" s="2">
        <v>0</v>
      </c>
      <c r="AC30" s="13"/>
      <c r="AD30" s="2">
        <v>0</v>
      </c>
      <c r="AE30" s="2">
        <v>0</v>
      </c>
      <c r="AF30" s="2"/>
      <c r="AG30" s="2"/>
      <c r="AH30" s="7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/>
      <c r="AR30" s="2">
        <v>0.78043082983844214</v>
      </c>
      <c r="AS30" s="2">
        <v>0.78043082983844214</v>
      </c>
      <c r="AT30" s="2">
        <v>0</v>
      </c>
      <c r="AU30" s="2">
        <v>0</v>
      </c>
      <c r="AV30" s="2">
        <v>0</v>
      </c>
      <c r="AW30" s="2">
        <v>0</v>
      </c>
      <c r="AX30" s="1">
        <v>0</v>
      </c>
      <c r="AY30" s="2">
        <v>0</v>
      </c>
      <c r="AZ30" s="2">
        <v>0</v>
      </c>
      <c r="BA30" s="2">
        <v>0.78043082983844214</v>
      </c>
      <c r="BC30" s="1">
        <f t="shared" si="0"/>
        <v>0</v>
      </c>
      <c r="BD30" s="2">
        <f t="shared" si="1"/>
        <v>0</v>
      </c>
      <c r="BE30" s="7">
        <f t="shared" si="2"/>
        <v>0</v>
      </c>
      <c r="BF30" s="1">
        <f t="shared" si="3"/>
        <v>0</v>
      </c>
      <c r="BG30" s="2">
        <f t="shared" si="4"/>
        <v>0</v>
      </c>
      <c r="BH30" s="2">
        <f t="shared" si="51"/>
        <v>0</v>
      </c>
      <c r="BI30" s="2">
        <f t="shared" si="51"/>
        <v>0</v>
      </c>
      <c r="BJ30" s="7">
        <f t="shared" si="51"/>
        <v>0</v>
      </c>
      <c r="BK30" s="1">
        <f t="shared" si="52"/>
        <v>0</v>
      </c>
      <c r="BL30" s="2">
        <f t="shared" si="52"/>
        <v>0</v>
      </c>
      <c r="BM30" s="2">
        <f t="shared" si="48"/>
        <v>0</v>
      </c>
      <c r="BN30" s="2">
        <f t="shared" si="8"/>
        <v>0</v>
      </c>
      <c r="BO30" s="7">
        <f t="shared" si="9"/>
        <v>0</v>
      </c>
      <c r="BP30" s="2"/>
      <c r="BQ30" s="1">
        <f t="shared" si="44"/>
        <v>0</v>
      </c>
      <c r="BR30" s="4">
        <v>0</v>
      </c>
      <c r="BS30" s="2">
        <f t="shared" si="16"/>
        <v>0</v>
      </c>
      <c r="BT30" s="2">
        <f t="shared" si="46"/>
        <v>0.78043082983844214</v>
      </c>
      <c r="BU30" s="21">
        <f t="shared" si="17"/>
        <v>1</v>
      </c>
      <c r="BV30" s="21" t="str">
        <f t="shared" si="18"/>
        <v/>
      </c>
      <c r="BW30" s="21" t="str">
        <f t="shared" si="12"/>
        <v/>
      </c>
      <c r="BX30" s="21" t="str">
        <f t="shared" si="13"/>
        <v/>
      </c>
      <c r="BY30" s="1">
        <f t="shared" si="28"/>
        <v>0</v>
      </c>
      <c r="BZ30" s="4">
        <v>0</v>
      </c>
      <c r="CA30" s="2">
        <f t="shared" si="19"/>
        <v>0</v>
      </c>
      <c r="CB30" s="2">
        <f t="shared" si="29"/>
        <v>0.78043082983844214</v>
      </c>
      <c r="CC30" s="21">
        <f t="shared" si="20"/>
        <v>1</v>
      </c>
      <c r="CD30" s="2" t="str">
        <f t="shared" si="32"/>
        <v/>
      </c>
      <c r="CE30" s="2" t="str">
        <f t="shared" si="21"/>
        <v/>
      </c>
      <c r="CF30" s="21" t="str">
        <f t="shared" si="22"/>
        <v/>
      </c>
      <c r="CG30" s="15"/>
      <c r="CH30" s="21" t="str">
        <f t="shared" si="15"/>
        <v/>
      </c>
    </row>
    <row r="31" spans="1:86" x14ac:dyDescent="0.25">
      <c r="A31" t="str">
        <f t="shared" si="23"/>
        <v>Travée</v>
      </c>
      <c r="B31" t="b">
        <f t="shared" si="24"/>
        <v>0</v>
      </c>
      <c r="C31">
        <f t="shared" si="27"/>
        <v>3</v>
      </c>
      <c r="D31" s="5" t="s">
        <v>106</v>
      </c>
      <c r="E31" t="s">
        <v>45</v>
      </c>
      <c r="F31" s="5">
        <v>25</v>
      </c>
      <c r="G31" t="s">
        <v>46</v>
      </c>
      <c r="H31">
        <v>500</v>
      </c>
      <c r="I31">
        <v>220000</v>
      </c>
      <c r="J31">
        <v>1576</v>
      </c>
      <c r="K31" s="10">
        <v>1870</v>
      </c>
      <c r="L31" s="12">
        <v>1</v>
      </c>
      <c r="M31" s="5">
        <v>0.26</v>
      </c>
      <c r="N31" s="10">
        <v>5.3</v>
      </c>
      <c r="O31" s="5">
        <v>1.3621E-3</v>
      </c>
      <c r="P31">
        <v>0.04</v>
      </c>
      <c r="Q31" s="10">
        <v>1</v>
      </c>
      <c r="R31" s="8">
        <v>0</v>
      </c>
      <c r="S31">
        <v>0</v>
      </c>
      <c r="T31">
        <v>1</v>
      </c>
      <c r="U31" s="9">
        <v>2.9099999999999999E-5</v>
      </c>
      <c r="V31">
        <v>0</v>
      </c>
      <c r="W31" s="10">
        <v>7</v>
      </c>
      <c r="X31" s="5">
        <v>38.090000000000003</v>
      </c>
      <c r="Y31">
        <v>11.57</v>
      </c>
      <c r="Z31" s="4">
        <v>0</v>
      </c>
      <c r="AA31" s="2">
        <v>38.090000000000003</v>
      </c>
      <c r="AB31" s="2">
        <v>11.57</v>
      </c>
      <c r="AC31" s="13">
        <v>0</v>
      </c>
      <c r="AD31" s="2">
        <v>38.090000000000003</v>
      </c>
      <c r="AE31" s="2">
        <v>11.57</v>
      </c>
      <c r="AF31" s="2">
        <v>68.776499999999999</v>
      </c>
      <c r="AG31" s="2"/>
      <c r="AH31" s="7">
        <v>49.66</v>
      </c>
      <c r="AI31" s="2">
        <v>38.090000000000003</v>
      </c>
      <c r="AJ31" s="2">
        <v>11.57</v>
      </c>
      <c r="AK31" s="2">
        <v>2.695494390170897</v>
      </c>
      <c r="AL31" s="2">
        <v>0.73443489857225452</v>
      </c>
      <c r="AM31" s="2">
        <v>-132.26212514102619</v>
      </c>
      <c r="AN31" s="2">
        <v>-32.589754836999028</v>
      </c>
      <c r="AO31" s="2">
        <v>0</v>
      </c>
      <c r="AP31" s="2">
        <v>-43.300013884788157</v>
      </c>
      <c r="AQ31" s="2">
        <v>68.776499999999999</v>
      </c>
      <c r="AR31" s="2">
        <v>136.9899254721916</v>
      </c>
      <c r="AS31" s="2">
        <v>221.12457412887409</v>
      </c>
      <c r="AT31" s="2">
        <v>3.192271636681081</v>
      </c>
      <c r="AU31" s="2">
        <v>-196.45689635493181</v>
      </c>
      <c r="AV31" s="2">
        <v>0</v>
      </c>
      <c r="AW31" s="2">
        <v>-263.46227758821362</v>
      </c>
      <c r="AX31" s="1">
        <v>49.66</v>
      </c>
      <c r="AY31" s="2">
        <v>2.5854376046060632</v>
      </c>
      <c r="AZ31" s="2">
        <v>-174.9697697286322</v>
      </c>
      <c r="BA31" s="2">
        <v>136.9899254721916</v>
      </c>
      <c r="BC31" s="1">
        <f t="shared" si="0"/>
        <v>38.090000000000003</v>
      </c>
      <c r="BD31" s="2">
        <f t="shared" si="1"/>
        <v>2.695494390170897</v>
      </c>
      <c r="BE31" s="7">
        <f t="shared" si="2"/>
        <v>-132.26212514102619</v>
      </c>
      <c r="BF31" s="1">
        <f t="shared" si="3"/>
        <v>11.57</v>
      </c>
      <c r="BG31" s="2">
        <f t="shared" si="4"/>
        <v>0.73443489857225452</v>
      </c>
      <c r="BH31" s="2">
        <f t="shared" si="51"/>
        <v>-32.589754836999028</v>
      </c>
      <c r="BI31" s="2">
        <f t="shared" si="51"/>
        <v>0</v>
      </c>
      <c r="BJ31" s="7">
        <f t="shared" si="51"/>
        <v>-43.300013884788157</v>
      </c>
      <c r="BK31" s="1">
        <f t="shared" si="52"/>
        <v>49.660000000000004</v>
      </c>
      <c r="BL31" s="2">
        <f t="shared" si="52"/>
        <v>3.4299292887431516</v>
      </c>
      <c r="BM31" s="2">
        <f t="shared" si="48"/>
        <v>164.85187997802521</v>
      </c>
      <c r="BN31" s="2">
        <f t="shared" si="8"/>
        <v>0</v>
      </c>
      <c r="BO31" s="7">
        <f t="shared" si="9"/>
        <v>-43.300013884788157</v>
      </c>
      <c r="BP31" s="2"/>
      <c r="BQ31" s="1">
        <f t="shared" si="44"/>
        <v>49.66</v>
      </c>
      <c r="BR31" s="4" t="str">
        <f t="shared" si="45"/>
        <v>0</v>
      </c>
      <c r="BS31" s="2">
        <f t="shared" si="16"/>
        <v>49.66</v>
      </c>
      <c r="BT31" s="2">
        <f t="shared" si="46"/>
        <v>136.9899254721916</v>
      </c>
      <c r="BU31" s="21">
        <f t="shared" si="17"/>
        <v>2.7585566949696259</v>
      </c>
      <c r="BV31" s="21">
        <f t="shared" si="18"/>
        <v>84.039999999999992</v>
      </c>
      <c r="BW31" s="21">
        <f t="shared" si="12"/>
        <v>136.9899254721916</v>
      </c>
      <c r="BX31" s="21">
        <f t="shared" si="13"/>
        <v>1.6300562288456879</v>
      </c>
      <c r="BY31" s="1">
        <f t="shared" si="28"/>
        <v>68.776499999999999</v>
      </c>
      <c r="BZ31" s="4" t="str">
        <f t="shared" si="47"/>
        <v>0</v>
      </c>
      <c r="CA31" s="2">
        <f t="shared" si="19"/>
        <v>68.776499999999999</v>
      </c>
      <c r="CB31" s="2">
        <f t="shared" si="29"/>
        <v>221.12457412887409</v>
      </c>
      <c r="CC31" s="21">
        <f t="shared" si="20"/>
        <v>3.2151181599656002</v>
      </c>
      <c r="CD31" s="2">
        <f t="shared" si="32"/>
        <v>116.39099999999999</v>
      </c>
      <c r="CE31" s="2">
        <f t="shared" si="21"/>
        <v>221.12457412887409</v>
      </c>
      <c r="CF31" s="21">
        <f t="shared" si="22"/>
        <v>1.8998425490705819</v>
      </c>
      <c r="CG31" s="10" t="str">
        <f t="shared" ref="CG31" si="57">IF(C29&lt;C31,"Rive",IF(C33&gt;C31,"Rive","Inter"))</f>
        <v>Rive</v>
      </c>
      <c r="CH31" s="21">
        <f t="shared" si="15"/>
        <v>1.1769803977299929</v>
      </c>
    </row>
    <row r="32" spans="1:86" x14ac:dyDescent="0.25">
      <c r="A32" t="str">
        <f t="shared" si="23"/>
        <v>Appui</v>
      </c>
      <c r="B32" t="b">
        <f t="shared" si="24"/>
        <v>0</v>
      </c>
      <c r="C32">
        <f t="shared" si="27"/>
        <v>3</v>
      </c>
      <c r="D32" s="5" t="s">
        <v>106</v>
      </c>
      <c r="E32" t="s">
        <v>47</v>
      </c>
      <c r="F32" s="5">
        <v>25</v>
      </c>
      <c r="G32" t="s">
        <v>46</v>
      </c>
      <c r="H32">
        <v>500</v>
      </c>
      <c r="I32">
        <v>220000</v>
      </c>
      <c r="J32">
        <v>1576</v>
      </c>
      <c r="K32" s="10">
        <v>1870</v>
      </c>
      <c r="L32" s="12">
        <v>1</v>
      </c>
      <c r="M32" s="5">
        <v>0.25</v>
      </c>
      <c r="N32" s="10">
        <v>5.3</v>
      </c>
      <c r="O32" s="5">
        <v>0</v>
      </c>
      <c r="P32">
        <v>6.9999999999999993E-2</v>
      </c>
      <c r="Q32" s="10">
        <v>1</v>
      </c>
      <c r="R32" s="8">
        <v>0</v>
      </c>
      <c r="S32">
        <v>0</v>
      </c>
      <c r="T32">
        <v>1</v>
      </c>
      <c r="U32" s="9">
        <v>0</v>
      </c>
      <c r="V32">
        <v>0</v>
      </c>
      <c r="W32" s="10">
        <v>0</v>
      </c>
      <c r="X32" s="5">
        <v>52.739999999999988</v>
      </c>
      <c r="Y32">
        <v>16.02</v>
      </c>
      <c r="Z32" s="4">
        <v>0</v>
      </c>
      <c r="AA32" s="2">
        <v>52.739999999999988</v>
      </c>
      <c r="AB32" s="2">
        <v>16.02</v>
      </c>
      <c r="AC32" s="13">
        <v>0</v>
      </c>
      <c r="AD32" s="2">
        <v>52.739999999999988</v>
      </c>
      <c r="AE32" s="2">
        <v>16.02</v>
      </c>
      <c r="AF32" s="2">
        <v>95.228999999999999</v>
      </c>
      <c r="AG32" s="2"/>
      <c r="AH32" s="7">
        <v>68.759999999999991</v>
      </c>
      <c r="AI32" s="2">
        <v>52.739999999999988</v>
      </c>
      <c r="AJ32" s="2">
        <v>16.02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95.228999999999999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1">
        <v>68.759999999999991</v>
      </c>
      <c r="AY32" s="2">
        <v>0</v>
      </c>
      <c r="AZ32" s="2">
        <v>0</v>
      </c>
      <c r="BA32" s="2">
        <v>0</v>
      </c>
      <c r="BC32" s="1">
        <f t="shared" si="0"/>
        <v>52.739999999999988</v>
      </c>
      <c r="BD32" s="2">
        <f t="shared" si="1"/>
        <v>0</v>
      </c>
      <c r="BE32" s="7">
        <f t="shared" si="2"/>
        <v>0</v>
      </c>
      <c r="BF32" s="1">
        <f t="shared" si="3"/>
        <v>16.02</v>
      </c>
      <c r="BG32" s="2">
        <f t="shared" si="4"/>
        <v>0</v>
      </c>
      <c r="BH32" s="2">
        <f t="shared" si="51"/>
        <v>0</v>
      </c>
      <c r="BI32" s="2">
        <f t="shared" si="51"/>
        <v>0</v>
      </c>
      <c r="BJ32" s="7">
        <f t="shared" si="51"/>
        <v>0</v>
      </c>
      <c r="BK32" s="1">
        <f t="shared" si="52"/>
        <v>68.759999999999991</v>
      </c>
      <c r="BL32" s="2">
        <f t="shared" si="52"/>
        <v>0</v>
      </c>
      <c r="BM32" s="2">
        <f t="shared" si="48"/>
        <v>0</v>
      </c>
      <c r="BN32" s="2">
        <f t="shared" si="8"/>
        <v>0</v>
      </c>
      <c r="BO32" s="7">
        <f t="shared" si="9"/>
        <v>0</v>
      </c>
      <c r="BP32" s="2"/>
      <c r="BQ32" s="1">
        <f t="shared" si="44"/>
        <v>68.759999999999991</v>
      </c>
      <c r="BR32" s="4">
        <v>0</v>
      </c>
      <c r="BS32" s="2">
        <f t="shared" si="16"/>
        <v>68.759999999999991</v>
      </c>
      <c r="BT32" s="2">
        <f t="shared" si="46"/>
        <v>0</v>
      </c>
      <c r="BU32" s="21" t="str">
        <f t="shared" si="17"/>
        <v/>
      </c>
      <c r="BV32" s="21" t="str">
        <f t="shared" si="18"/>
        <v/>
      </c>
      <c r="BW32" s="21" t="str">
        <f t="shared" si="12"/>
        <v/>
      </c>
      <c r="BX32" s="21" t="str">
        <f t="shared" si="13"/>
        <v/>
      </c>
      <c r="BY32" s="1">
        <f t="shared" si="28"/>
        <v>95.228999999999999</v>
      </c>
      <c r="BZ32" s="4">
        <v>0</v>
      </c>
      <c r="CA32" s="2">
        <f t="shared" si="19"/>
        <v>95.228999999999999</v>
      </c>
      <c r="CB32" s="2">
        <f t="shared" si="29"/>
        <v>0</v>
      </c>
      <c r="CC32" s="21" t="str">
        <f t="shared" si="20"/>
        <v/>
      </c>
      <c r="CD32" s="2" t="str">
        <f t="shared" si="32"/>
        <v/>
      </c>
      <c r="CE32" s="2" t="str">
        <f t="shared" si="21"/>
        <v/>
      </c>
      <c r="CF32" s="21" t="str">
        <f t="shared" si="22"/>
        <v/>
      </c>
      <c r="CG32" s="15"/>
      <c r="CH32" s="21" t="str">
        <f t="shared" si="15"/>
        <v/>
      </c>
    </row>
    <row r="33" spans="1:86" x14ac:dyDescent="0.25">
      <c r="A33" t="str">
        <f t="shared" si="23"/>
        <v>Travée</v>
      </c>
      <c r="B33" t="b">
        <f t="shared" si="24"/>
        <v>0</v>
      </c>
      <c r="C33">
        <f>IF(D33=D31,C31,C31+1)</f>
        <v>3</v>
      </c>
      <c r="D33" s="5" t="s">
        <v>106</v>
      </c>
      <c r="E33" t="s">
        <v>48</v>
      </c>
      <c r="F33" s="5">
        <v>25</v>
      </c>
      <c r="G33" t="s">
        <v>46</v>
      </c>
      <c r="H33">
        <v>500</v>
      </c>
      <c r="I33">
        <v>220000</v>
      </c>
      <c r="J33">
        <v>1576</v>
      </c>
      <c r="K33" s="10">
        <v>1870</v>
      </c>
      <c r="L33" s="12">
        <v>1</v>
      </c>
      <c r="M33" s="5">
        <v>0.23499999999999999</v>
      </c>
      <c r="N33" s="10">
        <v>5.3</v>
      </c>
      <c r="O33" s="5">
        <v>2.7188999999999998E-3</v>
      </c>
      <c r="P33">
        <v>0.04</v>
      </c>
      <c r="Q33" s="10">
        <v>1</v>
      </c>
      <c r="R33" s="8">
        <v>0</v>
      </c>
      <c r="S33">
        <v>0</v>
      </c>
      <c r="T33">
        <v>1</v>
      </c>
      <c r="U33" s="9">
        <v>2.9099999999999999E-5</v>
      </c>
      <c r="V33">
        <v>0</v>
      </c>
      <c r="W33" s="10">
        <v>7</v>
      </c>
      <c r="X33" s="5">
        <v>100.792</v>
      </c>
      <c r="Y33">
        <v>30.616</v>
      </c>
      <c r="Z33" s="4">
        <v>0</v>
      </c>
      <c r="AA33" s="2">
        <v>100.792</v>
      </c>
      <c r="AB33" s="2">
        <v>30.616</v>
      </c>
      <c r="AC33" s="13">
        <v>0</v>
      </c>
      <c r="AD33" s="2">
        <v>100.792</v>
      </c>
      <c r="AE33" s="2">
        <v>30.616</v>
      </c>
      <c r="AF33" s="2">
        <v>181.9932</v>
      </c>
      <c r="AG33" s="2"/>
      <c r="AH33" s="7">
        <v>131.40799999999999</v>
      </c>
      <c r="AI33" s="2">
        <v>100.792</v>
      </c>
      <c r="AJ33" s="2">
        <v>30.616</v>
      </c>
      <c r="AK33" s="2">
        <v>6.3663421906955868</v>
      </c>
      <c r="AL33" s="2">
        <v>1.8140628715586089</v>
      </c>
      <c r="AM33" s="2">
        <v>-201.3489284701518</v>
      </c>
      <c r="AN33" s="2">
        <v>-54.516908316193508</v>
      </c>
      <c r="AO33" s="2">
        <v>0</v>
      </c>
      <c r="AP33" s="2">
        <v>-74.870749524702504</v>
      </c>
      <c r="AQ33" s="2">
        <v>181.9932</v>
      </c>
      <c r="AR33" s="2">
        <v>234.05165478922521</v>
      </c>
      <c r="AS33" s="2">
        <v>303.01572371689122</v>
      </c>
      <c r="AT33" s="2">
        <v>7.6231866817709903</v>
      </c>
      <c r="AU33" s="2">
        <v>-331.61719013857032</v>
      </c>
      <c r="AV33" s="2">
        <v>0</v>
      </c>
      <c r="AW33" s="2">
        <v>-463.37709919196152</v>
      </c>
      <c r="AX33" s="1">
        <v>131.40799999999999</v>
      </c>
      <c r="AY33" s="2">
        <v>5.9715252166349062</v>
      </c>
      <c r="AZ33" s="2">
        <v>-268.80561083720733</v>
      </c>
      <c r="BA33" s="2">
        <v>234.05165478922521</v>
      </c>
      <c r="BC33" s="1">
        <f t="shared" si="0"/>
        <v>100.792</v>
      </c>
      <c r="BD33" s="2">
        <f t="shared" si="1"/>
        <v>6.3663421906955868</v>
      </c>
      <c r="BE33" s="7">
        <f t="shared" si="2"/>
        <v>-201.3489284701518</v>
      </c>
      <c r="BF33" s="1">
        <f t="shared" si="3"/>
        <v>30.616</v>
      </c>
      <c r="BG33" s="2">
        <f t="shared" si="4"/>
        <v>1.8140628715586089</v>
      </c>
      <c r="BH33" s="2">
        <f t="shared" si="51"/>
        <v>-54.516908316193508</v>
      </c>
      <c r="BI33" s="2">
        <f t="shared" si="51"/>
        <v>0</v>
      </c>
      <c r="BJ33" s="7">
        <f t="shared" si="51"/>
        <v>-74.870749524702504</v>
      </c>
      <c r="BK33" s="1">
        <f t="shared" si="52"/>
        <v>131.40800000000002</v>
      </c>
      <c r="BL33" s="2">
        <f t="shared" si="52"/>
        <v>8.1804050622541951</v>
      </c>
      <c r="BM33" s="2">
        <f t="shared" si="48"/>
        <v>255.86583678634531</v>
      </c>
      <c r="BN33" s="2">
        <f t="shared" si="8"/>
        <v>0</v>
      </c>
      <c r="BO33" s="7">
        <f t="shared" si="9"/>
        <v>-74.870749524702504</v>
      </c>
      <c r="BP33" s="2"/>
      <c r="BQ33" s="1">
        <f t="shared" si="44"/>
        <v>131.40799999999999</v>
      </c>
      <c r="BR33" s="4" t="str">
        <f t="shared" ref="BR33" si="58">IF(ISNUMBER(SEARCH("Appui",E33)),0,"0")</f>
        <v>0</v>
      </c>
      <c r="BS33" s="2">
        <f t="shared" si="16"/>
        <v>131.40799999999999</v>
      </c>
      <c r="BT33" s="2">
        <f t="shared" si="46"/>
        <v>234.05165478922521</v>
      </c>
      <c r="BU33" s="21">
        <f t="shared" si="17"/>
        <v>1.7811065900799437</v>
      </c>
      <c r="BV33" s="21">
        <f t="shared" si="18"/>
        <v>197.87599999999998</v>
      </c>
      <c r="BW33" s="21">
        <f t="shared" si="12"/>
        <v>234.05165478922521</v>
      </c>
      <c r="BX33" s="21">
        <f t="shared" si="13"/>
        <v>1.1828198204391904</v>
      </c>
      <c r="BY33" s="1">
        <f t="shared" si="28"/>
        <v>181.9932</v>
      </c>
      <c r="BZ33" s="4" t="str">
        <f t="shared" ref="BZ33" si="59">IF(ISNUMBER(SEARCH("Appui",M33)),0,"0")</f>
        <v>0</v>
      </c>
      <c r="CA33" s="2">
        <f t="shared" si="19"/>
        <v>181.9932</v>
      </c>
      <c r="CB33" s="2">
        <f t="shared" si="29"/>
        <v>303.01572371689122</v>
      </c>
      <c r="CC33" s="21">
        <f t="shared" si="20"/>
        <v>1.6649837670687213</v>
      </c>
      <c r="CD33" s="2">
        <f t="shared" si="32"/>
        <v>274.04790000000003</v>
      </c>
      <c r="CE33" s="2">
        <f t="shared" si="21"/>
        <v>303.01572371689122</v>
      </c>
      <c r="CF33" s="21">
        <f t="shared" si="22"/>
        <v>1.1057035055437068</v>
      </c>
      <c r="CG33" s="10" t="str">
        <f t="shared" ref="CG33" si="60">IF(C31&lt;C33,"Rive",IF(C35&gt;C33,"Rive","Inter"))</f>
        <v>Inter</v>
      </c>
      <c r="CH33" s="21">
        <f t="shared" si="15"/>
        <v>0.8540538161001241</v>
      </c>
    </row>
    <row r="34" spans="1:86" x14ac:dyDescent="0.25">
      <c r="A34" t="str">
        <f t="shared" si="23"/>
        <v>Appui</v>
      </c>
      <c r="B34" t="b">
        <f t="shared" si="24"/>
        <v>0</v>
      </c>
      <c r="C34">
        <f>IF(D34=D32,C32,C32+1)</f>
        <v>3</v>
      </c>
      <c r="D34" s="5" t="s">
        <v>106</v>
      </c>
      <c r="E34" t="s">
        <v>49</v>
      </c>
      <c r="F34" s="5">
        <v>25</v>
      </c>
      <c r="G34" t="s">
        <v>46</v>
      </c>
      <c r="H34">
        <v>500</v>
      </c>
      <c r="I34">
        <v>220000</v>
      </c>
      <c r="J34">
        <v>1576</v>
      </c>
      <c r="K34" s="10">
        <v>1870</v>
      </c>
      <c r="L34" s="12">
        <v>1</v>
      </c>
      <c r="M34" s="5">
        <v>0.22</v>
      </c>
      <c r="N34" s="10">
        <v>5.3</v>
      </c>
      <c r="O34" s="5">
        <v>0</v>
      </c>
      <c r="P34">
        <v>0.04</v>
      </c>
      <c r="Q34" s="10">
        <v>1</v>
      </c>
      <c r="R34" s="8">
        <v>0</v>
      </c>
      <c r="S34">
        <v>0</v>
      </c>
      <c r="T34">
        <v>1</v>
      </c>
      <c r="U34" s="9">
        <v>0</v>
      </c>
      <c r="V34">
        <v>0</v>
      </c>
      <c r="W34" s="10">
        <v>0</v>
      </c>
      <c r="X34" s="5">
        <v>49.223999999999997</v>
      </c>
      <c r="Y34">
        <v>14.952</v>
      </c>
      <c r="Z34" s="4">
        <v>0</v>
      </c>
      <c r="AA34" s="2">
        <v>49.223999999999997</v>
      </c>
      <c r="AB34" s="2">
        <v>14.952</v>
      </c>
      <c r="AC34" s="13">
        <v>0</v>
      </c>
      <c r="AD34" s="2">
        <v>49.223999999999997</v>
      </c>
      <c r="AE34" s="2">
        <v>14.952</v>
      </c>
      <c r="AF34" s="2">
        <v>88.880399999999995</v>
      </c>
      <c r="AG34" s="2"/>
      <c r="AH34" s="7">
        <v>64.176000000000002</v>
      </c>
      <c r="AI34" s="2">
        <v>49.223999999999997</v>
      </c>
      <c r="AJ34" s="2">
        <v>14.952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88.880399999999995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1">
        <v>64.176000000000002</v>
      </c>
      <c r="AY34" s="2">
        <v>0</v>
      </c>
      <c r="AZ34" s="2">
        <v>0</v>
      </c>
      <c r="BA34" s="2">
        <v>0</v>
      </c>
      <c r="BC34" s="1">
        <f t="shared" si="0"/>
        <v>49.223999999999997</v>
      </c>
      <c r="BD34" s="2">
        <f t="shared" si="1"/>
        <v>0</v>
      </c>
      <c r="BE34" s="7">
        <f t="shared" si="2"/>
        <v>0</v>
      </c>
      <c r="BF34" s="1">
        <f t="shared" si="3"/>
        <v>14.952</v>
      </c>
      <c r="BG34" s="2">
        <f t="shared" si="4"/>
        <v>0</v>
      </c>
      <c r="BH34" s="2">
        <f t="shared" si="51"/>
        <v>0</v>
      </c>
      <c r="BI34" s="2">
        <f t="shared" si="51"/>
        <v>0</v>
      </c>
      <c r="BJ34" s="7">
        <f t="shared" si="51"/>
        <v>0</v>
      </c>
      <c r="BK34" s="1">
        <f t="shared" si="52"/>
        <v>64.176000000000002</v>
      </c>
      <c r="BL34" s="2">
        <f t="shared" si="52"/>
        <v>0</v>
      </c>
      <c r="BM34" s="2">
        <f t="shared" si="48"/>
        <v>0</v>
      </c>
      <c r="BN34" s="2">
        <f t="shared" si="8"/>
        <v>0</v>
      </c>
      <c r="BO34" s="7">
        <f t="shared" si="9"/>
        <v>0</v>
      </c>
      <c r="BP34" s="2"/>
      <c r="BQ34" s="1">
        <f t="shared" si="44"/>
        <v>64.176000000000002</v>
      </c>
      <c r="BR34" s="4">
        <v>0</v>
      </c>
      <c r="BS34" s="2">
        <f t="shared" si="16"/>
        <v>64.176000000000002</v>
      </c>
      <c r="BT34" s="2">
        <f t="shared" si="46"/>
        <v>0</v>
      </c>
      <c r="BU34" s="21" t="str">
        <f t="shared" si="17"/>
        <v/>
      </c>
      <c r="BV34" s="21" t="str">
        <f t="shared" si="18"/>
        <v/>
      </c>
      <c r="BW34" s="21" t="str">
        <f t="shared" si="12"/>
        <v/>
      </c>
      <c r="BX34" s="21" t="str">
        <f t="shared" si="13"/>
        <v/>
      </c>
      <c r="BY34" s="1">
        <f t="shared" si="28"/>
        <v>88.880399999999995</v>
      </c>
      <c r="BZ34" s="4">
        <v>0</v>
      </c>
      <c r="CA34" s="2">
        <f t="shared" si="19"/>
        <v>88.880399999999995</v>
      </c>
      <c r="CB34" s="2">
        <f t="shared" si="29"/>
        <v>0</v>
      </c>
      <c r="CC34" s="21" t="str">
        <f t="shared" si="20"/>
        <v/>
      </c>
      <c r="CD34" s="2" t="str">
        <f t="shared" si="32"/>
        <v/>
      </c>
      <c r="CE34" s="2" t="str">
        <f t="shared" si="21"/>
        <v/>
      </c>
      <c r="CF34" s="21" t="str">
        <f t="shared" si="22"/>
        <v/>
      </c>
      <c r="CG34" s="15"/>
      <c r="CH34" s="21" t="str">
        <f t="shared" si="15"/>
        <v/>
      </c>
    </row>
    <row r="35" spans="1:86" x14ac:dyDescent="0.25">
      <c r="A35" t="str">
        <f t="shared" si="23"/>
        <v>Travée</v>
      </c>
      <c r="B35" t="b">
        <f t="shared" si="24"/>
        <v>0</v>
      </c>
      <c r="C35">
        <f>IF(D35="",100000,IF(D35=D34,C34,C34+1))</f>
        <v>3</v>
      </c>
      <c r="D35" s="5" t="s">
        <v>106</v>
      </c>
      <c r="E35" t="s">
        <v>51</v>
      </c>
      <c r="F35" s="5">
        <v>25</v>
      </c>
      <c r="G35" t="s">
        <v>46</v>
      </c>
      <c r="H35">
        <v>500</v>
      </c>
      <c r="I35">
        <v>220000</v>
      </c>
      <c r="J35">
        <v>1576</v>
      </c>
      <c r="K35" s="10">
        <v>1870</v>
      </c>
      <c r="L35" s="12">
        <v>1</v>
      </c>
      <c r="M35" s="5">
        <v>0.23499999999999999</v>
      </c>
      <c r="N35" s="10">
        <v>5.3</v>
      </c>
      <c r="O35" s="5">
        <v>6.7840000000000001E-4</v>
      </c>
      <c r="P35">
        <v>0.04</v>
      </c>
      <c r="Q35" s="10">
        <v>1</v>
      </c>
      <c r="R35" s="8">
        <v>0</v>
      </c>
      <c r="S35">
        <v>0</v>
      </c>
      <c r="T35">
        <v>1</v>
      </c>
      <c r="U35" s="9">
        <v>0</v>
      </c>
      <c r="V35">
        <v>0</v>
      </c>
      <c r="W35" s="10">
        <v>0</v>
      </c>
      <c r="X35" s="5">
        <v>0</v>
      </c>
      <c r="Y35">
        <v>0</v>
      </c>
      <c r="Z35" s="4">
        <v>0</v>
      </c>
      <c r="AA35" s="2">
        <v>0</v>
      </c>
      <c r="AB35" s="2">
        <v>0</v>
      </c>
      <c r="AC35" s="13">
        <v>0</v>
      </c>
      <c r="AD35" s="2">
        <v>0</v>
      </c>
      <c r="AE35" s="2">
        <v>0</v>
      </c>
      <c r="AF35" s="2">
        <v>0</v>
      </c>
      <c r="AG35" s="2"/>
      <c r="AH35" s="7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60.846580869564939</v>
      </c>
      <c r="AS35" s="2">
        <v>60.846580869564939</v>
      </c>
      <c r="AT35" s="2">
        <v>0</v>
      </c>
      <c r="AU35" s="2">
        <v>0</v>
      </c>
      <c r="AV35" s="2">
        <v>0</v>
      </c>
      <c r="AW35" s="2">
        <v>0</v>
      </c>
      <c r="AX35" s="1">
        <v>0</v>
      </c>
      <c r="AY35" s="2">
        <v>0</v>
      </c>
      <c r="AZ35" s="2">
        <v>0</v>
      </c>
      <c r="BA35" s="2">
        <v>60.846580869564939</v>
      </c>
      <c r="BC35" s="1">
        <f t="shared" si="0"/>
        <v>0</v>
      </c>
      <c r="BD35" s="2">
        <f t="shared" si="1"/>
        <v>0</v>
      </c>
      <c r="BE35" s="7">
        <f t="shared" si="2"/>
        <v>0</v>
      </c>
      <c r="BF35" s="1">
        <f t="shared" si="3"/>
        <v>0</v>
      </c>
      <c r="BG35" s="2">
        <f t="shared" si="4"/>
        <v>0</v>
      </c>
      <c r="BH35" s="2">
        <f t="shared" si="51"/>
        <v>0</v>
      </c>
      <c r="BI35" s="2">
        <f t="shared" si="51"/>
        <v>0</v>
      </c>
      <c r="BJ35" s="7">
        <f t="shared" si="51"/>
        <v>0</v>
      </c>
      <c r="BK35" s="1">
        <f t="shared" si="52"/>
        <v>0</v>
      </c>
      <c r="BL35" s="2">
        <f t="shared" si="52"/>
        <v>0</v>
      </c>
      <c r="BM35" s="2">
        <f t="shared" si="48"/>
        <v>0</v>
      </c>
      <c r="BN35" s="2">
        <f t="shared" si="8"/>
        <v>0</v>
      </c>
      <c r="BO35" s="7">
        <f t="shared" si="9"/>
        <v>0</v>
      </c>
      <c r="BP35" s="2"/>
      <c r="BQ35" s="1">
        <f t="shared" si="44"/>
        <v>0</v>
      </c>
      <c r="BR35" s="4" t="str">
        <f t="shared" ref="BR35" si="61">IF(ISNUMBER(SEARCH("Appui",E35)),0,"0")</f>
        <v>0</v>
      </c>
      <c r="BS35" s="2">
        <f t="shared" si="16"/>
        <v>0</v>
      </c>
      <c r="BT35" s="2">
        <f t="shared" si="46"/>
        <v>60.846580869564939</v>
      </c>
      <c r="BU35" s="21">
        <f t="shared" si="17"/>
        <v>1</v>
      </c>
      <c r="BV35" s="21">
        <f t="shared" si="18"/>
        <v>32.088000000000001</v>
      </c>
      <c r="BW35" s="21">
        <f t="shared" si="12"/>
        <v>60.846580869564939</v>
      </c>
      <c r="BX35" s="21">
        <f t="shared" si="13"/>
        <v>1.8962409894529089</v>
      </c>
      <c r="BY35" s="1">
        <f t="shared" si="28"/>
        <v>0</v>
      </c>
      <c r="BZ35" s="4" t="str">
        <f t="shared" ref="BZ35" si="62">IF(ISNUMBER(SEARCH("Appui",M35)),0,"0")</f>
        <v>0</v>
      </c>
      <c r="CA35" s="2">
        <f t="shared" si="19"/>
        <v>0</v>
      </c>
      <c r="CB35" s="2">
        <f t="shared" si="29"/>
        <v>60.846580869564939</v>
      </c>
      <c r="CC35" s="21">
        <f t="shared" si="20"/>
        <v>1</v>
      </c>
      <c r="CD35" s="2">
        <f t="shared" si="32"/>
        <v>44.440199999999997</v>
      </c>
      <c r="CE35" s="2">
        <f t="shared" si="21"/>
        <v>60.846580869564939</v>
      </c>
      <c r="CF35" s="21">
        <f t="shared" si="22"/>
        <v>1.3691788261431079</v>
      </c>
      <c r="CG35" s="10" t="str">
        <f t="shared" ref="CG35" si="63">IF(C33&lt;C35,"Rive",IF(C37&gt;C35,"Rive","Inter"))</f>
        <v>Inter</v>
      </c>
      <c r="CH35" s="21">
        <f t="shared" si="15"/>
        <v>1.3691788261431079</v>
      </c>
    </row>
    <row r="36" spans="1:86" x14ac:dyDescent="0.25">
      <c r="A36" t="str">
        <f t="shared" si="23"/>
        <v>Appui</v>
      </c>
      <c r="B36" t="b">
        <f t="shared" si="24"/>
        <v>0</v>
      </c>
      <c r="C36">
        <f>IF(D36="",100000,IF(D36=D35,C35,C35+1))</f>
        <v>3</v>
      </c>
      <c r="D36" s="5" t="s">
        <v>106</v>
      </c>
      <c r="E36" t="s">
        <v>52</v>
      </c>
      <c r="F36" s="5">
        <v>25</v>
      </c>
      <c r="G36" t="s">
        <v>46</v>
      </c>
      <c r="H36">
        <v>500</v>
      </c>
      <c r="I36">
        <v>220000</v>
      </c>
      <c r="J36">
        <v>1576</v>
      </c>
      <c r="K36" s="10">
        <v>1870</v>
      </c>
      <c r="L36" s="12">
        <v>1</v>
      </c>
      <c r="M36" s="5">
        <v>0.25</v>
      </c>
      <c r="N36" s="10">
        <v>5.3</v>
      </c>
      <c r="O36" s="5">
        <v>0</v>
      </c>
      <c r="P36">
        <v>6.9999999999999993E-2</v>
      </c>
      <c r="Q36" s="10">
        <v>1</v>
      </c>
      <c r="R36" s="8">
        <v>0</v>
      </c>
      <c r="S36">
        <v>0</v>
      </c>
      <c r="T36">
        <v>1</v>
      </c>
      <c r="U36" s="9">
        <v>0</v>
      </c>
      <c r="V36">
        <v>0</v>
      </c>
      <c r="W36" s="10">
        <v>0</v>
      </c>
      <c r="X36" s="5">
        <v>0</v>
      </c>
      <c r="Y36">
        <v>0</v>
      </c>
      <c r="Z36" s="4">
        <v>0</v>
      </c>
      <c r="AA36" s="2">
        <v>0</v>
      </c>
      <c r="AB36" s="2">
        <v>0</v>
      </c>
      <c r="AC36" s="13">
        <v>0</v>
      </c>
      <c r="AD36" s="2">
        <v>0</v>
      </c>
      <c r="AE36" s="2">
        <v>0</v>
      </c>
      <c r="AF36" s="2">
        <v>0</v>
      </c>
      <c r="AG36" s="2"/>
      <c r="AH36" s="7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1">
        <v>0</v>
      </c>
      <c r="AY36" s="2">
        <v>0</v>
      </c>
      <c r="AZ36" s="2">
        <v>0</v>
      </c>
      <c r="BA36" s="2">
        <v>0</v>
      </c>
      <c r="BC36" s="1">
        <f t="shared" si="0"/>
        <v>0</v>
      </c>
      <c r="BD36" s="2">
        <f t="shared" si="1"/>
        <v>0</v>
      </c>
      <c r="BE36" s="7">
        <f t="shared" si="2"/>
        <v>0</v>
      </c>
      <c r="BF36" s="1">
        <f t="shared" si="3"/>
        <v>0</v>
      </c>
      <c r="BG36" s="2">
        <f t="shared" si="4"/>
        <v>0</v>
      </c>
      <c r="BH36" s="2">
        <f t="shared" si="51"/>
        <v>0</v>
      </c>
      <c r="BI36" s="2">
        <f t="shared" si="51"/>
        <v>0</v>
      </c>
      <c r="BJ36" s="7">
        <f t="shared" si="51"/>
        <v>0</v>
      </c>
      <c r="BK36" s="1">
        <f t="shared" si="52"/>
        <v>0</v>
      </c>
      <c r="BL36" s="2">
        <f t="shared" si="52"/>
        <v>0</v>
      </c>
      <c r="BM36" s="2">
        <f t="shared" si="48"/>
        <v>0</v>
      </c>
      <c r="BN36" s="2">
        <f t="shared" si="8"/>
        <v>0</v>
      </c>
      <c r="BO36" s="7">
        <f t="shared" si="9"/>
        <v>0</v>
      </c>
      <c r="BP36" s="2"/>
      <c r="BQ36" s="1">
        <f t="shared" si="44"/>
        <v>0</v>
      </c>
      <c r="BR36" s="4">
        <v>0</v>
      </c>
      <c r="BS36" s="2">
        <f t="shared" si="16"/>
        <v>0</v>
      </c>
      <c r="BT36" s="2">
        <f t="shared" si="46"/>
        <v>0</v>
      </c>
      <c r="BU36" s="21" t="str">
        <f t="shared" si="17"/>
        <v/>
      </c>
      <c r="BV36" s="21" t="str">
        <f t="shared" si="18"/>
        <v/>
      </c>
      <c r="BW36" s="21" t="str">
        <f t="shared" si="12"/>
        <v/>
      </c>
      <c r="BX36" s="21" t="str">
        <f t="shared" si="13"/>
        <v/>
      </c>
      <c r="BY36" s="1">
        <f t="shared" si="28"/>
        <v>0</v>
      </c>
      <c r="BZ36" s="4">
        <v>0</v>
      </c>
      <c r="CA36" s="2">
        <f t="shared" si="19"/>
        <v>0</v>
      </c>
      <c r="CB36" s="2">
        <f t="shared" si="29"/>
        <v>0</v>
      </c>
      <c r="CC36" s="21" t="str">
        <f t="shared" si="20"/>
        <v/>
      </c>
      <c r="CD36" s="2" t="str">
        <f t="shared" si="32"/>
        <v/>
      </c>
      <c r="CE36" s="2" t="str">
        <f t="shared" si="21"/>
        <v/>
      </c>
      <c r="CF36" s="21" t="str">
        <f t="shared" si="22"/>
        <v/>
      </c>
      <c r="CG36" s="15"/>
      <c r="CH36" s="21" t="str">
        <f t="shared" si="15"/>
        <v/>
      </c>
    </row>
    <row r="37" spans="1:86" x14ac:dyDescent="0.25">
      <c r="A37" t="str">
        <f t="shared" si="23"/>
        <v>Travée</v>
      </c>
      <c r="B37" t="b">
        <f t="shared" si="24"/>
        <v>0</v>
      </c>
      <c r="C37">
        <f t="shared" ref="C37:C56" si="64">IF(D37="",100000,IF(D37=D36,C36,C36+1))</f>
        <v>3</v>
      </c>
      <c r="D37" s="5" t="s">
        <v>106</v>
      </c>
      <c r="E37" t="s">
        <v>53</v>
      </c>
      <c r="F37" s="5">
        <v>25</v>
      </c>
      <c r="G37" t="s">
        <v>46</v>
      </c>
      <c r="H37">
        <v>500</v>
      </c>
      <c r="I37">
        <v>220000</v>
      </c>
      <c r="J37">
        <v>1576</v>
      </c>
      <c r="K37" s="10">
        <v>1870</v>
      </c>
      <c r="L37" s="12">
        <v>1</v>
      </c>
      <c r="M37" s="5">
        <v>0.23499999999999999</v>
      </c>
      <c r="N37" s="10">
        <v>5.3</v>
      </c>
      <c r="O37" s="5">
        <v>6.7840000000000001E-4</v>
      </c>
      <c r="P37">
        <v>0.04</v>
      </c>
      <c r="Q37" s="10">
        <v>1</v>
      </c>
      <c r="R37" s="8">
        <v>0</v>
      </c>
      <c r="S37">
        <v>0</v>
      </c>
      <c r="T37">
        <v>1</v>
      </c>
      <c r="U37" s="9">
        <v>0</v>
      </c>
      <c r="V37">
        <v>0</v>
      </c>
      <c r="W37" s="10">
        <v>0</v>
      </c>
      <c r="X37" s="5">
        <v>0</v>
      </c>
      <c r="Y37">
        <v>0</v>
      </c>
      <c r="Z37" s="4">
        <v>0</v>
      </c>
      <c r="AA37" s="2">
        <v>0</v>
      </c>
      <c r="AB37" s="2">
        <v>0</v>
      </c>
      <c r="AC37" s="13">
        <v>0</v>
      </c>
      <c r="AD37" s="2">
        <v>0</v>
      </c>
      <c r="AE37" s="2">
        <v>0</v>
      </c>
      <c r="AF37" s="2">
        <v>0</v>
      </c>
      <c r="AG37" s="2"/>
      <c r="AH37" s="7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60.846580869564939</v>
      </c>
      <c r="AS37" s="2">
        <v>60.846580869564939</v>
      </c>
      <c r="AT37" s="2">
        <v>0</v>
      </c>
      <c r="AU37" s="2">
        <v>0</v>
      </c>
      <c r="AV37" s="2">
        <v>0</v>
      </c>
      <c r="AW37" s="2">
        <v>0</v>
      </c>
      <c r="AX37" s="1">
        <v>0</v>
      </c>
      <c r="AY37" s="2">
        <v>0</v>
      </c>
      <c r="AZ37" s="2">
        <v>0</v>
      </c>
      <c r="BA37" s="2">
        <v>60.846580869564939</v>
      </c>
      <c r="BC37" s="1">
        <f t="shared" si="0"/>
        <v>0</v>
      </c>
      <c r="BD37" s="2">
        <f t="shared" si="1"/>
        <v>0</v>
      </c>
      <c r="BE37" s="7">
        <f t="shared" si="2"/>
        <v>0</v>
      </c>
      <c r="BF37" s="1">
        <f t="shared" si="3"/>
        <v>0</v>
      </c>
      <c r="BG37" s="2">
        <f t="shared" si="4"/>
        <v>0</v>
      </c>
      <c r="BH37" s="2">
        <f t="shared" si="51"/>
        <v>0</v>
      </c>
      <c r="BI37" s="2">
        <f t="shared" si="51"/>
        <v>0</v>
      </c>
      <c r="BJ37" s="7">
        <f t="shared" si="51"/>
        <v>0</v>
      </c>
      <c r="BK37" s="1">
        <f t="shared" si="52"/>
        <v>0</v>
      </c>
      <c r="BL37" s="2">
        <f t="shared" si="52"/>
        <v>0</v>
      </c>
      <c r="BM37" s="2">
        <f t="shared" si="48"/>
        <v>0</v>
      </c>
      <c r="BN37" s="2">
        <f t="shared" si="8"/>
        <v>0</v>
      </c>
      <c r="BO37" s="7">
        <f t="shared" si="9"/>
        <v>0</v>
      </c>
      <c r="BQ37" s="1">
        <f t="shared" si="44"/>
        <v>0</v>
      </c>
      <c r="BR37" s="4" t="str">
        <f t="shared" ref="BR37" si="65">IF(ISNUMBER(SEARCH("Appui",E37)),0,"0")</f>
        <v>0</v>
      </c>
      <c r="BS37" s="2">
        <f t="shared" si="16"/>
        <v>0</v>
      </c>
      <c r="BT37" s="2">
        <f t="shared" si="46"/>
        <v>60.846580869564939</v>
      </c>
      <c r="BU37" s="21">
        <f t="shared" si="17"/>
        <v>1</v>
      </c>
      <c r="BV37" s="21">
        <f t="shared" si="18"/>
        <v>26.74</v>
      </c>
      <c r="BW37" s="21">
        <f t="shared" si="12"/>
        <v>60.846580869564939</v>
      </c>
      <c r="BX37" s="21">
        <f t="shared" si="13"/>
        <v>2.2754891873434908</v>
      </c>
      <c r="BY37" s="1">
        <f t="shared" si="28"/>
        <v>0</v>
      </c>
      <c r="BZ37" s="4" t="str">
        <f t="shared" ref="BZ37" si="66">IF(ISNUMBER(SEARCH("Appui",M37)),0,"0")</f>
        <v>0</v>
      </c>
      <c r="CA37" s="2">
        <f t="shared" si="19"/>
        <v>0</v>
      </c>
      <c r="CB37" s="2">
        <f t="shared" si="29"/>
        <v>60.846580869564939</v>
      </c>
      <c r="CC37" s="21">
        <f t="shared" si="20"/>
        <v>1</v>
      </c>
      <c r="CD37" s="2">
        <f t="shared" si="32"/>
        <v>37.033499999999997</v>
      </c>
      <c r="CE37" s="2">
        <f t="shared" si="21"/>
        <v>60.846580869564939</v>
      </c>
      <c r="CF37" s="21">
        <f t="shared" si="22"/>
        <v>1.6430145913717296</v>
      </c>
      <c r="CG37" s="10" t="str">
        <f t="shared" ref="CG37" si="67">IF(C35&lt;C37,"Rive",IF(C39&gt;C37,"Rive","Inter"))</f>
        <v>Inter</v>
      </c>
      <c r="CH37" s="21">
        <f t="shared" si="15"/>
        <v>1.6430145913717296</v>
      </c>
    </row>
    <row r="38" spans="1:86" x14ac:dyDescent="0.25">
      <c r="A38" t="str">
        <f t="shared" si="23"/>
        <v>Appui</v>
      </c>
      <c r="B38" t="b">
        <f t="shared" si="24"/>
        <v>0</v>
      </c>
      <c r="C38">
        <f t="shared" si="64"/>
        <v>3</v>
      </c>
      <c r="D38" s="5" t="s">
        <v>106</v>
      </c>
      <c r="E38" t="s">
        <v>54</v>
      </c>
      <c r="F38" s="5">
        <v>25</v>
      </c>
      <c r="G38" t="s">
        <v>46</v>
      </c>
      <c r="H38">
        <v>500</v>
      </c>
      <c r="I38">
        <v>220000</v>
      </c>
      <c r="J38">
        <v>1576</v>
      </c>
      <c r="K38" s="10">
        <v>1870</v>
      </c>
      <c r="L38" s="12">
        <v>1</v>
      </c>
      <c r="M38" s="5">
        <v>0.22</v>
      </c>
      <c r="N38" s="10">
        <v>5.3</v>
      </c>
      <c r="O38" s="5">
        <v>0</v>
      </c>
      <c r="P38">
        <v>0.04</v>
      </c>
      <c r="Q38" s="10">
        <v>1</v>
      </c>
      <c r="R38" s="8">
        <v>0</v>
      </c>
      <c r="S38">
        <v>0</v>
      </c>
      <c r="T38">
        <v>1</v>
      </c>
      <c r="U38" s="9">
        <v>0</v>
      </c>
      <c r="V38">
        <v>0</v>
      </c>
      <c r="W38" s="10">
        <v>0</v>
      </c>
      <c r="X38" s="5">
        <v>41.02</v>
      </c>
      <c r="Y38">
        <v>12.46</v>
      </c>
      <c r="Z38" s="4">
        <v>0</v>
      </c>
      <c r="AA38" s="2">
        <v>41.02</v>
      </c>
      <c r="AB38" s="2">
        <v>12.46</v>
      </c>
      <c r="AC38" s="13">
        <v>0</v>
      </c>
      <c r="AD38" s="2">
        <v>41.02</v>
      </c>
      <c r="AE38" s="2">
        <v>12.46</v>
      </c>
      <c r="AF38" s="2">
        <v>74.066999999999993</v>
      </c>
      <c r="AG38" s="2"/>
      <c r="AH38" s="7">
        <v>53.48</v>
      </c>
      <c r="AI38" s="2">
        <v>41.02</v>
      </c>
      <c r="AJ38" s="2">
        <v>12.46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74.066999999999993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1">
        <v>53.48</v>
      </c>
      <c r="AY38" s="2">
        <v>0</v>
      </c>
      <c r="AZ38" s="2">
        <v>0</v>
      </c>
      <c r="BA38" s="2">
        <v>0</v>
      </c>
      <c r="BC38" s="1">
        <f t="shared" si="0"/>
        <v>41.02</v>
      </c>
      <c r="BD38" s="2">
        <f t="shared" si="1"/>
        <v>0</v>
      </c>
      <c r="BE38" s="7">
        <f t="shared" si="2"/>
        <v>0</v>
      </c>
      <c r="BF38" s="1">
        <f t="shared" si="3"/>
        <v>12.46</v>
      </c>
      <c r="BG38" s="2">
        <f t="shared" si="4"/>
        <v>0</v>
      </c>
      <c r="BH38" s="2">
        <f t="shared" si="51"/>
        <v>0</v>
      </c>
      <c r="BI38" s="2">
        <f t="shared" si="51"/>
        <v>0</v>
      </c>
      <c r="BJ38" s="7">
        <f t="shared" si="51"/>
        <v>0</v>
      </c>
      <c r="BK38" s="1">
        <f t="shared" si="52"/>
        <v>53.480000000000004</v>
      </c>
      <c r="BL38" s="2">
        <f t="shared" si="52"/>
        <v>0</v>
      </c>
      <c r="BM38" s="2">
        <f t="shared" si="48"/>
        <v>0</v>
      </c>
      <c r="BN38" s="2">
        <f t="shared" si="8"/>
        <v>0</v>
      </c>
      <c r="BO38" s="7">
        <f t="shared" si="9"/>
        <v>0</v>
      </c>
      <c r="BQ38" s="1">
        <f t="shared" si="44"/>
        <v>53.48</v>
      </c>
      <c r="BR38" s="4">
        <v>0</v>
      </c>
      <c r="BS38" s="2">
        <f t="shared" si="16"/>
        <v>53.48</v>
      </c>
      <c r="BT38" s="2">
        <f t="shared" si="46"/>
        <v>0</v>
      </c>
      <c r="BU38" s="21" t="str">
        <f t="shared" si="17"/>
        <v/>
      </c>
      <c r="BV38" s="21" t="str">
        <f t="shared" si="18"/>
        <v/>
      </c>
      <c r="BW38" s="21" t="str">
        <f t="shared" si="12"/>
        <v/>
      </c>
      <c r="BX38" s="21" t="str">
        <f t="shared" si="13"/>
        <v/>
      </c>
      <c r="BY38" s="1">
        <f t="shared" si="28"/>
        <v>74.066999999999993</v>
      </c>
      <c r="BZ38" s="4">
        <v>0</v>
      </c>
      <c r="CA38" s="2">
        <f t="shared" si="19"/>
        <v>74.066999999999993</v>
      </c>
      <c r="CB38" s="2">
        <f t="shared" si="29"/>
        <v>0</v>
      </c>
      <c r="CC38" s="21" t="str">
        <f t="shared" si="20"/>
        <v/>
      </c>
      <c r="CD38" s="2" t="str">
        <f t="shared" si="32"/>
        <v/>
      </c>
      <c r="CE38" s="2" t="str">
        <f t="shared" si="21"/>
        <v/>
      </c>
      <c r="CF38" s="21" t="str">
        <f t="shared" si="22"/>
        <v/>
      </c>
      <c r="CG38" s="15"/>
      <c r="CH38" s="21" t="str">
        <f t="shared" si="15"/>
        <v/>
      </c>
    </row>
    <row r="39" spans="1:86" x14ac:dyDescent="0.25">
      <c r="A39" t="str">
        <f t="shared" si="23"/>
        <v>Travée</v>
      </c>
      <c r="B39" t="b">
        <f t="shared" si="24"/>
        <v>0</v>
      </c>
      <c r="C39">
        <f t="shared" si="64"/>
        <v>3</v>
      </c>
      <c r="D39" s="5" t="s">
        <v>106</v>
      </c>
      <c r="E39" t="s">
        <v>55</v>
      </c>
      <c r="F39" s="5">
        <v>25</v>
      </c>
      <c r="G39" t="s">
        <v>46</v>
      </c>
      <c r="H39">
        <v>500</v>
      </c>
      <c r="I39">
        <v>220000</v>
      </c>
      <c r="J39">
        <v>1576</v>
      </c>
      <c r="K39" s="10">
        <v>1870</v>
      </c>
      <c r="L39" s="12">
        <v>1</v>
      </c>
      <c r="M39" s="5">
        <v>0.23499999999999999</v>
      </c>
      <c r="N39" s="10">
        <v>5.3</v>
      </c>
      <c r="O39" s="5">
        <v>2.0405000000000002E-3</v>
      </c>
      <c r="P39">
        <v>0.04</v>
      </c>
      <c r="Q39" s="10">
        <v>1</v>
      </c>
      <c r="R39" s="8">
        <v>0</v>
      </c>
      <c r="S39">
        <v>0</v>
      </c>
      <c r="T39">
        <v>1</v>
      </c>
      <c r="U39" s="9">
        <v>2.9099999999999999E-5</v>
      </c>
      <c r="V39">
        <v>0</v>
      </c>
      <c r="W39" s="10">
        <v>10</v>
      </c>
      <c r="X39" s="5">
        <v>86.141999999999996</v>
      </c>
      <c r="Y39">
        <v>26.166</v>
      </c>
      <c r="Z39" s="4">
        <v>0</v>
      </c>
      <c r="AA39" s="2">
        <v>86.141999999999996</v>
      </c>
      <c r="AB39" s="2">
        <v>26.166</v>
      </c>
      <c r="AC39" s="13">
        <v>0</v>
      </c>
      <c r="AD39" s="2">
        <v>86.141999999999996</v>
      </c>
      <c r="AE39" s="2">
        <v>26.166</v>
      </c>
      <c r="AF39" s="2">
        <v>155.54069999999999</v>
      </c>
      <c r="AG39" s="2"/>
      <c r="AH39" s="7">
        <v>112.30800000000001</v>
      </c>
      <c r="AI39" s="2">
        <v>86.141999999999996</v>
      </c>
      <c r="AJ39" s="2">
        <v>26.166</v>
      </c>
      <c r="AK39" s="2">
        <v>6.1529093502086853</v>
      </c>
      <c r="AL39" s="2">
        <v>1.6693379763445051</v>
      </c>
      <c r="AM39" s="2">
        <v>-227.73626275148251</v>
      </c>
      <c r="AN39" s="2">
        <v>-56.148879697329448</v>
      </c>
      <c r="AO39" s="2">
        <v>0</v>
      </c>
      <c r="AP39" s="2">
        <v>-76.826659488541608</v>
      </c>
      <c r="AQ39" s="2">
        <v>155.54069999999999</v>
      </c>
      <c r="AR39" s="2">
        <v>179.98051321430049</v>
      </c>
      <c r="AS39" s="2">
        <v>285.9197783522705</v>
      </c>
      <c r="AT39" s="2">
        <v>7.0262133324728993</v>
      </c>
      <c r="AU39" s="2">
        <v>-340.21497452005138</v>
      </c>
      <c r="AV39" s="2">
        <v>0</v>
      </c>
      <c r="AW39" s="2">
        <v>-472.61536530461262</v>
      </c>
      <c r="AX39" s="1">
        <v>112.30800000000001</v>
      </c>
      <c r="AY39" s="2">
        <v>5.7502914545196244</v>
      </c>
      <c r="AZ39" s="2">
        <v>-303.0593952316504</v>
      </c>
      <c r="BA39" s="2">
        <v>179.98051321430049</v>
      </c>
      <c r="BC39" s="1">
        <f t="shared" si="0"/>
        <v>86.141999999999996</v>
      </c>
      <c r="BD39" s="2">
        <f t="shared" si="1"/>
        <v>6.1529093502086853</v>
      </c>
      <c r="BE39" s="7">
        <f t="shared" si="2"/>
        <v>-227.73626275148251</v>
      </c>
      <c r="BF39" s="1">
        <f t="shared" si="3"/>
        <v>26.166</v>
      </c>
      <c r="BG39" s="2">
        <f t="shared" si="4"/>
        <v>1.6693379763445051</v>
      </c>
      <c r="BH39" s="2">
        <f t="shared" si="51"/>
        <v>-56.148879697329448</v>
      </c>
      <c r="BI39" s="2">
        <f t="shared" si="51"/>
        <v>0</v>
      </c>
      <c r="BJ39" s="7">
        <f t="shared" si="51"/>
        <v>-76.826659488541608</v>
      </c>
      <c r="BK39" s="1">
        <f t="shared" si="52"/>
        <v>112.30799999999999</v>
      </c>
      <c r="BL39" s="2">
        <f t="shared" si="52"/>
        <v>7.8222473265531907</v>
      </c>
      <c r="BM39" s="2">
        <f t="shared" si="48"/>
        <v>283.88514244881196</v>
      </c>
      <c r="BN39" s="2">
        <f t="shared" si="8"/>
        <v>0</v>
      </c>
      <c r="BO39" s="7">
        <f t="shared" si="9"/>
        <v>-76.826659488541608</v>
      </c>
      <c r="BQ39" s="1">
        <f t="shared" si="44"/>
        <v>112.30800000000001</v>
      </c>
      <c r="BR39" s="4" t="str">
        <f t="shared" ref="BR39" si="68">IF(ISNUMBER(SEARCH("Appui",E39)),0,"0")</f>
        <v>0</v>
      </c>
      <c r="BS39" s="2">
        <f t="shared" si="16"/>
        <v>112.30800000000001</v>
      </c>
      <c r="BT39" s="2">
        <f t="shared" si="46"/>
        <v>179.98051321430049</v>
      </c>
      <c r="BU39" s="21">
        <f t="shared" si="17"/>
        <v>1.6025618229716536</v>
      </c>
      <c r="BV39" s="21">
        <f t="shared" si="18"/>
        <v>163.87799999999999</v>
      </c>
      <c r="BW39" s="21">
        <f t="shared" si="12"/>
        <v>179.98051321430049</v>
      </c>
      <c r="BX39" s="21">
        <f t="shared" si="13"/>
        <v>1.0982591514071474</v>
      </c>
      <c r="BY39" s="1">
        <f t="shared" si="28"/>
        <v>155.54069999999999</v>
      </c>
      <c r="BZ39" s="4" t="str">
        <f t="shared" ref="BZ39" si="69">IF(ISNUMBER(SEARCH("Appui",M39)),0,"0")</f>
        <v>0</v>
      </c>
      <c r="CA39" s="2">
        <f t="shared" si="19"/>
        <v>155.54069999999999</v>
      </c>
      <c r="CB39" s="2">
        <f t="shared" si="29"/>
        <v>285.9197783522705</v>
      </c>
      <c r="CC39" s="21">
        <f t="shared" si="20"/>
        <v>1.8382312690650777</v>
      </c>
      <c r="CD39" s="2">
        <f t="shared" si="32"/>
        <v>226.96244999999999</v>
      </c>
      <c r="CE39" s="2">
        <f t="shared" si="21"/>
        <v>285.9197783522705</v>
      </c>
      <c r="CF39" s="21">
        <f t="shared" si="22"/>
        <v>1.2597668836949483</v>
      </c>
      <c r="CG39" s="10" t="str">
        <f t="shared" ref="CG39" si="70">IF(C37&lt;C39,"Rive",IF(C41&gt;C39,"Rive","Inter"))</f>
        <v>Inter</v>
      </c>
      <c r="CH39" s="21">
        <f t="shared" si="15"/>
        <v>0.79299687333433566</v>
      </c>
    </row>
    <row r="40" spans="1:86" x14ac:dyDescent="0.25">
      <c r="A40" t="str">
        <f t="shared" si="23"/>
        <v>Appui</v>
      </c>
      <c r="B40" t="b">
        <f t="shared" si="24"/>
        <v>0</v>
      </c>
      <c r="C40">
        <f t="shared" si="64"/>
        <v>3</v>
      </c>
      <c r="D40" s="5" t="s">
        <v>106</v>
      </c>
      <c r="E40" t="s">
        <v>56</v>
      </c>
      <c r="F40" s="5">
        <v>25</v>
      </c>
      <c r="G40" t="s">
        <v>46</v>
      </c>
      <c r="H40">
        <v>500</v>
      </c>
      <c r="I40">
        <v>220000</v>
      </c>
      <c r="J40">
        <v>1576</v>
      </c>
      <c r="K40" s="10">
        <v>1870</v>
      </c>
      <c r="L40" s="12">
        <v>1</v>
      </c>
      <c r="M40" s="5">
        <v>0.25</v>
      </c>
      <c r="N40" s="10">
        <v>5.3</v>
      </c>
      <c r="O40" s="5">
        <v>0</v>
      </c>
      <c r="P40">
        <v>6.9999999999999993E-2</v>
      </c>
      <c r="Q40" s="10">
        <v>1</v>
      </c>
      <c r="R40" s="8">
        <v>0</v>
      </c>
      <c r="S40">
        <v>0</v>
      </c>
      <c r="T40">
        <v>1</v>
      </c>
      <c r="U40" s="9">
        <v>0</v>
      </c>
      <c r="V40">
        <v>0</v>
      </c>
      <c r="W40" s="10">
        <v>0</v>
      </c>
      <c r="X40" s="5">
        <v>38.090000000000003</v>
      </c>
      <c r="Y40">
        <v>11.57</v>
      </c>
      <c r="Z40" s="4">
        <v>0</v>
      </c>
      <c r="AA40" s="2">
        <v>38.090000000000003</v>
      </c>
      <c r="AB40" s="2">
        <v>11.57</v>
      </c>
      <c r="AC40" s="13">
        <v>0</v>
      </c>
      <c r="AD40" s="2">
        <v>38.090000000000003</v>
      </c>
      <c r="AE40" s="2">
        <v>11.57</v>
      </c>
      <c r="AF40" s="2">
        <v>68.776499999999999</v>
      </c>
      <c r="AG40" s="2"/>
      <c r="AH40" s="7">
        <v>49.66</v>
      </c>
      <c r="AI40" s="2">
        <v>38.090000000000003</v>
      </c>
      <c r="AJ40" s="2">
        <v>11.57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68.776499999999999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1">
        <v>49.66</v>
      </c>
      <c r="AY40" s="2">
        <v>0</v>
      </c>
      <c r="AZ40" s="2">
        <v>0</v>
      </c>
      <c r="BA40" s="2">
        <v>0</v>
      </c>
      <c r="BC40" s="1">
        <f t="shared" si="0"/>
        <v>38.090000000000003</v>
      </c>
      <c r="BD40" s="2">
        <f t="shared" si="1"/>
        <v>0</v>
      </c>
      <c r="BE40" s="7">
        <f t="shared" si="2"/>
        <v>0</v>
      </c>
      <c r="BF40" s="1">
        <f t="shared" si="3"/>
        <v>11.57</v>
      </c>
      <c r="BG40" s="2">
        <f t="shared" si="4"/>
        <v>0</v>
      </c>
      <c r="BH40" s="2">
        <f t="shared" si="51"/>
        <v>0</v>
      </c>
      <c r="BI40" s="2">
        <f t="shared" si="51"/>
        <v>0</v>
      </c>
      <c r="BJ40" s="7">
        <f t="shared" si="51"/>
        <v>0</v>
      </c>
      <c r="BK40" s="1">
        <f t="shared" si="52"/>
        <v>49.660000000000004</v>
      </c>
      <c r="BL40" s="2">
        <f t="shared" si="52"/>
        <v>0</v>
      </c>
      <c r="BM40" s="2">
        <f t="shared" si="48"/>
        <v>0</v>
      </c>
      <c r="BN40" s="2">
        <f t="shared" si="8"/>
        <v>0</v>
      </c>
      <c r="BO40" s="7">
        <f t="shared" si="9"/>
        <v>0</v>
      </c>
      <c r="BQ40" s="1">
        <f t="shared" si="44"/>
        <v>49.66</v>
      </c>
      <c r="BR40" s="4">
        <v>0</v>
      </c>
      <c r="BS40" s="2">
        <f t="shared" si="16"/>
        <v>49.66</v>
      </c>
      <c r="BT40" s="2">
        <f t="shared" si="46"/>
        <v>0</v>
      </c>
      <c r="BU40" s="21" t="str">
        <f t="shared" si="17"/>
        <v/>
      </c>
      <c r="BV40" s="21" t="str">
        <f t="shared" si="18"/>
        <v/>
      </c>
      <c r="BW40" s="21" t="str">
        <f t="shared" si="12"/>
        <v/>
      </c>
      <c r="BX40" s="21" t="str">
        <f t="shared" si="13"/>
        <v/>
      </c>
      <c r="BY40" s="1">
        <f t="shared" si="28"/>
        <v>68.776499999999999</v>
      </c>
      <c r="BZ40" s="4">
        <v>0</v>
      </c>
      <c r="CA40" s="2">
        <f t="shared" si="19"/>
        <v>68.776499999999999</v>
      </c>
      <c r="CB40" s="2">
        <f t="shared" si="29"/>
        <v>0</v>
      </c>
      <c r="CC40" s="21" t="str">
        <f t="shared" si="20"/>
        <v/>
      </c>
      <c r="CD40" s="2" t="str">
        <f t="shared" si="32"/>
        <v/>
      </c>
      <c r="CE40" s="2" t="str">
        <f t="shared" si="21"/>
        <v/>
      </c>
      <c r="CF40" s="21" t="str">
        <f t="shared" si="22"/>
        <v/>
      </c>
      <c r="CG40" s="15"/>
      <c r="CH40" s="21" t="str">
        <f t="shared" si="15"/>
        <v/>
      </c>
    </row>
    <row r="41" spans="1:86" x14ac:dyDescent="0.25">
      <c r="A41" t="str">
        <f t="shared" si="23"/>
        <v>Travée</v>
      </c>
      <c r="B41" t="b">
        <f t="shared" si="24"/>
        <v>0</v>
      </c>
      <c r="C41">
        <f t="shared" si="64"/>
        <v>3</v>
      </c>
      <c r="D41" s="5" t="s">
        <v>106</v>
      </c>
      <c r="E41" t="s">
        <v>57</v>
      </c>
      <c r="F41" s="5">
        <v>25</v>
      </c>
      <c r="G41" t="s">
        <v>46</v>
      </c>
      <c r="H41">
        <v>500</v>
      </c>
      <c r="I41">
        <v>220000</v>
      </c>
      <c r="J41">
        <v>1576</v>
      </c>
      <c r="K41" s="10">
        <v>1870</v>
      </c>
      <c r="L41" s="12">
        <v>1</v>
      </c>
      <c r="M41" s="5">
        <v>0.26</v>
      </c>
      <c r="N41" s="10">
        <v>5.3</v>
      </c>
      <c r="O41" s="5">
        <v>1.3621E-3</v>
      </c>
      <c r="P41">
        <v>0.04</v>
      </c>
      <c r="Q41" s="10">
        <v>1</v>
      </c>
      <c r="R41" s="8">
        <v>0</v>
      </c>
      <c r="S41">
        <v>0</v>
      </c>
      <c r="T41">
        <v>1</v>
      </c>
      <c r="U41" s="9">
        <v>0</v>
      </c>
      <c r="V41">
        <v>0</v>
      </c>
      <c r="W41" s="10">
        <v>0</v>
      </c>
      <c r="X41" s="5">
        <v>42.777999999999999</v>
      </c>
      <c r="Y41">
        <v>12.994</v>
      </c>
      <c r="Z41" s="4">
        <v>0</v>
      </c>
      <c r="AA41" s="2">
        <v>42.777999999999999</v>
      </c>
      <c r="AB41" s="2">
        <v>12.994</v>
      </c>
      <c r="AC41" s="13">
        <v>0</v>
      </c>
      <c r="AD41" s="2">
        <v>42.777999999999999</v>
      </c>
      <c r="AE41" s="2">
        <v>12.994</v>
      </c>
      <c r="AF41" s="2">
        <v>77.241299999999995</v>
      </c>
      <c r="AG41" s="2"/>
      <c r="AH41" s="7">
        <v>55.771999999999998</v>
      </c>
      <c r="AI41" s="2">
        <v>42.777999999999999</v>
      </c>
      <c r="AJ41" s="2">
        <v>12.994</v>
      </c>
      <c r="AK41" s="2">
        <v>3.0272475458842378</v>
      </c>
      <c r="AL41" s="2">
        <v>0.91953935694094691</v>
      </c>
      <c r="AM41" s="2">
        <v>-148.5405405429986</v>
      </c>
      <c r="AN41" s="2">
        <v>-45.119822895313568</v>
      </c>
      <c r="AO41" s="2">
        <v>0</v>
      </c>
      <c r="AP41" s="2">
        <v>0</v>
      </c>
      <c r="AQ41" s="2">
        <v>77.241299999999995</v>
      </c>
      <c r="AR41" s="2">
        <v>136.9899254721916</v>
      </c>
      <c r="AS41" s="2">
        <v>136.9899254721916</v>
      </c>
      <c r="AT41" s="2">
        <v>3.9607477173149408</v>
      </c>
      <c r="AU41" s="2">
        <v>-272.32241634038598</v>
      </c>
      <c r="AV41" s="2">
        <v>0</v>
      </c>
      <c r="AW41" s="2">
        <v>0</v>
      </c>
      <c r="AX41" s="1">
        <v>55.771999999999998</v>
      </c>
      <c r="AY41" s="2">
        <v>2.8940492703041629</v>
      </c>
      <c r="AZ41" s="2">
        <v>-196.5319505595179</v>
      </c>
      <c r="BA41" s="2">
        <v>136.9899254721916</v>
      </c>
      <c r="BC41" s="1">
        <f t="shared" si="0"/>
        <v>42.777999999999999</v>
      </c>
      <c r="BD41" s="2">
        <f t="shared" si="1"/>
        <v>3.0272475458842378</v>
      </c>
      <c r="BE41" s="7">
        <f t="shared" si="2"/>
        <v>-148.5405405429986</v>
      </c>
      <c r="BF41" s="1">
        <f t="shared" si="3"/>
        <v>12.994</v>
      </c>
      <c r="BG41" s="2">
        <f t="shared" si="4"/>
        <v>0.91953935694094691</v>
      </c>
      <c r="BH41" s="2">
        <f t="shared" si="51"/>
        <v>-45.119822895313568</v>
      </c>
      <c r="BI41" s="2">
        <f t="shared" si="51"/>
        <v>0</v>
      </c>
      <c r="BJ41" s="7">
        <f t="shared" si="51"/>
        <v>0</v>
      </c>
      <c r="BK41" s="1">
        <f t="shared" si="52"/>
        <v>55.771999999999998</v>
      </c>
      <c r="BL41" s="2">
        <f t="shared" si="52"/>
        <v>3.9467869028251847</v>
      </c>
      <c r="BM41" s="2">
        <f t="shared" si="48"/>
        <v>193.66036343831217</v>
      </c>
      <c r="BN41" s="2">
        <f t="shared" si="8"/>
        <v>0</v>
      </c>
      <c r="BO41" s="7">
        <f t="shared" si="9"/>
        <v>0</v>
      </c>
      <c r="BQ41" s="1">
        <f t="shared" si="44"/>
        <v>55.771999999999998</v>
      </c>
      <c r="BR41" s="4" t="str">
        <f t="shared" ref="BR41" si="71">IF(ISNUMBER(SEARCH("Appui",E41)),0,"0")</f>
        <v>0</v>
      </c>
      <c r="BS41" s="2">
        <f t="shared" si="16"/>
        <v>55.771999999999998</v>
      </c>
      <c r="BT41" s="2">
        <f t="shared" si="46"/>
        <v>136.9899254721916</v>
      </c>
      <c r="BU41" s="21">
        <f t="shared" si="17"/>
        <v>2.4562491119592558</v>
      </c>
      <c r="BV41" s="21">
        <f t="shared" si="18"/>
        <v>80.602000000000004</v>
      </c>
      <c r="BW41" s="21">
        <f t="shared" si="12"/>
        <v>137.38014088711083</v>
      </c>
      <c r="BX41" s="21">
        <f t="shared" si="13"/>
        <v>1.7044259557717032</v>
      </c>
      <c r="BY41" s="1">
        <f t="shared" si="28"/>
        <v>77.241299999999995</v>
      </c>
      <c r="BZ41" s="4" t="str">
        <f t="shared" ref="BZ41" si="72">IF(ISNUMBER(SEARCH("Appui",M41)),0,"0")</f>
        <v>0</v>
      </c>
      <c r="CA41" s="2">
        <f t="shared" si="19"/>
        <v>77.241299999999995</v>
      </c>
      <c r="CB41" s="2">
        <f t="shared" si="29"/>
        <v>136.9899254721916</v>
      </c>
      <c r="CC41" s="21">
        <f t="shared" si="20"/>
        <v>1.7735321061684826</v>
      </c>
      <c r="CD41" s="2">
        <f t="shared" si="32"/>
        <v>111.62954999999999</v>
      </c>
      <c r="CE41" s="2">
        <f t="shared" si="21"/>
        <v>137.38014088711083</v>
      </c>
      <c r="CF41" s="21">
        <f t="shared" si="22"/>
        <v>1.2306789813907772</v>
      </c>
      <c r="CG41" s="10" t="str">
        <f t="shared" ref="CG41" si="73">IF(C39&lt;C41,"Rive",IF(C43&gt;C41,"Rive","Inter"))</f>
        <v>Rive</v>
      </c>
      <c r="CH41" s="21">
        <f t="shared" si="15"/>
        <v>1.2306789813907772</v>
      </c>
    </row>
    <row r="42" spans="1:86" x14ac:dyDescent="0.25">
      <c r="A42" t="str">
        <f t="shared" si="23"/>
        <v/>
      </c>
      <c r="B42" t="b">
        <f t="shared" si="24"/>
        <v>0</v>
      </c>
      <c r="C42">
        <f t="shared" si="64"/>
        <v>3</v>
      </c>
      <c r="D42" s="5" t="s">
        <v>106</v>
      </c>
      <c r="F42" s="5">
        <v>25</v>
      </c>
      <c r="G42" t="s">
        <v>46</v>
      </c>
      <c r="H42">
        <v>500</v>
      </c>
      <c r="I42">
        <v>220000</v>
      </c>
      <c r="J42">
        <v>1576</v>
      </c>
      <c r="K42" s="10">
        <v>1870</v>
      </c>
      <c r="L42" s="12">
        <v>1</v>
      </c>
      <c r="M42" s="5">
        <v>0.2</v>
      </c>
      <c r="N42" s="10">
        <v>2.2000000000000002</v>
      </c>
      <c r="O42" s="5">
        <v>1.0000000000000001E-5</v>
      </c>
      <c r="P42">
        <v>0.03</v>
      </c>
      <c r="Q42" s="10">
        <v>1</v>
      </c>
      <c r="R42" s="8">
        <v>0</v>
      </c>
      <c r="S42">
        <v>0</v>
      </c>
      <c r="T42">
        <v>1</v>
      </c>
      <c r="U42" s="9">
        <v>0</v>
      </c>
      <c r="V42">
        <v>0</v>
      </c>
      <c r="W42" s="10">
        <v>0</v>
      </c>
      <c r="X42" s="5">
        <v>0</v>
      </c>
      <c r="Y42">
        <v>0</v>
      </c>
      <c r="Z42" s="4">
        <v>0</v>
      </c>
      <c r="AA42" s="2">
        <v>0</v>
      </c>
      <c r="AB42" s="2">
        <v>0</v>
      </c>
      <c r="AC42" s="13"/>
      <c r="AD42" s="2">
        <v>0</v>
      </c>
      <c r="AE42" s="2">
        <v>0</v>
      </c>
      <c r="AF42" s="2"/>
      <c r="AG42" s="2"/>
      <c r="AH42" s="7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/>
      <c r="AR42" s="2">
        <v>0.78043082983844214</v>
      </c>
      <c r="AS42" s="2">
        <v>0.78043082983844214</v>
      </c>
      <c r="AT42" s="2">
        <v>0</v>
      </c>
      <c r="AU42" s="2">
        <v>0</v>
      </c>
      <c r="AV42" s="2">
        <v>0</v>
      </c>
      <c r="AW42" s="2">
        <v>0</v>
      </c>
      <c r="AX42" s="1">
        <v>0</v>
      </c>
      <c r="AY42" s="2">
        <v>0</v>
      </c>
      <c r="AZ42" s="2">
        <v>0</v>
      </c>
      <c r="BA42" s="2">
        <v>0.78043082983844214</v>
      </c>
      <c r="BC42" s="1">
        <f t="shared" si="0"/>
        <v>0</v>
      </c>
      <c r="BD42" s="2">
        <f t="shared" si="1"/>
        <v>0</v>
      </c>
      <c r="BE42" s="7">
        <f t="shared" si="2"/>
        <v>0</v>
      </c>
      <c r="BF42" s="1">
        <f t="shared" si="3"/>
        <v>0</v>
      </c>
      <c r="BG42" s="2">
        <f t="shared" si="4"/>
        <v>0</v>
      </c>
      <c r="BH42" s="2">
        <f t="shared" si="51"/>
        <v>0</v>
      </c>
      <c r="BI42" s="2">
        <f t="shared" si="51"/>
        <v>0</v>
      </c>
      <c r="BJ42" s="7">
        <f t="shared" si="51"/>
        <v>0</v>
      </c>
      <c r="BK42" s="1">
        <f t="shared" si="52"/>
        <v>0</v>
      </c>
      <c r="BL42" s="2">
        <f t="shared" si="52"/>
        <v>0</v>
      </c>
      <c r="BM42" s="2">
        <f t="shared" si="48"/>
        <v>0</v>
      </c>
      <c r="BN42" s="2">
        <f t="shared" si="8"/>
        <v>0</v>
      </c>
      <c r="BO42" s="7">
        <f t="shared" si="9"/>
        <v>0</v>
      </c>
      <c r="BQ42" s="1">
        <f t="shared" si="44"/>
        <v>0</v>
      </c>
      <c r="BR42" s="4">
        <v>0</v>
      </c>
      <c r="BS42" s="2">
        <f t="shared" si="16"/>
        <v>0</v>
      </c>
      <c r="BT42" s="2">
        <f t="shared" si="46"/>
        <v>0.78043082983844214</v>
      </c>
      <c r="BU42" s="21">
        <f t="shared" si="17"/>
        <v>1</v>
      </c>
      <c r="BV42" s="21" t="str">
        <f t="shared" si="18"/>
        <v/>
      </c>
      <c r="BW42" s="21" t="str">
        <f t="shared" si="12"/>
        <v/>
      </c>
      <c r="BX42" s="21" t="str">
        <f t="shared" si="13"/>
        <v/>
      </c>
      <c r="BY42" s="1">
        <f t="shared" si="28"/>
        <v>0</v>
      </c>
      <c r="BZ42" s="4">
        <v>0</v>
      </c>
      <c r="CA42" s="2">
        <f t="shared" si="19"/>
        <v>0</v>
      </c>
      <c r="CB42" s="2">
        <f t="shared" si="29"/>
        <v>0.78043082983844214</v>
      </c>
      <c r="CC42" s="21">
        <f t="shared" si="20"/>
        <v>1</v>
      </c>
      <c r="CD42" s="2" t="str">
        <f t="shared" si="32"/>
        <v/>
      </c>
      <c r="CE42" s="2" t="str">
        <f t="shared" si="21"/>
        <v/>
      </c>
      <c r="CF42" s="21" t="str">
        <f t="shared" si="22"/>
        <v/>
      </c>
      <c r="CG42" s="15"/>
      <c r="CH42" s="21" t="str">
        <f t="shared" si="15"/>
        <v/>
      </c>
    </row>
    <row r="43" spans="1:86" x14ac:dyDescent="0.25">
      <c r="A43" t="str">
        <f t="shared" si="23"/>
        <v>Travée</v>
      </c>
      <c r="B43" t="b">
        <f t="shared" si="24"/>
        <v>1</v>
      </c>
      <c r="C43">
        <f t="shared" si="64"/>
        <v>4</v>
      </c>
      <c r="D43" s="5" t="s">
        <v>107</v>
      </c>
      <c r="E43" t="s">
        <v>45</v>
      </c>
      <c r="F43" s="5">
        <v>25</v>
      </c>
      <c r="G43" t="s">
        <v>46</v>
      </c>
      <c r="H43">
        <v>500</v>
      </c>
      <c r="I43">
        <v>220000</v>
      </c>
      <c r="J43">
        <v>1576</v>
      </c>
      <c r="K43" s="10">
        <v>1870</v>
      </c>
      <c r="L43" s="12">
        <v>1</v>
      </c>
      <c r="M43" s="5">
        <v>0.26</v>
      </c>
      <c r="N43" s="10">
        <v>5.3</v>
      </c>
      <c r="O43" s="5">
        <v>1.3621E-3</v>
      </c>
      <c r="P43">
        <v>0.04</v>
      </c>
      <c r="Q43" s="10">
        <v>1</v>
      </c>
      <c r="R43" s="8">
        <v>0</v>
      </c>
      <c r="S43">
        <v>0</v>
      </c>
      <c r="T43">
        <v>1</v>
      </c>
      <c r="U43" s="9">
        <v>2.9099999999999999E-5</v>
      </c>
      <c r="V43">
        <v>0</v>
      </c>
      <c r="W43" s="10">
        <v>7</v>
      </c>
      <c r="X43" s="5">
        <v>41.02</v>
      </c>
      <c r="Y43">
        <v>12.46</v>
      </c>
      <c r="Z43" s="4">
        <v>0</v>
      </c>
      <c r="AA43" s="2">
        <v>41.02</v>
      </c>
      <c r="AB43" s="2">
        <v>12.46</v>
      </c>
      <c r="AC43" s="13">
        <v>0</v>
      </c>
      <c r="AD43" s="2">
        <v>41.02</v>
      </c>
      <c r="AE43" s="2">
        <v>12.46</v>
      </c>
      <c r="AF43" s="2">
        <v>74.066999999999993</v>
      </c>
      <c r="AG43" s="2"/>
      <c r="AH43" s="7">
        <v>53.48</v>
      </c>
      <c r="AI43" s="2">
        <v>41.02</v>
      </c>
      <c r="AJ43" s="2">
        <v>12.46</v>
      </c>
      <c r="AK43" s="2">
        <v>2.9028401124917371</v>
      </c>
      <c r="AL43" s="2">
        <v>0.79092848494055668</v>
      </c>
      <c r="AM43" s="2">
        <v>-142.43613476725889</v>
      </c>
      <c r="AN43" s="2">
        <v>-35.096667944593563</v>
      </c>
      <c r="AO43" s="2">
        <v>0</v>
      </c>
      <c r="AP43" s="2">
        <v>-46.630793953238431</v>
      </c>
      <c r="AQ43" s="2">
        <v>74.066999999999993</v>
      </c>
      <c r="AR43" s="2">
        <v>136.9899254721916</v>
      </c>
      <c r="AS43" s="2">
        <v>221.12457412887409</v>
      </c>
      <c r="AT43" s="2">
        <v>3.428926283505807</v>
      </c>
      <c r="AU43" s="2">
        <v>-211.591676430332</v>
      </c>
      <c r="AV43" s="2">
        <v>0</v>
      </c>
      <c r="AW43" s="2">
        <v>-283.77196828400622</v>
      </c>
      <c r="AX43" s="1">
        <v>53.48</v>
      </c>
      <c r="AY43" s="2">
        <v>2.77857313089295</v>
      </c>
      <c r="AZ43" s="2">
        <v>-188.44540331087819</v>
      </c>
      <c r="BA43" s="2">
        <v>136.9899254721916</v>
      </c>
      <c r="BC43" s="1">
        <f t="shared" si="0"/>
        <v>41.02</v>
      </c>
      <c r="BD43" s="2">
        <f t="shared" si="1"/>
        <v>2.9028401124917371</v>
      </c>
      <c r="BE43" s="7">
        <f t="shared" si="2"/>
        <v>-142.43613476725889</v>
      </c>
      <c r="BF43" s="1">
        <f t="shared" si="3"/>
        <v>12.46</v>
      </c>
      <c r="BG43" s="2">
        <f t="shared" si="4"/>
        <v>0.79092848494055668</v>
      </c>
      <c r="BH43" s="2">
        <f t="shared" si="51"/>
        <v>-35.096667944593563</v>
      </c>
      <c r="BI43" s="2">
        <f t="shared" si="51"/>
        <v>0</v>
      </c>
      <c r="BJ43" s="7">
        <f t="shared" si="51"/>
        <v>-46.630793953238431</v>
      </c>
      <c r="BK43" s="1">
        <f t="shared" si="52"/>
        <v>53.480000000000004</v>
      </c>
      <c r="BL43" s="2">
        <f t="shared" si="52"/>
        <v>3.6937685974322938</v>
      </c>
      <c r="BM43" s="2">
        <f t="shared" si="48"/>
        <v>177.53280271185247</v>
      </c>
      <c r="BN43" s="2">
        <f t="shared" si="8"/>
        <v>0</v>
      </c>
      <c r="BO43" s="7">
        <f t="shared" si="9"/>
        <v>-46.630793953238431</v>
      </c>
      <c r="BQ43" s="1">
        <f t="shared" si="44"/>
        <v>53.48</v>
      </c>
      <c r="BR43" s="4" t="str">
        <f t="shared" ref="BR43" si="74">IF(ISNUMBER(SEARCH("Appui",E43)),0,"0")</f>
        <v>0</v>
      </c>
      <c r="BS43" s="2">
        <f t="shared" si="16"/>
        <v>53.48</v>
      </c>
      <c r="BT43" s="2">
        <f t="shared" si="46"/>
        <v>136.9899254721916</v>
      </c>
      <c r="BU43" s="21">
        <f t="shared" si="17"/>
        <v>2.561516931043224</v>
      </c>
      <c r="BV43" s="21">
        <f t="shared" si="18"/>
        <v>82.894000000000005</v>
      </c>
      <c r="BW43" s="21">
        <f t="shared" si="12"/>
        <v>136.9899254721916</v>
      </c>
      <c r="BX43" s="21">
        <f t="shared" si="13"/>
        <v>1.6525915684149828</v>
      </c>
      <c r="BY43" s="1">
        <f t="shared" si="28"/>
        <v>74.066999999999993</v>
      </c>
      <c r="BZ43" s="4" t="str">
        <f t="shared" ref="BZ43" si="75">IF(ISNUMBER(SEARCH("Appui",M43)),0,"0")</f>
        <v>0</v>
      </c>
      <c r="CA43" s="2">
        <f t="shared" si="19"/>
        <v>74.066999999999993</v>
      </c>
      <c r="CB43" s="2">
        <f t="shared" si="29"/>
        <v>221.12457412887409</v>
      </c>
      <c r="CC43" s="21">
        <f t="shared" si="20"/>
        <v>2.9854668628252004</v>
      </c>
      <c r="CD43" s="2">
        <f t="shared" si="32"/>
        <v>114.80385</v>
      </c>
      <c r="CE43" s="2">
        <f t="shared" si="21"/>
        <v>221.12457412887409</v>
      </c>
      <c r="CF43" s="21">
        <f t="shared" si="22"/>
        <v>1.926107653435613</v>
      </c>
      <c r="CG43" s="10" t="str">
        <f t="shared" ref="CG43" si="76">IF(C41&lt;C43,"Rive",IF(C45&gt;C43,"Rive","Inter"))</f>
        <v>Rive</v>
      </c>
      <c r="CH43" s="21">
        <f t="shared" si="15"/>
        <v>1.1932520161317901</v>
      </c>
    </row>
    <row r="44" spans="1:86" x14ac:dyDescent="0.25">
      <c r="A44" t="str">
        <f t="shared" si="23"/>
        <v>Appui</v>
      </c>
      <c r="B44" t="b">
        <f t="shared" si="24"/>
        <v>1</v>
      </c>
      <c r="C44">
        <f t="shared" si="64"/>
        <v>4</v>
      </c>
      <c r="D44" s="5" t="s">
        <v>107</v>
      </c>
      <c r="E44" t="s">
        <v>47</v>
      </c>
      <c r="F44" s="5">
        <v>25</v>
      </c>
      <c r="G44" t="s">
        <v>46</v>
      </c>
      <c r="H44">
        <v>500</v>
      </c>
      <c r="I44">
        <v>220000</v>
      </c>
      <c r="J44">
        <v>1576</v>
      </c>
      <c r="K44" s="10">
        <v>1870</v>
      </c>
      <c r="L44" s="12">
        <v>1</v>
      </c>
      <c r="M44" s="5">
        <v>0.25</v>
      </c>
      <c r="N44" s="10">
        <v>5.3</v>
      </c>
      <c r="O44" s="5">
        <v>0</v>
      </c>
      <c r="P44">
        <v>6.9999999999999993E-2</v>
      </c>
      <c r="Q44" s="10">
        <v>1</v>
      </c>
      <c r="R44" s="8">
        <v>0</v>
      </c>
      <c r="S44">
        <v>0</v>
      </c>
      <c r="T44">
        <v>1</v>
      </c>
      <c r="U44" s="9">
        <v>0</v>
      </c>
      <c r="V44">
        <v>0</v>
      </c>
      <c r="W44" s="10">
        <v>0</v>
      </c>
      <c r="X44" s="5">
        <v>45.122</v>
      </c>
      <c r="Y44">
        <v>13.706</v>
      </c>
      <c r="Z44" s="4">
        <v>0</v>
      </c>
      <c r="AA44" s="2">
        <v>45.122</v>
      </c>
      <c r="AB44" s="2">
        <v>13.706</v>
      </c>
      <c r="AC44" s="13">
        <v>0</v>
      </c>
      <c r="AD44" s="2">
        <v>45.122</v>
      </c>
      <c r="AE44" s="2">
        <v>13.706</v>
      </c>
      <c r="AF44" s="2">
        <v>81.473700000000008</v>
      </c>
      <c r="AG44" s="2"/>
      <c r="AH44" s="7">
        <v>58.828000000000003</v>
      </c>
      <c r="AI44" s="2">
        <v>45.122</v>
      </c>
      <c r="AJ44" s="2">
        <v>13.706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81.473700000000008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1">
        <v>58.828000000000003</v>
      </c>
      <c r="AY44" s="2">
        <v>0</v>
      </c>
      <c r="AZ44" s="2">
        <v>0</v>
      </c>
      <c r="BA44" s="2">
        <v>0</v>
      </c>
      <c r="BC44" s="1">
        <f t="shared" si="0"/>
        <v>45.122</v>
      </c>
      <c r="BD44" s="2">
        <f t="shared" si="1"/>
        <v>0</v>
      </c>
      <c r="BE44" s="7">
        <f t="shared" si="2"/>
        <v>0</v>
      </c>
      <c r="BF44" s="1">
        <f t="shared" si="3"/>
        <v>13.706</v>
      </c>
      <c r="BG44" s="2">
        <f t="shared" si="4"/>
        <v>0</v>
      </c>
      <c r="BH44" s="2">
        <f t="shared" si="51"/>
        <v>0</v>
      </c>
      <c r="BI44" s="2">
        <f t="shared" si="51"/>
        <v>0</v>
      </c>
      <c r="BJ44" s="7">
        <f t="shared" si="51"/>
        <v>0</v>
      </c>
      <c r="BK44" s="1">
        <f t="shared" si="52"/>
        <v>58.828000000000003</v>
      </c>
      <c r="BL44" s="2">
        <f t="shared" si="52"/>
        <v>0</v>
      </c>
      <c r="BM44" s="2">
        <f t="shared" si="48"/>
        <v>0</v>
      </c>
      <c r="BN44" s="2">
        <f t="shared" si="8"/>
        <v>0</v>
      </c>
      <c r="BO44" s="7">
        <f t="shared" si="9"/>
        <v>0</v>
      </c>
      <c r="BQ44" s="1">
        <f t="shared" si="44"/>
        <v>58.828000000000003</v>
      </c>
      <c r="BR44" s="4">
        <v>0</v>
      </c>
      <c r="BS44" s="2">
        <f t="shared" si="16"/>
        <v>58.828000000000003</v>
      </c>
      <c r="BT44" s="2">
        <f t="shared" si="46"/>
        <v>0</v>
      </c>
      <c r="BU44" s="21" t="str">
        <f t="shared" si="17"/>
        <v/>
      </c>
      <c r="BV44" s="21" t="str">
        <f t="shared" si="18"/>
        <v/>
      </c>
      <c r="BW44" s="21" t="str">
        <f t="shared" si="12"/>
        <v/>
      </c>
      <c r="BX44" s="21" t="str">
        <f t="shared" si="13"/>
        <v/>
      </c>
      <c r="BY44" s="1">
        <f t="shared" si="28"/>
        <v>81.473700000000008</v>
      </c>
      <c r="BZ44" s="4">
        <v>0</v>
      </c>
      <c r="CA44" s="2">
        <f t="shared" si="19"/>
        <v>81.473700000000008</v>
      </c>
      <c r="CB44" s="2">
        <f t="shared" si="29"/>
        <v>0</v>
      </c>
      <c r="CC44" s="21" t="str">
        <f t="shared" si="20"/>
        <v/>
      </c>
      <c r="CD44" s="2" t="str">
        <f t="shared" si="32"/>
        <v/>
      </c>
      <c r="CE44" s="2" t="str">
        <f t="shared" si="21"/>
        <v/>
      </c>
      <c r="CF44" s="21" t="str">
        <f t="shared" si="22"/>
        <v/>
      </c>
      <c r="CG44" s="15"/>
      <c r="CH44" s="21" t="str">
        <f t="shared" si="15"/>
        <v/>
      </c>
    </row>
    <row r="45" spans="1:86" x14ac:dyDescent="0.25">
      <c r="A45" t="str">
        <f t="shared" si="23"/>
        <v>Travée</v>
      </c>
      <c r="B45" t="b">
        <f t="shared" si="24"/>
        <v>1</v>
      </c>
      <c r="C45">
        <f>IF(D45="",100000,IF(D45=D43,C43,C43+1))</f>
        <v>4</v>
      </c>
      <c r="D45" s="5" t="s">
        <v>107</v>
      </c>
      <c r="E45" t="s">
        <v>48</v>
      </c>
      <c r="F45" s="5">
        <v>25</v>
      </c>
      <c r="G45" t="s">
        <v>46</v>
      </c>
      <c r="H45">
        <v>500</v>
      </c>
      <c r="I45">
        <v>220000</v>
      </c>
      <c r="J45">
        <v>1576</v>
      </c>
      <c r="K45" s="10">
        <v>1870</v>
      </c>
      <c r="L45" s="12">
        <v>1</v>
      </c>
      <c r="M45" s="5">
        <v>0.23499999999999999</v>
      </c>
      <c r="N45" s="10">
        <v>5.3</v>
      </c>
      <c r="O45" s="5">
        <v>2.7188999999999998E-3</v>
      </c>
      <c r="P45">
        <v>0.04</v>
      </c>
      <c r="Q45" s="10">
        <v>1</v>
      </c>
      <c r="R45" s="8">
        <v>0</v>
      </c>
      <c r="S45">
        <v>0</v>
      </c>
      <c r="T45">
        <v>1</v>
      </c>
      <c r="U45" s="9">
        <v>2.9099999999999999E-5</v>
      </c>
      <c r="V45">
        <v>0</v>
      </c>
      <c r="W45" s="10">
        <v>7</v>
      </c>
      <c r="X45" s="5">
        <v>96.69</v>
      </c>
      <c r="Y45">
        <v>29.37</v>
      </c>
      <c r="Z45" s="4">
        <v>0</v>
      </c>
      <c r="AA45" s="2">
        <v>96.69</v>
      </c>
      <c r="AB45" s="2">
        <v>29.37</v>
      </c>
      <c r="AC45" s="13">
        <v>0</v>
      </c>
      <c r="AD45" s="2">
        <v>96.69</v>
      </c>
      <c r="AE45" s="2">
        <v>29.37</v>
      </c>
      <c r="AF45" s="2">
        <v>174.5865</v>
      </c>
      <c r="AG45" s="2"/>
      <c r="AH45" s="7">
        <v>126.06</v>
      </c>
      <c r="AI45" s="2">
        <v>96.69</v>
      </c>
      <c r="AJ45" s="2">
        <v>29.37</v>
      </c>
      <c r="AK45" s="2">
        <v>6.1072468689812371</v>
      </c>
      <c r="AL45" s="2">
        <v>1.740234731437037</v>
      </c>
      <c r="AM45" s="2">
        <v>-193.1544953347387</v>
      </c>
      <c r="AN45" s="2">
        <v>-52.298196931232113</v>
      </c>
      <c r="AO45" s="2">
        <v>0</v>
      </c>
      <c r="AP45" s="2">
        <v>-71.823684137069222</v>
      </c>
      <c r="AQ45" s="2">
        <v>174.5865</v>
      </c>
      <c r="AR45" s="2">
        <v>234.05165478922521</v>
      </c>
      <c r="AS45" s="2">
        <v>303.01572371689122</v>
      </c>
      <c r="AT45" s="2">
        <v>7.3412472092554202</v>
      </c>
      <c r="AU45" s="2">
        <v>-318.05224113170192</v>
      </c>
      <c r="AV45" s="2">
        <v>0</v>
      </c>
      <c r="AW45" s="2">
        <v>-444.36643746738139</v>
      </c>
      <c r="AX45" s="1">
        <v>126.06</v>
      </c>
      <c r="AY45" s="2">
        <v>5.7447023887059103</v>
      </c>
      <c r="AZ45" s="2">
        <v>-257.81987787184732</v>
      </c>
      <c r="BA45" s="2">
        <v>234.05165478922521</v>
      </c>
      <c r="BC45" s="1">
        <f t="shared" si="0"/>
        <v>96.69</v>
      </c>
      <c r="BD45" s="2">
        <f t="shared" si="1"/>
        <v>6.1072468689812371</v>
      </c>
      <c r="BE45" s="7">
        <f t="shared" si="2"/>
        <v>-193.1544953347387</v>
      </c>
      <c r="BF45" s="1">
        <f t="shared" si="3"/>
        <v>29.37</v>
      </c>
      <c r="BG45" s="2">
        <f t="shared" si="4"/>
        <v>1.740234731437037</v>
      </c>
      <c r="BH45" s="2">
        <f t="shared" si="51"/>
        <v>-52.298196931232113</v>
      </c>
      <c r="BI45" s="2">
        <f t="shared" si="51"/>
        <v>0</v>
      </c>
      <c r="BJ45" s="7">
        <f t="shared" si="51"/>
        <v>-71.823684137069222</v>
      </c>
      <c r="BK45" s="1">
        <f t="shared" si="52"/>
        <v>126.06</v>
      </c>
      <c r="BL45" s="2">
        <f t="shared" si="52"/>
        <v>7.8474816004182744</v>
      </c>
      <c r="BM45" s="2">
        <f t="shared" si="48"/>
        <v>245.45269226597082</v>
      </c>
      <c r="BN45" s="2">
        <f t="shared" si="8"/>
        <v>0</v>
      </c>
      <c r="BO45" s="7">
        <f t="shared" si="9"/>
        <v>-71.823684137069222</v>
      </c>
      <c r="BQ45" s="1">
        <f t="shared" si="44"/>
        <v>126.06</v>
      </c>
      <c r="BR45" s="4" t="str">
        <f t="shared" ref="BR45" si="77">IF(ISNUMBER(SEARCH("Appui",E45)),0,"0")</f>
        <v>0</v>
      </c>
      <c r="BS45" s="2">
        <f t="shared" si="16"/>
        <v>126.06</v>
      </c>
      <c r="BT45" s="2">
        <f t="shared" si="46"/>
        <v>234.05165478922521</v>
      </c>
      <c r="BU45" s="21">
        <f t="shared" si="17"/>
        <v>1.8566686878409107</v>
      </c>
      <c r="BV45" s="21">
        <f t="shared" si="18"/>
        <v>191</v>
      </c>
      <c r="BW45" s="21">
        <f t="shared" si="12"/>
        <v>234.05165478922521</v>
      </c>
      <c r="BX45" s="21">
        <f t="shared" si="13"/>
        <v>1.2254013339750012</v>
      </c>
      <c r="BY45" s="1">
        <f t="shared" si="28"/>
        <v>174.5865</v>
      </c>
      <c r="BZ45" s="4" t="str">
        <f t="shared" ref="BZ45" si="78">IF(ISNUMBER(SEARCH("Appui",M45)),0,"0")</f>
        <v>0</v>
      </c>
      <c r="CA45" s="2">
        <f t="shared" si="19"/>
        <v>174.5865</v>
      </c>
      <c r="CB45" s="2">
        <f t="shared" si="29"/>
        <v>303.01572371689122</v>
      </c>
      <c r="CC45" s="21">
        <f t="shared" si="20"/>
        <v>1.7356194420352731</v>
      </c>
      <c r="CD45" s="2">
        <f t="shared" si="32"/>
        <v>264.52499999999998</v>
      </c>
      <c r="CE45" s="2">
        <f t="shared" si="21"/>
        <v>303.01572371689122</v>
      </c>
      <c r="CF45" s="21">
        <f t="shared" si="22"/>
        <v>1.1455088317432804</v>
      </c>
      <c r="CG45" s="10" t="str">
        <f t="shared" ref="CG45" si="79">IF(C43&lt;C45,"Rive",IF(C47&gt;C45,"Rive","Inter"))</f>
        <v>Inter</v>
      </c>
      <c r="CH45" s="21">
        <f t="shared" si="15"/>
        <v>0.88479975347972872</v>
      </c>
    </row>
    <row r="46" spans="1:86" x14ac:dyDescent="0.25">
      <c r="A46" t="str">
        <f t="shared" si="23"/>
        <v>Appui</v>
      </c>
      <c r="B46" t="b">
        <f t="shared" si="24"/>
        <v>1</v>
      </c>
      <c r="C46">
        <f>IF(D46="",100000,IF(D46=D44,C44,C44+1))</f>
        <v>4</v>
      </c>
      <c r="D46" s="5" t="s">
        <v>107</v>
      </c>
      <c r="E46" t="s">
        <v>49</v>
      </c>
      <c r="F46" s="5">
        <v>25</v>
      </c>
      <c r="G46" t="s">
        <v>46</v>
      </c>
      <c r="H46">
        <v>500</v>
      </c>
      <c r="I46">
        <v>220000</v>
      </c>
      <c r="J46">
        <v>1576</v>
      </c>
      <c r="K46" s="10">
        <v>1870</v>
      </c>
      <c r="L46" s="12">
        <v>1</v>
      </c>
      <c r="M46" s="5">
        <v>0.22</v>
      </c>
      <c r="N46" s="10">
        <v>5.3</v>
      </c>
      <c r="O46" s="5">
        <v>0</v>
      </c>
      <c r="P46">
        <v>0.04</v>
      </c>
      <c r="Q46" s="10">
        <v>1</v>
      </c>
      <c r="R46" s="8">
        <v>0</v>
      </c>
      <c r="S46">
        <v>0</v>
      </c>
      <c r="T46">
        <v>1</v>
      </c>
      <c r="U46" s="9">
        <v>0</v>
      </c>
      <c r="V46">
        <v>0</v>
      </c>
      <c r="W46" s="10">
        <v>0</v>
      </c>
      <c r="X46" s="5">
        <v>54.497999999999998</v>
      </c>
      <c r="Y46">
        <v>16.553999999999998</v>
      </c>
      <c r="Z46" s="4">
        <v>0</v>
      </c>
      <c r="AA46" s="2">
        <v>54.497999999999998</v>
      </c>
      <c r="AB46" s="2">
        <v>16.553999999999998</v>
      </c>
      <c r="AC46" s="13">
        <v>0.25</v>
      </c>
      <c r="AD46" s="2">
        <v>40.8735</v>
      </c>
      <c r="AE46" s="2">
        <v>30.1785</v>
      </c>
      <c r="AF46" s="2">
        <v>98.403300000000002</v>
      </c>
      <c r="AG46" s="2"/>
      <c r="AH46" s="7">
        <v>71.051999999999992</v>
      </c>
      <c r="AI46" s="2">
        <v>40.8735</v>
      </c>
      <c r="AJ46" s="2">
        <v>30.1785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98.403300000000002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1">
        <v>71.051999999999992</v>
      </c>
      <c r="AY46" s="2">
        <v>0</v>
      </c>
      <c r="AZ46" s="2">
        <v>0</v>
      </c>
      <c r="BA46" s="2">
        <v>0</v>
      </c>
      <c r="BC46" s="1">
        <f t="shared" si="0"/>
        <v>40.8735</v>
      </c>
      <c r="BD46" s="2">
        <f t="shared" si="1"/>
        <v>0</v>
      </c>
      <c r="BE46" s="7">
        <f t="shared" si="2"/>
        <v>0</v>
      </c>
      <c r="BF46" s="1">
        <f t="shared" si="3"/>
        <v>30.1785</v>
      </c>
      <c r="BG46" s="2">
        <f t="shared" si="4"/>
        <v>0</v>
      </c>
      <c r="BH46" s="2">
        <f t="shared" si="51"/>
        <v>0</v>
      </c>
      <c r="BI46" s="2">
        <f t="shared" si="51"/>
        <v>0</v>
      </c>
      <c r="BJ46" s="7">
        <f t="shared" si="51"/>
        <v>0</v>
      </c>
      <c r="BK46" s="1">
        <f t="shared" si="52"/>
        <v>71.051999999999992</v>
      </c>
      <c r="BL46" s="2">
        <f t="shared" si="52"/>
        <v>0</v>
      </c>
      <c r="BM46" s="2">
        <f t="shared" si="48"/>
        <v>0</v>
      </c>
      <c r="BN46" s="2">
        <f t="shared" si="8"/>
        <v>0</v>
      </c>
      <c r="BO46" s="7">
        <f t="shared" si="9"/>
        <v>0</v>
      </c>
      <c r="BQ46" s="1">
        <f t="shared" si="44"/>
        <v>71.051999999999992</v>
      </c>
      <c r="BR46" s="4">
        <v>0</v>
      </c>
      <c r="BS46" s="2">
        <f t="shared" si="16"/>
        <v>71.051999999999992</v>
      </c>
      <c r="BT46" s="2">
        <f t="shared" si="46"/>
        <v>0</v>
      </c>
      <c r="BU46" s="21" t="str">
        <f t="shared" si="17"/>
        <v/>
      </c>
      <c r="BV46" s="21" t="str">
        <f t="shared" si="18"/>
        <v/>
      </c>
      <c r="BW46" s="21" t="str">
        <f t="shared" si="12"/>
        <v/>
      </c>
      <c r="BX46" s="21" t="str">
        <f t="shared" si="13"/>
        <v/>
      </c>
      <c r="BY46" s="1">
        <f t="shared" si="28"/>
        <v>98.403300000000002</v>
      </c>
      <c r="BZ46" s="4">
        <v>0</v>
      </c>
      <c r="CA46" s="2">
        <f t="shared" si="19"/>
        <v>98.403300000000002</v>
      </c>
      <c r="CB46" s="2">
        <f t="shared" si="29"/>
        <v>0</v>
      </c>
      <c r="CC46" s="21" t="str">
        <f t="shared" si="20"/>
        <v/>
      </c>
      <c r="CD46" s="2" t="str">
        <f t="shared" si="32"/>
        <v/>
      </c>
      <c r="CE46" s="2" t="str">
        <f t="shared" si="21"/>
        <v/>
      </c>
      <c r="CF46" s="21" t="str">
        <f t="shared" si="22"/>
        <v/>
      </c>
      <c r="CG46" s="15"/>
      <c r="CH46" s="21" t="str">
        <f t="shared" si="15"/>
        <v/>
      </c>
    </row>
    <row r="47" spans="1:86" x14ac:dyDescent="0.25">
      <c r="A47" t="str">
        <f t="shared" si="23"/>
        <v>Travée</v>
      </c>
      <c r="B47" t="b">
        <f t="shared" si="24"/>
        <v>1</v>
      </c>
      <c r="C47">
        <f t="shared" si="64"/>
        <v>4</v>
      </c>
      <c r="D47" s="5" t="s">
        <v>107</v>
      </c>
      <c r="E47" t="s">
        <v>51</v>
      </c>
      <c r="F47" s="5">
        <v>25</v>
      </c>
      <c r="G47" t="s">
        <v>46</v>
      </c>
      <c r="H47">
        <v>500</v>
      </c>
      <c r="I47">
        <v>220000</v>
      </c>
      <c r="J47">
        <v>1576</v>
      </c>
      <c r="K47" s="10">
        <v>1870</v>
      </c>
      <c r="L47" s="12">
        <v>1</v>
      </c>
      <c r="M47" s="5">
        <v>0.23499999999999999</v>
      </c>
      <c r="N47" s="10">
        <v>5.3</v>
      </c>
      <c r="O47" s="5">
        <v>6.7840000000000001E-4</v>
      </c>
      <c r="P47">
        <v>0.04</v>
      </c>
      <c r="Q47" s="10">
        <v>1</v>
      </c>
      <c r="R47" s="8">
        <v>0</v>
      </c>
      <c r="S47">
        <v>0</v>
      </c>
      <c r="T47">
        <v>1</v>
      </c>
      <c r="U47" s="9">
        <v>0</v>
      </c>
      <c r="V47">
        <v>0</v>
      </c>
      <c r="W47" s="10">
        <v>0</v>
      </c>
      <c r="X47" s="5">
        <v>0</v>
      </c>
      <c r="Y47">
        <v>0</v>
      </c>
      <c r="Z47" s="4">
        <v>0</v>
      </c>
      <c r="AA47" s="2">
        <v>0</v>
      </c>
      <c r="AB47" s="2">
        <v>0</v>
      </c>
      <c r="AC47" s="13">
        <v>0.5</v>
      </c>
      <c r="AD47" s="2">
        <v>0</v>
      </c>
      <c r="AE47" s="2">
        <v>0</v>
      </c>
      <c r="AF47" s="2">
        <v>0</v>
      </c>
      <c r="AG47" s="2"/>
      <c r="AH47" s="7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60.846580869564939</v>
      </c>
      <c r="AS47" s="2">
        <v>60.846580869564939</v>
      </c>
      <c r="AT47" s="2">
        <v>0</v>
      </c>
      <c r="AU47" s="2">
        <v>0</v>
      </c>
      <c r="AV47" s="2">
        <v>0</v>
      </c>
      <c r="AW47" s="2">
        <v>0</v>
      </c>
      <c r="AX47" s="1">
        <v>0</v>
      </c>
      <c r="AY47" s="2">
        <v>0</v>
      </c>
      <c r="AZ47" s="2">
        <v>0</v>
      </c>
      <c r="BA47" s="2">
        <v>60.846580869564939</v>
      </c>
      <c r="BC47" s="1">
        <f t="shared" si="0"/>
        <v>0</v>
      </c>
      <c r="BD47" s="2">
        <f t="shared" si="1"/>
        <v>0</v>
      </c>
      <c r="BE47" s="7">
        <f t="shared" si="2"/>
        <v>0</v>
      </c>
      <c r="BF47" s="1">
        <f t="shared" si="3"/>
        <v>0</v>
      </c>
      <c r="BG47" s="2">
        <f t="shared" si="4"/>
        <v>0</v>
      </c>
      <c r="BH47" s="2">
        <f t="shared" si="51"/>
        <v>0</v>
      </c>
      <c r="BI47" s="2">
        <f t="shared" si="51"/>
        <v>0</v>
      </c>
      <c r="BJ47" s="7">
        <f t="shared" si="51"/>
        <v>0</v>
      </c>
      <c r="BK47" s="1">
        <f t="shared" si="52"/>
        <v>0</v>
      </c>
      <c r="BL47" s="2">
        <f t="shared" si="52"/>
        <v>0</v>
      </c>
      <c r="BM47" s="2">
        <f t="shared" si="48"/>
        <v>0</v>
      </c>
      <c r="BN47" s="2">
        <f t="shared" si="8"/>
        <v>0</v>
      </c>
      <c r="BO47" s="7">
        <f t="shared" si="9"/>
        <v>0</v>
      </c>
      <c r="BQ47" s="1">
        <f t="shared" si="44"/>
        <v>0</v>
      </c>
      <c r="BR47" s="4" t="str">
        <f>IF(ISNUMBER(SEARCH("Appui",E47)),0,"0")</f>
        <v>0</v>
      </c>
      <c r="BS47" s="2">
        <f t="shared" si="16"/>
        <v>0</v>
      </c>
      <c r="BT47" s="2">
        <f t="shared" si="46"/>
        <v>60.846580869564939</v>
      </c>
      <c r="BU47" s="21">
        <f t="shared" si="17"/>
        <v>1</v>
      </c>
      <c r="BV47" s="21">
        <f t="shared" si="18"/>
        <v>35.525999999999996</v>
      </c>
      <c r="BW47" s="21">
        <f t="shared" si="12"/>
        <v>90.623771734485018</v>
      </c>
      <c r="BX47" s="21">
        <f t="shared" si="13"/>
        <v>2.550914027317599</v>
      </c>
      <c r="BY47" s="1">
        <f t="shared" si="28"/>
        <v>0</v>
      </c>
      <c r="BZ47" s="4" t="str">
        <f>IF(ISNUMBER(SEARCH("Appui",M47)),0,"0")</f>
        <v>0</v>
      </c>
      <c r="CA47" s="2">
        <f t="shared" si="19"/>
        <v>0</v>
      </c>
      <c r="CB47" s="2">
        <f t="shared" si="29"/>
        <v>60.846580869564939</v>
      </c>
      <c r="CC47" s="21">
        <f t="shared" si="20"/>
        <v>1</v>
      </c>
      <c r="CD47" s="2">
        <f t="shared" si="32"/>
        <v>49.201650000000001</v>
      </c>
      <c r="CE47" s="2">
        <f t="shared" si="21"/>
        <v>90.623771734485018</v>
      </c>
      <c r="CF47" s="21">
        <f t="shared" si="22"/>
        <v>1.8418848094420617</v>
      </c>
      <c r="CG47" s="10" t="str">
        <f t="shared" ref="CG47" si="80">IF(C45&lt;C47,"Rive",IF(C49&gt;C47,"Rive","Inter"))</f>
        <v>Inter</v>
      </c>
      <c r="CH47" s="21">
        <f t="shared" si="15"/>
        <v>1.8418848094420617</v>
      </c>
    </row>
    <row r="48" spans="1:86" x14ac:dyDescent="0.25">
      <c r="A48" t="str">
        <f t="shared" si="23"/>
        <v>Appui</v>
      </c>
      <c r="B48" t="b">
        <f t="shared" si="24"/>
        <v>1</v>
      </c>
      <c r="C48">
        <f t="shared" si="64"/>
        <v>4</v>
      </c>
      <c r="D48" s="5" t="s">
        <v>107</v>
      </c>
      <c r="E48" t="s">
        <v>52</v>
      </c>
      <c r="F48" s="5">
        <v>25</v>
      </c>
      <c r="G48" t="s">
        <v>46</v>
      </c>
      <c r="H48">
        <v>500</v>
      </c>
      <c r="I48">
        <v>220000</v>
      </c>
      <c r="J48">
        <v>1576</v>
      </c>
      <c r="K48" s="10">
        <v>1870</v>
      </c>
      <c r="L48" s="12">
        <v>1</v>
      </c>
      <c r="M48" s="5">
        <v>0.25</v>
      </c>
      <c r="N48" s="10">
        <v>5.3</v>
      </c>
      <c r="O48" s="5">
        <v>0</v>
      </c>
      <c r="P48">
        <v>6.9999999999999993E-2</v>
      </c>
      <c r="Q48" s="10">
        <v>1</v>
      </c>
      <c r="R48" s="8">
        <v>6.1599333517241381E-4</v>
      </c>
      <c r="S48">
        <v>0.04</v>
      </c>
      <c r="T48">
        <v>1</v>
      </c>
      <c r="U48" s="9">
        <v>0</v>
      </c>
      <c r="V48">
        <v>0</v>
      </c>
      <c r="W48" s="10">
        <v>0</v>
      </c>
      <c r="X48" s="5">
        <v>0</v>
      </c>
      <c r="Y48">
        <v>0</v>
      </c>
      <c r="Z48" s="4">
        <v>0</v>
      </c>
      <c r="AA48" s="2">
        <v>0</v>
      </c>
      <c r="AB48" s="2">
        <v>0</v>
      </c>
      <c r="AC48" s="13">
        <v>0.5</v>
      </c>
      <c r="AD48" s="2">
        <v>0</v>
      </c>
      <c r="AE48" s="2">
        <v>0</v>
      </c>
      <c r="AF48" s="2">
        <v>0</v>
      </c>
      <c r="AG48" s="2"/>
      <c r="AH48" s="7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59.554381729840159</v>
      </c>
      <c r="AT48" s="2">
        <v>0</v>
      </c>
      <c r="AU48" s="2">
        <v>0</v>
      </c>
      <c r="AV48" s="2">
        <v>0</v>
      </c>
      <c r="AW48" s="2">
        <v>0</v>
      </c>
      <c r="AX48" s="1">
        <v>0</v>
      </c>
      <c r="AY48" s="2">
        <v>0</v>
      </c>
      <c r="AZ48" s="2">
        <v>0</v>
      </c>
      <c r="BA48" s="2">
        <v>59.554381729840159</v>
      </c>
      <c r="BC48" s="1">
        <f t="shared" si="0"/>
        <v>0</v>
      </c>
      <c r="BD48" s="2">
        <f t="shared" si="1"/>
        <v>0</v>
      </c>
      <c r="BE48" s="7">
        <f t="shared" si="2"/>
        <v>0</v>
      </c>
      <c r="BF48" s="1">
        <f t="shared" si="3"/>
        <v>0</v>
      </c>
      <c r="BG48" s="2">
        <f t="shared" si="4"/>
        <v>0</v>
      </c>
      <c r="BH48" s="2">
        <f t="shared" si="51"/>
        <v>0</v>
      </c>
      <c r="BI48" s="2">
        <f t="shared" si="51"/>
        <v>0</v>
      </c>
      <c r="BJ48" s="7">
        <f t="shared" si="51"/>
        <v>0</v>
      </c>
      <c r="BK48" s="1">
        <f t="shared" si="52"/>
        <v>0</v>
      </c>
      <c r="BL48" s="2">
        <f t="shared" si="52"/>
        <v>0</v>
      </c>
      <c r="BM48" s="2">
        <f t="shared" si="48"/>
        <v>0</v>
      </c>
      <c r="BN48" s="2">
        <f t="shared" si="8"/>
        <v>0</v>
      </c>
      <c r="BO48" s="7">
        <f t="shared" si="9"/>
        <v>0</v>
      </c>
      <c r="BQ48" s="1">
        <f t="shared" si="44"/>
        <v>0</v>
      </c>
      <c r="BR48" s="4">
        <v>0</v>
      </c>
      <c r="BS48" s="2">
        <f t="shared" si="16"/>
        <v>0</v>
      </c>
      <c r="BT48" s="2">
        <f t="shared" si="46"/>
        <v>59.554381729840159</v>
      </c>
      <c r="BU48" s="21">
        <f t="shared" si="17"/>
        <v>1</v>
      </c>
      <c r="BV48" s="21" t="str">
        <f t="shared" si="18"/>
        <v/>
      </c>
      <c r="BW48" s="21" t="str">
        <f t="shared" si="12"/>
        <v/>
      </c>
      <c r="BX48" s="21" t="str">
        <f t="shared" si="13"/>
        <v/>
      </c>
      <c r="BY48" s="1">
        <f t="shared" si="28"/>
        <v>0</v>
      </c>
      <c r="BZ48" s="4">
        <v>0</v>
      </c>
      <c r="CA48" s="2">
        <f t="shared" si="19"/>
        <v>0</v>
      </c>
      <c r="CB48" s="2">
        <f t="shared" si="29"/>
        <v>59.554381729840159</v>
      </c>
      <c r="CC48" s="21">
        <f t="shared" si="20"/>
        <v>1</v>
      </c>
      <c r="CD48" s="2" t="str">
        <f t="shared" si="32"/>
        <v/>
      </c>
      <c r="CE48" s="2" t="str">
        <f t="shared" si="21"/>
        <v/>
      </c>
      <c r="CF48" s="21" t="str">
        <f t="shared" si="22"/>
        <v/>
      </c>
      <c r="CG48" s="15"/>
      <c r="CH48" s="21" t="str">
        <f t="shared" si="15"/>
        <v/>
      </c>
    </row>
    <row r="49" spans="1:86" x14ac:dyDescent="0.25">
      <c r="A49" t="str">
        <f t="shared" si="23"/>
        <v>Travée</v>
      </c>
      <c r="B49" t="b">
        <f t="shared" si="24"/>
        <v>1</v>
      </c>
      <c r="C49">
        <f t="shared" si="64"/>
        <v>4</v>
      </c>
      <c r="D49" s="5" t="s">
        <v>107</v>
      </c>
      <c r="E49" t="s">
        <v>53</v>
      </c>
      <c r="F49" s="5">
        <v>25</v>
      </c>
      <c r="G49" t="s">
        <v>46</v>
      </c>
      <c r="H49">
        <v>500</v>
      </c>
      <c r="I49">
        <v>220000</v>
      </c>
      <c r="J49">
        <v>1576</v>
      </c>
      <c r="K49" s="10">
        <v>1870</v>
      </c>
      <c r="L49" s="12">
        <v>1</v>
      </c>
      <c r="M49" s="5">
        <v>0.23499999999999999</v>
      </c>
      <c r="N49" s="10">
        <v>5.3</v>
      </c>
      <c r="O49" s="5">
        <v>6.7840000000000001E-4</v>
      </c>
      <c r="P49">
        <v>0.04</v>
      </c>
      <c r="Q49" s="10">
        <v>1</v>
      </c>
      <c r="R49" s="8">
        <v>0</v>
      </c>
      <c r="S49">
        <v>0</v>
      </c>
      <c r="T49">
        <v>1</v>
      </c>
      <c r="U49" s="9">
        <v>2.9099999999999999E-5</v>
      </c>
      <c r="V49">
        <v>0</v>
      </c>
      <c r="W49" s="10">
        <v>7</v>
      </c>
      <c r="X49" s="5">
        <v>0</v>
      </c>
      <c r="Y49">
        <v>0</v>
      </c>
      <c r="Z49" s="4">
        <v>0</v>
      </c>
      <c r="AA49" s="2">
        <v>0</v>
      </c>
      <c r="AB49" s="2">
        <v>0</v>
      </c>
      <c r="AC49" s="13">
        <v>0.5</v>
      </c>
      <c r="AD49" s="2">
        <v>0</v>
      </c>
      <c r="AE49" s="2">
        <v>0</v>
      </c>
      <c r="AF49" s="2">
        <v>0</v>
      </c>
      <c r="AG49" s="2"/>
      <c r="AH49" s="7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60.846580869564939</v>
      </c>
      <c r="AS49" s="2">
        <v>142.41159624398639</v>
      </c>
      <c r="AT49" s="2">
        <v>0</v>
      </c>
      <c r="AU49" s="2">
        <v>0</v>
      </c>
      <c r="AV49" s="2">
        <v>0</v>
      </c>
      <c r="AW49" s="2">
        <v>0</v>
      </c>
      <c r="AX49" s="1">
        <v>0</v>
      </c>
      <c r="AY49" s="2">
        <v>0</v>
      </c>
      <c r="AZ49" s="2">
        <v>0</v>
      </c>
      <c r="BA49" s="2">
        <v>60.846580869564939</v>
      </c>
      <c r="BC49" s="1">
        <f t="shared" si="0"/>
        <v>0</v>
      </c>
      <c r="BD49" s="2">
        <f t="shared" si="1"/>
        <v>0</v>
      </c>
      <c r="BE49" s="7">
        <f t="shared" si="2"/>
        <v>0</v>
      </c>
      <c r="BF49" s="1">
        <f t="shared" si="3"/>
        <v>0</v>
      </c>
      <c r="BG49" s="2">
        <f t="shared" si="4"/>
        <v>0</v>
      </c>
      <c r="BH49" s="2">
        <f t="shared" si="51"/>
        <v>0</v>
      </c>
      <c r="BI49" s="2">
        <f t="shared" si="51"/>
        <v>0</v>
      </c>
      <c r="BJ49" s="7">
        <f t="shared" si="51"/>
        <v>0</v>
      </c>
      <c r="BK49" s="1">
        <f t="shared" si="52"/>
        <v>0</v>
      </c>
      <c r="BL49" s="2">
        <f t="shared" si="52"/>
        <v>0</v>
      </c>
      <c r="BM49" s="2">
        <f t="shared" si="48"/>
        <v>0</v>
      </c>
      <c r="BN49" s="2">
        <f t="shared" si="8"/>
        <v>0</v>
      </c>
      <c r="BO49" s="7">
        <f t="shared" si="9"/>
        <v>0</v>
      </c>
      <c r="BQ49" s="1">
        <f t="shared" si="44"/>
        <v>0</v>
      </c>
      <c r="BR49" s="4" t="str">
        <f>IF(ISNUMBER(SEARCH("Appui",E49)),0,"0")</f>
        <v>0</v>
      </c>
      <c r="BS49" s="2">
        <f t="shared" si="16"/>
        <v>0</v>
      </c>
      <c r="BT49" s="2">
        <f t="shared" si="46"/>
        <v>60.846580869564939</v>
      </c>
      <c r="BU49" s="21">
        <f t="shared" si="17"/>
        <v>1</v>
      </c>
      <c r="BV49" s="21">
        <f t="shared" si="18"/>
        <v>63.03</v>
      </c>
      <c r="BW49" s="21">
        <f t="shared" si="12"/>
        <v>116.0958265705103</v>
      </c>
      <c r="BX49" s="21">
        <f t="shared" si="13"/>
        <v>1.8419137961369236</v>
      </c>
      <c r="BY49" s="1">
        <f t="shared" si="28"/>
        <v>0</v>
      </c>
      <c r="BZ49" s="4" t="str">
        <f>IF(ISNUMBER(SEARCH("Appui",M49)),0,"0")</f>
        <v>0</v>
      </c>
      <c r="CA49" s="2">
        <f t="shared" si="19"/>
        <v>0</v>
      </c>
      <c r="CB49" s="2">
        <f t="shared" si="29"/>
        <v>142.41159624398639</v>
      </c>
      <c r="CC49" s="21">
        <f t="shared" si="20"/>
        <v>1</v>
      </c>
      <c r="CD49" s="2">
        <f t="shared" si="32"/>
        <v>87.29325</v>
      </c>
      <c r="CE49" s="2">
        <f t="shared" si="21"/>
        <v>197.66084194493175</v>
      </c>
      <c r="CF49" s="21">
        <f t="shared" si="22"/>
        <v>2.2643313422851339</v>
      </c>
      <c r="CG49" s="10" t="str">
        <f t="shared" ref="CG49" si="81">IF(C47&lt;C49,"Rive",IF(C51&gt;C49,"Rive","Inter"))</f>
        <v>Inter</v>
      </c>
      <c r="CH49" s="21">
        <f t="shared" si="15"/>
        <v>1.3299519329445324</v>
      </c>
    </row>
    <row r="50" spans="1:86" x14ac:dyDescent="0.25">
      <c r="A50" t="str">
        <f t="shared" si="23"/>
        <v>Appui</v>
      </c>
      <c r="B50" t="b">
        <f t="shared" si="24"/>
        <v>1</v>
      </c>
      <c r="C50">
        <f t="shared" si="64"/>
        <v>4</v>
      </c>
      <c r="D50" s="5" t="s">
        <v>107</v>
      </c>
      <c r="E50" t="s">
        <v>54</v>
      </c>
      <c r="F50" s="5">
        <v>25</v>
      </c>
      <c r="G50" t="s">
        <v>46</v>
      </c>
      <c r="H50">
        <v>500</v>
      </c>
      <c r="I50">
        <v>220000</v>
      </c>
      <c r="J50">
        <v>1576</v>
      </c>
      <c r="K50" s="10">
        <v>1870</v>
      </c>
      <c r="L50" s="12">
        <v>1</v>
      </c>
      <c r="M50" s="5">
        <v>0.22</v>
      </c>
      <c r="N50" s="10">
        <v>5.3</v>
      </c>
      <c r="O50" s="5">
        <v>0</v>
      </c>
      <c r="P50">
        <v>0.04</v>
      </c>
      <c r="Q50" s="10">
        <v>1</v>
      </c>
      <c r="R50" s="8">
        <v>6.1599333517241381E-4</v>
      </c>
      <c r="S50">
        <v>0.04</v>
      </c>
      <c r="T50">
        <v>1</v>
      </c>
      <c r="U50" s="9">
        <v>0</v>
      </c>
      <c r="V50">
        <v>0</v>
      </c>
      <c r="W50" s="10">
        <v>0</v>
      </c>
      <c r="X50" s="5">
        <v>96.69</v>
      </c>
      <c r="Y50">
        <v>29.37</v>
      </c>
      <c r="Z50" s="4">
        <v>0</v>
      </c>
      <c r="AA50" s="2">
        <v>96.69</v>
      </c>
      <c r="AB50" s="2">
        <v>29.37</v>
      </c>
      <c r="AC50" s="13">
        <v>0.5</v>
      </c>
      <c r="AD50" s="2">
        <v>48.344999999999999</v>
      </c>
      <c r="AE50" s="2">
        <v>77.715000000000003</v>
      </c>
      <c r="AF50" s="2">
        <v>174.5865</v>
      </c>
      <c r="AG50" s="2"/>
      <c r="AH50" s="7">
        <v>126.06</v>
      </c>
      <c r="AI50" s="2">
        <v>48.344999999999999</v>
      </c>
      <c r="AJ50" s="2">
        <v>77.715000000000003</v>
      </c>
      <c r="AK50" s="2">
        <v>0</v>
      </c>
      <c r="AL50" s="2">
        <v>10.78902237197736</v>
      </c>
      <c r="AM50" s="2">
        <v>0</v>
      </c>
      <c r="AN50" s="2">
        <v>-722.74722618065937</v>
      </c>
      <c r="AO50" s="2">
        <v>-722.74722618065937</v>
      </c>
      <c r="AP50" s="2">
        <v>0</v>
      </c>
      <c r="AQ50" s="2">
        <v>174.5865</v>
      </c>
      <c r="AR50" s="2">
        <v>0</v>
      </c>
      <c r="AS50" s="2">
        <v>50.944109672050537</v>
      </c>
      <c r="AT50" s="2">
        <v>0</v>
      </c>
      <c r="AU50" s="2">
        <v>0</v>
      </c>
      <c r="AV50" s="2">
        <v>0</v>
      </c>
      <c r="AW50" s="2">
        <v>0</v>
      </c>
      <c r="AX50" s="1">
        <v>126.06</v>
      </c>
      <c r="AY50" s="2">
        <v>0</v>
      </c>
      <c r="AZ50" s="2">
        <v>0</v>
      </c>
      <c r="BA50" s="2">
        <v>50.944109672050537</v>
      </c>
      <c r="BC50" s="1">
        <f t="shared" si="0"/>
        <v>48.344999999999999</v>
      </c>
      <c r="BD50" s="2">
        <f t="shared" si="1"/>
        <v>0</v>
      </c>
      <c r="BE50" s="7">
        <f t="shared" si="2"/>
        <v>0</v>
      </c>
      <c r="BF50" s="1">
        <f t="shared" si="3"/>
        <v>77.715000000000003</v>
      </c>
      <c r="BG50" s="2">
        <f t="shared" si="4"/>
        <v>10.78902237197736</v>
      </c>
      <c r="BH50" s="2">
        <f t="shared" si="51"/>
        <v>-722.74722618065937</v>
      </c>
      <c r="BI50" s="2">
        <f t="shared" si="51"/>
        <v>-722.74722618065937</v>
      </c>
      <c r="BJ50" s="7">
        <f t="shared" si="51"/>
        <v>0</v>
      </c>
      <c r="BK50" s="1">
        <f t="shared" si="52"/>
        <v>126.06</v>
      </c>
      <c r="BL50" s="2">
        <f t="shared" si="52"/>
        <v>10.78902237197736</v>
      </c>
      <c r="BM50" s="2">
        <f t="shared" si="48"/>
        <v>722.74722618065937</v>
      </c>
      <c r="BN50" s="2">
        <f t="shared" si="8"/>
        <v>722.74722618065937</v>
      </c>
      <c r="BO50" s="7">
        <f t="shared" si="9"/>
        <v>0</v>
      </c>
      <c r="BQ50" s="1">
        <f t="shared" si="44"/>
        <v>126.06</v>
      </c>
      <c r="BR50" s="4">
        <v>0</v>
      </c>
      <c r="BS50" s="2">
        <f t="shared" si="16"/>
        <v>126.06</v>
      </c>
      <c r="BT50" s="2">
        <f t="shared" si="46"/>
        <v>50.944109672050537</v>
      </c>
      <c r="BU50" s="21">
        <f t="shared" si="17"/>
        <v>0.40412588983064046</v>
      </c>
      <c r="BV50" s="21" t="str">
        <f t="shared" si="18"/>
        <v/>
      </c>
      <c r="BW50" s="21" t="str">
        <f t="shared" si="12"/>
        <v/>
      </c>
      <c r="BX50" s="21" t="str">
        <f t="shared" si="13"/>
        <v/>
      </c>
      <c r="BY50" s="1">
        <f t="shared" si="28"/>
        <v>174.5865</v>
      </c>
      <c r="BZ50" s="4">
        <v>0</v>
      </c>
      <c r="CA50" s="2">
        <f t="shared" si="19"/>
        <v>174.5865</v>
      </c>
      <c r="CB50" s="2">
        <f t="shared" si="29"/>
        <v>50.944109672050537</v>
      </c>
      <c r="CC50" s="21">
        <f t="shared" si="20"/>
        <v>0.29179867671355192</v>
      </c>
      <c r="CD50" s="2" t="str">
        <f t="shared" si="32"/>
        <v/>
      </c>
      <c r="CE50" s="2" t="str">
        <f t="shared" si="21"/>
        <v/>
      </c>
      <c r="CF50" s="21" t="str">
        <f t="shared" si="22"/>
        <v/>
      </c>
      <c r="CG50" s="15"/>
      <c r="CH50" s="21" t="str">
        <f t="shared" si="15"/>
        <v/>
      </c>
    </row>
    <row r="51" spans="1:86" x14ac:dyDescent="0.25">
      <c r="A51" t="str">
        <f t="shared" si="23"/>
        <v>Travée</v>
      </c>
      <c r="B51" t="b">
        <f t="shared" si="24"/>
        <v>1</v>
      </c>
      <c r="C51">
        <f t="shared" si="64"/>
        <v>4</v>
      </c>
      <c r="D51" s="5" t="s">
        <v>107</v>
      </c>
      <c r="E51" t="s">
        <v>55</v>
      </c>
      <c r="F51" s="5">
        <v>25</v>
      </c>
      <c r="G51" t="s">
        <v>46</v>
      </c>
      <c r="H51">
        <v>500</v>
      </c>
      <c r="I51">
        <v>220000</v>
      </c>
      <c r="J51">
        <v>1576</v>
      </c>
      <c r="K51" s="10">
        <v>1870</v>
      </c>
      <c r="L51" s="12">
        <v>1</v>
      </c>
      <c r="M51" s="5">
        <v>0.23499999999999999</v>
      </c>
      <c r="N51" s="10">
        <v>5.3</v>
      </c>
      <c r="O51" s="5">
        <v>2.0405000000000002E-3</v>
      </c>
      <c r="P51">
        <v>0.04</v>
      </c>
      <c r="Q51" s="10">
        <v>1</v>
      </c>
      <c r="R51" s="8">
        <v>0</v>
      </c>
      <c r="S51">
        <v>0</v>
      </c>
      <c r="T51">
        <v>1</v>
      </c>
      <c r="U51" s="9">
        <v>2.9099999999999999E-5</v>
      </c>
      <c r="V51">
        <v>0</v>
      </c>
      <c r="W51" s="10">
        <v>10</v>
      </c>
      <c r="X51" s="5">
        <v>84.97</v>
      </c>
      <c r="Y51">
        <v>25.81</v>
      </c>
      <c r="Z51" s="4">
        <v>0</v>
      </c>
      <c r="AA51" s="2">
        <v>84.97</v>
      </c>
      <c r="AB51" s="2">
        <v>25.81</v>
      </c>
      <c r="AC51" s="13">
        <v>0.5</v>
      </c>
      <c r="AD51" s="2">
        <v>42.484999999999999</v>
      </c>
      <c r="AE51" s="2">
        <v>68.295000000000002</v>
      </c>
      <c r="AF51" s="2">
        <v>153.42449999999999</v>
      </c>
      <c r="AG51" s="2"/>
      <c r="AH51" s="7">
        <v>110.78</v>
      </c>
      <c r="AI51" s="2">
        <v>42.484999999999999</v>
      </c>
      <c r="AJ51" s="2">
        <v>68.295000000000002</v>
      </c>
      <c r="AK51" s="2">
        <v>3.0345981489124489</v>
      </c>
      <c r="AL51" s="2">
        <v>4.3570831267464687</v>
      </c>
      <c r="AM51" s="2">
        <v>-112.3189050985203</v>
      </c>
      <c r="AN51" s="2">
        <v>-146.5523098268408</v>
      </c>
      <c r="AO51" s="2">
        <v>0</v>
      </c>
      <c r="AP51" s="2">
        <v>-200.52269012344081</v>
      </c>
      <c r="AQ51" s="2">
        <v>153.42449999999999</v>
      </c>
      <c r="AR51" s="2">
        <v>179.98051321430049</v>
      </c>
      <c r="AS51" s="2">
        <v>285.9197783522705</v>
      </c>
      <c r="AT51" s="2">
        <v>6.9390259471711699</v>
      </c>
      <c r="AU51" s="2">
        <v>-335.56313373292789</v>
      </c>
      <c r="AV51" s="2">
        <v>0</v>
      </c>
      <c r="AW51" s="2">
        <v>-466.13898804452788</v>
      </c>
      <c r="AX51" s="1">
        <v>110.78</v>
      </c>
      <c r="AY51" s="2">
        <v>5.6772725947716118</v>
      </c>
      <c r="AZ51" s="2">
        <v>-298.92090782874988</v>
      </c>
      <c r="BA51" s="2">
        <v>179.98051321430049</v>
      </c>
      <c r="BC51" s="1">
        <f t="shared" si="0"/>
        <v>42.484999999999999</v>
      </c>
      <c r="BD51" s="2">
        <f t="shared" si="1"/>
        <v>3.0345981489124489</v>
      </c>
      <c r="BE51" s="7">
        <f t="shared" si="2"/>
        <v>-112.3189050985203</v>
      </c>
      <c r="BF51" s="1">
        <f t="shared" si="3"/>
        <v>68.295000000000002</v>
      </c>
      <c r="BG51" s="2">
        <f t="shared" si="4"/>
        <v>4.3570831267464687</v>
      </c>
      <c r="BH51" s="2">
        <f t="shared" si="51"/>
        <v>-146.5523098268408</v>
      </c>
      <c r="BI51" s="2">
        <f t="shared" si="51"/>
        <v>0</v>
      </c>
      <c r="BJ51" s="7">
        <f t="shared" si="51"/>
        <v>-200.52269012344081</v>
      </c>
      <c r="BK51" s="1">
        <f t="shared" si="52"/>
        <v>110.78</v>
      </c>
      <c r="BL51" s="2">
        <f t="shared" si="52"/>
        <v>7.3916812756589181</v>
      </c>
      <c r="BM51" s="2">
        <f t="shared" si="48"/>
        <v>258.87121492536107</v>
      </c>
      <c r="BN51" s="2">
        <f t="shared" si="8"/>
        <v>0</v>
      </c>
      <c r="BO51" s="7">
        <f t="shared" si="9"/>
        <v>-200.52269012344081</v>
      </c>
      <c r="BQ51" s="1">
        <f t="shared" si="44"/>
        <v>110.78</v>
      </c>
      <c r="BR51" s="4" t="str">
        <f>IF(ISNUMBER(SEARCH("Appui",E51)),0,"0")</f>
        <v>0</v>
      </c>
      <c r="BS51" s="2">
        <f t="shared" si="16"/>
        <v>110.78</v>
      </c>
      <c r="BT51" s="2">
        <f t="shared" si="46"/>
        <v>179.98051321430049</v>
      </c>
      <c r="BU51" s="21">
        <f t="shared" si="17"/>
        <v>1.6246661239781592</v>
      </c>
      <c r="BV51" s="21">
        <f t="shared" si="18"/>
        <v>183.74200000000002</v>
      </c>
      <c r="BW51" s="21">
        <f t="shared" si="12"/>
        <v>235.22975891524584</v>
      </c>
      <c r="BX51" s="21">
        <f t="shared" si="13"/>
        <v>1.2802176906490939</v>
      </c>
      <c r="BY51" s="1">
        <f t="shared" si="28"/>
        <v>153.42449999999999</v>
      </c>
      <c r="BZ51" s="4" t="str">
        <f>IF(ISNUMBER(SEARCH("Appui",M51)),0,"0")</f>
        <v>0</v>
      </c>
      <c r="CA51" s="2">
        <f t="shared" si="19"/>
        <v>153.42449999999999</v>
      </c>
      <c r="CB51" s="2">
        <f t="shared" si="29"/>
        <v>285.9197783522705</v>
      </c>
      <c r="CC51" s="21">
        <f t="shared" si="20"/>
        <v>1.8635861831211475</v>
      </c>
      <c r="CD51" s="2">
        <f t="shared" si="32"/>
        <v>254.47305</v>
      </c>
      <c r="CE51" s="2">
        <f t="shared" si="21"/>
        <v>341.16902405321582</v>
      </c>
      <c r="CF51" s="21">
        <f t="shared" si="22"/>
        <v>1.3406882341891049</v>
      </c>
      <c r="CG51" s="10" t="str">
        <f t="shared" ref="CG51" si="82">IF(C49&lt;C51,"Rive",IF(C53&gt;C51,"Rive","Inter"))</f>
        <v>Inter</v>
      </c>
      <c r="CH51" s="21">
        <f t="shared" si="15"/>
        <v>0.92437984657018035</v>
      </c>
    </row>
    <row r="52" spans="1:86" x14ac:dyDescent="0.25">
      <c r="A52" t="str">
        <f t="shared" si="23"/>
        <v>Appui</v>
      </c>
      <c r="B52" t="b">
        <f t="shared" si="24"/>
        <v>1</v>
      </c>
      <c r="C52">
        <f t="shared" si="64"/>
        <v>4</v>
      </c>
      <c r="D52" s="5" t="s">
        <v>107</v>
      </c>
      <c r="E52" t="s">
        <v>56</v>
      </c>
      <c r="F52" s="5">
        <v>25</v>
      </c>
      <c r="G52" t="s">
        <v>46</v>
      </c>
      <c r="H52">
        <v>500</v>
      </c>
      <c r="I52">
        <v>220000</v>
      </c>
      <c r="J52">
        <v>1576</v>
      </c>
      <c r="K52" s="10">
        <v>1870</v>
      </c>
      <c r="L52" s="12">
        <v>1</v>
      </c>
      <c r="M52" s="5">
        <v>0.25</v>
      </c>
      <c r="N52" s="10">
        <v>5.3</v>
      </c>
      <c r="O52" s="5">
        <v>0</v>
      </c>
      <c r="P52">
        <v>6.9999999999999993E-2</v>
      </c>
      <c r="Q52" s="10">
        <v>1</v>
      </c>
      <c r="R52" s="8">
        <v>6.1599333517241381E-4</v>
      </c>
      <c r="S52">
        <v>0.04</v>
      </c>
      <c r="T52">
        <v>1</v>
      </c>
      <c r="U52" s="9">
        <v>0</v>
      </c>
      <c r="V52">
        <v>0</v>
      </c>
      <c r="W52" s="10">
        <v>0</v>
      </c>
      <c r="X52" s="5">
        <v>15.236000000000001</v>
      </c>
      <c r="Y52">
        <v>4.6280000000000001</v>
      </c>
      <c r="Z52" s="4">
        <v>0</v>
      </c>
      <c r="AA52" s="2">
        <v>15.236000000000001</v>
      </c>
      <c r="AB52" s="2">
        <v>4.6280000000000001</v>
      </c>
      <c r="AC52" s="13">
        <v>0.5</v>
      </c>
      <c r="AD52" s="2">
        <v>7.6179999999999994</v>
      </c>
      <c r="AE52" s="2">
        <v>12.246</v>
      </c>
      <c r="AF52" s="2">
        <v>27.5106</v>
      </c>
      <c r="AG52" s="2"/>
      <c r="AH52" s="7">
        <v>19.864000000000001</v>
      </c>
      <c r="AI52" s="2">
        <v>7.6179999999999994</v>
      </c>
      <c r="AJ52" s="2">
        <v>12.246</v>
      </c>
      <c r="AK52" s="2">
        <v>0</v>
      </c>
      <c r="AL52" s="2">
        <v>1.349402743809023</v>
      </c>
      <c r="AM52" s="2">
        <v>0</v>
      </c>
      <c r="AN52" s="2">
        <v>-82.201000438310558</v>
      </c>
      <c r="AO52" s="2">
        <v>-97.330204171082485</v>
      </c>
      <c r="AP52" s="2">
        <v>0</v>
      </c>
      <c r="AQ52" s="2">
        <v>27.5106</v>
      </c>
      <c r="AR52" s="2">
        <v>0</v>
      </c>
      <c r="AS52" s="2">
        <v>59.554381729840159</v>
      </c>
      <c r="AT52" s="2">
        <v>2.204575589402713</v>
      </c>
      <c r="AU52" s="2">
        <v>-185.4573557972713</v>
      </c>
      <c r="AV52" s="2">
        <v>-220.9323932031688</v>
      </c>
      <c r="AW52" s="2">
        <v>0</v>
      </c>
      <c r="AX52" s="1">
        <v>19.864000000000001</v>
      </c>
      <c r="AY52" s="2">
        <v>1.6022246114152101</v>
      </c>
      <c r="AZ52" s="2">
        <v>-133.8909847174686</v>
      </c>
      <c r="BA52" s="2">
        <v>59.554381729840159</v>
      </c>
      <c r="BC52" s="1">
        <f t="shared" si="0"/>
        <v>7.6179999999999994</v>
      </c>
      <c r="BD52" s="2">
        <f t="shared" si="1"/>
        <v>0</v>
      </c>
      <c r="BE52" s="7">
        <f t="shared" si="2"/>
        <v>0</v>
      </c>
      <c r="BF52" s="1">
        <f t="shared" si="3"/>
        <v>12.246</v>
      </c>
      <c r="BG52" s="2">
        <f t="shared" si="4"/>
        <v>1.349402743809023</v>
      </c>
      <c r="BH52" s="2">
        <f t="shared" si="51"/>
        <v>-82.201000438310558</v>
      </c>
      <c r="BI52" s="2">
        <f t="shared" si="51"/>
        <v>-97.330204171082485</v>
      </c>
      <c r="BJ52" s="7">
        <f t="shared" si="51"/>
        <v>0</v>
      </c>
      <c r="BK52" s="1">
        <f t="shared" si="52"/>
        <v>19.864000000000001</v>
      </c>
      <c r="BL52" s="2">
        <f t="shared" si="52"/>
        <v>1.349402743809023</v>
      </c>
      <c r="BM52" s="2">
        <f t="shared" si="48"/>
        <v>82.201000438310558</v>
      </c>
      <c r="BN52" s="2">
        <f t="shared" si="8"/>
        <v>97.330204171082485</v>
      </c>
      <c r="BO52" s="7">
        <f t="shared" si="9"/>
        <v>0</v>
      </c>
      <c r="BQ52" s="1">
        <f t="shared" si="44"/>
        <v>19.864000000000001</v>
      </c>
      <c r="BR52" s="4">
        <v>0</v>
      </c>
      <c r="BS52" s="2">
        <f t="shared" si="16"/>
        <v>19.864000000000001</v>
      </c>
      <c r="BT52" s="2">
        <f t="shared" si="46"/>
        <v>59.554381729840159</v>
      </c>
      <c r="BU52" s="21">
        <f t="shared" si="17"/>
        <v>2.9981062087112442</v>
      </c>
      <c r="BV52" s="21" t="str">
        <f t="shared" si="18"/>
        <v/>
      </c>
      <c r="BW52" s="21" t="str">
        <f t="shared" si="12"/>
        <v/>
      </c>
      <c r="BX52" s="21" t="str">
        <f t="shared" si="13"/>
        <v/>
      </c>
      <c r="BY52" s="1">
        <f t="shared" si="28"/>
        <v>27.5106</v>
      </c>
      <c r="BZ52" s="4">
        <v>0</v>
      </c>
      <c r="CA52" s="2">
        <f t="shared" si="19"/>
        <v>27.5106</v>
      </c>
      <c r="CB52" s="2">
        <f t="shared" si="29"/>
        <v>59.554381729840159</v>
      </c>
      <c r="CC52" s="21">
        <f t="shared" si="20"/>
        <v>2.1647794570034882</v>
      </c>
      <c r="CD52" s="2" t="str">
        <f t="shared" si="32"/>
        <v/>
      </c>
      <c r="CE52" s="2" t="str">
        <f t="shared" si="21"/>
        <v/>
      </c>
      <c r="CF52" s="21" t="str">
        <f t="shared" si="22"/>
        <v/>
      </c>
      <c r="CG52" s="15"/>
      <c r="CH52" s="21" t="str">
        <f t="shared" si="15"/>
        <v/>
      </c>
    </row>
    <row r="53" spans="1:86" x14ac:dyDescent="0.25">
      <c r="A53" t="str">
        <f t="shared" si="23"/>
        <v>Travée</v>
      </c>
      <c r="B53" t="b">
        <f t="shared" si="24"/>
        <v>1</v>
      </c>
      <c r="C53">
        <f t="shared" si="64"/>
        <v>4</v>
      </c>
      <c r="D53" s="5" t="s">
        <v>107</v>
      </c>
      <c r="E53" t="s">
        <v>57</v>
      </c>
      <c r="F53" s="5">
        <v>25</v>
      </c>
      <c r="G53" t="s">
        <v>46</v>
      </c>
      <c r="H53">
        <v>500</v>
      </c>
      <c r="I53">
        <v>220000</v>
      </c>
      <c r="J53">
        <v>1576</v>
      </c>
      <c r="K53" s="10">
        <v>1870</v>
      </c>
      <c r="L53" s="12">
        <v>1</v>
      </c>
      <c r="M53" s="5">
        <v>0.26</v>
      </c>
      <c r="N53" s="10">
        <v>5.3</v>
      </c>
      <c r="O53" s="5">
        <v>6.7840000000000001E-4</v>
      </c>
      <c r="P53">
        <v>0.04</v>
      </c>
      <c r="Q53" s="10">
        <v>1</v>
      </c>
      <c r="R53" s="8">
        <v>0</v>
      </c>
      <c r="S53">
        <v>0</v>
      </c>
      <c r="T53">
        <v>1</v>
      </c>
      <c r="U53" s="9">
        <v>0</v>
      </c>
      <c r="V53">
        <v>0</v>
      </c>
      <c r="W53" s="10">
        <v>0</v>
      </c>
      <c r="X53" s="5">
        <v>0</v>
      </c>
      <c r="Y53">
        <v>0</v>
      </c>
      <c r="Z53" s="4">
        <v>0</v>
      </c>
      <c r="AA53" s="2">
        <v>0</v>
      </c>
      <c r="AB53" s="2">
        <v>0</v>
      </c>
      <c r="AC53" s="13">
        <v>0.5</v>
      </c>
      <c r="AD53" s="2">
        <v>0</v>
      </c>
      <c r="AE53" s="2">
        <v>0</v>
      </c>
      <c r="AF53" s="2">
        <v>0</v>
      </c>
      <c r="AG53" s="2"/>
      <c r="AH53" s="7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68.748734229747726</v>
      </c>
      <c r="AS53" s="2">
        <v>68.748734229747726</v>
      </c>
      <c r="AT53" s="2">
        <v>0</v>
      </c>
      <c r="AU53" s="2">
        <v>0</v>
      </c>
      <c r="AV53" s="2">
        <v>0</v>
      </c>
      <c r="AW53" s="2">
        <v>0</v>
      </c>
      <c r="AX53" s="1">
        <v>0</v>
      </c>
      <c r="AY53" s="2">
        <v>0</v>
      </c>
      <c r="AZ53" s="2">
        <v>0</v>
      </c>
      <c r="BA53" s="2">
        <v>68.748734229747726</v>
      </c>
      <c r="BC53" s="1">
        <f t="shared" si="0"/>
        <v>0</v>
      </c>
      <c r="BD53" s="2">
        <f t="shared" si="1"/>
        <v>0</v>
      </c>
      <c r="BE53" s="7">
        <f t="shared" si="2"/>
        <v>0</v>
      </c>
      <c r="BF53" s="1">
        <f t="shared" si="3"/>
        <v>0</v>
      </c>
      <c r="BG53" s="2">
        <f t="shared" si="4"/>
        <v>0</v>
      </c>
      <c r="BH53" s="2">
        <f t="shared" si="51"/>
        <v>0</v>
      </c>
      <c r="BI53" s="2">
        <f t="shared" si="51"/>
        <v>0</v>
      </c>
      <c r="BJ53" s="7">
        <f t="shared" si="51"/>
        <v>0</v>
      </c>
      <c r="BK53" s="1">
        <f t="shared" si="52"/>
        <v>0</v>
      </c>
      <c r="BL53" s="2">
        <f t="shared" si="52"/>
        <v>0</v>
      </c>
      <c r="BM53" s="2">
        <f t="shared" si="48"/>
        <v>0</v>
      </c>
      <c r="BN53" s="2">
        <f t="shared" si="8"/>
        <v>0</v>
      </c>
      <c r="BO53" s="7">
        <f t="shared" si="9"/>
        <v>0</v>
      </c>
      <c r="BQ53" s="1">
        <f t="shared" si="44"/>
        <v>0</v>
      </c>
      <c r="BR53" s="4" t="str">
        <f>IF(ISNUMBER(SEARCH("Appui",E53)),0,"0")</f>
        <v>0</v>
      </c>
      <c r="BS53" s="2">
        <f t="shared" si="16"/>
        <v>0</v>
      </c>
      <c r="BT53" s="2">
        <f t="shared" si="46"/>
        <v>68.748734229747726</v>
      </c>
      <c r="BU53" s="21">
        <f t="shared" si="17"/>
        <v>1</v>
      </c>
      <c r="BV53" s="21">
        <f t="shared" si="18"/>
        <v>9.9320000000000004</v>
      </c>
      <c r="BW53" s="21">
        <f t="shared" si="12"/>
        <v>98.916140509587024</v>
      </c>
      <c r="BX53" s="21">
        <f t="shared" si="13"/>
        <v>9.9593375462733604</v>
      </c>
      <c r="BY53" s="1">
        <f t="shared" si="28"/>
        <v>0</v>
      </c>
      <c r="BZ53" s="4" t="str">
        <f>IF(ISNUMBER(SEARCH("Appui",M53)),0,"0")</f>
        <v>0</v>
      </c>
      <c r="CA53" s="2">
        <f t="shared" si="19"/>
        <v>0</v>
      </c>
      <c r="CB53" s="2">
        <f t="shared" si="29"/>
        <v>68.748734229747726</v>
      </c>
      <c r="CC53" s="21">
        <f t="shared" si="20"/>
        <v>1</v>
      </c>
      <c r="CD53" s="2">
        <f t="shared" si="32"/>
        <v>13.7553</v>
      </c>
      <c r="CE53" s="2">
        <f t="shared" si="21"/>
        <v>98.916140509587024</v>
      </c>
      <c r="CF53" s="21">
        <f t="shared" si="22"/>
        <v>7.1911292745041564</v>
      </c>
      <c r="CG53" s="10" t="str">
        <f t="shared" ref="CG53" si="83">IF(C51&lt;C53,"Rive",IF(C55&gt;C53,"Rive","Inter"))</f>
        <v>Rive</v>
      </c>
      <c r="CH53" s="21">
        <f t="shared" si="15"/>
        <v>7.1911292745041564</v>
      </c>
    </row>
    <row r="54" spans="1:86" x14ac:dyDescent="0.25">
      <c r="A54" t="str">
        <f t="shared" si="23"/>
        <v/>
      </c>
      <c r="B54" t="b">
        <f t="shared" si="24"/>
        <v>1</v>
      </c>
      <c r="C54">
        <f t="shared" si="64"/>
        <v>4</v>
      </c>
      <c r="D54" s="5" t="s">
        <v>107</v>
      </c>
      <c r="F54" s="5">
        <v>25</v>
      </c>
      <c r="G54" t="s">
        <v>46</v>
      </c>
      <c r="H54">
        <v>500</v>
      </c>
      <c r="I54">
        <v>220000</v>
      </c>
      <c r="J54">
        <v>1576</v>
      </c>
      <c r="K54" s="10">
        <v>1870</v>
      </c>
      <c r="L54" s="12">
        <v>1</v>
      </c>
      <c r="M54" s="5">
        <v>0.2</v>
      </c>
      <c r="N54" s="10">
        <v>2.2000000000000002</v>
      </c>
      <c r="O54" s="5">
        <v>1.0000000000000001E-5</v>
      </c>
      <c r="P54">
        <v>0.03</v>
      </c>
      <c r="Q54" s="10">
        <v>1</v>
      </c>
      <c r="R54" s="8">
        <v>0</v>
      </c>
      <c r="S54">
        <v>0</v>
      </c>
      <c r="T54">
        <v>1</v>
      </c>
      <c r="U54" s="9">
        <v>0</v>
      </c>
      <c r="V54">
        <v>0</v>
      </c>
      <c r="W54" s="10">
        <v>0</v>
      </c>
      <c r="X54" s="5">
        <v>0</v>
      </c>
      <c r="Y54">
        <v>0</v>
      </c>
      <c r="Z54" s="4">
        <v>0</v>
      </c>
      <c r="AA54" s="2">
        <v>0</v>
      </c>
      <c r="AB54" s="2">
        <v>0</v>
      </c>
      <c r="AC54" s="13"/>
      <c r="AD54" s="2">
        <v>0</v>
      </c>
      <c r="AE54" s="2">
        <v>0</v>
      </c>
      <c r="AF54" s="2"/>
      <c r="AG54" s="2"/>
      <c r="AH54" s="7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/>
      <c r="AR54" s="2">
        <v>0.78043082983844214</v>
      </c>
      <c r="AS54" s="2">
        <v>0.78043082983844214</v>
      </c>
      <c r="AT54" s="2">
        <v>0</v>
      </c>
      <c r="AU54" s="2">
        <v>0</v>
      </c>
      <c r="AV54" s="2">
        <v>0</v>
      </c>
      <c r="AW54" s="2">
        <v>0</v>
      </c>
      <c r="AX54" s="1">
        <v>0</v>
      </c>
      <c r="AY54" s="2">
        <v>0</v>
      </c>
      <c r="AZ54" s="2">
        <v>0</v>
      </c>
      <c r="BA54" s="2">
        <v>0.78043082983844214</v>
      </c>
      <c r="BC54" s="1">
        <f t="shared" si="0"/>
        <v>0</v>
      </c>
      <c r="BD54" s="2">
        <f t="shared" si="1"/>
        <v>0</v>
      </c>
      <c r="BE54" s="7">
        <f t="shared" si="2"/>
        <v>0</v>
      </c>
      <c r="BF54" s="1">
        <f t="shared" si="3"/>
        <v>0</v>
      </c>
      <c r="BG54" s="2">
        <f t="shared" si="4"/>
        <v>0</v>
      </c>
      <c r="BH54" s="2">
        <f t="shared" si="51"/>
        <v>0</v>
      </c>
      <c r="BI54" s="2">
        <f t="shared" si="51"/>
        <v>0</v>
      </c>
      <c r="BJ54" s="7">
        <f t="shared" si="51"/>
        <v>0</v>
      </c>
      <c r="BK54" s="1">
        <f t="shared" si="52"/>
        <v>0</v>
      </c>
      <c r="BL54" s="2">
        <f t="shared" si="52"/>
        <v>0</v>
      </c>
      <c r="BM54" s="2">
        <f t="shared" si="48"/>
        <v>0</v>
      </c>
      <c r="BN54" s="2">
        <f t="shared" si="8"/>
        <v>0</v>
      </c>
      <c r="BO54" s="7">
        <f t="shared" si="9"/>
        <v>0</v>
      </c>
      <c r="BQ54" s="1">
        <f t="shared" si="44"/>
        <v>0</v>
      </c>
      <c r="BR54" s="4">
        <v>0</v>
      </c>
      <c r="BS54" s="2">
        <f t="shared" si="16"/>
        <v>0</v>
      </c>
      <c r="BT54" s="2">
        <f t="shared" si="46"/>
        <v>0.78043082983844214</v>
      </c>
      <c r="BU54" s="21">
        <f t="shared" si="17"/>
        <v>1</v>
      </c>
      <c r="BV54" s="21" t="str">
        <f t="shared" si="18"/>
        <v/>
      </c>
      <c r="BW54" s="21" t="str">
        <f t="shared" si="12"/>
        <v/>
      </c>
      <c r="BX54" s="21" t="str">
        <f t="shared" si="13"/>
        <v/>
      </c>
      <c r="BY54" s="1">
        <f t="shared" si="28"/>
        <v>0</v>
      </c>
      <c r="BZ54" s="4">
        <v>0</v>
      </c>
      <c r="CA54" s="2">
        <f t="shared" si="19"/>
        <v>0</v>
      </c>
      <c r="CB54" s="2">
        <f t="shared" si="29"/>
        <v>0.78043082983844214</v>
      </c>
      <c r="CC54" s="21">
        <f t="shared" si="20"/>
        <v>1</v>
      </c>
      <c r="CD54" s="2" t="str">
        <f t="shared" si="32"/>
        <v/>
      </c>
      <c r="CE54" s="2" t="str">
        <f t="shared" si="21"/>
        <v/>
      </c>
      <c r="CF54" s="21" t="str">
        <f t="shared" si="22"/>
        <v/>
      </c>
      <c r="CG54" s="15"/>
      <c r="CH54" s="21" t="str">
        <f t="shared" si="15"/>
        <v/>
      </c>
    </row>
    <row r="55" spans="1:86" x14ac:dyDescent="0.25">
      <c r="A55" t="str">
        <f t="shared" si="23"/>
        <v>Travée</v>
      </c>
      <c r="B55" t="b">
        <f t="shared" si="24"/>
        <v>0</v>
      </c>
      <c r="C55">
        <f t="shared" si="64"/>
        <v>5</v>
      </c>
      <c r="D55" s="5" t="s">
        <v>108</v>
      </c>
      <c r="E55" t="s">
        <v>45</v>
      </c>
      <c r="F55" s="5">
        <v>25</v>
      </c>
      <c r="G55" t="s">
        <v>46</v>
      </c>
      <c r="H55">
        <v>500</v>
      </c>
      <c r="I55">
        <v>220000</v>
      </c>
      <c r="J55">
        <v>1576</v>
      </c>
      <c r="K55" s="10">
        <v>1870</v>
      </c>
      <c r="L55" s="12">
        <v>1</v>
      </c>
      <c r="M55" s="5">
        <v>0.26</v>
      </c>
      <c r="N55" s="10">
        <v>5.25</v>
      </c>
      <c r="O55" s="5">
        <v>2.02125E-3</v>
      </c>
      <c r="P55">
        <v>0.04</v>
      </c>
      <c r="Q55" s="10">
        <v>1</v>
      </c>
      <c r="R55" s="8">
        <v>0</v>
      </c>
      <c r="S55">
        <v>0</v>
      </c>
      <c r="T55">
        <v>1</v>
      </c>
      <c r="U55" s="9">
        <v>0</v>
      </c>
      <c r="V55">
        <v>0</v>
      </c>
      <c r="W55" s="10">
        <v>1</v>
      </c>
      <c r="X55" s="5">
        <v>49.223999999999997</v>
      </c>
      <c r="Y55">
        <v>14.952</v>
      </c>
      <c r="Z55" s="4">
        <v>0</v>
      </c>
      <c r="AA55" s="2">
        <v>49.223999999999997</v>
      </c>
      <c r="AB55" s="2">
        <v>14.952</v>
      </c>
      <c r="AC55" s="13">
        <v>0</v>
      </c>
      <c r="AD55" s="2">
        <v>49.223999999999997</v>
      </c>
      <c r="AE55" s="2">
        <v>14.952</v>
      </c>
      <c r="AF55" s="2">
        <v>88.880399999999995</v>
      </c>
      <c r="AG55" s="2"/>
      <c r="AH55" s="7">
        <v>64.176000000000002</v>
      </c>
      <c r="AI55" s="2">
        <v>49.223999999999997</v>
      </c>
      <c r="AJ55" s="2">
        <v>14.952</v>
      </c>
      <c r="AK55" s="2">
        <v>2.936531196761651</v>
      </c>
      <c r="AL55" s="2">
        <v>0.891983878879819</v>
      </c>
      <c r="AM55" s="2">
        <v>-116.1239799983782</v>
      </c>
      <c r="AN55" s="2">
        <v>-35.273154333978368</v>
      </c>
      <c r="AO55" s="2">
        <v>0</v>
      </c>
      <c r="AP55" s="2">
        <v>0</v>
      </c>
      <c r="AQ55" s="2">
        <v>88.880399999999995</v>
      </c>
      <c r="AR55" s="2">
        <v>201.7557870266416</v>
      </c>
      <c r="AS55" s="2">
        <v>201.7557870266416</v>
      </c>
      <c r="AT55" s="2">
        <v>3.880306524679483</v>
      </c>
      <c r="AU55" s="2">
        <v>-213.50572852455721</v>
      </c>
      <c r="AV55" s="2">
        <v>0</v>
      </c>
      <c r="AW55" s="2">
        <v>0</v>
      </c>
      <c r="AX55" s="1">
        <v>64.176000000000002</v>
      </c>
      <c r="AY55" s="2">
        <v>2.8331547308721321</v>
      </c>
      <c r="AZ55" s="2">
        <v>-154.07957207497111</v>
      </c>
      <c r="BA55" s="2">
        <v>201.7557870266416</v>
      </c>
      <c r="BC55" s="1">
        <f t="shared" si="0"/>
        <v>49.223999999999997</v>
      </c>
      <c r="BD55" s="2">
        <f t="shared" si="1"/>
        <v>2.936531196761651</v>
      </c>
      <c r="BE55" s="7">
        <f t="shared" si="2"/>
        <v>-116.1239799983782</v>
      </c>
      <c r="BF55" s="1">
        <f t="shared" si="3"/>
        <v>14.952</v>
      </c>
      <c r="BG55" s="2">
        <f t="shared" si="4"/>
        <v>0.891983878879819</v>
      </c>
      <c r="BH55" s="2">
        <f t="shared" si="51"/>
        <v>-35.273154333978368</v>
      </c>
      <c r="BI55" s="2">
        <f t="shared" si="51"/>
        <v>0</v>
      </c>
      <c r="BJ55" s="7">
        <f t="shared" si="51"/>
        <v>0</v>
      </c>
      <c r="BK55" s="1">
        <f t="shared" si="52"/>
        <v>64.176000000000002</v>
      </c>
      <c r="BL55" s="2">
        <f t="shared" si="52"/>
        <v>3.8285150756414699</v>
      </c>
      <c r="BM55" s="2">
        <f t="shared" si="48"/>
        <v>151.39713433235659</v>
      </c>
      <c r="BN55" s="2">
        <f t="shared" si="8"/>
        <v>0</v>
      </c>
      <c r="BO55" s="7">
        <f t="shared" si="9"/>
        <v>0</v>
      </c>
      <c r="BQ55" s="1">
        <f t="shared" si="44"/>
        <v>64.176000000000002</v>
      </c>
      <c r="BR55" s="4" t="str">
        <f>IF(ISNUMBER(SEARCH("Appui",E55)),0,"0")</f>
        <v>0</v>
      </c>
      <c r="BS55" s="2">
        <f t="shared" si="16"/>
        <v>64.176000000000002</v>
      </c>
      <c r="BT55" s="2">
        <f t="shared" si="46"/>
        <v>201.7557870266416</v>
      </c>
      <c r="BU55" s="21">
        <f t="shared" si="17"/>
        <v>3.14378875321992</v>
      </c>
      <c r="BV55" s="21">
        <f t="shared" si="18"/>
        <v>82.13</v>
      </c>
      <c r="BW55" s="21">
        <f t="shared" si="12"/>
        <v>201.7557870266416</v>
      </c>
      <c r="BX55" s="21">
        <f t="shared" si="13"/>
        <v>2.456541909492775</v>
      </c>
      <c r="BY55" s="1">
        <f t="shared" si="28"/>
        <v>88.880399999999995</v>
      </c>
      <c r="BZ55" s="4" t="str">
        <f>IF(ISNUMBER(SEARCH("Appui",M55)),0,"0")</f>
        <v>0</v>
      </c>
      <c r="CA55" s="2">
        <f t="shared" si="19"/>
        <v>88.880399999999995</v>
      </c>
      <c r="CB55" s="2">
        <f t="shared" si="29"/>
        <v>201.7557870266416</v>
      </c>
      <c r="CC55" s="21">
        <f t="shared" si="20"/>
        <v>2.269969386126093</v>
      </c>
      <c r="CD55" s="2">
        <f t="shared" si="32"/>
        <v>113.74574999999999</v>
      </c>
      <c r="CE55" s="2">
        <f t="shared" si="21"/>
        <v>201.7557870266416</v>
      </c>
      <c r="CF55" s="21">
        <f t="shared" si="22"/>
        <v>1.7737435203217846</v>
      </c>
      <c r="CG55" s="10" t="str">
        <f t="shared" ref="CG55" si="84">IF(C53&lt;C55,"Rive",IF(C57&gt;C55,"Rive","Inter"))</f>
        <v>Rive</v>
      </c>
      <c r="CH55" s="21">
        <f t="shared" si="15"/>
        <v>1.7737435203217846</v>
      </c>
    </row>
    <row r="56" spans="1:86" x14ac:dyDescent="0.25">
      <c r="A56" t="str">
        <f t="shared" si="23"/>
        <v>Appui</v>
      </c>
      <c r="B56" t="b">
        <f t="shared" si="24"/>
        <v>0</v>
      </c>
      <c r="C56">
        <f t="shared" si="64"/>
        <v>5</v>
      </c>
      <c r="D56" s="5" t="s">
        <v>108</v>
      </c>
      <c r="E56" t="s">
        <v>47</v>
      </c>
      <c r="F56" s="5">
        <v>25</v>
      </c>
      <c r="G56" t="s">
        <v>46</v>
      </c>
      <c r="H56">
        <v>500</v>
      </c>
      <c r="I56">
        <v>220000</v>
      </c>
      <c r="J56">
        <v>1576</v>
      </c>
      <c r="K56" s="10">
        <v>1870</v>
      </c>
      <c r="L56" s="12">
        <v>1</v>
      </c>
      <c r="M56" s="5">
        <v>0.25</v>
      </c>
      <c r="N56" s="10">
        <v>5.25</v>
      </c>
      <c r="O56" s="5">
        <v>0</v>
      </c>
      <c r="P56">
        <v>6.9999999999999993E-2</v>
      </c>
      <c r="Q56" s="10">
        <v>1</v>
      </c>
      <c r="R56" s="8">
        <v>0</v>
      </c>
      <c r="S56">
        <v>0</v>
      </c>
      <c r="T56">
        <v>1</v>
      </c>
      <c r="U56" s="9">
        <v>0</v>
      </c>
      <c r="V56">
        <v>0</v>
      </c>
      <c r="W56" s="10">
        <v>1</v>
      </c>
      <c r="X56" s="5">
        <v>27.542000000000002</v>
      </c>
      <c r="Y56">
        <v>8.3659999999999997</v>
      </c>
      <c r="Z56" s="4">
        <v>0</v>
      </c>
      <c r="AA56" s="2">
        <v>27.542000000000002</v>
      </c>
      <c r="AB56" s="2">
        <v>8.3659999999999997</v>
      </c>
      <c r="AC56" s="13">
        <v>0</v>
      </c>
      <c r="AD56" s="2">
        <v>27.542000000000002</v>
      </c>
      <c r="AE56" s="2">
        <v>8.3659999999999997</v>
      </c>
      <c r="AF56" s="2">
        <v>49.730699999999999</v>
      </c>
      <c r="AG56" s="2"/>
      <c r="AH56" s="7">
        <v>35.908000000000001</v>
      </c>
      <c r="AI56" s="2">
        <v>27.542000000000002</v>
      </c>
      <c r="AJ56" s="2">
        <v>8.3659999999999997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49.730699999999999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1">
        <v>35.908000000000001</v>
      </c>
      <c r="AY56" s="2">
        <v>0</v>
      </c>
      <c r="AZ56" s="2">
        <v>0</v>
      </c>
      <c r="BA56" s="2">
        <v>0</v>
      </c>
      <c r="BC56" s="1">
        <f t="shared" si="0"/>
        <v>27.542000000000002</v>
      </c>
      <c r="BD56" s="2">
        <f t="shared" si="1"/>
        <v>0</v>
      </c>
      <c r="BE56" s="7">
        <f t="shared" si="2"/>
        <v>0</v>
      </c>
      <c r="BF56" s="1">
        <f t="shared" si="3"/>
        <v>8.3659999999999997</v>
      </c>
      <c r="BG56" s="2">
        <f t="shared" si="4"/>
        <v>0</v>
      </c>
      <c r="BH56" s="2">
        <f t="shared" si="51"/>
        <v>0</v>
      </c>
      <c r="BI56" s="2">
        <f t="shared" si="51"/>
        <v>0</v>
      </c>
      <c r="BJ56" s="7">
        <f t="shared" si="51"/>
        <v>0</v>
      </c>
      <c r="BK56" s="1">
        <f t="shared" si="52"/>
        <v>35.908000000000001</v>
      </c>
      <c r="BL56" s="2">
        <f t="shared" si="52"/>
        <v>0</v>
      </c>
      <c r="BM56" s="2">
        <f t="shared" si="48"/>
        <v>0</v>
      </c>
      <c r="BN56" s="2">
        <f t="shared" si="8"/>
        <v>0</v>
      </c>
      <c r="BO56" s="7">
        <f t="shared" si="9"/>
        <v>0</v>
      </c>
      <c r="BQ56" s="1">
        <f t="shared" si="44"/>
        <v>35.908000000000001</v>
      </c>
      <c r="BR56" s="4">
        <v>0</v>
      </c>
      <c r="BS56" s="2">
        <f t="shared" si="16"/>
        <v>35.908000000000001</v>
      </c>
      <c r="BT56" s="2">
        <f t="shared" si="46"/>
        <v>0</v>
      </c>
      <c r="BU56" s="21" t="str">
        <f t="shared" si="17"/>
        <v/>
      </c>
      <c r="BV56" s="21" t="str">
        <f t="shared" si="18"/>
        <v/>
      </c>
      <c r="BW56" s="21" t="str">
        <f t="shared" si="12"/>
        <v/>
      </c>
      <c r="BX56" s="21" t="str">
        <f t="shared" si="13"/>
        <v/>
      </c>
      <c r="BY56" s="1">
        <f t="shared" si="28"/>
        <v>49.730699999999999</v>
      </c>
      <c r="BZ56" s="4">
        <v>0</v>
      </c>
      <c r="CA56" s="2">
        <f t="shared" si="19"/>
        <v>49.730699999999999</v>
      </c>
      <c r="CB56" s="2">
        <f t="shared" si="29"/>
        <v>0</v>
      </c>
      <c r="CC56" s="21" t="str">
        <f t="shared" si="20"/>
        <v/>
      </c>
      <c r="CD56" s="2" t="str">
        <f t="shared" si="32"/>
        <v/>
      </c>
      <c r="CE56" s="2" t="str">
        <f t="shared" si="21"/>
        <v/>
      </c>
      <c r="CF56" s="21" t="str">
        <f t="shared" si="22"/>
        <v/>
      </c>
      <c r="CG56" s="15"/>
      <c r="CH56" s="21" t="str">
        <f t="shared" si="15"/>
        <v/>
      </c>
    </row>
    <row r="57" spans="1:86" x14ac:dyDescent="0.25">
      <c r="A57" t="str">
        <f t="shared" si="23"/>
        <v>Travée</v>
      </c>
      <c r="B57" t="b">
        <f t="shared" si="24"/>
        <v>0</v>
      </c>
      <c r="C57">
        <f>IF(D57="",100000,IF(D57=D55,C55,C55+1))</f>
        <v>5</v>
      </c>
      <c r="D57" s="5" t="s">
        <v>108</v>
      </c>
      <c r="E57" t="s">
        <v>48</v>
      </c>
      <c r="F57" s="5">
        <v>25</v>
      </c>
      <c r="G57" t="s">
        <v>46</v>
      </c>
      <c r="H57">
        <v>500</v>
      </c>
      <c r="I57">
        <v>220000</v>
      </c>
      <c r="J57">
        <v>1576</v>
      </c>
      <c r="K57" s="10">
        <v>1870</v>
      </c>
      <c r="L57" s="12">
        <v>1</v>
      </c>
      <c r="M57" s="5">
        <v>0.23499999999999999</v>
      </c>
      <c r="N57" s="10">
        <v>5.25</v>
      </c>
      <c r="O57" s="5">
        <v>2.6932499999999999E-3</v>
      </c>
      <c r="P57">
        <v>0.04</v>
      </c>
      <c r="Q57" s="10">
        <v>1</v>
      </c>
      <c r="R57" s="8">
        <v>0</v>
      </c>
      <c r="S57">
        <v>0</v>
      </c>
      <c r="T57">
        <v>1</v>
      </c>
      <c r="U57" s="9">
        <v>0</v>
      </c>
      <c r="V57">
        <v>0</v>
      </c>
      <c r="W57" s="10">
        <v>1</v>
      </c>
      <c r="X57" s="5">
        <v>73.25</v>
      </c>
      <c r="Y57">
        <v>22.25</v>
      </c>
      <c r="Z57" s="4">
        <v>0</v>
      </c>
      <c r="AA57" s="2">
        <v>73.25</v>
      </c>
      <c r="AB57" s="2">
        <v>22.25</v>
      </c>
      <c r="AC57" s="13">
        <v>0</v>
      </c>
      <c r="AD57" s="2">
        <v>73.25</v>
      </c>
      <c r="AE57" s="2">
        <v>22.25</v>
      </c>
      <c r="AF57" s="2">
        <v>132.26249999999999</v>
      </c>
      <c r="AG57" s="2"/>
      <c r="AH57" s="7">
        <v>95.5</v>
      </c>
      <c r="AI57" s="2">
        <v>73.25</v>
      </c>
      <c r="AJ57" s="2">
        <v>22.25</v>
      </c>
      <c r="AK57" s="2">
        <v>4.6707660036941618</v>
      </c>
      <c r="AL57" s="2">
        <v>1.4187634324475391</v>
      </c>
      <c r="AM57" s="2">
        <v>-147.722774209829</v>
      </c>
      <c r="AN57" s="2">
        <v>-44.871433379902342</v>
      </c>
      <c r="AO57" s="2">
        <v>0</v>
      </c>
      <c r="AP57" s="2">
        <v>0</v>
      </c>
      <c r="AQ57" s="2">
        <v>132.26249999999999</v>
      </c>
      <c r="AR57" s="2">
        <v>231.84362031008189</v>
      </c>
      <c r="AS57" s="2">
        <v>231.84362031008189</v>
      </c>
      <c r="AT57" s="2">
        <v>6.0607833534001516</v>
      </c>
      <c r="AU57" s="2">
        <v>-273.14960954187092</v>
      </c>
      <c r="AV57" s="2">
        <v>0</v>
      </c>
      <c r="AW57" s="2">
        <v>0</v>
      </c>
      <c r="AX57" s="1">
        <v>95.5</v>
      </c>
      <c r="AY57" s="2">
        <v>4.4608750892116236</v>
      </c>
      <c r="AZ57" s="2">
        <v>-196.9879875766992</v>
      </c>
      <c r="BA57" s="2">
        <v>231.84362031008189</v>
      </c>
      <c r="BC57" s="1">
        <f t="shared" si="0"/>
        <v>73.25</v>
      </c>
      <c r="BD57" s="2">
        <f t="shared" si="1"/>
        <v>4.6707660036941618</v>
      </c>
      <c r="BE57" s="7">
        <f t="shared" si="2"/>
        <v>-147.722774209829</v>
      </c>
      <c r="BF57" s="1">
        <f t="shared" si="3"/>
        <v>22.25</v>
      </c>
      <c r="BG57" s="2">
        <f t="shared" si="4"/>
        <v>1.4187634324475391</v>
      </c>
      <c r="BH57" s="2">
        <f t="shared" si="51"/>
        <v>-44.871433379902342</v>
      </c>
      <c r="BI57" s="2">
        <f t="shared" si="51"/>
        <v>0</v>
      </c>
      <c r="BJ57" s="7">
        <f t="shared" si="51"/>
        <v>0</v>
      </c>
      <c r="BK57" s="1">
        <f t="shared" si="52"/>
        <v>95.5</v>
      </c>
      <c r="BL57" s="2">
        <f t="shared" si="52"/>
        <v>6.0895294361417012</v>
      </c>
      <c r="BM57" s="2">
        <f t="shared" si="48"/>
        <v>192.59420758973135</v>
      </c>
      <c r="BN57" s="2">
        <f t="shared" si="8"/>
        <v>0</v>
      </c>
      <c r="BO57" s="7">
        <f t="shared" si="9"/>
        <v>0</v>
      </c>
      <c r="BQ57" s="1">
        <f t="shared" si="44"/>
        <v>95.5</v>
      </c>
      <c r="BR57" s="4" t="str">
        <f>IF(ISNUMBER(SEARCH("Appui",E57)),0,"0")</f>
        <v>0</v>
      </c>
      <c r="BS57" s="2">
        <f t="shared" si="16"/>
        <v>95.5</v>
      </c>
      <c r="BT57" s="2">
        <f t="shared" si="46"/>
        <v>231.84362031008189</v>
      </c>
      <c r="BU57" s="21">
        <f t="shared" si="17"/>
        <v>2.4276818880636846</v>
      </c>
      <c r="BV57" s="21">
        <f t="shared" si="18"/>
        <v>113.45400000000001</v>
      </c>
      <c r="BW57" s="21">
        <f t="shared" si="12"/>
        <v>231.84362031008189</v>
      </c>
      <c r="BX57" s="21">
        <f t="shared" si="13"/>
        <v>2.0435032727808791</v>
      </c>
      <c r="BY57" s="1">
        <f t="shared" si="28"/>
        <v>132.26249999999999</v>
      </c>
      <c r="BZ57" s="4" t="str">
        <f>IF(ISNUMBER(SEARCH("Appui",M57)),0,"0")</f>
        <v>0</v>
      </c>
      <c r="CA57" s="2">
        <f t="shared" si="19"/>
        <v>132.26249999999999</v>
      </c>
      <c r="CB57" s="2">
        <f t="shared" si="29"/>
        <v>231.84362031008189</v>
      </c>
      <c r="CC57" s="21">
        <f t="shared" si="20"/>
        <v>1.7529051719881441</v>
      </c>
      <c r="CD57" s="2">
        <f t="shared" si="32"/>
        <v>157.12785</v>
      </c>
      <c r="CE57" s="2">
        <f t="shared" si="21"/>
        <v>231.84362031008189</v>
      </c>
      <c r="CF57" s="21">
        <f t="shared" si="22"/>
        <v>1.4755094040304242</v>
      </c>
      <c r="CG57" s="10" t="str">
        <f t="shared" ref="CG57" si="85">IF(C55&lt;C57,"Rive",IF(C59&gt;C57,"Rive","Inter"))</f>
        <v>Rive</v>
      </c>
      <c r="CH57" s="21">
        <f t="shared" si="15"/>
        <v>1.4755094040304242</v>
      </c>
    </row>
    <row r="58" spans="1:86" x14ac:dyDescent="0.25">
      <c r="A58" t="str">
        <f t="shared" si="23"/>
        <v/>
      </c>
      <c r="B58" t="b">
        <f t="shared" si="24"/>
        <v>1</v>
      </c>
      <c r="C58">
        <f>IF(D58="",100000,IF(D58=D56,C56,C56+1))</f>
        <v>100000</v>
      </c>
      <c r="D58" s="5"/>
      <c r="F58" s="5"/>
      <c r="K58" s="10"/>
      <c r="L58" s="12"/>
      <c r="M58" s="5"/>
      <c r="N58" s="10"/>
      <c r="O58" s="5"/>
      <c r="Q58" s="10"/>
      <c r="R58" s="8"/>
      <c r="U58" s="9"/>
      <c r="W58" s="10"/>
      <c r="X58" s="5"/>
      <c r="Z58" s="4"/>
      <c r="AA58" s="2"/>
      <c r="AB58" s="2"/>
      <c r="AC58" s="13"/>
      <c r="AD58" s="2"/>
      <c r="AE58" s="2"/>
      <c r="AF58" s="2"/>
      <c r="AG58" s="2"/>
      <c r="AH58" s="7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1"/>
      <c r="AY58" s="2"/>
      <c r="AZ58" s="2"/>
      <c r="BA58" s="2"/>
      <c r="BC58" s="1"/>
      <c r="BD58" s="2"/>
      <c r="BE58" s="7"/>
      <c r="BF58" s="1"/>
      <c r="BG58" s="2"/>
      <c r="BH58" s="2"/>
      <c r="BI58" s="2"/>
      <c r="BJ58" s="7"/>
      <c r="BK58" s="1"/>
      <c r="BL58" s="2"/>
      <c r="BM58" s="2"/>
      <c r="BN58" s="2"/>
      <c r="BO58" s="7"/>
      <c r="BP58" s="2"/>
      <c r="BQ58" s="1"/>
      <c r="BR58" s="4"/>
      <c r="BS58" s="2"/>
      <c r="BT58" s="2"/>
      <c r="BU58" s="21"/>
      <c r="BV58" s="21"/>
      <c r="BW58" s="21"/>
      <c r="BX58" s="21"/>
      <c r="BY58" s="1"/>
      <c r="BZ58" s="4"/>
      <c r="CA58" s="2"/>
      <c r="CB58" s="2"/>
      <c r="CC58" s="21"/>
      <c r="CD58" s="2"/>
      <c r="CE58" s="2"/>
      <c r="CF58" s="21"/>
      <c r="CG58" s="15"/>
      <c r="CH58" s="21"/>
    </row>
    <row r="59" spans="1:86" x14ac:dyDescent="0.25">
      <c r="A59" t="str">
        <f t="shared" si="23"/>
        <v/>
      </c>
      <c r="B59" t="b">
        <f t="shared" si="24"/>
        <v>1</v>
      </c>
      <c r="C59">
        <f t="shared" ref="C59:C60" si="86">IF(D59="",100000,IF(D59=D58,C58,C58+1))</f>
        <v>100000</v>
      </c>
      <c r="D59" s="5"/>
      <c r="F59" s="5"/>
      <c r="K59" s="10"/>
      <c r="L59" s="12"/>
      <c r="M59" s="5"/>
      <c r="N59" s="10"/>
      <c r="O59" s="5"/>
      <c r="Q59" s="10"/>
      <c r="R59" s="8"/>
      <c r="U59" s="9"/>
      <c r="W59" s="10"/>
      <c r="X59" s="5"/>
      <c r="Z59" s="4"/>
      <c r="AA59" s="2"/>
      <c r="AB59" s="2"/>
      <c r="AC59" s="13"/>
      <c r="AD59" s="2"/>
      <c r="AE59" s="2"/>
      <c r="AF59" s="2"/>
      <c r="AG59" s="2"/>
      <c r="AH59" s="7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1"/>
      <c r="AY59" s="2"/>
      <c r="AZ59" s="2"/>
      <c r="BA59" s="2"/>
      <c r="BC59" s="1"/>
      <c r="BD59" s="2"/>
      <c r="BE59" s="7"/>
      <c r="BF59" s="1"/>
      <c r="BG59" s="2"/>
      <c r="BH59" s="2"/>
      <c r="BI59" s="2"/>
      <c r="BJ59" s="7"/>
      <c r="BK59" s="1"/>
      <c r="BL59" s="2"/>
      <c r="BM59" s="2"/>
      <c r="BN59" s="2"/>
      <c r="BO59" s="7"/>
      <c r="BP59" s="2"/>
      <c r="BQ59" s="1"/>
      <c r="BR59" s="4"/>
      <c r="BS59" s="2"/>
      <c r="BT59" s="2"/>
      <c r="BU59" s="21"/>
      <c r="BV59" s="21"/>
      <c r="BW59" s="21"/>
      <c r="BX59" s="21"/>
      <c r="BY59" s="1"/>
      <c r="BZ59" s="4"/>
      <c r="CA59" s="2"/>
      <c r="CB59" s="2"/>
      <c r="CC59" s="21"/>
      <c r="CD59" s="2"/>
      <c r="CE59" s="2"/>
      <c r="CF59" s="21"/>
      <c r="CG59" s="10"/>
      <c r="CH59" s="21"/>
    </row>
    <row r="60" spans="1:86" x14ac:dyDescent="0.25">
      <c r="A60" t="str">
        <f t="shared" si="23"/>
        <v/>
      </c>
      <c r="B60" t="b">
        <f t="shared" si="24"/>
        <v>1</v>
      </c>
      <c r="C60">
        <f t="shared" si="86"/>
        <v>100000</v>
      </c>
      <c r="D60" s="5"/>
      <c r="F60" s="5"/>
      <c r="K60" s="10"/>
      <c r="L60" s="12"/>
      <c r="M60" s="5"/>
      <c r="N60" s="10"/>
      <c r="O60" s="5"/>
      <c r="Q60" s="10"/>
      <c r="R60" s="8"/>
      <c r="U60" s="9"/>
      <c r="W60" s="10"/>
      <c r="X60" s="5"/>
      <c r="Z60" s="4"/>
      <c r="AA60" s="2"/>
      <c r="AB60" s="2"/>
      <c r="AC60" s="13"/>
      <c r="AD60" s="2"/>
      <c r="AE60" s="2"/>
      <c r="AF60" s="2"/>
      <c r="AG60" s="2"/>
      <c r="AH60" s="7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1"/>
      <c r="AY60" s="2"/>
      <c r="AZ60" s="2"/>
      <c r="BA60" s="2"/>
      <c r="BC60" s="1"/>
      <c r="BD60" s="2"/>
      <c r="BE60" s="7"/>
      <c r="BF60" s="1"/>
      <c r="BG60" s="2"/>
      <c r="BH60" s="2"/>
      <c r="BI60" s="2"/>
      <c r="BJ60" s="7"/>
      <c r="BK60" s="1"/>
      <c r="BL60" s="2"/>
      <c r="BM60" s="2"/>
      <c r="BN60" s="2"/>
      <c r="BO60" s="7"/>
      <c r="BP60" s="2"/>
      <c r="BQ60" s="1"/>
      <c r="BR60" s="4"/>
      <c r="BS60" s="2"/>
      <c r="BT60" s="2"/>
      <c r="BU60" s="21"/>
      <c r="BV60" s="21"/>
      <c r="BW60" s="21"/>
      <c r="BX60" s="21"/>
      <c r="BY60" s="1"/>
      <c r="BZ60" s="4"/>
      <c r="CA60" s="2"/>
      <c r="CB60" s="2"/>
      <c r="CC60" s="21"/>
      <c r="CD60" s="2"/>
      <c r="CE60" s="2"/>
      <c r="CF60" s="21"/>
      <c r="CG60" s="15"/>
      <c r="CH60" s="21"/>
    </row>
    <row r="61" spans="1:86" x14ac:dyDescent="0.25">
      <c r="A61" t="str">
        <f t="shared" si="23"/>
        <v/>
      </c>
      <c r="B61" t="b">
        <f t="shared" si="24"/>
        <v>1</v>
      </c>
      <c r="C61">
        <f t="shared" ref="C61:C62" si="87">IF(D61="",100000,IF(D61=D59,C59,C59+1))</f>
        <v>100000</v>
      </c>
      <c r="D61" s="5"/>
      <c r="F61" s="5"/>
      <c r="K61" s="10"/>
      <c r="L61" s="12"/>
      <c r="M61" s="5"/>
      <c r="N61" s="10"/>
      <c r="O61" s="5"/>
      <c r="Q61" s="10"/>
      <c r="R61" s="8"/>
      <c r="U61" s="9"/>
      <c r="W61" s="10"/>
      <c r="X61" s="5"/>
      <c r="Z61" s="4"/>
      <c r="AA61" s="2"/>
      <c r="AB61" s="2"/>
      <c r="AC61" s="13"/>
      <c r="AD61" s="2"/>
      <c r="AE61" s="2"/>
      <c r="AF61" s="2"/>
      <c r="AG61" s="2"/>
      <c r="AH61" s="7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1"/>
      <c r="AY61" s="2"/>
      <c r="AZ61" s="2"/>
      <c r="BA61" s="2"/>
      <c r="BC61" s="1"/>
      <c r="BD61" s="2"/>
      <c r="BE61" s="7"/>
      <c r="BF61" s="1"/>
      <c r="BG61" s="2"/>
      <c r="BH61" s="2"/>
      <c r="BI61" s="2"/>
      <c r="BJ61" s="7"/>
      <c r="BK61" s="1"/>
      <c r="BL61" s="2"/>
      <c r="BM61" s="2"/>
      <c r="BN61" s="2"/>
      <c r="BO61" s="7"/>
      <c r="BP61" s="2"/>
      <c r="BQ61" s="1"/>
      <c r="BR61" s="4"/>
      <c r="BS61" s="2"/>
      <c r="BT61" s="2"/>
      <c r="BU61" s="21"/>
      <c r="BV61" s="21"/>
      <c r="BW61" s="21"/>
      <c r="BX61" s="21"/>
      <c r="BY61" s="1"/>
      <c r="BZ61" s="4"/>
      <c r="CA61" s="2"/>
      <c r="CB61" s="2"/>
      <c r="CC61" s="21"/>
      <c r="CD61" s="2"/>
      <c r="CE61" s="2"/>
      <c r="CF61" s="21"/>
      <c r="CG61" s="10"/>
      <c r="CH61" s="21"/>
    </row>
    <row r="62" spans="1:86" x14ac:dyDescent="0.25">
      <c r="A62" t="str">
        <f t="shared" si="23"/>
        <v/>
      </c>
      <c r="B62" t="b">
        <f t="shared" si="24"/>
        <v>1</v>
      </c>
      <c r="C62">
        <f t="shared" si="87"/>
        <v>100000</v>
      </c>
      <c r="D62" s="5"/>
      <c r="F62" s="5"/>
      <c r="K62" s="10"/>
      <c r="L62" s="12"/>
      <c r="M62" s="5"/>
      <c r="N62" s="10"/>
      <c r="O62" s="5"/>
      <c r="Q62" s="10"/>
      <c r="R62" s="8"/>
      <c r="U62" s="9"/>
      <c r="W62" s="10"/>
      <c r="X62" s="5"/>
      <c r="Z62" s="4"/>
      <c r="AA62" s="2"/>
      <c r="AB62" s="2"/>
      <c r="AC62" s="13"/>
      <c r="AD62" s="2"/>
      <c r="AE62" s="2"/>
      <c r="AF62" s="2"/>
      <c r="AG62" s="2"/>
      <c r="AH62" s="7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1"/>
      <c r="AY62" s="2"/>
      <c r="AZ62" s="2"/>
      <c r="BA62" s="2"/>
      <c r="BC62" s="1"/>
      <c r="BD62" s="2"/>
      <c r="BE62" s="7"/>
      <c r="BF62" s="1"/>
      <c r="BG62" s="2"/>
      <c r="BH62" s="2"/>
      <c r="BI62" s="2"/>
      <c r="BJ62" s="7"/>
      <c r="BK62" s="1"/>
      <c r="BL62" s="2"/>
      <c r="BM62" s="2"/>
      <c r="BN62" s="2"/>
      <c r="BO62" s="7"/>
      <c r="BP62" s="2"/>
      <c r="BQ62" s="1"/>
      <c r="BR62" s="4"/>
      <c r="BS62" s="2"/>
      <c r="BT62" s="2"/>
      <c r="BU62" s="21"/>
      <c r="BV62" s="21"/>
      <c r="BW62" s="21"/>
      <c r="BX62" s="21"/>
      <c r="BY62" s="1"/>
      <c r="BZ62" s="4"/>
      <c r="CA62" s="2"/>
      <c r="CB62" s="2"/>
      <c r="CC62" s="21"/>
      <c r="CD62" s="2"/>
      <c r="CE62" s="2"/>
      <c r="CF62" s="21"/>
      <c r="CG62" s="15"/>
      <c r="CH62" s="21"/>
    </row>
    <row r="63" spans="1:86" x14ac:dyDescent="0.25">
      <c r="A63" t="str">
        <f t="shared" si="23"/>
        <v/>
      </c>
      <c r="B63" t="b">
        <f t="shared" si="24"/>
        <v>1</v>
      </c>
      <c r="C63">
        <f t="shared" ref="C63:C64" si="88">IF(D63="",100000,IF(D63=D62,C62,C62+1))</f>
        <v>100000</v>
      </c>
      <c r="D63" s="5"/>
      <c r="F63" s="5"/>
      <c r="K63" s="10"/>
      <c r="L63" s="12"/>
      <c r="M63" s="5"/>
      <c r="N63" s="10"/>
      <c r="O63" s="5"/>
      <c r="Q63" s="10"/>
      <c r="R63" s="8"/>
      <c r="U63" s="9"/>
      <c r="W63" s="10"/>
      <c r="X63" s="5"/>
      <c r="Z63" s="4"/>
      <c r="AA63" s="2"/>
      <c r="AB63" s="2"/>
      <c r="AC63" s="13"/>
      <c r="AD63" s="2"/>
      <c r="AE63" s="2"/>
      <c r="AF63" s="2"/>
      <c r="AG63" s="2"/>
      <c r="AH63" s="7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1"/>
      <c r="AY63" s="2"/>
      <c r="AZ63" s="2"/>
      <c r="BA63" s="2"/>
      <c r="BC63" s="1"/>
      <c r="BD63" s="2"/>
      <c r="BE63" s="7"/>
      <c r="BF63" s="1"/>
      <c r="BG63" s="2"/>
      <c r="BH63" s="2"/>
      <c r="BI63" s="2"/>
      <c r="BJ63" s="7"/>
      <c r="BK63" s="1"/>
      <c r="BL63" s="2"/>
      <c r="BM63" s="2"/>
      <c r="BN63" s="2"/>
      <c r="BO63" s="7"/>
      <c r="BP63" s="2"/>
      <c r="BQ63" s="1"/>
      <c r="BR63" s="4"/>
      <c r="BS63" s="2"/>
      <c r="BT63" s="2"/>
      <c r="BU63" s="21"/>
      <c r="BV63" s="21"/>
      <c r="BW63" s="21"/>
      <c r="BX63" s="21"/>
      <c r="BY63" s="1"/>
      <c r="BZ63" s="4"/>
      <c r="CA63" s="2"/>
      <c r="CB63" s="2"/>
      <c r="CC63" s="21"/>
      <c r="CD63" s="2"/>
      <c r="CE63" s="2"/>
      <c r="CF63" s="21"/>
      <c r="CG63" s="10"/>
      <c r="CH63" s="21"/>
    </row>
    <row r="64" spans="1:86" x14ac:dyDescent="0.25">
      <c r="A64" t="str">
        <f t="shared" si="23"/>
        <v/>
      </c>
      <c r="B64" t="b">
        <f t="shared" si="24"/>
        <v>1</v>
      </c>
      <c r="C64">
        <f t="shared" si="88"/>
        <v>100000</v>
      </c>
      <c r="D64" s="5"/>
      <c r="F64" s="5"/>
      <c r="K64" s="10"/>
      <c r="L64" s="12"/>
      <c r="M64" s="5"/>
      <c r="N64" s="10"/>
      <c r="O64" s="5"/>
      <c r="Q64" s="10"/>
      <c r="R64" s="8"/>
      <c r="U64" s="9"/>
      <c r="W64" s="10"/>
      <c r="X64" s="5"/>
      <c r="Z64" s="4"/>
      <c r="AA64" s="2"/>
      <c r="AB64" s="2"/>
      <c r="AC64" s="13"/>
      <c r="AD64" s="2"/>
      <c r="AE64" s="2"/>
      <c r="AF64" s="2"/>
      <c r="AG64" s="2"/>
      <c r="AH64" s="7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1"/>
      <c r="AY64" s="2"/>
      <c r="AZ64" s="2"/>
      <c r="BA64" s="2"/>
      <c r="BC64" s="1"/>
      <c r="BD64" s="2"/>
      <c r="BE64" s="7"/>
      <c r="BF64" s="1"/>
      <c r="BG64" s="2"/>
      <c r="BH64" s="2"/>
      <c r="BI64" s="2"/>
      <c r="BJ64" s="7"/>
      <c r="BK64" s="1"/>
      <c r="BL64" s="2"/>
      <c r="BM64" s="2"/>
      <c r="BN64" s="2"/>
      <c r="BO64" s="7"/>
      <c r="BP64" s="2"/>
      <c r="BQ64" s="1"/>
      <c r="BR64" s="4"/>
      <c r="BS64" s="2"/>
      <c r="BT64" s="2"/>
      <c r="BU64" s="21"/>
      <c r="BV64" s="21"/>
      <c r="BW64" s="21"/>
      <c r="BX64" s="21"/>
      <c r="BY64" s="1"/>
      <c r="BZ64" s="4"/>
      <c r="CA64" s="2"/>
      <c r="CB64" s="2"/>
      <c r="CC64" s="21"/>
      <c r="CD64" s="2"/>
      <c r="CE64" s="2"/>
      <c r="CF64" s="21"/>
      <c r="CG64" s="15"/>
      <c r="CH64" s="21"/>
    </row>
    <row r="65" spans="1:86" x14ac:dyDescent="0.25">
      <c r="A65" t="str">
        <f t="shared" si="23"/>
        <v/>
      </c>
      <c r="B65" t="b">
        <f t="shared" si="24"/>
        <v>1</v>
      </c>
      <c r="C65">
        <f t="shared" ref="C65:C66" si="89">IF(D65="",100000,IF(D65=D63,C63,C63+1))</f>
        <v>100000</v>
      </c>
      <c r="D65" s="5"/>
      <c r="F65" s="5"/>
      <c r="K65" s="10"/>
      <c r="L65" s="12"/>
      <c r="M65" s="5"/>
      <c r="N65" s="10"/>
      <c r="O65" s="5"/>
      <c r="Q65" s="10"/>
      <c r="R65" s="8"/>
      <c r="U65" s="9"/>
      <c r="W65" s="10"/>
      <c r="X65" s="5"/>
      <c r="Z65" s="4"/>
      <c r="AA65" s="2"/>
      <c r="AB65" s="2"/>
      <c r="AC65" s="13"/>
      <c r="AD65" s="2"/>
      <c r="AE65" s="2"/>
      <c r="AF65" s="2"/>
      <c r="AG65" s="2"/>
      <c r="AH65" s="7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1"/>
      <c r="AY65" s="2"/>
      <c r="AZ65" s="2"/>
      <c r="BA65" s="2"/>
      <c r="BC65" s="1"/>
      <c r="BD65" s="2"/>
      <c r="BE65" s="7"/>
      <c r="BF65" s="1"/>
      <c r="BG65" s="2"/>
      <c r="BH65" s="2"/>
      <c r="BI65" s="2"/>
      <c r="BJ65" s="7"/>
      <c r="BK65" s="1"/>
      <c r="BL65" s="2"/>
      <c r="BM65" s="2"/>
      <c r="BN65" s="2"/>
      <c r="BO65" s="7"/>
      <c r="BP65" s="2"/>
      <c r="BQ65" s="1"/>
      <c r="BR65" s="4"/>
      <c r="BS65" s="2"/>
      <c r="BT65" s="2"/>
      <c r="BU65" s="21"/>
      <c r="BV65" s="21"/>
      <c r="BW65" s="21"/>
      <c r="BX65" s="21"/>
      <c r="BY65" s="1"/>
      <c r="BZ65" s="4"/>
      <c r="CA65" s="2"/>
      <c r="CB65" s="2"/>
      <c r="CC65" s="21"/>
      <c r="CD65" s="2"/>
      <c r="CE65" s="2"/>
      <c r="CF65" s="21"/>
      <c r="CG65" s="10"/>
      <c r="CH65" s="21"/>
    </row>
    <row r="66" spans="1:86" x14ac:dyDescent="0.25">
      <c r="A66" t="str">
        <f t="shared" si="23"/>
        <v/>
      </c>
      <c r="B66" t="b">
        <f t="shared" si="24"/>
        <v>1</v>
      </c>
      <c r="C66">
        <f t="shared" si="89"/>
        <v>100000</v>
      </c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5"/>
      <c r="Z66" s="4"/>
      <c r="AA66" s="2"/>
      <c r="AB66" s="2"/>
      <c r="AC66" s="13"/>
      <c r="AD66" s="2"/>
      <c r="AE66" s="2"/>
      <c r="AF66" s="2"/>
      <c r="AG66" s="2"/>
      <c r="AH66" s="7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1"/>
      <c r="AY66" s="2"/>
      <c r="AZ66" s="2"/>
      <c r="BA66" s="2"/>
      <c r="BC66" s="1"/>
      <c r="BD66" s="2"/>
      <c r="BE66" s="7"/>
      <c r="BF66" s="1"/>
      <c r="BG66" s="2"/>
      <c r="BH66" s="2"/>
      <c r="BI66" s="2"/>
      <c r="BJ66" s="7"/>
      <c r="BK66" s="1"/>
      <c r="BL66" s="2"/>
      <c r="BM66" s="2"/>
      <c r="BN66" s="2"/>
      <c r="BO66" s="7"/>
      <c r="BP66" s="2"/>
      <c r="BQ66" s="1"/>
      <c r="BR66" s="4"/>
      <c r="BS66" s="2"/>
      <c r="BT66" s="2"/>
      <c r="BU66" s="21"/>
      <c r="BV66" s="21"/>
      <c r="BW66" s="21"/>
      <c r="BX66" s="21"/>
      <c r="BY66" s="1"/>
      <c r="BZ66" s="4"/>
      <c r="CA66" s="2"/>
      <c r="CB66" s="2"/>
      <c r="CC66" s="21"/>
      <c r="CD66" s="2"/>
      <c r="CE66" s="2"/>
      <c r="CF66" s="21"/>
      <c r="CG66" s="15"/>
      <c r="CH66" s="21"/>
    </row>
    <row r="67" spans="1:86" x14ac:dyDescent="0.25">
      <c r="A67" t="str">
        <f t="shared" si="23"/>
        <v/>
      </c>
      <c r="B67" t="b">
        <f t="shared" si="24"/>
        <v>1</v>
      </c>
      <c r="C67">
        <f t="shared" ref="C67:C71" si="90">IF(D67="",100000,IF(D67=D66,C66,C66+1))</f>
        <v>100000</v>
      </c>
      <c r="D67" s="5"/>
      <c r="F67" s="5"/>
      <c r="K67" s="10"/>
      <c r="L67" s="12"/>
      <c r="M67" s="5"/>
      <c r="N67" s="10"/>
      <c r="O67" s="5"/>
      <c r="Q67" s="10"/>
      <c r="R67" s="8"/>
      <c r="U67" s="9"/>
      <c r="W67" s="10"/>
      <c r="X67" s="5"/>
      <c r="Z67" s="4"/>
      <c r="AA67" s="2"/>
      <c r="AB67" s="2"/>
      <c r="AC67" s="13"/>
      <c r="AD67" s="2"/>
      <c r="AE67" s="2"/>
      <c r="AF67" s="2"/>
      <c r="AG67" s="2"/>
      <c r="AH67" s="7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1"/>
      <c r="AY67" s="2"/>
      <c r="AZ67" s="2"/>
      <c r="BA67" s="2"/>
      <c r="BC67" s="1"/>
      <c r="BD67" s="2"/>
      <c r="BE67" s="7"/>
      <c r="BF67" s="1"/>
      <c r="BG67" s="2"/>
      <c r="BH67" s="2"/>
      <c r="BI67" s="2"/>
      <c r="BJ67" s="7"/>
      <c r="BK67" s="1"/>
      <c r="BL67" s="2"/>
      <c r="BM67" s="2"/>
      <c r="BN67" s="2"/>
      <c r="BO67" s="7"/>
      <c r="BP67" s="2"/>
      <c r="BQ67" s="1"/>
      <c r="BR67" s="4"/>
      <c r="BS67" s="2"/>
      <c r="BT67" s="2"/>
      <c r="BU67" s="21"/>
      <c r="BV67" s="21"/>
      <c r="BW67" s="21"/>
      <c r="BX67" s="21"/>
      <c r="BY67" s="1"/>
      <c r="BZ67" s="4"/>
      <c r="CA67" s="2"/>
      <c r="CB67" s="2"/>
      <c r="CC67" s="21"/>
      <c r="CD67" s="2"/>
      <c r="CE67" s="2"/>
      <c r="CF67" s="21"/>
      <c r="CG67" s="10"/>
      <c r="CH67" s="21"/>
    </row>
    <row r="68" spans="1:86" x14ac:dyDescent="0.25">
      <c r="A68" t="str">
        <f t="shared" si="23"/>
        <v/>
      </c>
      <c r="B68" t="b">
        <f t="shared" si="24"/>
        <v>1</v>
      </c>
      <c r="C68">
        <f t="shared" si="90"/>
        <v>100000</v>
      </c>
      <c r="Z68" s="4"/>
      <c r="BC68" s="1"/>
      <c r="BD68" s="2"/>
      <c r="BE68" s="7"/>
      <c r="BF68" s="1"/>
      <c r="BG68" s="2"/>
      <c r="BH68" s="2"/>
      <c r="BI68" s="2"/>
      <c r="BJ68" s="7"/>
      <c r="BK68" s="1"/>
      <c r="BL68" s="2"/>
      <c r="BM68" s="2"/>
      <c r="BN68" s="2"/>
      <c r="BO68" s="7"/>
      <c r="BP68" s="2"/>
      <c r="BQ68" s="1"/>
      <c r="BR68" s="4"/>
      <c r="BS68" s="2"/>
      <c r="BT68" s="2"/>
      <c r="BU68" s="21"/>
      <c r="BV68" s="21"/>
      <c r="BW68" s="21"/>
      <c r="BX68" s="21"/>
      <c r="BY68" s="1"/>
      <c r="BZ68" s="4"/>
      <c r="CA68" s="2"/>
      <c r="CB68" s="2"/>
      <c r="CC68" s="21"/>
      <c r="CD68" s="2"/>
      <c r="CE68" s="2"/>
      <c r="CF68" s="21"/>
      <c r="CG68" s="15"/>
      <c r="CH68" s="21"/>
    </row>
    <row r="69" spans="1:86" x14ac:dyDescent="0.25">
      <c r="A69" t="str">
        <f t="shared" si="23"/>
        <v/>
      </c>
      <c r="B69" t="b">
        <f t="shared" si="24"/>
        <v>1</v>
      </c>
      <c r="C69">
        <f t="shared" si="90"/>
        <v>100000</v>
      </c>
      <c r="BC69" s="1"/>
      <c r="BD69" s="2"/>
      <c r="BE69" s="7"/>
      <c r="BF69" s="1"/>
      <c r="BG69" s="2"/>
      <c r="BH69" s="2"/>
      <c r="BI69" s="2"/>
      <c r="BJ69" s="7"/>
      <c r="BK69" s="1"/>
      <c r="BL69" s="2"/>
      <c r="BM69" s="2"/>
      <c r="BN69" s="2"/>
      <c r="BO69" s="7"/>
      <c r="BP69" s="2"/>
      <c r="BQ69" s="1"/>
      <c r="BR69" s="4"/>
      <c r="BS69" s="2"/>
      <c r="BT69" s="2"/>
      <c r="BU69" s="21"/>
      <c r="BV69" s="21"/>
      <c r="BW69" s="21"/>
      <c r="BX69" s="21"/>
      <c r="BY69" s="1"/>
      <c r="BZ69" s="4"/>
      <c r="CA69" s="2"/>
      <c r="CB69" s="2"/>
      <c r="CC69" s="21"/>
      <c r="CD69" s="2"/>
      <c r="CE69" s="2"/>
      <c r="CF69" s="21"/>
      <c r="CG69" s="10"/>
      <c r="CH69" s="21"/>
    </row>
    <row r="70" spans="1:86" x14ac:dyDescent="0.25">
      <c r="A70" t="str">
        <f t="shared" si="23"/>
        <v/>
      </c>
      <c r="B70" t="b">
        <f t="shared" si="24"/>
        <v>1</v>
      </c>
      <c r="C70">
        <f t="shared" si="90"/>
        <v>100000</v>
      </c>
      <c r="BC70" s="1"/>
      <c r="BD70" s="2"/>
      <c r="BE70" s="7"/>
      <c r="BF70" s="1"/>
      <c r="BG70" s="2"/>
      <c r="BH70" s="2"/>
      <c r="BI70" s="2"/>
      <c r="BJ70" s="7"/>
      <c r="BK70" s="1"/>
      <c r="BL70" s="2"/>
      <c r="BM70" s="2"/>
      <c r="BN70" s="2"/>
      <c r="BO70" s="7"/>
      <c r="BP70" s="2"/>
      <c r="BQ70" s="1"/>
      <c r="BR70" s="4"/>
      <c r="BS70" s="2"/>
      <c r="BT70" s="2"/>
      <c r="BU70" s="21"/>
      <c r="BV70" s="21"/>
      <c r="BW70" s="21"/>
      <c r="BX70" s="21"/>
      <c r="BY70" s="1"/>
      <c r="BZ70" s="4"/>
      <c r="CA70" s="2"/>
      <c r="CB70" s="2"/>
      <c r="CC70" s="21"/>
      <c r="CD70" s="2"/>
      <c r="CE70" s="2"/>
      <c r="CF70" s="21"/>
      <c r="CG70" s="15"/>
      <c r="CH70" s="21"/>
    </row>
    <row r="71" spans="1:86" x14ac:dyDescent="0.25">
      <c r="A71" t="str">
        <f t="shared" si="23"/>
        <v/>
      </c>
      <c r="B71" t="b">
        <f t="shared" si="24"/>
        <v>1</v>
      </c>
      <c r="C71">
        <f t="shared" si="90"/>
        <v>100000</v>
      </c>
      <c r="BC71" s="1"/>
      <c r="BD71" s="2"/>
      <c r="BE71" s="7"/>
      <c r="BF71" s="1"/>
      <c r="BG71" s="2"/>
      <c r="BH71" s="2"/>
      <c r="BI71" s="2"/>
      <c r="BJ71" s="7"/>
      <c r="BK71" s="1"/>
      <c r="BL71" s="2"/>
      <c r="BM71" s="2"/>
      <c r="BN71" s="2"/>
      <c r="BO71" s="7"/>
      <c r="BP71" s="2"/>
      <c r="BQ71" s="1"/>
      <c r="BR71" s="4"/>
      <c r="BS71" s="2"/>
      <c r="BT71" s="2"/>
      <c r="BU71" s="21"/>
      <c r="BV71" s="21"/>
      <c r="BW71" s="21"/>
      <c r="BX71" s="21"/>
      <c r="BY71" s="1"/>
      <c r="BZ71" s="4"/>
      <c r="CA71" s="2"/>
      <c r="CB71" s="2"/>
      <c r="CC71" s="21"/>
      <c r="CD71" s="2"/>
      <c r="CE71" s="2"/>
      <c r="CF71" s="21"/>
      <c r="CG71" s="10"/>
      <c r="CH71" s="21"/>
    </row>
    <row r="72" spans="1:86" x14ac:dyDescent="0.25">
      <c r="BC72" s="1"/>
      <c r="BD72" s="2"/>
      <c r="BE72" s="7"/>
      <c r="BF72" s="1"/>
      <c r="BG72" s="2"/>
      <c r="BH72" s="2"/>
      <c r="BI72" s="2"/>
      <c r="BJ72" s="7"/>
      <c r="BK72" s="1"/>
      <c r="BL72" s="2"/>
      <c r="BM72" s="2"/>
      <c r="BN72" s="2"/>
      <c r="BO72" s="7"/>
      <c r="BP72" s="2"/>
      <c r="BQ72" s="1"/>
      <c r="BR72" s="4"/>
      <c r="BS72" s="2"/>
      <c r="BT72" s="2"/>
      <c r="BU72" s="21"/>
      <c r="BV72" s="21"/>
      <c r="BW72" s="21"/>
      <c r="BX72" s="21"/>
      <c r="BY72" s="1"/>
      <c r="BZ72" s="4"/>
      <c r="CA72" s="2"/>
      <c r="CB72" s="2"/>
      <c r="CC72" s="21"/>
      <c r="CD72" s="2"/>
      <c r="CE72" s="2"/>
      <c r="CF72" s="21"/>
      <c r="CG72" s="15"/>
      <c r="CH72" s="21"/>
    </row>
    <row r="73" spans="1:86" x14ac:dyDescent="0.25">
      <c r="BC73" s="1"/>
      <c r="BD73" s="2"/>
      <c r="BE73" s="7"/>
      <c r="BF73" s="1"/>
      <c r="BG73" s="2"/>
      <c r="BH73" s="2"/>
      <c r="BI73" s="2"/>
      <c r="BJ73" s="7"/>
      <c r="BK73" s="1"/>
      <c r="BL73" s="2"/>
      <c r="BM73" s="2"/>
      <c r="BN73" s="2"/>
      <c r="BO73" s="7"/>
      <c r="BP73" s="2"/>
      <c r="BQ73" s="1"/>
      <c r="BR73" s="4"/>
      <c r="BS73" s="2"/>
      <c r="BT73" s="2"/>
      <c r="BU73" s="21"/>
      <c r="BV73" s="21"/>
      <c r="BW73" s="21"/>
      <c r="BX73" s="21"/>
      <c r="BY73" s="1"/>
      <c r="BZ73" s="4"/>
      <c r="CA73" s="2"/>
      <c r="CB73" s="2"/>
      <c r="CC73" s="21"/>
      <c r="CD73" s="2"/>
      <c r="CE73" s="2"/>
      <c r="CF73" s="21"/>
      <c r="CG73" s="10"/>
      <c r="CH73" s="21"/>
    </row>
    <row r="74" spans="1:86" x14ac:dyDescent="0.25">
      <c r="BC74" s="1"/>
      <c r="BD74" s="2"/>
      <c r="BE74" s="7"/>
      <c r="BF74" s="1"/>
      <c r="BG74" s="2"/>
      <c r="BH74" s="2"/>
      <c r="BI74" s="2"/>
      <c r="BJ74" s="7"/>
      <c r="BK74" s="1"/>
      <c r="BL74" s="2"/>
      <c r="BM74" s="2"/>
      <c r="BN74" s="2"/>
      <c r="BO74" s="7"/>
      <c r="BP74" s="2"/>
      <c r="BQ74" s="1"/>
      <c r="BR74" s="4"/>
      <c r="BS74" s="2"/>
      <c r="BT74" s="2"/>
      <c r="BU74" s="21"/>
      <c r="BV74" s="21"/>
      <c r="BW74" s="21"/>
      <c r="BX74" s="21"/>
      <c r="BY74" s="1"/>
      <c r="BZ74" s="4"/>
      <c r="CA74" s="2"/>
      <c r="CB74" s="2"/>
      <c r="CC74" s="21"/>
      <c r="CD74" s="2"/>
      <c r="CE74" s="2"/>
      <c r="CF74" s="21"/>
      <c r="CG74" s="15"/>
      <c r="CH74" s="21"/>
    </row>
    <row r="75" spans="1:86" x14ac:dyDescent="0.25">
      <c r="BC75" s="1"/>
      <c r="BD75" s="2"/>
      <c r="BE75" s="7"/>
      <c r="BF75" s="1"/>
      <c r="BG75" s="2"/>
      <c r="BH75" s="2"/>
      <c r="BI75" s="2"/>
      <c r="BJ75" s="7"/>
      <c r="BK75" s="1"/>
      <c r="BL75" s="2"/>
      <c r="BM75" s="2"/>
      <c r="BN75" s="2"/>
      <c r="BO75" s="7"/>
      <c r="BP75" s="2"/>
      <c r="BQ75" s="1"/>
      <c r="BR75" s="4"/>
      <c r="BS75" s="2"/>
      <c r="BT75" s="2"/>
      <c r="BU75" s="21"/>
      <c r="BV75" s="21"/>
      <c r="BW75" s="21"/>
      <c r="BX75" s="21"/>
      <c r="BY75" s="1"/>
      <c r="BZ75" s="4"/>
      <c r="CA75" s="2"/>
      <c r="CB75" s="2"/>
      <c r="CC75" s="21"/>
      <c r="CD75" s="2"/>
      <c r="CE75" s="2"/>
      <c r="CF75" s="21"/>
      <c r="CG75" s="10"/>
      <c r="CH75" s="21"/>
    </row>
    <row r="76" spans="1:86" x14ac:dyDescent="0.25">
      <c r="BC76" s="1"/>
      <c r="BD76" s="2"/>
      <c r="BE76" s="7"/>
      <c r="BF76" s="1"/>
      <c r="BG76" s="2"/>
      <c r="BH76" s="2"/>
      <c r="BI76" s="2"/>
      <c r="BJ76" s="7"/>
      <c r="BK76" s="1"/>
      <c r="BL76" s="2"/>
      <c r="BM76" s="2"/>
      <c r="BN76" s="2"/>
      <c r="BO76" s="7"/>
      <c r="BP76" s="2"/>
      <c r="BQ76" s="1"/>
      <c r="BR76" s="4"/>
      <c r="BS76" s="2"/>
      <c r="BT76" s="2"/>
      <c r="BU76" s="21"/>
      <c r="BV76" s="21"/>
      <c r="BW76" s="21"/>
      <c r="BX76" s="21"/>
      <c r="BY76" s="1"/>
      <c r="BZ76" s="4"/>
      <c r="CA76" s="2"/>
      <c r="CB76" s="2"/>
      <c r="CC76" s="21"/>
      <c r="CD76" s="2"/>
      <c r="CE76" s="2"/>
      <c r="CF76" s="21"/>
      <c r="CG76" s="15"/>
      <c r="CH76" s="21"/>
    </row>
  </sheetData>
  <mergeCells count="19">
    <mergeCell ref="CF5:CG5"/>
    <mergeCell ref="BF3:BJ4"/>
    <mergeCell ref="BK3:BO3"/>
    <mergeCell ref="BQ3:BU4"/>
    <mergeCell ref="BY3:CG4"/>
    <mergeCell ref="G4:H4"/>
    <mergeCell ref="I4:K4"/>
    <mergeCell ref="R4:T4"/>
    <mergeCell ref="U4:W4"/>
    <mergeCell ref="BC1:CG1"/>
    <mergeCell ref="BC2:BO2"/>
    <mergeCell ref="BQ2:CG2"/>
    <mergeCell ref="F3:K3"/>
    <mergeCell ref="M3:N4"/>
    <mergeCell ref="O3:Q4"/>
    <mergeCell ref="R3:W3"/>
    <mergeCell ref="AA3:AH4"/>
    <mergeCell ref="AI3:BA4"/>
    <mergeCell ref="BC3:BE4"/>
  </mergeCells>
  <conditionalFormatting sqref="D6:D67">
    <cfRule type="expression" dxfId="53" priority="16">
      <formula>$B6=FALSE</formula>
    </cfRule>
  </conditionalFormatting>
  <conditionalFormatting sqref="BL6:BL76">
    <cfRule type="cellIs" dxfId="52" priority="13" operator="greaterThan">
      <formula>$BL$4</formula>
    </cfRule>
  </conditionalFormatting>
  <conditionalFormatting sqref="BM6:BN76">
    <cfRule type="cellIs" dxfId="51" priority="14" operator="greaterThan">
      <formula>$BM$4</formula>
    </cfRule>
  </conditionalFormatting>
  <conditionalFormatting sqref="BP6:BP9 BO6:BO57 BP11:BP36 BO58:BP76">
    <cfRule type="expression" dxfId="50" priority="15">
      <formula>ABS($BO6)&gt;$BO$4</formula>
    </cfRule>
  </conditionalFormatting>
  <conditionalFormatting sqref="BP10">
    <cfRule type="expression" dxfId="49" priority="17">
      <formula>ABS($BP10)&gt;$BO$4</formula>
    </cfRule>
  </conditionalFormatting>
  <conditionalFormatting sqref="BR6:BR76">
    <cfRule type="expression" dxfId="48" priority="12">
      <formula>$A6="Travée"</formula>
    </cfRule>
  </conditionalFormatting>
  <conditionalFormatting sqref="BU6:BU76">
    <cfRule type="cellIs" dxfId="47" priority="6" operator="lessThan">
      <formula>1</formula>
    </cfRule>
  </conditionalFormatting>
  <conditionalFormatting sqref="BU6:BX76">
    <cfRule type="cellIs" dxfId="46" priority="4" operator="equal">
      <formula>""</formula>
    </cfRule>
  </conditionalFormatting>
  <conditionalFormatting sqref="BX6 BV7:BX7 BX8 BV9:BX9 BV11:BX11 BX12 BV13:BX13 BX14 BV15:BX15 BX16 BV17:BX17 BX18 BV19:BX19 BX20 BV21:BX21 BX22 BV23:BX23 BX24 BV25:BX25 BX26 BV27:BX27 BX28 BV29:BX29 BX30 BV31:BX31 BX32 BV33:BX33 BX34 BV35:BX35 BX36 BV37:BX37 BX38 BV39:BX39 BX40 BV41:BX41 BX42 BV43:BX43 BX44 BV45:BX45 BX46 BV47:BX47 BX48 BV49:BX49 BX50 BV51:BX51 BX52 BV53:BX53 BX54 BV55:BX55 BX56 BV57:BX57 BX58 BV59:BX59 BX60 BV61:BX61 BX62 BV63:BX63 BX64 BV65:BX65 BX66 BV67:BX67 BX68 BV69:BX69 BX70 BV71:BX71 BX72 BV73:BX73 BX74 BV75:BX75 BX76">
    <cfRule type="cellIs" dxfId="45" priority="10" operator="equal">
      <formula>""</formula>
    </cfRule>
  </conditionalFormatting>
  <conditionalFormatting sqref="BX6:BX76">
    <cfRule type="cellIs" dxfId="44" priority="9" operator="lessThan">
      <formula>1</formula>
    </cfRule>
  </conditionalFormatting>
  <conditionalFormatting sqref="BZ6:BZ76">
    <cfRule type="expression" dxfId="43" priority="3">
      <formula>$A6="Travée"</formula>
    </cfRule>
  </conditionalFormatting>
  <conditionalFormatting sqref="CC6:CC76">
    <cfRule type="cellIs" dxfId="42" priority="1" operator="equal">
      <formula>""</formula>
    </cfRule>
    <cfRule type="cellIs" dxfId="41" priority="2" operator="lessThan">
      <formula>1</formula>
    </cfRule>
  </conditionalFormatting>
  <conditionalFormatting sqref="CD6:CG6 CD7:CF76">
    <cfRule type="cellIs" dxfId="40" priority="5" operator="equal">
      <formula>""</formula>
    </cfRule>
  </conditionalFormatting>
  <conditionalFormatting sqref="CF6:CF76">
    <cfRule type="cellIs" dxfId="39" priority="11" operator="lessThan">
      <formula>IF($CG6="Rive",1.15,IF($CG6="Inter",1.1,0))</formula>
    </cfRule>
  </conditionalFormatting>
  <conditionalFormatting sqref="CH6:CH9 CF10:CH76 CF7:CG9">
    <cfRule type="cellIs" dxfId="38" priority="8" operator="equal">
      <formula>""</formula>
    </cfRule>
  </conditionalFormatting>
  <conditionalFormatting sqref="CH6:CH76">
    <cfRule type="cellIs" dxfId="37" priority="7" operator="lessThan">
      <formula>0.63</formula>
    </cfRule>
  </conditionalFormatting>
  <pageMargins left="0.7" right="0.7" top="0.75" bottom="0.75" header="0.3" footer="0.3"/>
  <pageSetup paperSize="8" scale="6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FBDE-7A3F-40E2-A0EE-851ED586766D}">
  <sheetPr>
    <pageSetUpPr fitToPage="1"/>
  </sheetPr>
  <dimension ref="A1:BZ67"/>
  <sheetViews>
    <sheetView zoomScaleNormal="100" workbookViewId="0">
      <pane xSplit="5" topLeftCell="V1" activePane="topRight" state="frozen"/>
      <selection activeCell="AM48" sqref="AM48"/>
      <selection pane="topRight" activeCell="BP6" sqref="BP6:BP67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5.85546875" bestFit="1" customWidth="1"/>
    <col min="7" max="7" width="3.42578125" bestFit="1" customWidth="1"/>
    <col min="8" max="8" width="3.85546875" bestFit="1" customWidth="1"/>
    <col min="9" max="9" width="6.85546875" bestFit="1" customWidth="1"/>
    <col min="10" max="11" width="4.8554687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4" width="4.140625" bestFit="1" customWidth="1"/>
    <col min="25" max="25" width="3.85546875" bestFit="1" customWidth="1"/>
    <col min="26" max="26" width="4.5703125" bestFit="1" customWidth="1"/>
    <col min="27" max="27" width="4.14062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5" width="3.85546875" customWidth="1" outlineLevel="1"/>
    <col min="36" max="36" width="8" customWidth="1" outlineLevel="1"/>
    <col min="37" max="39" width="4.85546875" customWidth="1" outlineLevel="1"/>
    <col min="40" max="42" width="4.140625" customWidth="1" outlineLevel="1"/>
    <col min="43" max="43" width="3.85546875" customWidth="1" outlineLevel="1"/>
    <col min="44" max="44" width="4.85546875" customWidth="1" outlineLevel="1"/>
    <col min="45" max="45" width="5.28515625" customWidth="1" outlineLevel="1"/>
    <col min="46" max="46" width="5.85546875" customWidth="1" outlineLevel="1"/>
    <col min="47" max="48" width="4.140625" customWidth="1" outlineLevel="1"/>
    <col min="49" max="50" width="4.85546875" customWidth="1" outlineLevel="1"/>
    <col min="51" max="51" width="2.85546875" customWidth="1"/>
    <col min="52" max="52" width="6.42578125" customWidth="1"/>
    <col min="53" max="53" width="3.42578125" bestFit="1" customWidth="1"/>
    <col min="54" max="54" width="5.85546875" customWidth="1"/>
    <col min="55" max="56" width="3.42578125" bestFit="1" customWidth="1"/>
    <col min="57" max="57" width="4.85546875" bestFit="1" customWidth="1"/>
    <col min="58" max="59" width="4.42578125" bestFit="1" customWidth="1"/>
    <col min="60" max="60" width="3.85546875" bestFit="1" customWidth="1"/>
    <col min="61" max="61" width="4.28515625" bestFit="1" customWidth="1"/>
    <col min="62" max="64" width="5.28515625" bestFit="1" customWidth="1"/>
    <col min="66" max="66" width="4.140625" bestFit="1" customWidth="1"/>
    <col min="67" max="67" width="10.28515625" bestFit="1" customWidth="1"/>
    <col min="68" max="69" width="4.140625" bestFit="1" customWidth="1"/>
    <col min="70" max="70" width="5.28515625" bestFit="1" customWidth="1"/>
    <col min="71" max="72" width="4.140625" bestFit="1" customWidth="1"/>
    <col min="73" max="73" width="7.42578125" bestFit="1" customWidth="1"/>
    <col min="74" max="75" width="4.140625" bestFit="1" customWidth="1"/>
    <col min="76" max="76" width="4.7109375" bestFit="1" customWidth="1"/>
    <col min="77" max="77" width="5" bestFit="1" customWidth="1"/>
    <col min="79" max="79" width="9.140625" bestFit="1" customWidth="1"/>
  </cols>
  <sheetData>
    <row r="1" spans="1:78" ht="15.75" thickBot="1" x14ac:dyDescent="0.3">
      <c r="AZ1" s="80" t="s">
        <v>67</v>
      </c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2"/>
    </row>
    <row r="2" spans="1:78" ht="15.75" thickBot="1" x14ac:dyDescent="0.3">
      <c r="AZ2" s="67" t="s">
        <v>78</v>
      </c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79"/>
      <c r="BM2" s="6"/>
      <c r="BN2" s="67" t="s">
        <v>79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9"/>
    </row>
    <row r="3" spans="1:78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61" t="s">
        <v>68</v>
      </c>
      <c r="Y3" s="62"/>
      <c r="Z3" s="62"/>
      <c r="AA3" s="62"/>
      <c r="AB3" s="62"/>
      <c r="AC3" s="62"/>
      <c r="AD3" s="62"/>
      <c r="AE3" s="63"/>
      <c r="AF3" s="67" t="s">
        <v>67</v>
      </c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Z3" s="83" t="s">
        <v>87</v>
      </c>
      <c r="BA3" s="62"/>
      <c r="BB3" s="63"/>
      <c r="BC3" s="83" t="s">
        <v>88</v>
      </c>
      <c r="BD3" s="62"/>
      <c r="BE3" s="62"/>
      <c r="BF3" s="62"/>
      <c r="BG3" s="63"/>
      <c r="BH3" s="71" t="s">
        <v>77</v>
      </c>
      <c r="BI3" s="72"/>
      <c r="BJ3" s="72"/>
      <c r="BK3" s="72"/>
      <c r="BL3" s="73"/>
      <c r="BN3" s="83" t="s">
        <v>89</v>
      </c>
      <c r="BO3" s="62"/>
      <c r="BP3" s="62"/>
      <c r="BQ3" s="62"/>
      <c r="BR3" s="63"/>
      <c r="BS3" s="83" t="s">
        <v>90</v>
      </c>
      <c r="BT3" s="62"/>
      <c r="BU3" s="62"/>
      <c r="BV3" s="62"/>
      <c r="BW3" s="62"/>
      <c r="BX3" s="62"/>
      <c r="BY3" s="63"/>
    </row>
    <row r="4" spans="1:78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64"/>
      <c r="Y4" s="65"/>
      <c r="Z4" s="65"/>
      <c r="AA4" s="65"/>
      <c r="AB4" s="65"/>
      <c r="AC4" s="65"/>
      <c r="AD4" s="65"/>
      <c r="AE4" s="66"/>
      <c r="AF4" s="67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Z4" s="64"/>
      <c r="BA4" s="65"/>
      <c r="BB4" s="66"/>
      <c r="BC4" s="64"/>
      <c r="BD4" s="65"/>
      <c r="BE4" s="65"/>
      <c r="BF4" s="65"/>
      <c r="BG4" s="66"/>
      <c r="BH4" s="23"/>
      <c r="BI4" s="24">
        <f>0.6*F7</f>
        <v>15</v>
      </c>
      <c r="BJ4" s="24">
        <f>0.8*H7</f>
        <v>400</v>
      </c>
      <c r="BK4" s="24">
        <f>0.8*H7</f>
        <v>400</v>
      </c>
      <c r="BL4" s="25">
        <f>MIN(J7,0.9*0.8*H7)</f>
        <v>360.00000000000006</v>
      </c>
      <c r="BM4" s="14"/>
      <c r="BN4" s="64"/>
      <c r="BO4" s="65"/>
      <c r="BP4" s="65"/>
      <c r="BQ4" s="65"/>
      <c r="BR4" s="66"/>
      <c r="BS4" s="64"/>
      <c r="BT4" s="65"/>
      <c r="BU4" s="65"/>
      <c r="BV4" s="65"/>
      <c r="BW4" s="65"/>
      <c r="BX4" s="65"/>
      <c r="BY4" s="66"/>
    </row>
    <row r="5" spans="1:78" ht="81.75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31" t="s">
        <v>69</v>
      </c>
      <c r="Y5" s="32" t="s">
        <v>70</v>
      </c>
      <c r="Z5" s="32" t="s">
        <v>71</v>
      </c>
      <c r="AA5" s="32" t="s">
        <v>20</v>
      </c>
      <c r="AB5" s="32" t="s">
        <v>21</v>
      </c>
      <c r="AC5" s="32" t="s">
        <v>22</v>
      </c>
      <c r="AD5" s="32" t="s">
        <v>23</v>
      </c>
      <c r="AE5" s="33" t="s">
        <v>24</v>
      </c>
      <c r="AF5" s="34" t="s">
        <v>25</v>
      </c>
      <c r="AG5" s="35" t="s">
        <v>26</v>
      </c>
      <c r="AH5" s="35" t="s">
        <v>27</v>
      </c>
      <c r="AI5" s="35" t="s">
        <v>28</v>
      </c>
      <c r="AJ5" s="35" t="s">
        <v>29</v>
      </c>
      <c r="AK5" s="35" t="s">
        <v>30</v>
      </c>
      <c r="AL5" s="35" t="s">
        <v>31</v>
      </c>
      <c r="AM5" s="35" t="s">
        <v>32</v>
      </c>
      <c r="AN5" s="35" t="s">
        <v>33</v>
      </c>
      <c r="AO5" s="35" t="s">
        <v>34</v>
      </c>
      <c r="AP5" s="35" t="s">
        <v>35</v>
      </c>
      <c r="AQ5" s="35" t="s">
        <v>36</v>
      </c>
      <c r="AR5" s="35" t="s">
        <v>37</v>
      </c>
      <c r="AS5" s="35" t="s">
        <v>38</v>
      </c>
      <c r="AT5" s="36" t="s">
        <v>39</v>
      </c>
      <c r="AU5" s="37" t="s">
        <v>40</v>
      </c>
      <c r="AV5" s="35" t="s">
        <v>42</v>
      </c>
      <c r="AW5" s="35" t="s">
        <v>43</v>
      </c>
      <c r="AX5" s="35" t="s">
        <v>41</v>
      </c>
      <c r="AY5" s="20"/>
      <c r="AZ5" s="16" t="s">
        <v>72</v>
      </c>
      <c r="BA5" s="18" t="s">
        <v>73</v>
      </c>
      <c r="BB5" s="17" t="s">
        <v>74</v>
      </c>
      <c r="BC5" s="18" t="s">
        <v>72</v>
      </c>
      <c r="BD5" s="18" t="s">
        <v>73</v>
      </c>
      <c r="BE5" s="18" t="s">
        <v>74</v>
      </c>
      <c r="BF5" s="18" t="s">
        <v>75</v>
      </c>
      <c r="BG5" s="17" t="s">
        <v>76</v>
      </c>
      <c r="BH5" s="16" t="s">
        <v>72</v>
      </c>
      <c r="BI5" s="18" t="s">
        <v>73</v>
      </c>
      <c r="BJ5" s="18" t="s">
        <v>74</v>
      </c>
      <c r="BK5" s="18" t="s">
        <v>75</v>
      </c>
      <c r="BL5" s="17" t="s">
        <v>76</v>
      </c>
      <c r="BM5" s="18"/>
      <c r="BN5" s="16" t="s">
        <v>80</v>
      </c>
      <c r="BO5" s="19" t="s">
        <v>66</v>
      </c>
      <c r="BP5" s="18" t="s">
        <v>82</v>
      </c>
      <c r="BQ5" s="18" t="s">
        <v>81</v>
      </c>
      <c r="BR5" s="17" t="s">
        <v>83</v>
      </c>
      <c r="BS5" s="16" t="s">
        <v>80</v>
      </c>
      <c r="BT5" s="18" t="s">
        <v>81</v>
      </c>
      <c r="BU5" s="20"/>
      <c r="BV5" s="18" t="s">
        <v>84</v>
      </c>
      <c r="BW5" s="18" t="s">
        <v>85</v>
      </c>
      <c r="BX5" s="77" t="s">
        <v>86</v>
      </c>
      <c r="BY5" s="78"/>
    </row>
    <row r="6" spans="1:78" x14ac:dyDescent="0.25">
      <c r="A6" t="str">
        <f>IF(ISNUMBER(SEARCH("Appui",E6)),"Appui",IF(ISNUMBER(SEARCH("Travée",E6)),"Travée",""))</f>
        <v>Travée</v>
      </c>
      <c r="B6" t="b">
        <f>MOD(C6,2)=0</f>
        <v>0</v>
      </c>
      <c r="C6">
        <v>1</v>
      </c>
      <c r="D6" s="5" t="s">
        <v>109</v>
      </c>
      <c r="E6" t="s">
        <v>45</v>
      </c>
      <c r="F6" s="5">
        <v>25</v>
      </c>
      <c r="G6" t="s">
        <v>46</v>
      </c>
      <c r="H6">
        <v>500</v>
      </c>
      <c r="I6">
        <v>170000</v>
      </c>
      <c r="J6">
        <v>1300</v>
      </c>
      <c r="K6" s="10">
        <v>1445</v>
      </c>
      <c r="L6" s="12">
        <v>1</v>
      </c>
      <c r="M6" s="5">
        <v>0.23499999999999999</v>
      </c>
      <c r="N6" s="10">
        <v>4</v>
      </c>
      <c r="O6" s="5">
        <v>5.1200000000000009E-4</v>
      </c>
      <c r="P6">
        <v>0.04</v>
      </c>
      <c r="Q6" s="10">
        <v>1</v>
      </c>
      <c r="R6" s="8">
        <v>0</v>
      </c>
      <c r="S6">
        <v>0</v>
      </c>
      <c r="T6">
        <v>1</v>
      </c>
      <c r="U6" s="9">
        <v>2.8800000000000001E-4</v>
      </c>
      <c r="V6">
        <v>0</v>
      </c>
      <c r="W6" s="10">
        <v>1</v>
      </c>
      <c r="X6" s="1">
        <v>56.256</v>
      </c>
      <c r="Y6" s="2">
        <v>17.088000000000001</v>
      </c>
      <c r="Z6" s="13">
        <v>0</v>
      </c>
      <c r="AA6" s="2">
        <v>56.256</v>
      </c>
      <c r="AB6" s="2">
        <v>17.088000000000001</v>
      </c>
      <c r="AC6" s="2">
        <v>96</v>
      </c>
      <c r="AD6" s="2"/>
      <c r="AE6" s="7">
        <v>73.343999999999994</v>
      </c>
      <c r="AF6" s="2">
        <v>56.256</v>
      </c>
      <c r="AG6" s="2">
        <v>17.088000000000001</v>
      </c>
      <c r="AH6" s="2">
        <v>8.8083296655322005</v>
      </c>
      <c r="AI6" s="2">
        <v>1.993682943671977</v>
      </c>
      <c r="AJ6" s="2">
        <v>-580.64796242663192</v>
      </c>
      <c r="AK6" s="2">
        <v>-103.7255449871332</v>
      </c>
      <c r="AL6" s="2">
        <v>0</v>
      </c>
      <c r="AM6" s="2">
        <v>-108.4609783236332</v>
      </c>
      <c r="AN6" s="2">
        <v>96</v>
      </c>
      <c r="AO6" s="2">
        <v>45.92194782608675</v>
      </c>
      <c r="AP6" s="2">
        <v>136.1306894132143</v>
      </c>
      <c r="AQ6" s="2">
        <v>8.5360972951184557</v>
      </c>
      <c r="AR6" s="2">
        <v>-436.09600083338341</v>
      </c>
      <c r="AS6" s="2">
        <v>0</v>
      </c>
      <c r="AT6" s="2">
        <v>-836.38544010077624</v>
      </c>
      <c r="AU6" s="1">
        <v>73.343999999999994</v>
      </c>
      <c r="AV6" s="2">
        <v>0</v>
      </c>
      <c r="AW6" s="2">
        <v>0</v>
      </c>
      <c r="AX6" s="2">
        <v>45.92194782608675</v>
      </c>
      <c r="AZ6" s="1">
        <f>AF6</f>
        <v>56.256</v>
      </c>
      <c r="BA6" s="2">
        <f>AH6</f>
        <v>8.8083296655322005</v>
      </c>
      <c r="BB6" s="7">
        <f>AJ6</f>
        <v>-580.64796242663192</v>
      </c>
      <c r="BC6" s="1">
        <f>AG6</f>
        <v>17.088000000000001</v>
      </c>
      <c r="BD6" s="2">
        <f>AI6</f>
        <v>1.993682943671977</v>
      </c>
      <c r="BE6" s="2">
        <f t="shared" ref="BE6" si="0">AK6</f>
        <v>-103.7255449871332</v>
      </c>
      <c r="BF6" s="2">
        <f t="shared" ref="BF6" si="1">AL6</f>
        <v>0</v>
      </c>
      <c r="BG6" s="7">
        <f t="shared" ref="BG6" si="2">AM6</f>
        <v>-108.4609783236332</v>
      </c>
      <c r="BH6" s="1">
        <f t="shared" ref="BH6" si="3">AZ6+BC6</f>
        <v>73.343999999999994</v>
      </c>
      <c r="BI6" s="2">
        <f t="shared" ref="BI6" si="4">BA6+BD6</f>
        <v>10.802012609204178</v>
      </c>
      <c r="BJ6" s="2">
        <f t="shared" ref="BJ6" si="5">ABS(BB6+BE6)</f>
        <v>684.37350741376508</v>
      </c>
      <c r="BK6" s="2">
        <f>ABS(BF6)</f>
        <v>0</v>
      </c>
      <c r="BL6" s="7">
        <f>BG6</f>
        <v>-108.4609783236332</v>
      </c>
      <c r="BM6" s="2"/>
      <c r="BN6" s="1">
        <f>AU6</f>
        <v>73.343999999999994</v>
      </c>
      <c r="BO6" s="4" t="str">
        <f t="shared" ref="BO6" si="6">IF(ISNUMBER(SEARCH("Appui",E6)),0,"0")</f>
        <v>0</v>
      </c>
      <c r="BP6" s="2">
        <f>IF(ISNUMBER(SEARCH("Appui",E6)),BN6+BO6*BN6,IF(C5&lt;C6,BN6-BO7*BN7/2,IF(C6&lt;C7,BN6-(BO5*BN5)/2,BN6-(BO7*BN7+BO5*BN5)/2)))</f>
        <v>73.343999999999994</v>
      </c>
      <c r="BQ6" s="2">
        <f>AX6</f>
        <v>45.92194782608675</v>
      </c>
      <c r="BR6" s="3">
        <f t="shared" ref="BR6:BR7" si="7">BP6/BQ6</f>
        <v>1.5971447961607517</v>
      </c>
      <c r="BS6" s="1">
        <f>AN6</f>
        <v>96</v>
      </c>
      <c r="BT6" s="2">
        <f>AP6</f>
        <v>136.1306894132143</v>
      </c>
      <c r="BU6" s="21">
        <f t="shared" ref="BU6:BU7" si="8">BS6/BT6</f>
        <v>0.70520468539316172</v>
      </c>
      <c r="BV6" s="2">
        <f>IF(ISNUMBER(SEARCH("Travée",E6)),BS6+(IF(C5&lt;C6,0,BS5)+IF(C7&gt;C6,0,BS7))/2,"")</f>
        <v>96.55</v>
      </c>
      <c r="BW6" s="2">
        <f>IF(ISNUMBER(SEARCH("Travée",E6)),BT6+(IF(C5&lt;C6,0,BT5)+IF(C7&gt;C6,0,BT7))/2,"")</f>
        <v>177.3824114324901</v>
      </c>
      <c r="BX6" s="21">
        <f t="shared" ref="BX6:BX7" si="9">IF(ISNUMBER(SEARCH("Travée",E6)),BW6/BV6,"")</f>
        <v>1.8372077828326268</v>
      </c>
      <c r="BY6" s="10" t="str">
        <f>IF(C4&lt;C6,"Rive",IF(C8&gt;C6,"Rive","Inter"))</f>
        <v>Rive</v>
      </c>
    </row>
    <row r="7" spans="1:78" x14ac:dyDescent="0.25">
      <c r="A7" t="str">
        <f>IF(ISNUMBER(SEARCH("Appui",E7)),"Appui",IF(ISNUMBER(SEARCH("Travée",E7)),"Travée",""))</f>
        <v>Appui</v>
      </c>
      <c r="B7" t="b">
        <f>MOD(C7,2)=0</f>
        <v>0</v>
      </c>
      <c r="C7">
        <v>1</v>
      </c>
      <c r="D7" s="5" t="s">
        <v>109</v>
      </c>
      <c r="E7" t="s">
        <v>47</v>
      </c>
      <c r="F7" s="5">
        <v>25</v>
      </c>
      <c r="G7" t="s">
        <v>46</v>
      </c>
      <c r="H7">
        <v>500</v>
      </c>
      <c r="I7">
        <v>170000</v>
      </c>
      <c r="J7">
        <v>1300</v>
      </c>
      <c r="K7" s="10">
        <v>1445</v>
      </c>
      <c r="L7" s="12">
        <v>1</v>
      </c>
      <c r="M7" s="5">
        <v>0.23499999999999999</v>
      </c>
      <c r="N7" s="10">
        <v>4</v>
      </c>
      <c r="O7" s="5">
        <v>1.0059999999999999E-3</v>
      </c>
      <c r="P7">
        <v>5.5E-2</v>
      </c>
      <c r="Q7" s="10">
        <v>1</v>
      </c>
      <c r="R7" s="8">
        <v>0</v>
      </c>
      <c r="S7">
        <v>0</v>
      </c>
      <c r="T7">
        <v>1</v>
      </c>
      <c r="U7" s="9">
        <v>0</v>
      </c>
      <c r="V7">
        <v>0</v>
      </c>
      <c r="W7" s="10">
        <v>1</v>
      </c>
      <c r="X7" s="1">
        <v>0.64460000000000006</v>
      </c>
      <c r="Y7" s="2">
        <v>0.1958</v>
      </c>
      <c r="Z7" s="13">
        <v>0</v>
      </c>
      <c r="AA7" s="2">
        <v>0.64460000000000006</v>
      </c>
      <c r="AB7" s="2">
        <v>0.1958</v>
      </c>
      <c r="AC7" s="2">
        <v>1.1000000000000001</v>
      </c>
      <c r="AD7" s="2"/>
      <c r="AE7" s="7">
        <v>0.84040000000000004</v>
      </c>
      <c r="AF7" s="2">
        <v>0.64460000000000006</v>
      </c>
      <c r="AG7" s="2">
        <v>0.1958</v>
      </c>
      <c r="AH7" s="2">
        <v>8.3792931604445384E-2</v>
      </c>
      <c r="AI7" s="2">
        <v>2.5314743225125561E-2</v>
      </c>
      <c r="AJ7" s="2">
        <v>-3.714926624659403</v>
      </c>
      <c r="AK7" s="2">
        <v>-1.1206786717965951</v>
      </c>
      <c r="AL7" s="2">
        <v>0</v>
      </c>
      <c r="AM7" s="2">
        <v>0</v>
      </c>
      <c r="AN7" s="2">
        <v>1.1000000000000001</v>
      </c>
      <c r="AO7" s="2">
        <v>82.503444038551606</v>
      </c>
      <c r="AP7" s="2">
        <v>82.503444038551606</v>
      </c>
      <c r="AQ7" s="2">
        <v>0.1075491695335051</v>
      </c>
      <c r="AR7" s="2">
        <v>-6.4385212378943466</v>
      </c>
      <c r="AS7" s="2">
        <v>0</v>
      </c>
      <c r="AT7" s="2">
        <v>0</v>
      </c>
      <c r="AU7" s="1">
        <v>0.84040000000000004</v>
      </c>
      <c r="AV7" s="2">
        <v>8.2186678910060415E-2</v>
      </c>
      <c r="AW7" s="2">
        <v>-4.9189627856769027</v>
      </c>
      <c r="AX7" s="2">
        <v>82.503444038551606</v>
      </c>
      <c r="AZ7" s="1">
        <f>AF7</f>
        <v>0.64460000000000006</v>
      </c>
      <c r="BA7" s="2">
        <f>AH7</f>
        <v>8.3792931604445384E-2</v>
      </c>
      <c r="BB7" s="7">
        <f>AJ7</f>
        <v>-3.714926624659403</v>
      </c>
      <c r="BC7" s="1">
        <f>AG7</f>
        <v>0.1958</v>
      </c>
      <c r="BD7" s="2">
        <f>AI7</f>
        <v>2.5314743225125561E-2</v>
      </c>
      <c r="BE7" s="2">
        <f t="shared" ref="BE7:BG14" si="10">AK7</f>
        <v>-1.1206786717965951</v>
      </c>
      <c r="BF7" s="2">
        <f t="shared" si="10"/>
        <v>0</v>
      </c>
      <c r="BG7" s="7">
        <f t="shared" si="10"/>
        <v>0</v>
      </c>
      <c r="BH7" s="1">
        <f t="shared" ref="BH7:BI14" si="11">AZ7+BC7</f>
        <v>0.84040000000000004</v>
      </c>
      <c r="BI7" s="2">
        <f t="shared" si="11"/>
        <v>0.10910767482957094</v>
      </c>
      <c r="BJ7" s="2">
        <f t="shared" ref="BJ7:BJ14" si="12">ABS(BB7+BE7)</f>
        <v>4.8356052964559986</v>
      </c>
      <c r="BK7" s="2">
        <f>ABS(BF7)</f>
        <v>0</v>
      </c>
      <c r="BL7" s="7">
        <f>BG7</f>
        <v>0</v>
      </c>
      <c r="BM7" s="2"/>
      <c r="BN7" s="1">
        <f>AU7</f>
        <v>0.84040000000000004</v>
      </c>
      <c r="BO7" s="4">
        <v>0</v>
      </c>
      <c r="BP7" s="2">
        <f t="shared" ref="BP7:BP67" si="13">IF(ISNUMBER(SEARCH("Appui",E7)),BN7+BO7*BN7,IF(C6&lt;C7,BN7-BO8*BN8/2,IF(C7&lt;C8,BN7-(BO6*BN6)/2,BN7-(BO8*BN8+BO6*BN6)/2)))</f>
        <v>0.84040000000000004</v>
      </c>
      <c r="BQ7" s="2">
        <f>AX7</f>
        <v>82.503444038551606</v>
      </c>
      <c r="BR7" s="3">
        <f t="shared" si="7"/>
        <v>1.0186241432628002E-2</v>
      </c>
      <c r="BS7" s="1">
        <f t="shared" ref="BS7:BS8" si="14">AN7</f>
        <v>1.1000000000000001</v>
      </c>
      <c r="BT7" s="2">
        <f t="shared" ref="BT7:BT8" si="15">AP7</f>
        <v>82.503444038551606</v>
      </c>
      <c r="BU7" s="21">
        <f t="shared" si="8"/>
        <v>1.333277674427749E-2</v>
      </c>
      <c r="BV7" s="2" t="str">
        <f t="shared" ref="BV7:BV8" si="16">IF(ISNUMBER(SEARCH("Travée",E7)),BS7+(IF(C6&lt;C7,0,BS6)+IF(C8&gt;C7,0,BS8))/2,"")</f>
        <v/>
      </c>
      <c r="BW7" s="2" t="str">
        <f t="shared" ref="BW7:BW8" si="17">IF(ISNUMBER(SEARCH("Travée",E7)),BT7+(IF(C6&lt;C7,0,BT6)+IF(C8&gt;C7,0,BT8))/2,"")</f>
        <v/>
      </c>
      <c r="BX7" s="21" t="str">
        <f t="shared" si="9"/>
        <v/>
      </c>
      <c r="BY7" s="15"/>
    </row>
    <row r="8" spans="1:78" x14ac:dyDescent="0.25">
      <c r="A8" t="str">
        <f t="shared" ref="A8:A66" si="18">IF(ISNUMBER(SEARCH("Appui",E8)),"Appui",IF(ISNUMBER(SEARCH("Travée",E8)),"Travée",""))</f>
        <v>Travée</v>
      </c>
      <c r="B8" t="b">
        <f t="shared" ref="B8:B66" si="19">MOD(C8,2)=0</f>
        <v>0</v>
      </c>
      <c r="C8">
        <f>IF(D8=D7,C7,C7+1)</f>
        <v>1</v>
      </c>
      <c r="D8" s="5" t="s">
        <v>109</v>
      </c>
      <c r="E8" t="s">
        <v>48</v>
      </c>
      <c r="F8" s="5">
        <v>25</v>
      </c>
      <c r="G8" t="s">
        <v>46</v>
      </c>
      <c r="H8">
        <v>500</v>
      </c>
      <c r="I8">
        <v>170000</v>
      </c>
      <c r="J8">
        <v>1300</v>
      </c>
      <c r="K8" s="10">
        <v>1445</v>
      </c>
      <c r="L8" s="12">
        <v>1</v>
      </c>
      <c r="M8" s="5">
        <v>0.23499999999999999</v>
      </c>
      <c r="N8" s="10">
        <v>4</v>
      </c>
      <c r="O8" s="5">
        <v>2.052E-3</v>
      </c>
      <c r="P8">
        <v>0.04</v>
      </c>
      <c r="Q8" s="10">
        <v>1</v>
      </c>
      <c r="R8" s="8">
        <v>0</v>
      </c>
      <c r="S8">
        <v>0</v>
      </c>
      <c r="T8">
        <v>1</v>
      </c>
      <c r="U8" s="9">
        <v>0</v>
      </c>
      <c r="V8">
        <v>0</v>
      </c>
      <c r="W8" s="10">
        <v>1</v>
      </c>
      <c r="X8" s="1">
        <v>29.253119999999999</v>
      </c>
      <c r="Y8" s="2">
        <v>8.8857599999999994</v>
      </c>
      <c r="Z8" s="13">
        <v>0</v>
      </c>
      <c r="AA8" s="2">
        <v>29.253119999999999</v>
      </c>
      <c r="AB8" s="2">
        <v>8.8857599999999994</v>
      </c>
      <c r="AC8" s="2">
        <v>49.92</v>
      </c>
      <c r="AD8" s="2"/>
      <c r="AE8" s="7">
        <v>38.13888</v>
      </c>
      <c r="AF8" s="2">
        <v>29.253119999999999</v>
      </c>
      <c r="AG8" s="2">
        <v>8.8857599999999994</v>
      </c>
      <c r="AH8" s="2">
        <v>2.448228708496333</v>
      </c>
      <c r="AI8" s="2">
        <v>0.74365829049858423</v>
      </c>
      <c r="AJ8" s="2">
        <v>-77.430369329823975</v>
      </c>
      <c r="AK8" s="2">
        <v>-23.51981524288955</v>
      </c>
      <c r="AL8" s="2">
        <v>0</v>
      </c>
      <c r="AM8" s="2">
        <v>0</v>
      </c>
      <c r="AN8" s="2">
        <v>49.92</v>
      </c>
      <c r="AO8" s="2">
        <v>176.642758331491</v>
      </c>
      <c r="AP8" s="2">
        <v>176.642758331491</v>
      </c>
      <c r="AQ8" s="2">
        <v>3.1061783989188778</v>
      </c>
      <c r="AR8" s="2">
        <v>-135.0201707926596</v>
      </c>
      <c r="AS8" s="2">
        <v>0</v>
      </c>
      <c r="AT8" s="2">
        <v>0</v>
      </c>
      <c r="AU8" s="1">
        <v>38.13888</v>
      </c>
      <c r="AV8" s="2">
        <v>2.3907048232903518</v>
      </c>
      <c r="AW8" s="2">
        <v>-103.1064273435679</v>
      </c>
      <c r="AX8" s="2">
        <v>176.642758331491</v>
      </c>
      <c r="AZ8" s="1">
        <f>AF8</f>
        <v>29.253119999999999</v>
      </c>
      <c r="BA8" s="2">
        <f>AH8</f>
        <v>2.448228708496333</v>
      </c>
      <c r="BB8" s="7">
        <f>AJ8</f>
        <v>-77.430369329823975</v>
      </c>
      <c r="BC8" s="1">
        <f>AG8</f>
        <v>8.8857599999999994</v>
      </c>
      <c r="BD8" s="2">
        <f>AI8</f>
        <v>0.74365829049858423</v>
      </c>
      <c r="BE8" s="2">
        <f t="shared" si="10"/>
        <v>-23.51981524288955</v>
      </c>
      <c r="BF8" s="2">
        <f t="shared" si="10"/>
        <v>0</v>
      </c>
      <c r="BG8" s="7">
        <f t="shared" si="10"/>
        <v>0</v>
      </c>
      <c r="BH8" s="1">
        <f t="shared" si="11"/>
        <v>38.13888</v>
      </c>
      <c r="BI8" s="2">
        <f t="shared" si="11"/>
        <v>3.1918869989949172</v>
      </c>
      <c r="BJ8" s="2">
        <f t="shared" si="12"/>
        <v>100.95018457271352</v>
      </c>
      <c r="BK8" s="2">
        <f t="shared" ref="BK8:BK14" si="20">ABS(BF8)</f>
        <v>0</v>
      </c>
      <c r="BL8" s="7">
        <f t="shared" ref="BL8:BL14" si="21">BG8</f>
        <v>0</v>
      </c>
      <c r="BM8" s="2"/>
      <c r="BN8" s="1">
        <f t="shared" ref="BN8:BN44" si="22">AU8</f>
        <v>38.13888</v>
      </c>
      <c r="BO8" s="4" t="str">
        <f t="shared" ref="BO8" si="23">IF(ISNUMBER(SEARCH("Appui",E8)),0,"0")</f>
        <v>0</v>
      </c>
      <c r="BP8" s="2">
        <f t="shared" si="13"/>
        <v>38.13888</v>
      </c>
      <c r="BQ8" s="2">
        <f t="shared" ref="BQ8:BQ44" si="24">AX8</f>
        <v>176.642758331491</v>
      </c>
      <c r="BR8" s="3">
        <f t="shared" ref="BR8:BR44" si="25">BP8/BQ8</f>
        <v>0.21590967192908009</v>
      </c>
      <c r="BS8" s="1">
        <f t="shared" si="14"/>
        <v>49.92</v>
      </c>
      <c r="BT8" s="2">
        <f t="shared" si="15"/>
        <v>176.642758331491</v>
      </c>
      <c r="BU8" s="21">
        <f t="shared" ref="BU8:BU44" si="26">BS8/BT8</f>
        <v>0.28260428262968601</v>
      </c>
      <c r="BV8" s="2">
        <f t="shared" si="16"/>
        <v>76.320000000000007</v>
      </c>
      <c r="BW8" s="2">
        <f t="shared" si="17"/>
        <v>259.1462023700426</v>
      </c>
      <c r="BX8" s="21">
        <f t="shared" ref="BX8:BX44" si="27">IF(ISNUMBER(SEARCH("Travée",E8)),BW8/BV8,"")</f>
        <v>3.3955215195236188</v>
      </c>
      <c r="BY8" s="10" t="str">
        <f t="shared" ref="BY8" si="28">IF(C6&lt;C8,"Rive",IF(C10&gt;C8,"Rive","Inter"))</f>
        <v>Inter</v>
      </c>
    </row>
    <row r="9" spans="1:78" x14ac:dyDescent="0.25">
      <c r="A9" t="str">
        <f t="shared" si="18"/>
        <v>Appui</v>
      </c>
      <c r="B9" t="b">
        <f t="shared" si="19"/>
        <v>0</v>
      </c>
      <c r="C9">
        <f t="shared" ref="C9:C32" si="29">IF(D9=D8,C8,C8+1)</f>
        <v>1</v>
      </c>
      <c r="D9" s="5" t="s">
        <v>109</v>
      </c>
      <c r="E9" t="s">
        <v>49</v>
      </c>
      <c r="F9" s="5">
        <v>25</v>
      </c>
      <c r="G9" t="s">
        <v>46</v>
      </c>
      <c r="H9">
        <v>500</v>
      </c>
      <c r="I9">
        <v>170000</v>
      </c>
      <c r="J9">
        <v>1300</v>
      </c>
      <c r="K9" s="10">
        <v>1445</v>
      </c>
      <c r="L9" s="12">
        <v>1</v>
      </c>
      <c r="M9" s="5">
        <v>0.23499999999999999</v>
      </c>
      <c r="N9" s="10">
        <v>4</v>
      </c>
      <c r="O9" s="5">
        <v>1.0059999999999999E-3</v>
      </c>
      <c r="P9">
        <v>5.5E-2</v>
      </c>
      <c r="Q9" s="10">
        <v>1</v>
      </c>
      <c r="R9" s="8">
        <v>0</v>
      </c>
      <c r="S9">
        <v>0</v>
      </c>
      <c r="T9">
        <v>1</v>
      </c>
      <c r="U9" s="9">
        <v>0</v>
      </c>
      <c r="V9">
        <v>0</v>
      </c>
      <c r="W9" s="10">
        <v>1</v>
      </c>
      <c r="X9" s="1">
        <v>30.296199999999999</v>
      </c>
      <c r="Y9" s="2">
        <v>9.2026000000000003</v>
      </c>
      <c r="Z9" s="13">
        <v>0</v>
      </c>
      <c r="AA9" s="2">
        <v>30.296199999999999</v>
      </c>
      <c r="AB9" s="2">
        <v>9.2026000000000003</v>
      </c>
      <c r="AC9" s="2">
        <v>51.7</v>
      </c>
      <c r="AD9" s="2"/>
      <c r="AE9" s="7">
        <v>39.498800000000003</v>
      </c>
      <c r="AF9" s="2">
        <v>30.296199999999999</v>
      </c>
      <c r="AG9" s="2">
        <v>9.2026000000000003</v>
      </c>
      <c r="AH9" s="2">
        <v>3.9385124038690038</v>
      </c>
      <c r="AI9" s="2">
        <v>1.1963399452025321</v>
      </c>
      <c r="AJ9" s="2">
        <v>-174.61466697340359</v>
      </c>
      <c r="AK9" s="2">
        <v>-53.039950036289817</v>
      </c>
      <c r="AL9" s="2">
        <v>0</v>
      </c>
      <c r="AM9" s="2">
        <v>0</v>
      </c>
      <c r="AN9" s="2">
        <v>51.7</v>
      </c>
      <c r="AO9" s="2">
        <v>82.503444038551606</v>
      </c>
      <c r="AP9" s="2">
        <v>82.503444038551606</v>
      </c>
      <c r="AQ9" s="2">
        <v>4.8135169791690764</v>
      </c>
      <c r="AR9" s="2">
        <v>-303.25268745325059</v>
      </c>
      <c r="AS9" s="2">
        <v>0</v>
      </c>
      <c r="AT9" s="2">
        <v>0</v>
      </c>
      <c r="AU9" s="1">
        <v>39.498800000000003</v>
      </c>
      <c r="AV9" s="2">
        <v>3.723650282526429</v>
      </c>
      <c r="AW9" s="2">
        <v>-231.56128225238871</v>
      </c>
      <c r="AX9" s="2">
        <v>82.503444038551606</v>
      </c>
      <c r="AZ9" s="1">
        <f>AF9</f>
        <v>30.296199999999999</v>
      </c>
      <c r="BA9" s="2">
        <f>AH9</f>
        <v>3.9385124038690038</v>
      </c>
      <c r="BB9" s="7">
        <f>AJ9</f>
        <v>-174.61466697340359</v>
      </c>
      <c r="BC9" s="1">
        <f>AG9</f>
        <v>9.2026000000000003</v>
      </c>
      <c r="BD9" s="2">
        <f>AI9</f>
        <v>1.1963399452025321</v>
      </c>
      <c r="BE9" s="2">
        <f t="shared" si="10"/>
        <v>-53.039950036289817</v>
      </c>
      <c r="BF9" s="2">
        <f t="shared" si="10"/>
        <v>0</v>
      </c>
      <c r="BG9" s="7">
        <f t="shared" si="10"/>
        <v>0</v>
      </c>
      <c r="BH9" s="1">
        <f t="shared" si="11"/>
        <v>39.498800000000003</v>
      </c>
      <c r="BI9" s="2">
        <f t="shared" si="11"/>
        <v>5.1348523490715356</v>
      </c>
      <c r="BJ9" s="2">
        <f t="shared" si="12"/>
        <v>227.6546170096934</v>
      </c>
      <c r="BK9" s="2">
        <f t="shared" si="20"/>
        <v>0</v>
      </c>
      <c r="BL9" s="7">
        <f t="shared" si="21"/>
        <v>0</v>
      </c>
      <c r="BM9" s="2"/>
      <c r="BN9" s="1">
        <f t="shared" si="22"/>
        <v>39.498800000000003</v>
      </c>
      <c r="BO9" s="4">
        <v>0</v>
      </c>
      <c r="BP9" s="2">
        <f t="shared" si="13"/>
        <v>39.498800000000003</v>
      </c>
      <c r="BQ9" s="2">
        <f t="shared" si="24"/>
        <v>82.503444038551606</v>
      </c>
      <c r="BR9" s="3">
        <f t="shared" si="25"/>
        <v>0.47875334733351604</v>
      </c>
      <c r="BS9" s="1">
        <f t="shared" ref="BS9:BS44" si="30">AN9</f>
        <v>51.7</v>
      </c>
      <c r="BT9" s="2">
        <f t="shared" ref="BT9:BT44" si="31">AP9</f>
        <v>82.503444038551606</v>
      </c>
      <c r="BU9" s="21">
        <f t="shared" si="26"/>
        <v>0.62664050698104201</v>
      </c>
      <c r="BV9" s="2" t="str">
        <f t="shared" ref="BV9:BV44" si="32">IF(ISNUMBER(SEARCH("Travée",E9)),BS9+(IF(C8&lt;C9,0,BS8)+IF(C10&gt;C9,0,BS10))/2,"")</f>
        <v/>
      </c>
      <c r="BW9" s="2" t="str">
        <f t="shared" ref="BW9:BW44" si="33">IF(ISNUMBER(SEARCH("Travée",E9)),BT9+(IF(C8&lt;C9,0,BT8)+IF(C10&gt;C9,0,BT10))/2,"")</f>
        <v/>
      </c>
      <c r="BX9" s="21" t="str">
        <f t="shared" si="27"/>
        <v/>
      </c>
      <c r="BY9" s="15"/>
    </row>
    <row r="10" spans="1:78" x14ac:dyDescent="0.25">
      <c r="A10" t="str">
        <f t="shared" si="18"/>
        <v>Travée</v>
      </c>
      <c r="B10" t="b">
        <f t="shared" si="19"/>
        <v>0</v>
      </c>
      <c r="C10">
        <f t="shared" si="29"/>
        <v>1</v>
      </c>
      <c r="D10" s="5" t="s">
        <v>109</v>
      </c>
      <c r="E10" t="s">
        <v>51</v>
      </c>
      <c r="F10" s="5">
        <v>25</v>
      </c>
      <c r="G10" t="s">
        <v>46</v>
      </c>
      <c r="H10">
        <v>500</v>
      </c>
      <c r="I10">
        <v>170000</v>
      </c>
      <c r="J10">
        <v>1300</v>
      </c>
      <c r="K10" s="10">
        <v>1445</v>
      </c>
      <c r="L10" s="12">
        <v>1</v>
      </c>
      <c r="M10" s="5">
        <v>0.23499999999999999</v>
      </c>
      <c r="N10" s="10">
        <v>4.4000000000000004</v>
      </c>
      <c r="O10" s="5">
        <v>2.2572E-3</v>
      </c>
      <c r="P10">
        <v>0.04</v>
      </c>
      <c r="Q10" s="10">
        <v>1</v>
      </c>
      <c r="R10" s="8">
        <v>0</v>
      </c>
      <c r="S10">
        <v>0</v>
      </c>
      <c r="T10">
        <v>1</v>
      </c>
      <c r="U10" s="9">
        <v>0</v>
      </c>
      <c r="V10">
        <v>0</v>
      </c>
      <c r="W10" s="10">
        <v>1</v>
      </c>
      <c r="X10" s="1">
        <v>78.758399999999995</v>
      </c>
      <c r="Y10" s="2">
        <v>23.923200000000001</v>
      </c>
      <c r="Z10" s="13">
        <v>0</v>
      </c>
      <c r="AA10" s="2">
        <v>78.758399999999995</v>
      </c>
      <c r="AB10" s="2">
        <v>23.923200000000001</v>
      </c>
      <c r="AC10" s="2">
        <v>134.4</v>
      </c>
      <c r="AD10" s="2"/>
      <c r="AE10" s="7">
        <v>102.6816</v>
      </c>
      <c r="AF10" s="2">
        <v>78.758399999999995</v>
      </c>
      <c r="AG10" s="2">
        <v>23.923200000000001</v>
      </c>
      <c r="AH10" s="2">
        <v>5.9921681676483676</v>
      </c>
      <c r="AI10" s="2">
        <v>1.8201453447021361</v>
      </c>
      <c r="AJ10" s="2">
        <v>-189.51488996810059</v>
      </c>
      <c r="AK10" s="2">
        <v>-57.56596452179722</v>
      </c>
      <c r="AL10" s="2">
        <v>0</v>
      </c>
      <c r="AM10" s="2">
        <v>0</v>
      </c>
      <c r="AN10" s="2">
        <v>134.4</v>
      </c>
      <c r="AO10" s="2">
        <v>194.3070341646405</v>
      </c>
      <c r="AP10" s="2">
        <v>194.3070341646405</v>
      </c>
      <c r="AQ10" s="2">
        <v>7.2356188911015753</v>
      </c>
      <c r="AR10" s="2">
        <v>-331.50613542257599</v>
      </c>
      <c r="AS10" s="2">
        <v>0</v>
      </c>
      <c r="AT10" s="2">
        <v>0</v>
      </c>
      <c r="AU10" s="1">
        <v>102.6816</v>
      </c>
      <c r="AV10" s="2">
        <v>5.6434857595797627</v>
      </c>
      <c r="AW10" s="2">
        <v>-252.9418596122153</v>
      </c>
      <c r="AX10" s="2">
        <v>194.3070341646405</v>
      </c>
      <c r="AZ10" s="1">
        <f t="shared" ref="AZ10:AZ14" si="34">AF10</f>
        <v>78.758399999999995</v>
      </c>
      <c r="BA10" s="2">
        <f t="shared" ref="BA10:BA14" si="35">AH10</f>
        <v>5.9921681676483676</v>
      </c>
      <c r="BB10" s="7">
        <f t="shared" ref="BB10:BB14" si="36">AJ10</f>
        <v>-189.51488996810059</v>
      </c>
      <c r="BC10" s="1">
        <f t="shared" ref="BC10:BC14" si="37">AG10</f>
        <v>23.923200000000001</v>
      </c>
      <c r="BD10" s="2">
        <f t="shared" ref="BD10:BD14" si="38">AI10</f>
        <v>1.8201453447021361</v>
      </c>
      <c r="BE10" s="2">
        <f t="shared" si="10"/>
        <v>-57.56596452179722</v>
      </c>
      <c r="BF10" s="2">
        <f t="shared" si="10"/>
        <v>0</v>
      </c>
      <c r="BG10" s="7">
        <f t="shared" si="10"/>
        <v>0</v>
      </c>
      <c r="BH10" s="1">
        <f t="shared" si="11"/>
        <v>102.6816</v>
      </c>
      <c r="BI10" s="2">
        <f t="shared" si="11"/>
        <v>7.8123135123505039</v>
      </c>
      <c r="BJ10" s="2">
        <f t="shared" si="12"/>
        <v>247.0808544898978</v>
      </c>
      <c r="BK10" s="2">
        <f t="shared" si="20"/>
        <v>0</v>
      </c>
      <c r="BL10" s="7">
        <f t="shared" si="21"/>
        <v>0</v>
      </c>
      <c r="BM10" s="2"/>
      <c r="BN10" s="1">
        <f t="shared" si="22"/>
        <v>102.6816</v>
      </c>
      <c r="BO10" s="4" t="str">
        <f t="shared" ref="BO10" si="39">IF(ISNUMBER(SEARCH("Appui",E10)),0,"0")</f>
        <v>0</v>
      </c>
      <c r="BP10" s="2">
        <f t="shared" si="13"/>
        <v>102.6816</v>
      </c>
      <c r="BQ10" s="2">
        <f t="shared" si="24"/>
        <v>194.3070341646405</v>
      </c>
      <c r="BR10" s="3">
        <f t="shared" si="25"/>
        <v>0.52845024598026491</v>
      </c>
      <c r="BS10" s="1">
        <f t="shared" si="30"/>
        <v>134.4</v>
      </c>
      <c r="BT10" s="2">
        <f t="shared" si="31"/>
        <v>194.3070341646405</v>
      </c>
      <c r="BU10" s="21">
        <f t="shared" si="26"/>
        <v>0.69168880363909013</v>
      </c>
      <c r="BV10" s="2">
        <f t="shared" si="32"/>
        <v>203.70000000000002</v>
      </c>
      <c r="BW10" s="2">
        <f t="shared" si="33"/>
        <v>276.8750367816213</v>
      </c>
      <c r="BX10" s="21">
        <f t="shared" si="27"/>
        <v>1.3592294392814004</v>
      </c>
      <c r="BY10" s="10" t="str">
        <f t="shared" ref="BY10" si="40">IF(C8&lt;C10,"Rive",IF(C12&gt;C10,"Rive","Inter"))</f>
        <v>Inter</v>
      </c>
      <c r="BZ10" t="b">
        <f>SUM(BN7:BN10)&lt;=SUM(BP7:BP10)</f>
        <v>1</v>
      </c>
    </row>
    <row r="11" spans="1:78" x14ac:dyDescent="0.25">
      <c r="A11" t="str">
        <f t="shared" si="18"/>
        <v>Appui</v>
      </c>
      <c r="B11" t="b">
        <f t="shared" si="19"/>
        <v>0</v>
      </c>
      <c r="C11">
        <f t="shared" si="29"/>
        <v>1</v>
      </c>
      <c r="D11" s="5" t="s">
        <v>109</v>
      </c>
      <c r="E11" t="s">
        <v>52</v>
      </c>
      <c r="F11" s="5">
        <v>25</v>
      </c>
      <c r="G11" t="s">
        <v>46</v>
      </c>
      <c r="H11">
        <v>500</v>
      </c>
      <c r="I11">
        <v>170000</v>
      </c>
      <c r="J11">
        <v>1300</v>
      </c>
      <c r="K11" s="10">
        <v>1445</v>
      </c>
      <c r="L11" s="12">
        <v>1</v>
      </c>
      <c r="M11" s="5">
        <v>0.23499999999999999</v>
      </c>
      <c r="N11" s="10">
        <v>4.4000000000000004</v>
      </c>
      <c r="O11" s="5">
        <v>1.0059999999999999E-3</v>
      </c>
      <c r="P11">
        <v>5.5E-2</v>
      </c>
      <c r="Q11" s="10">
        <v>1</v>
      </c>
      <c r="R11" s="8">
        <v>0</v>
      </c>
      <c r="S11">
        <v>0</v>
      </c>
      <c r="T11">
        <v>1</v>
      </c>
      <c r="U11" s="9">
        <v>0</v>
      </c>
      <c r="V11">
        <v>0</v>
      </c>
      <c r="W11" s="10">
        <v>1</v>
      </c>
      <c r="X11" s="1">
        <v>50.923400000000001</v>
      </c>
      <c r="Y11" s="2">
        <v>15.4682</v>
      </c>
      <c r="Z11" s="13">
        <v>0</v>
      </c>
      <c r="AA11" s="2">
        <v>50.923400000000001</v>
      </c>
      <c r="AB11" s="2">
        <v>15.4682</v>
      </c>
      <c r="AC11" s="2">
        <v>86.9</v>
      </c>
      <c r="AD11" s="2"/>
      <c r="AE11" s="7">
        <v>66.391599999999997</v>
      </c>
      <c r="AF11" s="2">
        <v>50.923400000000001</v>
      </c>
      <c r="AG11" s="2">
        <v>15.4682</v>
      </c>
      <c r="AH11" s="2">
        <v>6.2608010029365841</v>
      </c>
      <c r="AI11" s="2">
        <v>1.901745014543875</v>
      </c>
      <c r="AJ11" s="2">
        <v>-293.08302826750332</v>
      </c>
      <c r="AK11" s="2">
        <v>-89.025220190470264</v>
      </c>
      <c r="AL11" s="2">
        <v>0</v>
      </c>
      <c r="AM11" s="2">
        <v>0</v>
      </c>
      <c r="AN11" s="2">
        <v>86.9</v>
      </c>
      <c r="AO11" s="2">
        <v>82.632561195409977</v>
      </c>
      <c r="AP11" s="2">
        <v>82.632561195409977</v>
      </c>
      <c r="AQ11" s="2">
        <v>0</v>
      </c>
      <c r="AR11" s="2">
        <v>0</v>
      </c>
      <c r="AS11" s="2">
        <v>0</v>
      </c>
      <c r="AT11" s="2">
        <v>0</v>
      </c>
      <c r="AU11" s="1">
        <v>66.391599999999997</v>
      </c>
      <c r="AV11" s="2">
        <v>5.7814896454141067</v>
      </c>
      <c r="AW11" s="2">
        <v>-388.66518679116558</v>
      </c>
      <c r="AX11" s="2">
        <v>82.632561195409977</v>
      </c>
      <c r="AZ11" s="1">
        <f t="shared" si="34"/>
        <v>50.923400000000001</v>
      </c>
      <c r="BA11" s="2">
        <f t="shared" si="35"/>
        <v>6.2608010029365841</v>
      </c>
      <c r="BB11" s="7">
        <f t="shared" si="36"/>
        <v>-293.08302826750332</v>
      </c>
      <c r="BC11" s="1">
        <f t="shared" si="37"/>
        <v>15.4682</v>
      </c>
      <c r="BD11" s="2">
        <f t="shared" si="38"/>
        <v>1.901745014543875</v>
      </c>
      <c r="BE11" s="2">
        <f t="shared" si="10"/>
        <v>-89.025220190470264</v>
      </c>
      <c r="BF11" s="2">
        <f t="shared" si="10"/>
        <v>0</v>
      </c>
      <c r="BG11" s="7">
        <f t="shared" si="10"/>
        <v>0</v>
      </c>
      <c r="BH11" s="1">
        <f t="shared" si="11"/>
        <v>66.391599999999997</v>
      </c>
      <c r="BI11" s="2">
        <f t="shared" si="11"/>
        <v>8.1625460174804587</v>
      </c>
      <c r="BJ11" s="2">
        <f t="shared" si="12"/>
        <v>382.10824845797356</v>
      </c>
      <c r="BK11" s="2">
        <f t="shared" si="20"/>
        <v>0</v>
      </c>
      <c r="BL11" s="7">
        <f t="shared" si="21"/>
        <v>0</v>
      </c>
      <c r="BM11" s="2"/>
      <c r="BN11" s="1">
        <f t="shared" si="22"/>
        <v>66.391599999999997</v>
      </c>
      <c r="BO11" s="4">
        <v>0</v>
      </c>
      <c r="BP11" s="2">
        <f t="shared" si="13"/>
        <v>66.391599999999997</v>
      </c>
      <c r="BQ11" s="2">
        <f t="shared" si="24"/>
        <v>82.632561195409977</v>
      </c>
      <c r="BR11" s="3">
        <f t="shared" si="25"/>
        <v>0.80345567218952274</v>
      </c>
      <c r="BS11" s="1">
        <f t="shared" si="30"/>
        <v>86.9</v>
      </c>
      <c r="BT11" s="2">
        <f t="shared" si="31"/>
        <v>82.632561195409977</v>
      </c>
      <c r="BU11" s="21">
        <f t="shared" si="26"/>
        <v>1.0516435499862864</v>
      </c>
      <c r="BV11" s="2" t="str">
        <f t="shared" si="32"/>
        <v/>
      </c>
      <c r="BW11" s="2" t="str">
        <f t="shared" si="33"/>
        <v/>
      </c>
      <c r="BX11" s="21" t="str">
        <f t="shared" si="27"/>
        <v/>
      </c>
      <c r="BY11" s="15"/>
    </row>
    <row r="12" spans="1:78" x14ac:dyDescent="0.25">
      <c r="A12" t="str">
        <f t="shared" si="18"/>
        <v>Travée</v>
      </c>
      <c r="B12" t="b">
        <f t="shared" si="19"/>
        <v>0</v>
      </c>
      <c r="C12">
        <f t="shared" si="29"/>
        <v>1</v>
      </c>
      <c r="D12" s="5" t="s">
        <v>109</v>
      </c>
      <c r="E12" t="s">
        <v>53</v>
      </c>
      <c r="F12" s="5">
        <v>25</v>
      </c>
      <c r="G12" t="s">
        <v>46</v>
      </c>
      <c r="H12">
        <v>500</v>
      </c>
      <c r="I12">
        <v>170000</v>
      </c>
      <c r="J12">
        <v>1300</v>
      </c>
      <c r="K12" s="10">
        <v>1445</v>
      </c>
      <c r="L12" s="12">
        <v>1</v>
      </c>
      <c r="M12" s="5">
        <v>0.23499999999999999</v>
      </c>
      <c r="N12" s="10">
        <v>4.4000000000000004</v>
      </c>
      <c r="O12" s="5">
        <v>2.2572E-3</v>
      </c>
      <c r="P12">
        <v>0.04</v>
      </c>
      <c r="Q12" s="10">
        <v>1</v>
      </c>
      <c r="R12" s="8">
        <v>0</v>
      </c>
      <c r="S12">
        <v>0</v>
      </c>
      <c r="T12">
        <v>1</v>
      </c>
      <c r="U12" s="9">
        <v>0</v>
      </c>
      <c r="V12">
        <v>0</v>
      </c>
      <c r="W12" s="10">
        <v>1</v>
      </c>
      <c r="X12" s="1">
        <v>76.508160000000004</v>
      </c>
      <c r="Y12" s="2">
        <v>23.23968</v>
      </c>
      <c r="Z12" s="13">
        <v>0</v>
      </c>
      <c r="AA12" s="2">
        <v>76.508160000000004</v>
      </c>
      <c r="AB12" s="2">
        <v>23.23968</v>
      </c>
      <c r="AC12" s="2">
        <v>130.56</v>
      </c>
      <c r="AD12" s="2"/>
      <c r="AE12" s="7">
        <v>99.747839999999997</v>
      </c>
      <c r="AF12" s="2">
        <v>76.508160000000004</v>
      </c>
      <c r="AG12" s="2">
        <v>23.23968</v>
      </c>
      <c r="AH12" s="2">
        <v>5.820963362858417</v>
      </c>
      <c r="AI12" s="2">
        <v>1.768141298602941</v>
      </c>
      <c r="AJ12" s="2">
        <v>-184.10017882615489</v>
      </c>
      <c r="AK12" s="2">
        <v>-55.921222007280527</v>
      </c>
      <c r="AL12" s="2">
        <v>0</v>
      </c>
      <c r="AM12" s="2">
        <v>0</v>
      </c>
      <c r="AN12" s="2">
        <v>130.56</v>
      </c>
      <c r="AO12" s="2">
        <v>194.3070341646405</v>
      </c>
      <c r="AP12" s="2">
        <v>194.3070341646405</v>
      </c>
      <c r="AQ12" s="2">
        <v>7.047018419198217</v>
      </c>
      <c r="AR12" s="2">
        <v>-321.98266803666689</v>
      </c>
      <c r="AS12" s="2">
        <v>0</v>
      </c>
      <c r="AT12" s="2">
        <v>0</v>
      </c>
      <c r="AU12" s="1">
        <v>99.747839999999997</v>
      </c>
      <c r="AV12" s="2">
        <v>5.4923702324794528</v>
      </c>
      <c r="AW12" s="2">
        <v>-245.6862722809332</v>
      </c>
      <c r="AX12" s="2">
        <v>194.3070341646405</v>
      </c>
      <c r="AZ12" s="1">
        <f t="shared" si="34"/>
        <v>76.508160000000004</v>
      </c>
      <c r="BA12" s="2">
        <f t="shared" si="35"/>
        <v>5.820963362858417</v>
      </c>
      <c r="BB12" s="7">
        <f t="shared" si="36"/>
        <v>-184.10017882615489</v>
      </c>
      <c r="BC12" s="1">
        <f t="shared" si="37"/>
        <v>23.23968</v>
      </c>
      <c r="BD12" s="2">
        <f t="shared" si="38"/>
        <v>1.768141298602941</v>
      </c>
      <c r="BE12" s="2">
        <f t="shared" si="10"/>
        <v>-55.921222007280527</v>
      </c>
      <c r="BF12" s="2">
        <f t="shared" si="10"/>
        <v>0</v>
      </c>
      <c r="BG12" s="7">
        <f t="shared" si="10"/>
        <v>0</v>
      </c>
      <c r="BH12" s="1">
        <f t="shared" si="11"/>
        <v>99.747839999999997</v>
      </c>
      <c r="BI12" s="2">
        <f t="shared" si="11"/>
        <v>7.5891046614613575</v>
      </c>
      <c r="BJ12" s="2">
        <f t="shared" si="12"/>
        <v>240.02140083343542</v>
      </c>
      <c r="BK12" s="2">
        <f t="shared" si="20"/>
        <v>0</v>
      </c>
      <c r="BL12" s="7">
        <f t="shared" si="21"/>
        <v>0</v>
      </c>
      <c r="BM12" s="2"/>
      <c r="BN12" s="1">
        <f t="shared" si="22"/>
        <v>99.747839999999997</v>
      </c>
      <c r="BO12" s="4" t="str">
        <f t="shared" ref="BO12" si="41">IF(ISNUMBER(SEARCH("Appui",E12)),0,"0")</f>
        <v>0</v>
      </c>
      <c r="BP12" s="2">
        <f t="shared" si="13"/>
        <v>99.747839999999997</v>
      </c>
      <c r="BQ12" s="2">
        <f t="shared" si="24"/>
        <v>194.3070341646405</v>
      </c>
      <c r="BR12" s="3">
        <f t="shared" si="25"/>
        <v>0.51335166752368588</v>
      </c>
      <c r="BS12" s="1">
        <f t="shared" si="30"/>
        <v>130.56</v>
      </c>
      <c r="BT12" s="2">
        <f t="shared" si="31"/>
        <v>194.3070341646405</v>
      </c>
      <c r="BU12" s="21">
        <f t="shared" si="26"/>
        <v>0.67192626639225905</v>
      </c>
      <c r="BV12" s="2">
        <f t="shared" si="32"/>
        <v>202.61</v>
      </c>
      <c r="BW12" s="2">
        <f t="shared" si="33"/>
        <v>277.02881533024288</v>
      </c>
      <c r="BX12" s="21">
        <f t="shared" si="27"/>
        <v>1.3673008011956116</v>
      </c>
      <c r="BY12" s="10" t="str">
        <f t="shared" ref="BY12" si="42">IF(C10&lt;C12,"Rive",IF(C14&gt;C12,"Rive","Inter"))</f>
        <v>Inter</v>
      </c>
    </row>
    <row r="13" spans="1:78" x14ac:dyDescent="0.25">
      <c r="A13" t="str">
        <f t="shared" si="18"/>
        <v>Appui</v>
      </c>
      <c r="B13" t="b">
        <f t="shared" si="19"/>
        <v>0</v>
      </c>
      <c r="C13">
        <f t="shared" si="29"/>
        <v>1</v>
      </c>
      <c r="D13" s="5" t="s">
        <v>109</v>
      </c>
      <c r="E13" t="s">
        <v>54</v>
      </c>
      <c r="F13" s="5">
        <v>25</v>
      </c>
      <c r="G13" t="s">
        <v>46</v>
      </c>
      <c r="H13">
        <v>500</v>
      </c>
      <c r="I13">
        <v>170000</v>
      </c>
      <c r="J13">
        <v>1300</v>
      </c>
      <c r="K13" s="10">
        <v>1445</v>
      </c>
      <c r="L13" s="12">
        <v>1</v>
      </c>
      <c r="M13" s="5">
        <v>0.23499999999999999</v>
      </c>
      <c r="N13" s="10">
        <v>5</v>
      </c>
      <c r="O13" s="5">
        <v>1.0059999999999999E-3</v>
      </c>
      <c r="P13">
        <v>5.5E-2</v>
      </c>
      <c r="Q13" s="10">
        <v>1</v>
      </c>
      <c r="R13" s="8">
        <v>0</v>
      </c>
      <c r="S13">
        <v>0</v>
      </c>
      <c r="T13">
        <v>1</v>
      </c>
      <c r="U13" s="9">
        <v>0</v>
      </c>
      <c r="V13">
        <v>0</v>
      </c>
      <c r="W13" s="10">
        <v>1</v>
      </c>
      <c r="X13" s="1">
        <v>33.519199999999998</v>
      </c>
      <c r="Y13" s="2">
        <v>10.1816</v>
      </c>
      <c r="Z13" s="13">
        <v>0</v>
      </c>
      <c r="AA13" s="2">
        <v>33.519199999999998</v>
      </c>
      <c r="AB13" s="2">
        <v>10.1816</v>
      </c>
      <c r="AC13" s="2">
        <v>57.2</v>
      </c>
      <c r="AD13" s="2"/>
      <c r="AE13" s="7">
        <v>43.700800000000001</v>
      </c>
      <c r="AF13" s="2">
        <v>33.519199999999998</v>
      </c>
      <c r="AG13" s="2">
        <v>10.1816</v>
      </c>
      <c r="AH13" s="2">
        <v>3.8331625755766101</v>
      </c>
      <c r="AI13" s="2">
        <v>1.164339485414055</v>
      </c>
      <c r="AJ13" s="2">
        <v>-192.53072840936289</v>
      </c>
      <c r="AK13" s="2">
        <v>-58.482030131171648</v>
      </c>
      <c r="AL13" s="2">
        <v>0</v>
      </c>
      <c r="AM13" s="2">
        <v>0</v>
      </c>
      <c r="AN13" s="2">
        <v>57.2</v>
      </c>
      <c r="AO13" s="2">
        <v>82.811001135794811</v>
      </c>
      <c r="AP13" s="2">
        <v>82.811001135794811</v>
      </c>
      <c r="AQ13" s="2">
        <v>4.7063451245647636</v>
      </c>
      <c r="AR13" s="2">
        <v>-333.41327358369023</v>
      </c>
      <c r="AS13" s="2">
        <v>0</v>
      </c>
      <c r="AT13" s="2">
        <v>0</v>
      </c>
      <c r="AU13" s="1">
        <v>43.700800000000001</v>
      </c>
      <c r="AV13" s="2">
        <v>3.6418405019692521</v>
      </c>
      <c r="AW13" s="2">
        <v>-254.5814149686021</v>
      </c>
      <c r="AX13" s="2">
        <v>82.811001135794811</v>
      </c>
      <c r="AZ13" s="1">
        <f t="shared" si="34"/>
        <v>33.519199999999998</v>
      </c>
      <c r="BA13" s="2">
        <f t="shared" si="35"/>
        <v>3.8331625755766101</v>
      </c>
      <c r="BB13" s="7">
        <f t="shared" si="36"/>
        <v>-192.53072840936289</v>
      </c>
      <c r="BC13" s="1">
        <f t="shared" si="37"/>
        <v>10.1816</v>
      </c>
      <c r="BD13" s="2">
        <f t="shared" si="38"/>
        <v>1.164339485414055</v>
      </c>
      <c r="BE13" s="2">
        <f t="shared" si="10"/>
        <v>-58.482030131171648</v>
      </c>
      <c r="BF13" s="2">
        <f t="shared" si="10"/>
        <v>0</v>
      </c>
      <c r="BG13" s="7">
        <f t="shared" si="10"/>
        <v>0</v>
      </c>
      <c r="BH13" s="1">
        <f t="shared" si="11"/>
        <v>43.700800000000001</v>
      </c>
      <c r="BI13" s="2">
        <f t="shared" si="11"/>
        <v>4.9975020609906649</v>
      </c>
      <c r="BJ13" s="2">
        <f t="shared" si="12"/>
        <v>251.01275854053455</v>
      </c>
      <c r="BK13" s="2">
        <f t="shared" si="20"/>
        <v>0</v>
      </c>
      <c r="BL13" s="7">
        <f t="shared" si="21"/>
        <v>0</v>
      </c>
      <c r="BM13" s="2"/>
      <c r="BN13" s="1">
        <f t="shared" si="22"/>
        <v>43.700800000000001</v>
      </c>
      <c r="BO13" s="4">
        <v>0</v>
      </c>
      <c r="BP13" s="2">
        <f t="shared" si="13"/>
        <v>43.700800000000001</v>
      </c>
      <c r="BQ13" s="2">
        <f t="shared" si="24"/>
        <v>82.811001135794811</v>
      </c>
      <c r="BR13" s="3">
        <f t="shared" si="25"/>
        <v>0.52771732500056034</v>
      </c>
      <c r="BS13" s="1">
        <f t="shared" si="30"/>
        <v>57.2</v>
      </c>
      <c r="BT13" s="2">
        <f t="shared" si="31"/>
        <v>82.811001135794811</v>
      </c>
      <c r="BU13" s="21">
        <f t="shared" si="26"/>
        <v>0.69072948298502668</v>
      </c>
      <c r="BV13" s="2" t="str">
        <f t="shared" si="32"/>
        <v/>
      </c>
      <c r="BW13" s="2" t="str">
        <f t="shared" si="33"/>
        <v/>
      </c>
      <c r="BX13" s="21" t="str">
        <f t="shared" si="27"/>
        <v/>
      </c>
      <c r="BY13" s="15"/>
    </row>
    <row r="14" spans="1:78" x14ac:dyDescent="0.25">
      <c r="A14" t="str">
        <f t="shared" si="18"/>
        <v>Travée</v>
      </c>
      <c r="B14" t="b">
        <f t="shared" si="19"/>
        <v>0</v>
      </c>
      <c r="C14">
        <f t="shared" si="29"/>
        <v>1</v>
      </c>
      <c r="D14" s="5" t="s">
        <v>109</v>
      </c>
      <c r="E14" t="s">
        <v>55</v>
      </c>
      <c r="F14" s="5">
        <v>25</v>
      </c>
      <c r="G14" t="s">
        <v>46</v>
      </c>
      <c r="H14">
        <v>500</v>
      </c>
      <c r="I14">
        <v>170000</v>
      </c>
      <c r="J14">
        <v>1300</v>
      </c>
      <c r="K14" s="10">
        <v>1445</v>
      </c>
      <c r="L14" s="12">
        <v>1</v>
      </c>
      <c r="M14" s="5">
        <v>0.23499999999999999</v>
      </c>
      <c r="N14" s="10">
        <v>5</v>
      </c>
      <c r="O14" s="5">
        <v>2.565E-3</v>
      </c>
      <c r="P14">
        <v>0.04</v>
      </c>
      <c r="Q14" s="10">
        <v>1</v>
      </c>
      <c r="R14" s="8">
        <v>0</v>
      </c>
      <c r="S14">
        <v>0</v>
      </c>
      <c r="T14">
        <v>1</v>
      </c>
      <c r="U14" s="9">
        <v>0</v>
      </c>
      <c r="V14">
        <v>0</v>
      </c>
      <c r="W14" s="10">
        <v>1</v>
      </c>
      <c r="X14" s="1">
        <v>82.508800000000008</v>
      </c>
      <c r="Y14" s="2">
        <v>25.0624</v>
      </c>
      <c r="Z14" s="13">
        <v>0</v>
      </c>
      <c r="AA14" s="2">
        <v>82.508800000000008</v>
      </c>
      <c r="AB14" s="2">
        <v>25.0624</v>
      </c>
      <c r="AC14" s="2">
        <v>140.80000000000001</v>
      </c>
      <c r="AD14" s="2"/>
      <c r="AE14" s="7">
        <v>107.5712</v>
      </c>
      <c r="AF14" s="2">
        <v>82.508800000000008</v>
      </c>
      <c r="AG14" s="2">
        <v>25.0624</v>
      </c>
      <c r="AH14" s="2">
        <v>5.5242083678891678</v>
      </c>
      <c r="AI14" s="2">
        <v>1.678000710160334</v>
      </c>
      <c r="AJ14" s="2">
        <v>-174.714679513449</v>
      </c>
      <c r="AK14" s="2">
        <v>-53.070336504576908</v>
      </c>
      <c r="AL14" s="2">
        <v>0</v>
      </c>
      <c r="AM14" s="2">
        <v>0</v>
      </c>
      <c r="AN14" s="2">
        <v>140.80000000000001</v>
      </c>
      <c r="AO14" s="2">
        <v>220.8034479143638</v>
      </c>
      <c r="AP14" s="2">
        <v>220.8034479143638</v>
      </c>
      <c r="AQ14" s="2">
        <v>6.7173577208934949</v>
      </c>
      <c r="AR14" s="2">
        <v>-305.48334425005203</v>
      </c>
      <c r="AS14" s="2">
        <v>0</v>
      </c>
      <c r="AT14" s="2">
        <v>0</v>
      </c>
      <c r="AU14" s="1">
        <v>107.5712</v>
      </c>
      <c r="AV14" s="2">
        <v>5.228935530485912</v>
      </c>
      <c r="AW14" s="2">
        <v>-233.11423133880501</v>
      </c>
      <c r="AX14" s="2">
        <v>220.8034479143638</v>
      </c>
      <c r="AZ14" s="1">
        <f t="shared" si="34"/>
        <v>82.508800000000008</v>
      </c>
      <c r="BA14" s="2">
        <f t="shared" si="35"/>
        <v>5.5242083678891678</v>
      </c>
      <c r="BB14" s="7">
        <f t="shared" si="36"/>
        <v>-174.714679513449</v>
      </c>
      <c r="BC14" s="1">
        <f t="shared" si="37"/>
        <v>25.0624</v>
      </c>
      <c r="BD14" s="2">
        <f t="shared" si="38"/>
        <v>1.678000710160334</v>
      </c>
      <c r="BE14" s="2">
        <f t="shared" si="10"/>
        <v>-53.070336504576908</v>
      </c>
      <c r="BF14" s="2">
        <f t="shared" si="10"/>
        <v>0</v>
      </c>
      <c r="BG14" s="7">
        <f t="shared" si="10"/>
        <v>0</v>
      </c>
      <c r="BH14" s="1">
        <f t="shared" si="11"/>
        <v>107.5712</v>
      </c>
      <c r="BI14" s="2">
        <f t="shared" si="11"/>
        <v>7.2022090780495018</v>
      </c>
      <c r="BJ14" s="2">
        <f t="shared" si="12"/>
        <v>227.78501601802591</v>
      </c>
      <c r="BK14" s="2">
        <f t="shared" si="20"/>
        <v>0</v>
      </c>
      <c r="BL14" s="7">
        <f t="shared" si="21"/>
        <v>0</v>
      </c>
      <c r="BM14" s="2"/>
      <c r="BN14" s="1">
        <f t="shared" si="22"/>
        <v>107.5712</v>
      </c>
      <c r="BO14" s="4" t="str">
        <f t="shared" ref="BO14" si="43">IF(ISNUMBER(SEARCH("Appui",E14)),0,"0")</f>
        <v>0</v>
      </c>
      <c r="BP14" s="2">
        <f t="shared" si="13"/>
        <v>107.5712</v>
      </c>
      <c r="BQ14" s="2">
        <f t="shared" si="24"/>
        <v>220.8034479143638</v>
      </c>
      <c r="BR14" s="3">
        <f t="shared" si="25"/>
        <v>0.48718079819894983</v>
      </c>
      <c r="BS14" s="1">
        <f t="shared" si="30"/>
        <v>140.80000000000001</v>
      </c>
      <c r="BT14" s="2">
        <f t="shared" si="31"/>
        <v>220.8034479143638</v>
      </c>
      <c r="BU14" s="21">
        <f t="shared" si="26"/>
        <v>0.63767120183108617</v>
      </c>
      <c r="BV14" s="2">
        <f t="shared" si="32"/>
        <v>169.4</v>
      </c>
      <c r="BW14" s="2">
        <f t="shared" si="33"/>
        <v>262.20894848226123</v>
      </c>
      <c r="BX14" s="21">
        <f t="shared" si="27"/>
        <v>1.5478686451137027</v>
      </c>
      <c r="BY14" s="10" t="str">
        <f t="shared" ref="BY14" si="44">IF(C12&lt;C14,"Rive",IF(C16&gt;C14,"Rive","Inter"))</f>
        <v>Rive</v>
      </c>
    </row>
    <row r="15" spans="1:78" x14ac:dyDescent="0.25">
      <c r="A15" t="str">
        <f t="shared" si="18"/>
        <v/>
      </c>
      <c r="B15" t="b">
        <f t="shared" si="19"/>
        <v>0</v>
      </c>
      <c r="C15">
        <f t="shared" si="29"/>
        <v>1</v>
      </c>
      <c r="D15" s="5" t="s">
        <v>109</v>
      </c>
      <c r="F15" s="5"/>
      <c r="K15" s="10"/>
      <c r="L15" s="12"/>
      <c r="M15" s="5"/>
      <c r="N15" s="10"/>
      <c r="O15" s="5"/>
      <c r="Q15" s="10"/>
      <c r="R15" s="8"/>
      <c r="U15" s="9"/>
      <c r="W15" s="10"/>
      <c r="X15" s="1"/>
      <c r="Y15" s="2"/>
      <c r="Z15" s="13"/>
      <c r="AA15" s="2"/>
      <c r="AB15" s="2"/>
      <c r="AC15" s="2"/>
      <c r="AD15" s="2"/>
      <c r="AE15" s="7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"/>
      <c r="AV15" s="2"/>
      <c r="AW15" s="2"/>
      <c r="AX15" s="2"/>
      <c r="AZ15" s="1">
        <f t="shared" ref="AZ15:AZ44" si="45">AF15</f>
        <v>0</v>
      </c>
      <c r="BA15" s="2">
        <f t="shared" ref="BA15:BA44" si="46">AH15</f>
        <v>0</v>
      </c>
      <c r="BB15" s="7">
        <f t="shared" ref="BB15:BB44" si="47">AJ15</f>
        <v>0</v>
      </c>
      <c r="BC15" s="1">
        <f t="shared" ref="BC15:BC44" si="48">AG15</f>
        <v>0</v>
      </c>
      <c r="BD15" s="2">
        <f t="shared" ref="BD15:BD44" si="49">AI15</f>
        <v>0</v>
      </c>
      <c r="BE15" s="2">
        <f t="shared" ref="BE15:BE44" si="50">AK15</f>
        <v>0</v>
      </c>
      <c r="BF15" s="2">
        <f t="shared" ref="BF15:BF44" si="51">AL15</f>
        <v>0</v>
      </c>
      <c r="BG15" s="7">
        <f t="shared" ref="BG15:BG44" si="52">AM15</f>
        <v>0</v>
      </c>
      <c r="BH15" s="1">
        <f t="shared" ref="BH15:BH44" si="53">AZ15+BC15</f>
        <v>0</v>
      </c>
      <c r="BI15" s="2">
        <f t="shared" ref="BI15:BI44" si="54">BA15+BD15</f>
        <v>0</v>
      </c>
      <c r="BJ15" s="2">
        <f t="shared" ref="BJ15:BJ44" si="55">ABS(BB15+BE15)</f>
        <v>0</v>
      </c>
      <c r="BK15" s="2">
        <f t="shared" ref="BK15:BK44" si="56">ABS(BF15)</f>
        <v>0</v>
      </c>
      <c r="BL15" s="7">
        <f t="shared" ref="BL15:BL44" si="57">BG15</f>
        <v>0</v>
      </c>
      <c r="BM15" s="2"/>
      <c r="BN15" s="1">
        <f t="shared" si="22"/>
        <v>0</v>
      </c>
      <c r="BO15" s="4">
        <v>0</v>
      </c>
      <c r="BP15" s="2">
        <f t="shared" si="13"/>
        <v>0</v>
      </c>
      <c r="BQ15" s="2">
        <f t="shared" si="24"/>
        <v>0</v>
      </c>
      <c r="BR15" s="3" t="e">
        <f t="shared" si="25"/>
        <v>#DIV/0!</v>
      </c>
      <c r="BS15" s="1">
        <f t="shared" si="30"/>
        <v>0</v>
      </c>
      <c r="BT15" s="2">
        <f t="shared" si="31"/>
        <v>0</v>
      </c>
      <c r="BU15" s="21" t="e">
        <f t="shared" si="26"/>
        <v>#DIV/0!</v>
      </c>
      <c r="BV15" s="2" t="str">
        <f t="shared" si="32"/>
        <v/>
      </c>
      <c r="BW15" s="2" t="str">
        <f t="shared" si="33"/>
        <v/>
      </c>
      <c r="BX15" s="21" t="str">
        <f t="shared" si="27"/>
        <v/>
      </c>
      <c r="BY15" s="15"/>
    </row>
    <row r="16" spans="1:78" x14ac:dyDescent="0.25">
      <c r="A16" t="str">
        <f t="shared" si="18"/>
        <v>Travée</v>
      </c>
      <c r="B16" t="b">
        <f t="shared" si="19"/>
        <v>1</v>
      </c>
      <c r="C16">
        <f t="shared" si="29"/>
        <v>2</v>
      </c>
      <c r="D16" s="5" t="s">
        <v>110</v>
      </c>
      <c r="E16" t="s">
        <v>45</v>
      </c>
      <c r="F16" s="5">
        <v>25</v>
      </c>
      <c r="G16" t="s">
        <v>46</v>
      </c>
      <c r="H16">
        <v>500</v>
      </c>
      <c r="I16">
        <v>170000</v>
      </c>
      <c r="J16">
        <v>1300</v>
      </c>
      <c r="K16" s="10">
        <v>1445</v>
      </c>
      <c r="L16" s="12">
        <v>1</v>
      </c>
      <c r="M16" s="5">
        <v>0.23499999999999999</v>
      </c>
      <c r="N16" s="10">
        <v>2</v>
      </c>
      <c r="O16" s="5">
        <v>5.1400000000000003E-4</v>
      </c>
      <c r="P16">
        <v>0.04</v>
      </c>
      <c r="Q16" s="10">
        <v>1</v>
      </c>
      <c r="R16" s="8">
        <v>0</v>
      </c>
      <c r="S16">
        <v>0</v>
      </c>
      <c r="T16">
        <v>1</v>
      </c>
      <c r="U16" s="9">
        <v>1.92E-4</v>
      </c>
      <c r="V16">
        <v>0</v>
      </c>
      <c r="W16" s="10">
        <v>1</v>
      </c>
      <c r="X16" s="1">
        <v>42.754560000000012</v>
      </c>
      <c r="Y16" s="2">
        <v>12.986879999999999</v>
      </c>
      <c r="Z16" s="13">
        <v>0</v>
      </c>
      <c r="AA16" s="2">
        <v>42.754560000000012</v>
      </c>
      <c r="AB16" s="2">
        <v>12.986879999999999</v>
      </c>
      <c r="AC16" s="2">
        <v>72.960000000000008</v>
      </c>
      <c r="AD16" s="2"/>
      <c r="AE16" s="7">
        <v>55.741439999999997</v>
      </c>
      <c r="AF16" s="2">
        <v>42.754560000000012</v>
      </c>
      <c r="AG16" s="2">
        <v>12.986879999999999</v>
      </c>
      <c r="AH16" s="2">
        <v>9.6823331303466187</v>
      </c>
      <c r="AI16" s="2">
        <v>2.3969444712637329</v>
      </c>
      <c r="AJ16" s="2">
        <v>-444.88870041014798</v>
      </c>
      <c r="AK16" s="2">
        <v>-92.025153220376566</v>
      </c>
      <c r="AL16" s="2">
        <v>0</v>
      </c>
      <c r="AM16" s="2">
        <v>-96.922347246698834</v>
      </c>
      <c r="AN16" s="2">
        <v>72.960000000000008</v>
      </c>
      <c r="AO16" s="2">
        <v>45.722759787208261</v>
      </c>
      <c r="AP16" s="2">
        <v>103.6433947035309</v>
      </c>
      <c r="AQ16" s="2">
        <v>10.0534221950483</v>
      </c>
      <c r="AR16" s="2">
        <v>-435.75507678482882</v>
      </c>
      <c r="AS16" s="2">
        <v>0</v>
      </c>
      <c r="AT16" s="2">
        <v>-745.12743999793963</v>
      </c>
      <c r="AU16" s="1">
        <v>55.741439999999997</v>
      </c>
      <c r="AV16" s="2">
        <v>0</v>
      </c>
      <c r="AW16" s="2">
        <v>0</v>
      </c>
      <c r="AX16" s="2">
        <v>45.722759787208261</v>
      </c>
      <c r="AZ16" s="1">
        <f t="shared" si="45"/>
        <v>42.754560000000012</v>
      </c>
      <c r="BA16" s="2">
        <f t="shared" si="46"/>
        <v>9.6823331303466187</v>
      </c>
      <c r="BB16" s="7">
        <f t="shared" si="47"/>
        <v>-444.88870041014798</v>
      </c>
      <c r="BC16" s="1">
        <f t="shared" si="48"/>
        <v>12.986879999999999</v>
      </c>
      <c r="BD16" s="2">
        <f t="shared" si="49"/>
        <v>2.3969444712637329</v>
      </c>
      <c r="BE16" s="2">
        <f t="shared" si="50"/>
        <v>-92.025153220376566</v>
      </c>
      <c r="BF16" s="2">
        <f t="shared" si="51"/>
        <v>0</v>
      </c>
      <c r="BG16" s="7">
        <f t="shared" si="52"/>
        <v>-96.922347246698834</v>
      </c>
      <c r="BH16" s="1">
        <f t="shared" si="53"/>
        <v>55.741440000000011</v>
      </c>
      <c r="BI16" s="2">
        <f t="shared" si="54"/>
        <v>12.079277601610352</v>
      </c>
      <c r="BJ16" s="2">
        <f t="shared" si="55"/>
        <v>536.9138536305245</v>
      </c>
      <c r="BK16" s="2">
        <f t="shared" si="56"/>
        <v>0</v>
      </c>
      <c r="BL16" s="7">
        <f t="shared" si="57"/>
        <v>-96.922347246698834</v>
      </c>
      <c r="BM16" s="2"/>
      <c r="BN16" s="1">
        <f t="shared" si="22"/>
        <v>55.741439999999997</v>
      </c>
      <c r="BO16" s="4" t="str">
        <f t="shared" ref="BO16" si="58">IF(ISNUMBER(SEARCH("Appui",E16)),0,"0")</f>
        <v>0</v>
      </c>
      <c r="BP16" s="2">
        <f t="shared" si="13"/>
        <v>55.741439999999997</v>
      </c>
      <c r="BQ16" s="2">
        <f t="shared" si="24"/>
        <v>45.722759787208261</v>
      </c>
      <c r="BR16" s="3">
        <f t="shared" si="25"/>
        <v>1.21911801167336</v>
      </c>
      <c r="BS16" s="1">
        <f t="shared" si="30"/>
        <v>72.960000000000008</v>
      </c>
      <c r="BT16" s="2">
        <f t="shared" si="31"/>
        <v>103.6433947035309</v>
      </c>
      <c r="BU16" s="21">
        <f t="shared" si="26"/>
        <v>0.70395224132420686</v>
      </c>
      <c r="BV16" s="2">
        <f t="shared" si="32"/>
        <v>98.81</v>
      </c>
      <c r="BW16" s="2">
        <f t="shared" si="33"/>
        <v>143.37754879347773</v>
      </c>
      <c r="BX16" s="21">
        <f t="shared" si="27"/>
        <v>1.4510428984260473</v>
      </c>
      <c r="BY16" s="10" t="str">
        <f t="shared" ref="BY16" si="59">IF(C14&lt;C16,"Rive",IF(C18&gt;C16,"Rive","Inter"))</f>
        <v>Rive</v>
      </c>
    </row>
    <row r="17" spans="1:77" x14ac:dyDescent="0.25">
      <c r="A17" t="str">
        <f t="shared" si="18"/>
        <v>Appui</v>
      </c>
      <c r="B17" t="b">
        <f t="shared" si="19"/>
        <v>1</v>
      </c>
      <c r="C17">
        <f>IF(D17=D15,C15,C15+1)</f>
        <v>2</v>
      </c>
      <c r="D17" s="5" t="s">
        <v>110</v>
      </c>
      <c r="E17" t="s">
        <v>47</v>
      </c>
      <c r="F17" s="5">
        <v>25</v>
      </c>
      <c r="G17" t="s">
        <v>46</v>
      </c>
      <c r="H17">
        <v>500</v>
      </c>
      <c r="I17">
        <v>170000</v>
      </c>
      <c r="J17">
        <v>1300</v>
      </c>
      <c r="K17" s="10">
        <v>1445</v>
      </c>
      <c r="L17" s="12">
        <v>1</v>
      </c>
      <c r="M17" s="5">
        <v>0.23499999999999999</v>
      </c>
      <c r="N17" s="10">
        <v>2</v>
      </c>
      <c r="O17" s="5">
        <v>1.0059999999999999E-3</v>
      </c>
      <c r="P17">
        <v>5.5E-2</v>
      </c>
      <c r="Q17" s="10">
        <v>1</v>
      </c>
      <c r="R17" s="8">
        <v>0</v>
      </c>
      <c r="S17">
        <v>0</v>
      </c>
      <c r="T17">
        <v>1</v>
      </c>
      <c r="U17" s="9">
        <v>0</v>
      </c>
      <c r="V17">
        <v>0</v>
      </c>
      <c r="W17" s="10">
        <v>1</v>
      </c>
      <c r="X17" s="1">
        <v>30.296199999999999</v>
      </c>
      <c r="Y17" s="2">
        <v>9.2026000000000003</v>
      </c>
      <c r="Z17" s="13">
        <v>0</v>
      </c>
      <c r="AA17" s="2">
        <v>30.296199999999999</v>
      </c>
      <c r="AB17" s="2">
        <v>9.2026000000000003</v>
      </c>
      <c r="AC17" s="2">
        <v>51.7</v>
      </c>
      <c r="AD17" s="2"/>
      <c r="AE17" s="7">
        <v>39.498800000000003</v>
      </c>
      <c r="AF17" s="2">
        <v>30.296199999999999</v>
      </c>
      <c r="AG17" s="2">
        <v>9.2026000000000003</v>
      </c>
      <c r="AH17" s="2">
        <v>5.7887160286700343</v>
      </c>
      <c r="AI17" s="2">
        <v>1.758347189596017</v>
      </c>
      <c r="AJ17" s="2">
        <v>-177.57836014252109</v>
      </c>
      <c r="AK17" s="2">
        <v>-53.940184480151487</v>
      </c>
      <c r="AL17" s="2">
        <v>0</v>
      </c>
      <c r="AM17" s="2">
        <v>0</v>
      </c>
      <c r="AN17" s="2">
        <v>51.7</v>
      </c>
      <c r="AO17" s="2">
        <v>79.468308179893626</v>
      </c>
      <c r="AP17" s="2">
        <v>79.468308179893626</v>
      </c>
      <c r="AQ17" s="2">
        <v>7.0460799541499979</v>
      </c>
      <c r="AR17" s="2">
        <v>-310.49282920117378</v>
      </c>
      <c r="AS17" s="2">
        <v>0</v>
      </c>
      <c r="AT17" s="2">
        <v>0</v>
      </c>
      <c r="AU17" s="1">
        <v>39.498800000000003</v>
      </c>
      <c r="AV17" s="2">
        <v>5.488838600550733</v>
      </c>
      <c r="AW17" s="2">
        <v>-236.94085325514391</v>
      </c>
      <c r="AX17" s="2">
        <v>79.468308179893626</v>
      </c>
      <c r="AZ17" s="1">
        <f t="shared" si="45"/>
        <v>30.296199999999999</v>
      </c>
      <c r="BA17" s="2">
        <f t="shared" si="46"/>
        <v>5.7887160286700343</v>
      </c>
      <c r="BB17" s="7">
        <f t="shared" si="47"/>
        <v>-177.57836014252109</v>
      </c>
      <c r="BC17" s="1">
        <f t="shared" si="48"/>
        <v>9.2026000000000003</v>
      </c>
      <c r="BD17" s="2">
        <f t="shared" si="49"/>
        <v>1.758347189596017</v>
      </c>
      <c r="BE17" s="2">
        <f t="shared" si="50"/>
        <v>-53.940184480151487</v>
      </c>
      <c r="BF17" s="2">
        <f t="shared" si="51"/>
        <v>0</v>
      </c>
      <c r="BG17" s="7">
        <f t="shared" si="52"/>
        <v>0</v>
      </c>
      <c r="BH17" s="1">
        <f t="shared" si="53"/>
        <v>39.498800000000003</v>
      </c>
      <c r="BI17" s="2">
        <f t="shared" si="54"/>
        <v>7.5470632182660511</v>
      </c>
      <c r="BJ17" s="2">
        <f t="shared" si="55"/>
        <v>231.51854462267258</v>
      </c>
      <c r="BK17" s="2">
        <f t="shared" si="56"/>
        <v>0</v>
      </c>
      <c r="BL17" s="7">
        <f t="shared" si="57"/>
        <v>0</v>
      </c>
      <c r="BM17" s="2"/>
      <c r="BN17" s="1">
        <f t="shared" si="22"/>
        <v>39.498800000000003</v>
      </c>
      <c r="BO17" s="4">
        <v>0</v>
      </c>
      <c r="BP17" s="2">
        <f t="shared" si="13"/>
        <v>39.498800000000003</v>
      </c>
      <c r="BQ17" s="2">
        <f t="shared" si="24"/>
        <v>79.468308179893626</v>
      </c>
      <c r="BR17" s="3">
        <f t="shared" si="25"/>
        <v>0.49703839058189037</v>
      </c>
      <c r="BS17" s="1">
        <f t="shared" si="30"/>
        <v>51.7</v>
      </c>
      <c r="BT17" s="2">
        <f t="shared" si="31"/>
        <v>79.468308179893626</v>
      </c>
      <c r="BU17" s="21">
        <f t="shared" si="26"/>
        <v>0.65057380966216016</v>
      </c>
      <c r="BV17" s="2" t="str">
        <f t="shared" si="32"/>
        <v/>
      </c>
      <c r="BW17" s="2" t="str">
        <f t="shared" si="33"/>
        <v/>
      </c>
      <c r="BX17" s="21" t="str">
        <f t="shared" si="27"/>
        <v/>
      </c>
      <c r="BY17" s="15"/>
    </row>
    <row r="18" spans="1:77" x14ac:dyDescent="0.25">
      <c r="A18" t="str">
        <f t="shared" si="18"/>
        <v>Travée</v>
      </c>
      <c r="B18" t="b">
        <f t="shared" si="19"/>
        <v>1</v>
      </c>
      <c r="C18">
        <f t="shared" si="29"/>
        <v>2</v>
      </c>
      <c r="D18" s="5" t="s">
        <v>110</v>
      </c>
      <c r="E18" t="s">
        <v>48</v>
      </c>
      <c r="F18" s="5">
        <v>25</v>
      </c>
      <c r="G18" t="s">
        <v>46</v>
      </c>
      <c r="H18">
        <v>500</v>
      </c>
      <c r="I18">
        <v>170000</v>
      </c>
      <c r="J18">
        <v>1300</v>
      </c>
      <c r="K18" s="10">
        <v>1445</v>
      </c>
      <c r="L18" s="12">
        <v>1</v>
      </c>
      <c r="M18" s="5">
        <v>0.23499999999999999</v>
      </c>
      <c r="N18" s="10">
        <v>2</v>
      </c>
      <c r="O18" s="5">
        <v>1.0280000000000001E-3</v>
      </c>
      <c r="P18">
        <v>0.04</v>
      </c>
      <c r="Q18" s="10">
        <v>1</v>
      </c>
      <c r="R18" s="8">
        <v>0</v>
      </c>
      <c r="S18">
        <v>0</v>
      </c>
      <c r="T18">
        <v>1</v>
      </c>
      <c r="U18" s="9">
        <v>0</v>
      </c>
      <c r="V18">
        <v>0</v>
      </c>
      <c r="W18" s="10">
        <v>1</v>
      </c>
      <c r="X18" s="1">
        <v>0.75007999999999997</v>
      </c>
      <c r="Y18" s="2">
        <v>0.22783999999999999</v>
      </c>
      <c r="Z18" s="13">
        <v>0</v>
      </c>
      <c r="AA18" s="2">
        <v>0.75007999999999997</v>
      </c>
      <c r="AB18" s="2">
        <v>0.22783999999999999</v>
      </c>
      <c r="AC18" s="2">
        <v>1.28</v>
      </c>
      <c r="AD18" s="2"/>
      <c r="AE18" s="7">
        <v>0.9779199999999999</v>
      </c>
      <c r="AF18" s="2">
        <v>0.75007999999999997</v>
      </c>
      <c r="AG18" s="2">
        <v>0.22783999999999999</v>
      </c>
      <c r="AH18" s="2">
        <v>0.12543747441007591</v>
      </c>
      <c r="AI18" s="2">
        <v>3.8022423583346211E-2</v>
      </c>
      <c r="AJ18" s="2">
        <v>-3.963320183103872</v>
      </c>
      <c r="AK18" s="2">
        <v>-1.2012988444843571</v>
      </c>
      <c r="AL18" s="2">
        <v>0</v>
      </c>
      <c r="AM18" s="2">
        <v>0</v>
      </c>
      <c r="AN18" s="2">
        <v>1.28</v>
      </c>
      <c r="AO18" s="2">
        <v>88.479361717184901</v>
      </c>
      <c r="AP18" s="2">
        <v>88.479361717184901</v>
      </c>
      <c r="AQ18" s="2">
        <v>0.1637969888255727</v>
      </c>
      <c r="AR18" s="2">
        <v>-6.898332236809928</v>
      </c>
      <c r="AS18" s="2">
        <v>0</v>
      </c>
      <c r="AT18" s="2">
        <v>0</v>
      </c>
      <c r="AU18" s="1">
        <v>0.9779199999999999</v>
      </c>
      <c r="AV18" s="2">
        <v>0.12518425968405991</v>
      </c>
      <c r="AW18" s="2">
        <v>-5.2702108661520128</v>
      </c>
      <c r="AX18" s="2">
        <v>88.479361717184901</v>
      </c>
      <c r="AZ18" s="1">
        <f t="shared" si="45"/>
        <v>0.75007999999999997</v>
      </c>
      <c r="BA18" s="2">
        <f t="shared" si="46"/>
        <v>0.12543747441007591</v>
      </c>
      <c r="BB18" s="7">
        <f t="shared" si="47"/>
        <v>-3.963320183103872</v>
      </c>
      <c r="BC18" s="1">
        <f t="shared" si="48"/>
        <v>0.22783999999999999</v>
      </c>
      <c r="BD18" s="2">
        <f t="shared" si="49"/>
        <v>3.8022423583346211E-2</v>
      </c>
      <c r="BE18" s="2">
        <f t="shared" si="50"/>
        <v>-1.2012988444843571</v>
      </c>
      <c r="BF18" s="2">
        <f t="shared" si="51"/>
        <v>0</v>
      </c>
      <c r="BG18" s="7">
        <f t="shared" si="52"/>
        <v>0</v>
      </c>
      <c r="BH18" s="1">
        <f t="shared" si="53"/>
        <v>0.9779199999999999</v>
      </c>
      <c r="BI18" s="2">
        <f t="shared" si="54"/>
        <v>0.16345989799342212</v>
      </c>
      <c r="BJ18" s="2">
        <f t="shared" si="55"/>
        <v>5.1646190275882287</v>
      </c>
      <c r="BK18" s="2">
        <f t="shared" si="56"/>
        <v>0</v>
      </c>
      <c r="BL18" s="7">
        <f t="shared" si="57"/>
        <v>0</v>
      </c>
      <c r="BM18" s="2"/>
      <c r="BN18" s="1">
        <f t="shared" si="22"/>
        <v>0.9779199999999999</v>
      </c>
      <c r="BO18" s="4" t="str">
        <f t="shared" ref="BO18" si="60">IF(ISNUMBER(SEARCH("Appui",E18)),0,"0")</f>
        <v>0</v>
      </c>
      <c r="BP18" s="2">
        <f t="shared" si="13"/>
        <v>0.9779199999999999</v>
      </c>
      <c r="BQ18" s="2">
        <f t="shared" si="24"/>
        <v>88.479361717184901</v>
      </c>
      <c r="BR18" s="3">
        <f t="shared" si="25"/>
        <v>1.1052520961055525E-2</v>
      </c>
      <c r="BS18" s="1">
        <f t="shared" si="30"/>
        <v>1.28</v>
      </c>
      <c r="BT18" s="2">
        <f t="shared" si="31"/>
        <v>88.479361717184901</v>
      </c>
      <c r="BU18" s="21">
        <f t="shared" si="26"/>
        <v>1.4466650472585768E-2</v>
      </c>
      <c r="BV18" s="2">
        <f t="shared" si="32"/>
        <v>58.480000000000004</v>
      </c>
      <c r="BW18" s="2">
        <f t="shared" si="33"/>
        <v>168.09246790839862</v>
      </c>
      <c r="BX18" s="21">
        <f t="shared" si="27"/>
        <v>2.8743582063679654</v>
      </c>
      <c r="BY18" s="10" t="str">
        <f t="shared" ref="BY18" si="61">IF(C16&lt;C18,"Rive",IF(C20&gt;C18,"Rive","Inter"))</f>
        <v>Inter</v>
      </c>
    </row>
    <row r="19" spans="1:77" x14ac:dyDescent="0.25">
      <c r="A19" t="str">
        <f t="shared" si="18"/>
        <v>Appui</v>
      </c>
      <c r="B19" t="b">
        <f t="shared" si="19"/>
        <v>1</v>
      </c>
      <c r="C19">
        <f t="shared" si="29"/>
        <v>2</v>
      </c>
      <c r="D19" s="5" t="s">
        <v>110</v>
      </c>
      <c r="E19" t="s">
        <v>49</v>
      </c>
      <c r="F19" s="5">
        <v>25</v>
      </c>
      <c r="G19" t="s">
        <v>46</v>
      </c>
      <c r="H19">
        <v>500</v>
      </c>
      <c r="I19">
        <v>170000</v>
      </c>
      <c r="J19">
        <v>1300</v>
      </c>
      <c r="K19" s="10">
        <v>1445</v>
      </c>
      <c r="L19" s="12">
        <v>1</v>
      </c>
      <c r="M19" s="5">
        <v>0.23499999999999999</v>
      </c>
      <c r="N19" s="10">
        <v>2</v>
      </c>
      <c r="O19" s="5">
        <v>1.01E-3</v>
      </c>
      <c r="P19">
        <v>5.5E-2</v>
      </c>
      <c r="Q19" s="10">
        <v>1</v>
      </c>
      <c r="R19" s="8">
        <v>0</v>
      </c>
      <c r="S19">
        <v>0</v>
      </c>
      <c r="T19">
        <v>1</v>
      </c>
      <c r="U19" s="9">
        <v>0</v>
      </c>
      <c r="V19">
        <v>0</v>
      </c>
      <c r="W19" s="10">
        <v>1</v>
      </c>
      <c r="X19" s="1">
        <v>36.742199999999997</v>
      </c>
      <c r="Y19" s="2">
        <v>11.160600000000001</v>
      </c>
      <c r="Z19" s="13">
        <v>0</v>
      </c>
      <c r="AA19" s="2">
        <v>36.742199999999997</v>
      </c>
      <c r="AB19" s="2">
        <v>11.160600000000001</v>
      </c>
      <c r="AC19" s="2">
        <v>62.7</v>
      </c>
      <c r="AD19" s="2"/>
      <c r="AE19" s="7">
        <v>47.902799999999999</v>
      </c>
      <c r="AF19" s="2">
        <v>36.742199999999997</v>
      </c>
      <c r="AG19" s="2">
        <v>11.160600000000001</v>
      </c>
      <c r="AH19" s="2">
        <v>7.0088338607145424</v>
      </c>
      <c r="AI19" s="2">
        <v>2.1289631863603899</v>
      </c>
      <c r="AJ19" s="2">
        <v>-214.52885618446879</v>
      </c>
      <c r="AK19" s="2">
        <v>-65.164055291528072</v>
      </c>
      <c r="AL19" s="2">
        <v>0</v>
      </c>
      <c r="AM19" s="2">
        <v>0</v>
      </c>
      <c r="AN19" s="2">
        <v>62.7</v>
      </c>
      <c r="AO19" s="2">
        <v>79.757904202533823</v>
      </c>
      <c r="AP19" s="2">
        <v>79.757904202533823</v>
      </c>
      <c r="AQ19" s="2">
        <v>8.3685815767614535</v>
      </c>
      <c r="AR19" s="2">
        <v>-375.63455035554563</v>
      </c>
      <c r="AS19" s="2">
        <v>0</v>
      </c>
      <c r="AT19" s="2">
        <v>0</v>
      </c>
      <c r="AU19" s="1">
        <v>47.902799999999999</v>
      </c>
      <c r="AV19" s="2">
        <v>6.560592251722035</v>
      </c>
      <c r="AW19" s="2">
        <v>-286.46938822393167</v>
      </c>
      <c r="AX19" s="2">
        <v>79.757904202533823</v>
      </c>
      <c r="AZ19" s="1">
        <f t="shared" si="45"/>
        <v>36.742199999999997</v>
      </c>
      <c r="BA19" s="2">
        <f t="shared" si="46"/>
        <v>7.0088338607145424</v>
      </c>
      <c r="BB19" s="7">
        <f t="shared" si="47"/>
        <v>-214.52885618446879</v>
      </c>
      <c r="BC19" s="1">
        <f t="shared" si="48"/>
        <v>11.160600000000001</v>
      </c>
      <c r="BD19" s="2">
        <f t="shared" si="49"/>
        <v>2.1289631863603899</v>
      </c>
      <c r="BE19" s="2">
        <f t="shared" si="50"/>
        <v>-65.164055291528072</v>
      </c>
      <c r="BF19" s="2">
        <f t="shared" si="51"/>
        <v>0</v>
      </c>
      <c r="BG19" s="7">
        <f t="shared" si="52"/>
        <v>0</v>
      </c>
      <c r="BH19" s="1">
        <f t="shared" si="53"/>
        <v>47.902799999999999</v>
      </c>
      <c r="BI19" s="2">
        <f t="shared" si="54"/>
        <v>9.1377970470749332</v>
      </c>
      <c r="BJ19" s="2">
        <f t="shared" si="55"/>
        <v>279.69291147599688</v>
      </c>
      <c r="BK19" s="2">
        <f t="shared" si="56"/>
        <v>0</v>
      </c>
      <c r="BL19" s="7">
        <f t="shared" si="57"/>
        <v>0</v>
      </c>
      <c r="BM19" s="2"/>
      <c r="BN19" s="1">
        <f t="shared" si="22"/>
        <v>47.902799999999999</v>
      </c>
      <c r="BO19" s="4">
        <v>0</v>
      </c>
      <c r="BP19" s="2">
        <f t="shared" si="13"/>
        <v>47.902799999999999</v>
      </c>
      <c r="BQ19" s="2">
        <f t="shared" si="24"/>
        <v>79.757904202533823</v>
      </c>
      <c r="BR19" s="3">
        <f t="shared" si="25"/>
        <v>0.60060254189174367</v>
      </c>
      <c r="BS19" s="1">
        <f t="shared" si="30"/>
        <v>62.7</v>
      </c>
      <c r="BT19" s="2">
        <f t="shared" si="31"/>
        <v>79.757904202533823</v>
      </c>
      <c r="BU19" s="21">
        <f t="shared" si="26"/>
        <v>0.78612898153369593</v>
      </c>
      <c r="BV19" s="2" t="str">
        <f t="shared" si="32"/>
        <v/>
      </c>
      <c r="BW19" s="2" t="str">
        <f t="shared" si="33"/>
        <v/>
      </c>
      <c r="BX19" s="21" t="str">
        <f t="shared" si="27"/>
        <v/>
      </c>
      <c r="BY19" s="15"/>
    </row>
    <row r="20" spans="1:77" x14ac:dyDescent="0.25">
      <c r="A20" t="str">
        <f t="shared" si="18"/>
        <v>Travée</v>
      </c>
      <c r="B20" t="b">
        <f t="shared" si="19"/>
        <v>1</v>
      </c>
      <c r="C20">
        <f t="shared" si="29"/>
        <v>2</v>
      </c>
      <c r="D20" s="5" t="s">
        <v>110</v>
      </c>
      <c r="E20" t="s">
        <v>51</v>
      </c>
      <c r="F20" s="5">
        <v>25</v>
      </c>
      <c r="G20" t="s">
        <v>46</v>
      </c>
      <c r="H20">
        <v>500</v>
      </c>
      <c r="I20">
        <v>170000</v>
      </c>
      <c r="J20">
        <v>1300</v>
      </c>
      <c r="K20" s="10">
        <v>1445</v>
      </c>
      <c r="L20" s="12">
        <v>1</v>
      </c>
      <c r="M20" s="5">
        <v>0.23499999999999999</v>
      </c>
      <c r="N20" s="10">
        <v>2</v>
      </c>
      <c r="O20" s="5">
        <v>7.7000000000000007E-4</v>
      </c>
      <c r="P20">
        <v>0.04</v>
      </c>
      <c r="Q20" s="10">
        <v>1</v>
      </c>
      <c r="R20" s="8">
        <v>0</v>
      </c>
      <c r="S20">
        <v>0</v>
      </c>
      <c r="T20">
        <v>1</v>
      </c>
      <c r="U20" s="9">
        <v>0</v>
      </c>
      <c r="V20">
        <v>0</v>
      </c>
      <c r="W20" s="10">
        <v>1</v>
      </c>
      <c r="X20" s="1">
        <v>41.254399999999997</v>
      </c>
      <c r="Y20" s="2">
        <v>12.5312</v>
      </c>
      <c r="Z20" s="13">
        <v>0</v>
      </c>
      <c r="AA20" s="2">
        <v>41.254399999999997</v>
      </c>
      <c r="AB20" s="2">
        <v>12.5312</v>
      </c>
      <c r="AC20" s="2">
        <v>70.400000000000006</v>
      </c>
      <c r="AD20" s="2"/>
      <c r="AE20" s="7">
        <v>53.785600000000002</v>
      </c>
      <c r="AF20" s="2">
        <v>41.254399999999997</v>
      </c>
      <c r="AG20" s="2">
        <v>12.5312</v>
      </c>
      <c r="AH20" s="2">
        <v>7.8087535263600962</v>
      </c>
      <c r="AI20" s="2">
        <v>2.3719421974267871</v>
      </c>
      <c r="AJ20" s="2">
        <v>-289.02365427834422</v>
      </c>
      <c r="AK20" s="2">
        <v>-87.792168023114755</v>
      </c>
      <c r="AL20" s="2">
        <v>0</v>
      </c>
      <c r="AM20" s="2">
        <v>0</v>
      </c>
      <c r="AN20" s="2">
        <v>70.400000000000006</v>
      </c>
      <c r="AO20" s="2">
        <v>67.917174797849086</v>
      </c>
      <c r="AP20" s="2">
        <v>67.917174797849086</v>
      </c>
      <c r="AQ20" s="2">
        <v>0</v>
      </c>
      <c r="AR20" s="2">
        <v>0</v>
      </c>
      <c r="AS20" s="2">
        <v>0</v>
      </c>
      <c r="AT20" s="2">
        <v>0</v>
      </c>
      <c r="AU20" s="1">
        <v>53.785600000000002</v>
      </c>
      <c r="AV20" s="2">
        <v>7.1623418617961443</v>
      </c>
      <c r="AW20" s="2">
        <v>-385.01481459507272</v>
      </c>
      <c r="AX20" s="2">
        <v>67.917174797849086</v>
      </c>
      <c r="AZ20" s="1">
        <f t="shared" si="45"/>
        <v>41.254399999999997</v>
      </c>
      <c r="BA20" s="2">
        <f t="shared" si="46"/>
        <v>7.8087535263600962</v>
      </c>
      <c r="BB20" s="7">
        <f t="shared" si="47"/>
        <v>-289.02365427834422</v>
      </c>
      <c r="BC20" s="1">
        <f t="shared" si="48"/>
        <v>12.5312</v>
      </c>
      <c r="BD20" s="2">
        <f t="shared" si="49"/>
        <v>2.3719421974267871</v>
      </c>
      <c r="BE20" s="2">
        <f t="shared" si="50"/>
        <v>-87.792168023114755</v>
      </c>
      <c r="BF20" s="2">
        <f t="shared" si="51"/>
        <v>0</v>
      </c>
      <c r="BG20" s="7">
        <f t="shared" si="52"/>
        <v>0</v>
      </c>
      <c r="BH20" s="1">
        <f t="shared" si="53"/>
        <v>53.785599999999995</v>
      </c>
      <c r="BI20" s="2">
        <f t="shared" si="54"/>
        <v>10.180695723786883</v>
      </c>
      <c r="BJ20" s="2">
        <f t="shared" si="55"/>
        <v>376.81582230145898</v>
      </c>
      <c r="BK20" s="2">
        <f t="shared" si="56"/>
        <v>0</v>
      </c>
      <c r="BL20" s="7">
        <f t="shared" si="57"/>
        <v>0</v>
      </c>
      <c r="BM20" s="2"/>
      <c r="BN20" s="1">
        <f t="shared" si="22"/>
        <v>53.785600000000002</v>
      </c>
      <c r="BO20" s="4" t="str">
        <f t="shared" ref="BO20" si="62">IF(ISNUMBER(SEARCH("Appui",E20)),0,"0")</f>
        <v>0</v>
      </c>
      <c r="BP20" s="2">
        <f t="shared" si="13"/>
        <v>53.785600000000002</v>
      </c>
      <c r="BQ20" s="2">
        <f t="shared" si="24"/>
        <v>67.917174797849086</v>
      </c>
      <c r="BR20" s="3">
        <f t="shared" si="25"/>
        <v>0.79192928975755006</v>
      </c>
      <c r="BS20" s="1">
        <f t="shared" si="30"/>
        <v>70.400000000000006</v>
      </c>
      <c r="BT20" s="2">
        <f t="shared" si="31"/>
        <v>67.917174797849086</v>
      </c>
      <c r="BU20" s="21">
        <f t="shared" si="26"/>
        <v>1.036556661986322</v>
      </c>
      <c r="BV20" s="2">
        <f t="shared" si="32"/>
        <v>146.30000000000001</v>
      </c>
      <c r="BW20" s="2">
        <f t="shared" si="33"/>
        <v>175.3381145388197</v>
      </c>
      <c r="BX20" s="21">
        <f t="shared" si="27"/>
        <v>1.1984833529652748</v>
      </c>
      <c r="BY20" s="10" t="str">
        <f t="shared" ref="BY20" si="63">IF(C18&lt;C20,"Rive",IF(C22&gt;C20,"Rive","Inter"))</f>
        <v>Inter</v>
      </c>
    </row>
    <row r="21" spans="1:77" x14ac:dyDescent="0.25">
      <c r="A21" t="str">
        <f t="shared" si="18"/>
        <v>Appui</v>
      </c>
      <c r="B21" t="b">
        <f t="shared" si="19"/>
        <v>1</v>
      </c>
      <c r="C21">
        <f t="shared" si="29"/>
        <v>2</v>
      </c>
      <c r="D21" s="5" t="s">
        <v>110</v>
      </c>
      <c r="E21" t="s">
        <v>52</v>
      </c>
      <c r="F21" s="5">
        <v>25</v>
      </c>
      <c r="G21" t="s">
        <v>46</v>
      </c>
      <c r="H21">
        <v>500</v>
      </c>
      <c r="I21">
        <v>170000</v>
      </c>
      <c r="J21">
        <v>1300</v>
      </c>
      <c r="K21" s="10">
        <v>1445</v>
      </c>
      <c r="L21" s="12">
        <v>1</v>
      </c>
      <c r="M21" s="5">
        <v>0.23499999999999999</v>
      </c>
      <c r="N21" s="10">
        <v>2</v>
      </c>
      <c r="O21" s="5">
        <v>1.01E-3</v>
      </c>
      <c r="P21">
        <v>5.5E-2</v>
      </c>
      <c r="Q21" s="10">
        <v>1</v>
      </c>
      <c r="R21" s="8">
        <v>0</v>
      </c>
      <c r="S21">
        <v>0</v>
      </c>
      <c r="T21">
        <v>1</v>
      </c>
      <c r="U21" s="9">
        <v>1.92E-4</v>
      </c>
      <c r="V21">
        <v>0</v>
      </c>
      <c r="W21" s="10">
        <v>1</v>
      </c>
      <c r="X21" s="1">
        <v>52.212600000000002</v>
      </c>
      <c r="Y21" s="2">
        <v>15.8598</v>
      </c>
      <c r="Z21" s="13">
        <v>0</v>
      </c>
      <c r="AA21" s="2">
        <v>52.212600000000002</v>
      </c>
      <c r="AB21" s="2">
        <v>15.8598</v>
      </c>
      <c r="AC21" s="2">
        <v>89.100000000000009</v>
      </c>
      <c r="AD21" s="2"/>
      <c r="AE21" s="7">
        <v>68.072400000000002</v>
      </c>
      <c r="AF21" s="2">
        <v>52.212600000000002</v>
      </c>
      <c r="AG21" s="2">
        <v>15.8598</v>
      </c>
      <c r="AH21" s="2">
        <v>9.9599218020680294</v>
      </c>
      <c r="AI21" s="2">
        <v>2.6240279416855898</v>
      </c>
      <c r="AJ21" s="2">
        <v>-304.8567956305609</v>
      </c>
      <c r="AK21" s="2">
        <v>-71.919803977293569</v>
      </c>
      <c r="AL21" s="2">
        <v>0</v>
      </c>
      <c r="AM21" s="2">
        <v>-84.141431455697969</v>
      </c>
      <c r="AN21" s="2">
        <v>89.100000000000009</v>
      </c>
      <c r="AO21" s="2">
        <v>79.757904202533823</v>
      </c>
      <c r="AP21" s="2">
        <v>135.08397527940741</v>
      </c>
      <c r="AQ21" s="2">
        <v>10.056004160639979</v>
      </c>
      <c r="AR21" s="2">
        <v>-412.98548932042132</v>
      </c>
      <c r="AS21" s="2">
        <v>0</v>
      </c>
      <c r="AT21" s="2">
        <v>-496.75952533459258</v>
      </c>
      <c r="AU21" s="1">
        <v>68.072400000000002</v>
      </c>
      <c r="AV21" s="2">
        <v>8.9960379702903186</v>
      </c>
      <c r="AW21" s="2">
        <v>-408.10029069517719</v>
      </c>
      <c r="AX21" s="2">
        <v>79.757904202533823</v>
      </c>
      <c r="AZ21" s="1">
        <f t="shared" si="45"/>
        <v>52.212600000000002</v>
      </c>
      <c r="BA21" s="2">
        <f t="shared" si="46"/>
        <v>9.9599218020680294</v>
      </c>
      <c r="BB21" s="7">
        <f t="shared" si="47"/>
        <v>-304.8567956305609</v>
      </c>
      <c r="BC21" s="1">
        <f t="shared" si="48"/>
        <v>15.8598</v>
      </c>
      <c r="BD21" s="2">
        <f t="shared" si="49"/>
        <v>2.6240279416855898</v>
      </c>
      <c r="BE21" s="2">
        <f t="shared" si="50"/>
        <v>-71.919803977293569</v>
      </c>
      <c r="BF21" s="2">
        <f t="shared" si="51"/>
        <v>0</v>
      </c>
      <c r="BG21" s="7">
        <f t="shared" si="52"/>
        <v>-84.141431455697969</v>
      </c>
      <c r="BH21" s="1">
        <f t="shared" si="53"/>
        <v>68.072400000000002</v>
      </c>
      <c r="BI21" s="2">
        <f t="shared" si="54"/>
        <v>12.583949743753619</v>
      </c>
      <c r="BJ21" s="2">
        <f t="shared" si="55"/>
        <v>376.77659960785445</v>
      </c>
      <c r="BK21" s="2">
        <f t="shared" si="56"/>
        <v>0</v>
      </c>
      <c r="BL21" s="7">
        <f t="shared" si="57"/>
        <v>-84.141431455697969</v>
      </c>
      <c r="BM21" s="2"/>
      <c r="BN21" s="1">
        <f t="shared" si="22"/>
        <v>68.072400000000002</v>
      </c>
      <c r="BO21" s="4">
        <v>0</v>
      </c>
      <c r="BP21" s="2">
        <f t="shared" si="13"/>
        <v>68.072400000000002</v>
      </c>
      <c r="BQ21" s="2">
        <f t="shared" si="24"/>
        <v>79.757904202533823</v>
      </c>
      <c r="BR21" s="3">
        <f t="shared" si="25"/>
        <v>0.85348782268826739</v>
      </c>
      <c r="BS21" s="1">
        <f t="shared" si="30"/>
        <v>89.100000000000009</v>
      </c>
      <c r="BT21" s="2">
        <f t="shared" si="31"/>
        <v>135.08397527940741</v>
      </c>
      <c r="BU21" s="21">
        <f t="shared" si="26"/>
        <v>0.65958970940635819</v>
      </c>
      <c r="BV21" s="2" t="str">
        <f t="shared" si="32"/>
        <v/>
      </c>
      <c r="BW21" s="2" t="str">
        <f t="shared" si="33"/>
        <v/>
      </c>
      <c r="BX21" s="21" t="str">
        <f t="shared" si="27"/>
        <v/>
      </c>
      <c r="BY21" s="15"/>
    </row>
    <row r="22" spans="1:77" x14ac:dyDescent="0.25">
      <c r="A22" t="str">
        <f t="shared" si="18"/>
        <v>Travée</v>
      </c>
      <c r="B22" t="b">
        <f t="shared" si="19"/>
        <v>1</v>
      </c>
      <c r="C22">
        <f>IF(D22=D20,C20,C20+1)</f>
        <v>2</v>
      </c>
      <c r="D22" s="5" t="s">
        <v>110</v>
      </c>
      <c r="E22" t="s">
        <v>53</v>
      </c>
      <c r="F22" s="5">
        <v>25</v>
      </c>
      <c r="G22" t="s">
        <v>46</v>
      </c>
      <c r="H22">
        <v>500</v>
      </c>
      <c r="I22">
        <v>170000</v>
      </c>
      <c r="J22">
        <v>1300</v>
      </c>
      <c r="K22" s="10">
        <v>1445</v>
      </c>
      <c r="L22" s="12">
        <v>1</v>
      </c>
      <c r="M22" s="5">
        <v>0.23499999999999999</v>
      </c>
      <c r="N22" s="10">
        <v>1.5</v>
      </c>
      <c r="O22" s="5">
        <v>3.86E-4</v>
      </c>
      <c r="P22">
        <v>0.04</v>
      </c>
      <c r="Q22" s="10">
        <v>1</v>
      </c>
      <c r="R22" s="8">
        <v>0</v>
      </c>
      <c r="S22">
        <v>0</v>
      </c>
      <c r="T22">
        <v>1</v>
      </c>
      <c r="U22" s="9">
        <v>1.92E-4</v>
      </c>
      <c r="V22">
        <v>0</v>
      </c>
      <c r="W22" s="10">
        <v>1</v>
      </c>
      <c r="X22" s="1">
        <v>32.253439999999998</v>
      </c>
      <c r="Y22" s="2">
        <v>9.7971199999999996</v>
      </c>
      <c r="Z22" s="13">
        <v>0</v>
      </c>
      <c r="AA22" s="2">
        <v>32.253439999999998</v>
      </c>
      <c r="AB22" s="2">
        <v>9.7971199999999996</v>
      </c>
      <c r="AC22" s="2">
        <v>55.04</v>
      </c>
      <c r="AD22" s="2"/>
      <c r="AE22" s="7">
        <v>42.050559999999997</v>
      </c>
      <c r="AF22" s="2">
        <v>32.253439999999998</v>
      </c>
      <c r="AG22" s="2">
        <v>9.7971199999999996</v>
      </c>
      <c r="AH22" s="2">
        <v>9.7329895100539439</v>
      </c>
      <c r="AI22" s="2">
        <v>2.2818978753820249</v>
      </c>
      <c r="AJ22" s="2">
        <v>-446.923724960333</v>
      </c>
      <c r="AK22" s="2">
        <v>-83.641040799319242</v>
      </c>
      <c r="AL22" s="2">
        <v>0</v>
      </c>
      <c r="AM22" s="2">
        <v>-88.206547239374373</v>
      </c>
      <c r="AN22" s="2">
        <v>55.04</v>
      </c>
      <c r="AO22" s="2">
        <v>34.335930429741062</v>
      </c>
      <c r="AP22" s="2">
        <v>92.823935874639744</v>
      </c>
      <c r="AQ22" s="2">
        <v>9.1434565580067844</v>
      </c>
      <c r="AR22" s="2">
        <v>-435.16198073044472</v>
      </c>
      <c r="AS22" s="2">
        <v>0</v>
      </c>
      <c r="AT22" s="2">
        <v>-575.12791332384506</v>
      </c>
      <c r="AU22" s="1">
        <v>42.050559999999997</v>
      </c>
      <c r="AV22" s="2">
        <v>0</v>
      </c>
      <c r="AW22" s="2">
        <v>0</v>
      </c>
      <c r="AX22" s="2">
        <v>34.335930429741062</v>
      </c>
      <c r="AZ22" s="1">
        <f t="shared" si="45"/>
        <v>32.253439999999998</v>
      </c>
      <c r="BA22" s="2">
        <f t="shared" si="46"/>
        <v>9.7329895100539439</v>
      </c>
      <c r="BB22" s="7">
        <f t="shared" si="47"/>
        <v>-446.923724960333</v>
      </c>
      <c r="BC22" s="1">
        <f t="shared" si="48"/>
        <v>9.7971199999999996</v>
      </c>
      <c r="BD22" s="2">
        <f t="shared" si="49"/>
        <v>2.2818978753820249</v>
      </c>
      <c r="BE22" s="2">
        <f t="shared" si="50"/>
        <v>-83.641040799319242</v>
      </c>
      <c r="BF22" s="2">
        <f t="shared" si="51"/>
        <v>0</v>
      </c>
      <c r="BG22" s="7">
        <f t="shared" si="52"/>
        <v>-88.206547239374373</v>
      </c>
      <c r="BH22" s="1">
        <f t="shared" si="53"/>
        <v>42.050559999999997</v>
      </c>
      <c r="BI22" s="2">
        <f t="shared" si="54"/>
        <v>12.014887385435969</v>
      </c>
      <c r="BJ22" s="2">
        <f t="shared" si="55"/>
        <v>530.56476575965223</v>
      </c>
      <c r="BK22" s="2">
        <f t="shared" si="56"/>
        <v>0</v>
      </c>
      <c r="BL22" s="7">
        <f t="shared" si="57"/>
        <v>-88.206547239374373</v>
      </c>
      <c r="BM22" s="2"/>
      <c r="BN22" s="1">
        <f t="shared" si="22"/>
        <v>42.050559999999997</v>
      </c>
      <c r="BO22" s="4" t="str">
        <f t="shared" ref="BO22" si="64">IF(ISNUMBER(SEARCH("Appui",E22)),0,"0")</f>
        <v>0</v>
      </c>
      <c r="BP22" s="2">
        <f t="shared" si="13"/>
        <v>42.050559999999997</v>
      </c>
      <c r="BQ22" s="2">
        <f t="shared" si="24"/>
        <v>34.335930429741062</v>
      </c>
      <c r="BR22" s="3">
        <f t="shared" si="25"/>
        <v>1.2246809529756235</v>
      </c>
      <c r="BS22" s="1">
        <f t="shared" si="30"/>
        <v>55.04</v>
      </c>
      <c r="BT22" s="2">
        <f t="shared" si="31"/>
        <v>92.823935874639744</v>
      </c>
      <c r="BU22" s="21">
        <f t="shared" si="26"/>
        <v>0.592950508738742</v>
      </c>
      <c r="BV22" s="2">
        <f t="shared" si="32"/>
        <v>132.59</v>
      </c>
      <c r="BW22" s="2">
        <f t="shared" si="33"/>
        <v>190.16653908180362</v>
      </c>
      <c r="BX22" s="21">
        <f t="shared" si="27"/>
        <v>1.4342449587586064</v>
      </c>
      <c r="BY22" s="10" t="str">
        <f t="shared" ref="BY22" si="65">IF(C20&lt;C22,"Rive",IF(C24&gt;C22,"Rive","Inter"))</f>
        <v>Inter</v>
      </c>
    </row>
    <row r="23" spans="1:77" x14ac:dyDescent="0.25">
      <c r="A23" t="str">
        <f t="shared" si="18"/>
        <v>Appui</v>
      </c>
      <c r="B23" t="b">
        <f t="shared" si="19"/>
        <v>1</v>
      </c>
      <c r="C23">
        <f t="shared" si="29"/>
        <v>2</v>
      </c>
      <c r="D23" s="5" t="s">
        <v>110</v>
      </c>
      <c r="E23" t="s">
        <v>54</v>
      </c>
      <c r="F23" s="5">
        <v>25</v>
      </c>
      <c r="G23" t="s">
        <v>46</v>
      </c>
      <c r="H23">
        <v>500</v>
      </c>
      <c r="I23">
        <v>170000</v>
      </c>
      <c r="J23">
        <v>1300</v>
      </c>
      <c r="K23" s="10">
        <v>1445</v>
      </c>
      <c r="L23" s="12">
        <v>1</v>
      </c>
      <c r="M23" s="5">
        <v>0.23499999999999999</v>
      </c>
      <c r="N23" s="10">
        <v>1.5</v>
      </c>
      <c r="O23" s="5">
        <v>7.5450000000000007E-4</v>
      </c>
      <c r="P23">
        <v>5.5E-2</v>
      </c>
      <c r="Q23" s="10">
        <v>1</v>
      </c>
      <c r="R23" s="8">
        <v>0</v>
      </c>
      <c r="S23">
        <v>0</v>
      </c>
      <c r="T23">
        <v>1</v>
      </c>
      <c r="U23" s="9">
        <v>0</v>
      </c>
      <c r="V23">
        <v>0</v>
      </c>
      <c r="W23" s="10">
        <v>1</v>
      </c>
      <c r="X23" s="1">
        <v>38.675999999999988</v>
      </c>
      <c r="Y23" s="2">
        <v>11.747999999999999</v>
      </c>
      <c r="Z23" s="13">
        <v>0</v>
      </c>
      <c r="AA23" s="2">
        <v>38.675999999999988</v>
      </c>
      <c r="AB23" s="2">
        <v>11.747999999999999</v>
      </c>
      <c r="AC23" s="2">
        <v>66</v>
      </c>
      <c r="AD23" s="2"/>
      <c r="AE23" s="7">
        <v>50.423999999999992</v>
      </c>
      <c r="AF23" s="2">
        <v>38.675999999999988</v>
      </c>
      <c r="AG23" s="2">
        <v>11.747999999999999</v>
      </c>
      <c r="AH23" s="2">
        <v>9.853133665821348</v>
      </c>
      <c r="AI23" s="2">
        <v>2.9929313865464149</v>
      </c>
      <c r="AJ23" s="2">
        <v>-302.26103854046153</v>
      </c>
      <c r="AK23" s="2">
        <v>-91.813079966215298</v>
      </c>
      <c r="AL23" s="2">
        <v>0</v>
      </c>
      <c r="AM23" s="2">
        <v>0</v>
      </c>
      <c r="AN23" s="2">
        <v>66</v>
      </c>
      <c r="AO23" s="2">
        <v>59.601231134920347</v>
      </c>
      <c r="AP23" s="2">
        <v>59.601231134920347</v>
      </c>
      <c r="AQ23" s="2">
        <v>0</v>
      </c>
      <c r="AR23" s="2">
        <v>0</v>
      </c>
      <c r="AS23" s="2">
        <v>0</v>
      </c>
      <c r="AT23" s="2">
        <v>0</v>
      </c>
      <c r="AU23" s="1">
        <v>50.423999999999992</v>
      </c>
      <c r="AV23" s="2">
        <v>8.9116823690631186</v>
      </c>
      <c r="AW23" s="2">
        <v>-404.55550873865769</v>
      </c>
      <c r="AX23" s="2">
        <v>59.601231134920347</v>
      </c>
      <c r="AZ23" s="1">
        <f t="shared" si="45"/>
        <v>38.675999999999988</v>
      </c>
      <c r="BA23" s="2">
        <f t="shared" si="46"/>
        <v>9.853133665821348</v>
      </c>
      <c r="BB23" s="7">
        <f t="shared" si="47"/>
        <v>-302.26103854046153</v>
      </c>
      <c r="BC23" s="1">
        <f t="shared" si="48"/>
        <v>11.747999999999999</v>
      </c>
      <c r="BD23" s="2">
        <f t="shared" si="49"/>
        <v>2.9929313865464149</v>
      </c>
      <c r="BE23" s="2">
        <f t="shared" si="50"/>
        <v>-91.813079966215298</v>
      </c>
      <c r="BF23" s="2">
        <f t="shared" si="51"/>
        <v>0</v>
      </c>
      <c r="BG23" s="7">
        <f t="shared" si="52"/>
        <v>0</v>
      </c>
      <c r="BH23" s="1">
        <f t="shared" si="53"/>
        <v>50.423999999999985</v>
      </c>
      <c r="BI23" s="2">
        <f t="shared" si="54"/>
        <v>12.846065052367763</v>
      </c>
      <c r="BJ23" s="2">
        <f t="shared" si="55"/>
        <v>394.07411850667683</v>
      </c>
      <c r="BK23" s="2">
        <f t="shared" si="56"/>
        <v>0</v>
      </c>
      <c r="BL23" s="7">
        <f t="shared" si="57"/>
        <v>0</v>
      </c>
      <c r="BM23" s="2"/>
      <c r="BN23" s="1">
        <f t="shared" si="22"/>
        <v>50.423999999999992</v>
      </c>
      <c r="BO23" s="4">
        <v>0</v>
      </c>
      <c r="BP23" s="2">
        <f t="shared" si="13"/>
        <v>50.423999999999992</v>
      </c>
      <c r="BQ23" s="2">
        <f t="shared" si="24"/>
        <v>59.601231134920347</v>
      </c>
      <c r="BR23" s="3">
        <f t="shared" si="25"/>
        <v>0.84602279247981138</v>
      </c>
      <c r="BS23" s="1">
        <f t="shared" si="30"/>
        <v>66</v>
      </c>
      <c r="BT23" s="2">
        <f t="shared" si="31"/>
        <v>59.601231134920347</v>
      </c>
      <c r="BU23" s="21">
        <f t="shared" si="26"/>
        <v>1.1073596760206958</v>
      </c>
      <c r="BV23" s="2" t="str">
        <f t="shared" si="32"/>
        <v/>
      </c>
      <c r="BW23" s="2" t="str">
        <f t="shared" si="33"/>
        <v/>
      </c>
      <c r="BX23" s="21" t="str">
        <f t="shared" si="27"/>
        <v/>
      </c>
      <c r="BY23" s="15"/>
    </row>
    <row r="24" spans="1:77" x14ac:dyDescent="0.25">
      <c r="A24" t="str">
        <f t="shared" si="18"/>
        <v>Travée</v>
      </c>
      <c r="B24" t="b">
        <f t="shared" si="19"/>
        <v>1</v>
      </c>
      <c r="C24">
        <f t="shared" si="29"/>
        <v>2</v>
      </c>
      <c r="D24" s="5" t="s">
        <v>110</v>
      </c>
      <c r="E24" t="s">
        <v>55</v>
      </c>
      <c r="F24" s="5">
        <v>25</v>
      </c>
      <c r="G24" t="s">
        <v>46</v>
      </c>
      <c r="H24">
        <v>500</v>
      </c>
      <c r="I24">
        <v>170000</v>
      </c>
      <c r="J24">
        <v>1300</v>
      </c>
      <c r="K24" s="10">
        <v>1445</v>
      </c>
      <c r="L24" s="12">
        <v>1</v>
      </c>
      <c r="M24" s="5">
        <v>0.23499999999999999</v>
      </c>
      <c r="N24" s="10">
        <v>1.5</v>
      </c>
      <c r="O24" s="5">
        <v>5.7750000000000011E-4</v>
      </c>
      <c r="P24">
        <v>0.04</v>
      </c>
      <c r="Q24" s="10">
        <v>1</v>
      </c>
      <c r="R24" s="8">
        <v>0</v>
      </c>
      <c r="S24">
        <v>0</v>
      </c>
      <c r="T24">
        <v>1</v>
      </c>
      <c r="U24" s="9">
        <v>0</v>
      </c>
      <c r="V24">
        <v>0</v>
      </c>
      <c r="W24" s="10">
        <v>1</v>
      </c>
      <c r="X24" s="1">
        <v>21.752320000000001</v>
      </c>
      <c r="Y24" s="2">
        <v>6.607359999999999</v>
      </c>
      <c r="Z24" s="13">
        <v>0</v>
      </c>
      <c r="AA24" s="2">
        <v>21.752320000000001</v>
      </c>
      <c r="AB24" s="2">
        <v>6.607359999999999</v>
      </c>
      <c r="AC24" s="2">
        <v>37.119999999999997</v>
      </c>
      <c r="AD24" s="2"/>
      <c r="AE24" s="7">
        <v>28.359680000000001</v>
      </c>
      <c r="AF24" s="2">
        <v>21.752320000000001</v>
      </c>
      <c r="AG24" s="2">
        <v>6.607359999999999</v>
      </c>
      <c r="AH24" s="2">
        <v>5.4897903579258793</v>
      </c>
      <c r="AI24" s="2">
        <v>1.667547241827313</v>
      </c>
      <c r="AJ24" s="2">
        <v>-203.1923872502297</v>
      </c>
      <c r="AK24" s="2">
        <v>-61.720554488977641</v>
      </c>
      <c r="AL24" s="2">
        <v>0</v>
      </c>
      <c r="AM24" s="2">
        <v>0</v>
      </c>
      <c r="AN24" s="2">
        <v>37.119999999999997</v>
      </c>
      <c r="AO24" s="2">
        <v>50.937881098386818</v>
      </c>
      <c r="AP24" s="2">
        <v>50.937881098386818</v>
      </c>
      <c r="AQ24" s="2">
        <v>6.6382346380612063</v>
      </c>
      <c r="AR24" s="2">
        <v>-354.14969151764939</v>
      </c>
      <c r="AS24" s="2">
        <v>0</v>
      </c>
      <c r="AT24" s="2">
        <v>0</v>
      </c>
      <c r="AU24" s="1">
        <v>28.359680000000001</v>
      </c>
      <c r="AV24" s="2">
        <v>5.1676997054136979</v>
      </c>
      <c r="AW24" s="2">
        <v>-270.28944917278869</v>
      </c>
      <c r="AX24" s="2">
        <v>50.937881098386818</v>
      </c>
      <c r="AZ24" s="1">
        <f t="shared" si="45"/>
        <v>21.752320000000001</v>
      </c>
      <c r="BA24" s="2">
        <f t="shared" si="46"/>
        <v>5.4897903579258793</v>
      </c>
      <c r="BB24" s="7">
        <f t="shared" si="47"/>
        <v>-203.1923872502297</v>
      </c>
      <c r="BC24" s="1">
        <f t="shared" si="48"/>
        <v>6.607359999999999</v>
      </c>
      <c r="BD24" s="2">
        <f t="shared" si="49"/>
        <v>1.667547241827313</v>
      </c>
      <c r="BE24" s="2">
        <f t="shared" si="50"/>
        <v>-61.720554488977641</v>
      </c>
      <c r="BF24" s="2">
        <f t="shared" si="51"/>
        <v>0</v>
      </c>
      <c r="BG24" s="7">
        <f t="shared" si="52"/>
        <v>0</v>
      </c>
      <c r="BH24" s="1">
        <f t="shared" si="53"/>
        <v>28.359680000000001</v>
      </c>
      <c r="BI24" s="2">
        <f t="shared" si="54"/>
        <v>7.1573375997531921</v>
      </c>
      <c r="BJ24" s="2">
        <f t="shared" si="55"/>
        <v>264.91294173920733</v>
      </c>
      <c r="BK24" s="2">
        <f t="shared" si="56"/>
        <v>0</v>
      </c>
      <c r="BL24" s="7">
        <f t="shared" si="57"/>
        <v>0</v>
      </c>
      <c r="BM24" s="2"/>
      <c r="BN24" s="1">
        <f t="shared" si="22"/>
        <v>28.359680000000001</v>
      </c>
      <c r="BO24" s="4" t="str">
        <f t="shared" ref="BO24" si="66">IF(ISNUMBER(SEARCH("Appui",E24)),0,"0")</f>
        <v>0</v>
      </c>
      <c r="BP24" s="2">
        <f t="shared" si="13"/>
        <v>28.359680000000001</v>
      </c>
      <c r="BQ24" s="2">
        <f t="shared" si="24"/>
        <v>50.937881098386818</v>
      </c>
      <c r="BR24" s="3">
        <f t="shared" si="25"/>
        <v>0.55675028855682296</v>
      </c>
      <c r="BS24" s="1">
        <f t="shared" si="30"/>
        <v>37.119999999999997</v>
      </c>
      <c r="BT24" s="2">
        <f t="shared" si="31"/>
        <v>50.937881098386818</v>
      </c>
      <c r="BU24" s="21">
        <f t="shared" si="26"/>
        <v>0.72873074418432326</v>
      </c>
      <c r="BV24" s="2">
        <f t="shared" si="32"/>
        <v>70.12</v>
      </c>
      <c r="BW24" s="2">
        <f t="shared" si="33"/>
        <v>80.738496665846995</v>
      </c>
      <c r="BX24" s="21">
        <f t="shared" si="27"/>
        <v>1.1514332097240016</v>
      </c>
      <c r="BY24" s="10" t="str">
        <f t="shared" ref="BY24" si="67">IF(C22&lt;C24,"Rive",IF(C26&gt;C24,"Rive","Inter"))</f>
        <v>Rive</v>
      </c>
    </row>
    <row r="25" spans="1:77" x14ac:dyDescent="0.25">
      <c r="A25" t="str">
        <f t="shared" si="18"/>
        <v/>
      </c>
      <c r="B25" t="b">
        <f t="shared" si="19"/>
        <v>1</v>
      </c>
      <c r="C25">
        <f t="shared" si="29"/>
        <v>2</v>
      </c>
      <c r="D25" s="5" t="s">
        <v>110</v>
      </c>
      <c r="F25" s="5"/>
      <c r="K25" s="10"/>
      <c r="L25" s="12"/>
      <c r="M25" s="5"/>
      <c r="N25" s="10"/>
      <c r="O25" s="5"/>
      <c r="Q25" s="10"/>
      <c r="R25" s="8"/>
      <c r="U25" s="9"/>
      <c r="W25" s="10"/>
      <c r="X25" s="1"/>
      <c r="Y25" s="2"/>
      <c r="Z25" s="13"/>
      <c r="AA25" s="2"/>
      <c r="AB25" s="2"/>
      <c r="AC25" s="2"/>
      <c r="AD25" s="2"/>
      <c r="AE25" s="7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"/>
      <c r="AV25" s="2"/>
      <c r="AW25" s="2"/>
      <c r="AX25" s="2"/>
      <c r="AZ25" s="1">
        <f t="shared" si="45"/>
        <v>0</v>
      </c>
      <c r="BA25" s="2">
        <f t="shared" si="46"/>
        <v>0</v>
      </c>
      <c r="BB25" s="7">
        <f t="shared" si="47"/>
        <v>0</v>
      </c>
      <c r="BC25" s="1">
        <f t="shared" si="48"/>
        <v>0</v>
      </c>
      <c r="BD25" s="2">
        <f t="shared" si="49"/>
        <v>0</v>
      </c>
      <c r="BE25" s="2">
        <f t="shared" si="50"/>
        <v>0</v>
      </c>
      <c r="BF25" s="2">
        <f t="shared" si="51"/>
        <v>0</v>
      </c>
      <c r="BG25" s="7">
        <f t="shared" si="52"/>
        <v>0</v>
      </c>
      <c r="BH25" s="1">
        <f t="shared" si="53"/>
        <v>0</v>
      </c>
      <c r="BI25" s="2">
        <f t="shared" si="54"/>
        <v>0</v>
      </c>
      <c r="BJ25" s="2">
        <f t="shared" si="55"/>
        <v>0</v>
      </c>
      <c r="BK25" s="2">
        <f t="shared" si="56"/>
        <v>0</v>
      </c>
      <c r="BL25" s="7">
        <f t="shared" si="57"/>
        <v>0</v>
      </c>
      <c r="BM25" s="2"/>
      <c r="BN25" s="1">
        <f t="shared" si="22"/>
        <v>0</v>
      </c>
      <c r="BO25" s="4">
        <v>0</v>
      </c>
      <c r="BP25" s="2">
        <f t="shared" si="13"/>
        <v>0</v>
      </c>
      <c r="BQ25" s="2">
        <f t="shared" si="24"/>
        <v>0</v>
      </c>
      <c r="BR25" s="3" t="e">
        <f t="shared" si="25"/>
        <v>#DIV/0!</v>
      </c>
      <c r="BS25" s="1">
        <f t="shared" si="30"/>
        <v>0</v>
      </c>
      <c r="BT25" s="2">
        <f t="shared" si="31"/>
        <v>0</v>
      </c>
      <c r="BU25" s="21" t="e">
        <f t="shared" si="26"/>
        <v>#DIV/0!</v>
      </c>
      <c r="BV25" s="2" t="str">
        <f t="shared" si="32"/>
        <v/>
      </c>
      <c r="BW25" s="2" t="str">
        <f t="shared" si="33"/>
        <v/>
      </c>
      <c r="BX25" s="21" t="str">
        <f t="shared" si="27"/>
        <v/>
      </c>
      <c r="BY25" s="15"/>
    </row>
    <row r="26" spans="1:77" x14ac:dyDescent="0.25">
      <c r="A26" t="str">
        <f t="shared" si="18"/>
        <v>Travée</v>
      </c>
      <c r="B26" t="b">
        <f t="shared" si="19"/>
        <v>0</v>
      </c>
      <c r="C26">
        <f t="shared" si="29"/>
        <v>3</v>
      </c>
      <c r="D26" s="5" t="s">
        <v>111</v>
      </c>
      <c r="E26" t="s">
        <v>45</v>
      </c>
      <c r="F26" s="5">
        <v>25</v>
      </c>
      <c r="G26" t="s">
        <v>46</v>
      </c>
      <c r="H26">
        <v>500</v>
      </c>
      <c r="I26">
        <v>170000</v>
      </c>
      <c r="J26">
        <v>1300</v>
      </c>
      <c r="K26" s="10">
        <v>1445</v>
      </c>
      <c r="L26" s="12">
        <v>1</v>
      </c>
      <c r="M26" s="5">
        <v>0.23499999999999999</v>
      </c>
      <c r="N26" s="10">
        <v>2.5</v>
      </c>
      <c r="O26" s="5">
        <v>6.4250000000000006E-4</v>
      </c>
      <c r="P26">
        <v>0.04</v>
      </c>
      <c r="Q26" s="10">
        <v>1</v>
      </c>
      <c r="R26" s="8">
        <v>0</v>
      </c>
      <c r="S26">
        <v>0</v>
      </c>
      <c r="T26">
        <v>1</v>
      </c>
      <c r="U26" s="9">
        <v>0</v>
      </c>
      <c r="V26">
        <v>0</v>
      </c>
      <c r="W26" s="10">
        <v>1</v>
      </c>
      <c r="X26" s="1">
        <v>34.503680000000003</v>
      </c>
      <c r="Y26" s="2">
        <v>10.480639999999999</v>
      </c>
      <c r="Z26" s="13">
        <v>0</v>
      </c>
      <c r="AA26" s="2">
        <v>34.503680000000003</v>
      </c>
      <c r="AB26" s="2">
        <v>10.480639999999999</v>
      </c>
      <c r="AC26" s="2">
        <v>58.88</v>
      </c>
      <c r="AD26" s="2"/>
      <c r="AE26" s="7">
        <v>44.984319999999997</v>
      </c>
      <c r="AF26" s="2">
        <v>34.503680000000003</v>
      </c>
      <c r="AG26" s="2">
        <v>10.480639999999999</v>
      </c>
      <c r="AH26" s="2">
        <v>6.251050161346587</v>
      </c>
      <c r="AI26" s="2">
        <v>1.8987831548117611</v>
      </c>
      <c r="AJ26" s="2">
        <v>-287.22638903672708</v>
      </c>
      <c r="AK26" s="2">
        <v>-87.246241038459758</v>
      </c>
      <c r="AL26" s="2">
        <v>0</v>
      </c>
      <c r="AM26" s="2">
        <v>0</v>
      </c>
      <c r="AN26" s="2">
        <v>58.88</v>
      </c>
      <c r="AO26" s="2">
        <v>57.153449734010323</v>
      </c>
      <c r="AP26" s="2">
        <v>57.153449734010323</v>
      </c>
      <c r="AQ26" s="2">
        <v>0</v>
      </c>
      <c r="AR26" s="2">
        <v>0</v>
      </c>
      <c r="AS26" s="2">
        <v>0</v>
      </c>
      <c r="AT26" s="2">
        <v>0</v>
      </c>
      <c r="AU26" s="1">
        <v>44.984319999999997</v>
      </c>
      <c r="AV26" s="2">
        <v>5.7939552790163242</v>
      </c>
      <c r="AW26" s="2">
        <v>-380.78530891703531</v>
      </c>
      <c r="AX26" s="2">
        <v>57.153449734010323</v>
      </c>
      <c r="AZ26" s="1">
        <f t="shared" si="45"/>
        <v>34.503680000000003</v>
      </c>
      <c r="BA26" s="2">
        <f t="shared" si="46"/>
        <v>6.251050161346587</v>
      </c>
      <c r="BB26" s="7">
        <f t="shared" si="47"/>
        <v>-287.22638903672708</v>
      </c>
      <c r="BC26" s="1">
        <f t="shared" si="48"/>
        <v>10.480639999999999</v>
      </c>
      <c r="BD26" s="2">
        <f t="shared" si="49"/>
        <v>1.8987831548117611</v>
      </c>
      <c r="BE26" s="2">
        <f t="shared" si="50"/>
        <v>-87.246241038459758</v>
      </c>
      <c r="BF26" s="2">
        <f t="shared" si="51"/>
        <v>0</v>
      </c>
      <c r="BG26" s="7">
        <f t="shared" si="52"/>
        <v>0</v>
      </c>
      <c r="BH26" s="1">
        <f t="shared" si="53"/>
        <v>44.984320000000004</v>
      </c>
      <c r="BI26" s="2">
        <f t="shared" si="54"/>
        <v>8.1498333161583485</v>
      </c>
      <c r="BJ26" s="2">
        <f t="shared" si="55"/>
        <v>374.47263007518683</v>
      </c>
      <c r="BK26" s="2">
        <f t="shared" si="56"/>
        <v>0</v>
      </c>
      <c r="BL26" s="7">
        <f t="shared" si="57"/>
        <v>0</v>
      </c>
      <c r="BM26" s="2"/>
      <c r="BN26" s="1">
        <f t="shared" si="22"/>
        <v>44.984319999999997</v>
      </c>
      <c r="BO26" s="4" t="str">
        <f t="shared" ref="BO26" si="68">IF(ISNUMBER(SEARCH("Appui",E26)),0,"0")</f>
        <v>0</v>
      </c>
      <c r="BP26" s="2">
        <f t="shared" si="13"/>
        <v>44.984319999999997</v>
      </c>
      <c r="BQ26" s="2">
        <f t="shared" si="24"/>
        <v>57.153449734010323</v>
      </c>
      <c r="BR26" s="3">
        <f t="shared" si="25"/>
        <v>0.7870796987645553</v>
      </c>
      <c r="BS26" s="1">
        <f t="shared" si="30"/>
        <v>58.88</v>
      </c>
      <c r="BT26" s="2">
        <f t="shared" si="31"/>
        <v>57.153449734010323</v>
      </c>
      <c r="BU26" s="21">
        <f t="shared" si="26"/>
        <v>1.0302090297965385</v>
      </c>
      <c r="BV26" s="2">
        <f t="shared" si="32"/>
        <v>78.13</v>
      </c>
      <c r="BW26" s="2">
        <f t="shared" si="33"/>
        <v>96.887603823957136</v>
      </c>
      <c r="BX26" s="21">
        <f t="shared" si="27"/>
        <v>1.2400819637009746</v>
      </c>
      <c r="BY26" s="10" t="str">
        <f t="shared" ref="BY26" si="69">IF(C24&lt;C26,"Rive",IF(C28&gt;C26,"Rive","Inter"))</f>
        <v>Rive</v>
      </c>
    </row>
    <row r="27" spans="1:77" x14ac:dyDescent="0.25">
      <c r="A27" t="str">
        <f t="shared" si="18"/>
        <v>Appui</v>
      </c>
      <c r="B27" t="b">
        <f t="shared" si="19"/>
        <v>0</v>
      </c>
      <c r="C27">
        <f t="shared" si="29"/>
        <v>3</v>
      </c>
      <c r="D27" s="5" t="s">
        <v>111</v>
      </c>
      <c r="E27" t="s">
        <v>47</v>
      </c>
      <c r="F27" s="5">
        <v>25</v>
      </c>
      <c r="G27" t="s">
        <v>46</v>
      </c>
      <c r="H27">
        <v>500</v>
      </c>
      <c r="I27">
        <v>170000</v>
      </c>
      <c r="J27">
        <v>1300</v>
      </c>
      <c r="K27" s="10">
        <v>1445</v>
      </c>
      <c r="L27" s="12">
        <v>1</v>
      </c>
      <c r="M27" s="5">
        <v>0.23499999999999999</v>
      </c>
      <c r="N27" s="10">
        <v>2</v>
      </c>
      <c r="O27" s="5">
        <v>1.0059999999999999E-3</v>
      </c>
      <c r="P27">
        <v>5.5E-2</v>
      </c>
      <c r="Q27" s="10">
        <v>1</v>
      </c>
      <c r="R27" s="8">
        <v>0</v>
      </c>
      <c r="S27">
        <v>0</v>
      </c>
      <c r="T27">
        <v>1</v>
      </c>
      <c r="U27" s="9">
        <v>0</v>
      </c>
      <c r="V27">
        <v>0</v>
      </c>
      <c r="W27" s="10">
        <v>1</v>
      </c>
      <c r="X27" s="1">
        <v>22.561</v>
      </c>
      <c r="Y27" s="2">
        <v>6.8529999999999998</v>
      </c>
      <c r="Z27" s="13">
        <v>0</v>
      </c>
      <c r="AA27" s="2">
        <v>22.561</v>
      </c>
      <c r="AB27" s="2">
        <v>6.8529999999999998</v>
      </c>
      <c r="AC27" s="2">
        <v>38.5</v>
      </c>
      <c r="AD27" s="2"/>
      <c r="AE27" s="7">
        <v>29.414000000000001</v>
      </c>
      <c r="AF27" s="2">
        <v>22.561</v>
      </c>
      <c r="AG27" s="2">
        <v>6.8529999999999998</v>
      </c>
      <c r="AH27" s="2">
        <v>4.3107459787968354</v>
      </c>
      <c r="AI27" s="2">
        <v>1.309407481614056</v>
      </c>
      <c r="AJ27" s="2">
        <v>-132.23920436145201</v>
      </c>
      <c r="AK27" s="2">
        <v>-40.168222485219182</v>
      </c>
      <c r="AL27" s="2">
        <v>0</v>
      </c>
      <c r="AM27" s="2">
        <v>0</v>
      </c>
      <c r="AN27" s="2">
        <v>38.5</v>
      </c>
      <c r="AO27" s="2">
        <v>79.468308179893626</v>
      </c>
      <c r="AP27" s="2">
        <v>79.468308179893626</v>
      </c>
      <c r="AQ27" s="2">
        <v>5.3582279101857484</v>
      </c>
      <c r="AR27" s="2">
        <v>-230.9286344084922</v>
      </c>
      <c r="AS27" s="2">
        <v>0</v>
      </c>
      <c r="AT27" s="2">
        <v>0</v>
      </c>
      <c r="AU27" s="1">
        <v>29.414000000000001</v>
      </c>
      <c r="AV27" s="2">
        <v>4.1495945087641974</v>
      </c>
      <c r="AW27" s="2">
        <v>-176.28836268259241</v>
      </c>
      <c r="AX27" s="2">
        <v>79.468308179893626</v>
      </c>
      <c r="AZ27" s="1">
        <f t="shared" si="45"/>
        <v>22.561</v>
      </c>
      <c r="BA27" s="2">
        <f t="shared" si="46"/>
        <v>4.3107459787968354</v>
      </c>
      <c r="BB27" s="7">
        <f t="shared" si="47"/>
        <v>-132.23920436145201</v>
      </c>
      <c r="BC27" s="1">
        <f t="shared" si="48"/>
        <v>6.8529999999999998</v>
      </c>
      <c r="BD27" s="2">
        <f t="shared" si="49"/>
        <v>1.309407481614056</v>
      </c>
      <c r="BE27" s="2">
        <f t="shared" si="50"/>
        <v>-40.168222485219182</v>
      </c>
      <c r="BF27" s="2">
        <f t="shared" si="51"/>
        <v>0</v>
      </c>
      <c r="BG27" s="7">
        <f t="shared" si="52"/>
        <v>0</v>
      </c>
      <c r="BH27" s="1">
        <f t="shared" si="53"/>
        <v>29.414000000000001</v>
      </c>
      <c r="BI27" s="2">
        <f t="shared" si="54"/>
        <v>5.6201534604108918</v>
      </c>
      <c r="BJ27" s="2">
        <f t="shared" si="55"/>
        <v>172.4074268466712</v>
      </c>
      <c r="BK27" s="2">
        <f t="shared" si="56"/>
        <v>0</v>
      </c>
      <c r="BL27" s="7">
        <f t="shared" si="57"/>
        <v>0</v>
      </c>
      <c r="BM27" s="2"/>
      <c r="BN27" s="1">
        <f t="shared" si="22"/>
        <v>29.414000000000001</v>
      </c>
      <c r="BO27" s="4">
        <v>0</v>
      </c>
      <c r="BP27" s="2">
        <f t="shared" si="13"/>
        <v>29.414000000000001</v>
      </c>
      <c r="BQ27" s="2">
        <f t="shared" si="24"/>
        <v>79.468308179893626</v>
      </c>
      <c r="BR27" s="3">
        <f t="shared" si="25"/>
        <v>0.37013497170991838</v>
      </c>
      <c r="BS27" s="1">
        <f t="shared" si="30"/>
        <v>38.5</v>
      </c>
      <c r="BT27" s="2">
        <f t="shared" si="31"/>
        <v>79.468308179893626</v>
      </c>
      <c r="BU27" s="21">
        <f t="shared" si="26"/>
        <v>0.48446985825905542</v>
      </c>
      <c r="BV27" s="2" t="str">
        <f t="shared" si="32"/>
        <v/>
      </c>
      <c r="BW27" s="2" t="str">
        <f t="shared" si="33"/>
        <v/>
      </c>
      <c r="BX27" s="21" t="str">
        <f t="shared" si="27"/>
        <v/>
      </c>
      <c r="BY27" s="15"/>
    </row>
    <row r="28" spans="1:77" x14ac:dyDescent="0.25">
      <c r="A28" t="str">
        <f t="shared" si="18"/>
        <v>Travée</v>
      </c>
      <c r="B28" t="b">
        <f t="shared" si="19"/>
        <v>0</v>
      </c>
      <c r="C28">
        <f t="shared" si="29"/>
        <v>3</v>
      </c>
      <c r="D28" s="5" t="s">
        <v>111</v>
      </c>
      <c r="E28" t="s">
        <v>48</v>
      </c>
      <c r="F28" s="5">
        <v>25</v>
      </c>
      <c r="G28" t="s">
        <v>46</v>
      </c>
      <c r="H28">
        <v>500</v>
      </c>
      <c r="I28">
        <v>170000</v>
      </c>
      <c r="J28">
        <v>1300</v>
      </c>
      <c r="K28" s="10">
        <v>1445</v>
      </c>
      <c r="L28" s="12">
        <v>1</v>
      </c>
      <c r="M28" s="5">
        <v>0.23499999999999999</v>
      </c>
      <c r="N28" s="10">
        <v>2</v>
      </c>
      <c r="O28" s="5">
        <v>1.0300000000000001E-3</v>
      </c>
      <c r="P28">
        <v>0.04</v>
      </c>
      <c r="Q28" s="10">
        <v>1</v>
      </c>
      <c r="R28" s="8">
        <v>0</v>
      </c>
      <c r="S28">
        <v>0</v>
      </c>
      <c r="T28">
        <v>1</v>
      </c>
      <c r="U28" s="9">
        <v>0</v>
      </c>
      <c r="V28">
        <v>0</v>
      </c>
      <c r="W28" s="10">
        <v>1</v>
      </c>
      <c r="X28" s="1">
        <v>0.75007999999999997</v>
      </c>
      <c r="Y28" s="2">
        <v>0.22783999999999999</v>
      </c>
      <c r="Z28" s="13">
        <v>0</v>
      </c>
      <c r="AA28" s="2">
        <v>0.75007999999999997</v>
      </c>
      <c r="AB28" s="2">
        <v>0.22783999999999999</v>
      </c>
      <c r="AC28" s="2">
        <v>1.28</v>
      </c>
      <c r="AD28" s="2"/>
      <c r="AE28" s="7">
        <v>0.9779199999999999</v>
      </c>
      <c r="AF28" s="2">
        <v>0.75007999999999997</v>
      </c>
      <c r="AG28" s="2">
        <v>0.22783999999999999</v>
      </c>
      <c r="AH28" s="2">
        <v>0.1253260571502344</v>
      </c>
      <c r="AI28" s="2">
        <v>3.7988300956180263E-2</v>
      </c>
      <c r="AJ28" s="2">
        <v>-3.9558762523730779</v>
      </c>
      <c r="AK28" s="2">
        <v>-1.1990429637339941</v>
      </c>
      <c r="AL28" s="2">
        <v>0</v>
      </c>
      <c r="AM28" s="2">
        <v>0</v>
      </c>
      <c r="AN28" s="2">
        <v>1.28</v>
      </c>
      <c r="AO28" s="2">
        <v>88.637307478916199</v>
      </c>
      <c r="AP28" s="2">
        <v>88.637307478916199</v>
      </c>
      <c r="AQ28" s="2">
        <v>0.16366424035230881</v>
      </c>
      <c r="AR28" s="2">
        <v>-6.8854595507131506</v>
      </c>
      <c r="AS28" s="2">
        <v>0</v>
      </c>
      <c r="AT28" s="2">
        <v>0</v>
      </c>
      <c r="AU28" s="1">
        <v>0.9779199999999999</v>
      </c>
      <c r="AV28" s="2">
        <v>0.12508279460046179</v>
      </c>
      <c r="AW28" s="2">
        <v>-5.2603759980202902</v>
      </c>
      <c r="AX28" s="2">
        <v>88.637307478916199</v>
      </c>
      <c r="AZ28" s="1">
        <f t="shared" si="45"/>
        <v>0.75007999999999997</v>
      </c>
      <c r="BA28" s="2">
        <f t="shared" si="46"/>
        <v>0.1253260571502344</v>
      </c>
      <c r="BB28" s="7">
        <f t="shared" si="47"/>
        <v>-3.9558762523730779</v>
      </c>
      <c r="BC28" s="1">
        <f t="shared" si="48"/>
        <v>0.22783999999999999</v>
      </c>
      <c r="BD28" s="2">
        <f t="shared" si="49"/>
        <v>3.7988300956180263E-2</v>
      </c>
      <c r="BE28" s="2">
        <f t="shared" si="50"/>
        <v>-1.1990429637339941</v>
      </c>
      <c r="BF28" s="2">
        <f t="shared" si="51"/>
        <v>0</v>
      </c>
      <c r="BG28" s="7">
        <f t="shared" si="52"/>
        <v>0</v>
      </c>
      <c r="BH28" s="1">
        <f t="shared" si="53"/>
        <v>0.9779199999999999</v>
      </c>
      <c r="BI28" s="2">
        <f t="shared" si="54"/>
        <v>0.16331435810641465</v>
      </c>
      <c r="BJ28" s="2">
        <f t="shared" si="55"/>
        <v>5.1549192161070723</v>
      </c>
      <c r="BK28" s="2">
        <f t="shared" si="56"/>
        <v>0</v>
      </c>
      <c r="BL28" s="7">
        <f t="shared" si="57"/>
        <v>0</v>
      </c>
      <c r="BM28" s="2"/>
      <c r="BN28" s="1">
        <f t="shared" si="22"/>
        <v>0.9779199999999999</v>
      </c>
      <c r="BO28" s="4" t="str">
        <f t="shared" ref="BO28" si="70">IF(ISNUMBER(SEARCH("Appui",E28)),0,"0")</f>
        <v>0</v>
      </c>
      <c r="BP28" s="2">
        <f t="shared" si="13"/>
        <v>0.9779199999999999</v>
      </c>
      <c r="BQ28" s="2">
        <f t="shared" si="24"/>
        <v>88.637307478916199</v>
      </c>
      <c r="BR28" s="3">
        <f t="shared" si="25"/>
        <v>1.1032826106914561E-2</v>
      </c>
      <c r="BS28" s="1">
        <f t="shared" si="30"/>
        <v>1.28</v>
      </c>
      <c r="BT28" s="2">
        <f t="shared" si="31"/>
        <v>88.637307478916199</v>
      </c>
      <c r="BU28" s="21">
        <f t="shared" si="26"/>
        <v>1.4440871867689218E-2</v>
      </c>
      <c r="BV28" s="2">
        <f t="shared" si="32"/>
        <v>48.58</v>
      </c>
      <c r="BW28" s="2">
        <f t="shared" si="33"/>
        <v>168.10561565880982</v>
      </c>
      <c r="BX28" s="21">
        <f t="shared" si="27"/>
        <v>3.460387312861462</v>
      </c>
      <c r="BY28" s="10" t="str">
        <f t="shared" ref="BY28" si="71">IF(C26&lt;C28,"Rive",IF(C30&gt;C28,"Rive","Inter"))</f>
        <v>Inter</v>
      </c>
    </row>
    <row r="29" spans="1:77" x14ac:dyDescent="0.25">
      <c r="A29" t="str">
        <f t="shared" si="18"/>
        <v>Appui</v>
      </c>
      <c r="B29" t="b">
        <f t="shared" si="19"/>
        <v>0</v>
      </c>
      <c r="C29">
        <f t="shared" si="29"/>
        <v>3</v>
      </c>
      <c r="D29" s="5" t="s">
        <v>111</v>
      </c>
      <c r="E29" t="s">
        <v>49</v>
      </c>
      <c r="F29" s="5">
        <v>25</v>
      </c>
      <c r="G29" t="s">
        <v>46</v>
      </c>
      <c r="H29">
        <v>500</v>
      </c>
      <c r="I29">
        <v>170000</v>
      </c>
      <c r="J29">
        <v>1300</v>
      </c>
      <c r="K29" s="10">
        <v>1445</v>
      </c>
      <c r="L29" s="12">
        <v>1</v>
      </c>
      <c r="M29" s="5">
        <v>0.23499999999999999</v>
      </c>
      <c r="N29" s="10">
        <v>2</v>
      </c>
      <c r="O29" s="5">
        <v>1.0059999999999999E-3</v>
      </c>
      <c r="P29">
        <v>5.5E-2</v>
      </c>
      <c r="Q29" s="10">
        <v>1</v>
      </c>
      <c r="R29" s="8">
        <v>0</v>
      </c>
      <c r="S29">
        <v>0</v>
      </c>
      <c r="T29">
        <v>1</v>
      </c>
      <c r="U29" s="9">
        <v>0</v>
      </c>
      <c r="V29">
        <v>0</v>
      </c>
      <c r="W29" s="10">
        <v>1</v>
      </c>
      <c r="X29" s="1">
        <v>32.874600000000001</v>
      </c>
      <c r="Y29" s="2">
        <v>9.9857999999999993</v>
      </c>
      <c r="Z29" s="13">
        <v>0</v>
      </c>
      <c r="AA29" s="2">
        <v>32.874600000000001</v>
      </c>
      <c r="AB29" s="2">
        <v>9.9857999999999993</v>
      </c>
      <c r="AC29" s="2">
        <v>56.1</v>
      </c>
      <c r="AD29" s="2"/>
      <c r="AE29" s="7">
        <v>42.860399999999998</v>
      </c>
      <c r="AF29" s="2">
        <v>32.874600000000001</v>
      </c>
      <c r="AG29" s="2">
        <v>9.9857999999999993</v>
      </c>
      <c r="AH29" s="2">
        <v>6.2813727119611054</v>
      </c>
      <c r="AI29" s="2">
        <v>1.907993758923338</v>
      </c>
      <c r="AJ29" s="2">
        <v>-192.6914120695443</v>
      </c>
      <c r="AK29" s="2">
        <v>-58.530838478462243</v>
      </c>
      <c r="AL29" s="2">
        <v>0</v>
      </c>
      <c r="AM29" s="2">
        <v>0</v>
      </c>
      <c r="AN29" s="2">
        <v>56.1</v>
      </c>
      <c r="AO29" s="2">
        <v>79.468308179893626</v>
      </c>
      <c r="AP29" s="2">
        <v>79.468308179893626</v>
      </c>
      <c r="AQ29" s="2">
        <v>7.5876111573106648</v>
      </c>
      <c r="AR29" s="2">
        <v>-337.09795083436433</v>
      </c>
      <c r="AS29" s="2">
        <v>0</v>
      </c>
      <c r="AT29" s="2">
        <v>0</v>
      </c>
      <c r="AU29" s="1">
        <v>42.860399999999998</v>
      </c>
      <c r="AV29" s="2">
        <v>5.9250697325380113</v>
      </c>
      <c r="AW29" s="2">
        <v>-257.18443746448361</v>
      </c>
      <c r="AX29" s="2">
        <v>79.468308179893626</v>
      </c>
      <c r="AZ29" s="1">
        <f t="shared" si="45"/>
        <v>32.874600000000001</v>
      </c>
      <c r="BA29" s="2">
        <f t="shared" si="46"/>
        <v>6.2813727119611054</v>
      </c>
      <c r="BB29" s="7">
        <f t="shared" si="47"/>
        <v>-192.6914120695443</v>
      </c>
      <c r="BC29" s="1">
        <f t="shared" si="48"/>
        <v>9.9857999999999993</v>
      </c>
      <c r="BD29" s="2">
        <f t="shared" si="49"/>
        <v>1.907993758923338</v>
      </c>
      <c r="BE29" s="2">
        <f t="shared" si="50"/>
        <v>-58.530838478462243</v>
      </c>
      <c r="BF29" s="2">
        <f t="shared" si="51"/>
        <v>0</v>
      </c>
      <c r="BG29" s="7">
        <f t="shared" si="52"/>
        <v>0</v>
      </c>
      <c r="BH29" s="1">
        <f t="shared" si="53"/>
        <v>42.860399999999998</v>
      </c>
      <c r="BI29" s="2">
        <f t="shared" si="54"/>
        <v>8.189366470884444</v>
      </c>
      <c r="BJ29" s="2">
        <f t="shared" si="55"/>
        <v>251.22225054800654</v>
      </c>
      <c r="BK29" s="2">
        <f t="shared" si="56"/>
        <v>0</v>
      </c>
      <c r="BL29" s="7">
        <f t="shared" si="57"/>
        <v>0</v>
      </c>
      <c r="BM29" s="2"/>
      <c r="BN29" s="1">
        <f t="shared" si="22"/>
        <v>42.860399999999998</v>
      </c>
      <c r="BO29" s="4">
        <v>0</v>
      </c>
      <c r="BP29" s="2">
        <f t="shared" si="13"/>
        <v>42.860399999999998</v>
      </c>
      <c r="BQ29" s="2">
        <f t="shared" si="24"/>
        <v>79.468308179893626</v>
      </c>
      <c r="BR29" s="3">
        <f t="shared" si="25"/>
        <v>0.53933953020588099</v>
      </c>
      <c r="BS29" s="1">
        <f t="shared" si="30"/>
        <v>56.1</v>
      </c>
      <c r="BT29" s="2">
        <f t="shared" si="31"/>
        <v>79.468308179893626</v>
      </c>
      <c r="BU29" s="21">
        <f t="shared" si="26"/>
        <v>0.70594179346319508</v>
      </c>
      <c r="BV29" s="2" t="str">
        <f t="shared" si="32"/>
        <v/>
      </c>
      <c r="BW29" s="2" t="str">
        <f t="shared" si="33"/>
        <v/>
      </c>
      <c r="BX29" s="21" t="str">
        <f t="shared" si="27"/>
        <v/>
      </c>
      <c r="BY29" s="15"/>
    </row>
    <row r="30" spans="1:77" x14ac:dyDescent="0.25">
      <c r="A30" t="str">
        <f t="shared" si="18"/>
        <v>Travée</v>
      </c>
      <c r="B30" t="b">
        <f t="shared" si="19"/>
        <v>0</v>
      </c>
      <c r="C30">
        <f t="shared" si="29"/>
        <v>3</v>
      </c>
      <c r="D30" s="5" t="s">
        <v>111</v>
      </c>
      <c r="E30" t="s">
        <v>51</v>
      </c>
      <c r="F30" s="5">
        <v>25</v>
      </c>
      <c r="G30" t="s">
        <v>46</v>
      </c>
      <c r="H30">
        <v>500</v>
      </c>
      <c r="I30">
        <v>170000</v>
      </c>
      <c r="J30">
        <v>1300</v>
      </c>
      <c r="K30" s="10">
        <v>1445</v>
      </c>
      <c r="L30" s="12">
        <v>1</v>
      </c>
      <c r="M30" s="5">
        <v>0.23499999999999999</v>
      </c>
      <c r="N30" s="10">
        <v>2</v>
      </c>
      <c r="O30" s="5">
        <v>7.7000000000000007E-4</v>
      </c>
      <c r="P30">
        <v>0.04</v>
      </c>
      <c r="Q30" s="10">
        <v>1</v>
      </c>
      <c r="R30" s="8">
        <v>0</v>
      </c>
      <c r="S30">
        <v>0</v>
      </c>
      <c r="T30">
        <v>1</v>
      </c>
      <c r="U30" s="9">
        <v>1.92E-4</v>
      </c>
      <c r="V30">
        <v>0</v>
      </c>
      <c r="W30" s="10">
        <v>1</v>
      </c>
      <c r="X30" s="1">
        <v>42.004480000000001</v>
      </c>
      <c r="Y30" s="2">
        <v>12.759040000000001</v>
      </c>
      <c r="Z30" s="13">
        <v>0</v>
      </c>
      <c r="AA30" s="2">
        <v>42.004480000000001</v>
      </c>
      <c r="AB30" s="2">
        <v>12.759040000000001</v>
      </c>
      <c r="AC30" s="2">
        <v>71.680000000000007</v>
      </c>
      <c r="AD30" s="2"/>
      <c r="AE30" s="7">
        <v>54.76352</v>
      </c>
      <c r="AF30" s="2">
        <v>42.004480000000001</v>
      </c>
      <c r="AG30" s="2">
        <v>12.759040000000001</v>
      </c>
      <c r="AH30" s="2">
        <v>7.9507308632029963</v>
      </c>
      <c r="AI30" s="2">
        <v>2.087901093723183</v>
      </c>
      <c r="AJ30" s="2">
        <v>-294.27862981067761</v>
      </c>
      <c r="AK30" s="2">
        <v>-68.039358884391632</v>
      </c>
      <c r="AL30" s="2">
        <v>0</v>
      </c>
      <c r="AM30" s="2">
        <v>-72.009896866269813</v>
      </c>
      <c r="AN30" s="2">
        <v>71.680000000000007</v>
      </c>
      <c r="AO30" s="2">
        <v>67.917174797849086</v>
      </c>
      <c r="AP30" s="2">
        <v>123.454620418578</v>
      </c>
      <c r="AQ30" s="2">
        <v>8.1623249062085534</v>
      </c>
      <c r="AR30" s="2">
        <v>-389.92537480239622</v>
      </c>
      <c r="AS30" s="2">
        <v>0</v>
      </c>
      <c r="AT30" s="2">
        <v>-419.34754236365359</v>
      </c>
      <c r="AU30" s="1">
        <v>54.76352</v>
      </c>
      <c r="AV30" s="2">
        <v>7.2804892553886047</v>
      </c>
      <c r="AW30" s="2">
        <v>-392.05069725111622</v>
      </c>
      <c r="AX30" s="2">
        <v>67.917174797849086</v>
      </c>
      <c r="AZ30" s="1">
        <f t="shared" si="45"/>
        <v>42.004480000000001</v>
      </c>
      <c r="BA30" s="2">
        <f t="shared" si="46"/>
        <v>7.9507308632029963</v>
      </c>
      <c r="BB30" s="7">
        <f t="shared" si="47"/>
        <v>-294.27862981067761</v>
      </c>
      <c r="BC30" s="1">
        <f t="shared" si="48"/>
        <v>12.759040000000001</v>
      </c>
      <c r="BD30" s="2">
        <f t="shared" si="49"/>
        <v>2.087901093723183</v>
      </c>
      <c r="BE30" s="2">
        <f t="shared" si="50"/>
        <v>-68.039358884391632</v>
      </c>
      <c r="BF30" s="2">
        <f t="shared" si="51"/>
        <v>0</v>
      </c>
      <c r="BG30" s="7">
        <f t="shared" si="52"/>
        <v>-72.009896866269813</v>
      </c>
      <c r="BH30" s="1">
        <f t="shared" si="53"/>
        <v>54.76352</v>
      </c>
      <c r="BI30" s="2">
        <f t="shared" si="54"/>
        <v>10.03863195692618</v>
      </c>
      <c r="BJ30" s="2">
        <f t="shared" si="55"/>
        <v>362.31798869506923</v>
      </c>
      <c r="BK30" s="2">
        <f t="shared" si="56"/>
        <v>0</v>
      </c>
      <c r="BL30" s="7">
        <f t="shared" si="57"/>
        <v>-72.009896866269813</v>
      </c>
      <c r="BM30" s="2"/>
      <c r="BN30" s="1">
        <f t="shared" si="22"/>
        <v>54.76352</v>
      </c>
      <c r="BO30" s="4" t="str">
        <f t="shared" ref="BO30" si="72">IF(ISNUMBER(SEARCH("Appui",E30)),0,"0")</f>
        <v>0</v>
      </c>
      <c r="BP30" s="2">
        <f t="shared" si="13"/>
        <v>54.76352</v>
      </c>
      <c r="BQ30" s="2">
        <f t="shared" si="24"/>
        <v>67.917174797849086</v>
      </c>
      <c r="BR30" s="3">
        <f t="shared" si="25"/>
        <v>0.80632800411677819</v>
      </c>
      <c r="BS30" s="1">
        <f t="shared" si="30"/>
        <v>71.680000000000007</v>
      </c>
      <c r="BT30" s="2">
        <f t="shared" si="31"/>
        <v>123.454620418578</v>
      </c>
      <c r="BU30" s="21">
        <f t="shared" si="26"/>
        <v>0.58061820413821696</v>
      </c>
      <c r="BV30" s="2">
        <f t="shared" si="32"/>
        <v>143.18</v>
      </c>
      <c r="BW30" s="2">
        <f t="shared" si="33"/>
        <v>203.06772660979172</v>
      </c>
      <c r="BX30" s="21">
        <f t="shared" si="27"/>
        <v>1.4182687987832918</v>
      </c>
      <c r="BY30" s="10" t="str">
        <f t="shared" ref="BY30" si="73">IF(C28&lt;C30,"Rive",IF(C32&gt;C30,"Rive","Inter"))</f>
        <v>Inter</v>
      </c>
    </row>
    <row r="31" spans="1:77" x14ac:dyDescent="0.25">
      <c r="A31" t="str">
        <f t="shared" si="18"/>
        <v>Appui</v>
      </c>
      <c r="B31" t="b">
        <f t="shared" si="19"/>
        <v>0</v>
      </c>
      <c r="C31">
        <f t="shared" si="29"/>
        <v>3</v>
      </c>
      <c r="D31" s="5" t="s">
        <v>111</v>
      </c>
      <c r="E31" t="s">
        <v>52</v>
      </c>
      <c r="F31" s="5">
        <v>25</v>
      </c>
      <c r="G31" t="s">
        <v>46</v>
      </c>
      <c r="H31">
        <v>500</v>
      </c>
      <c r="I31">
        <v>170000</v>
      </c>
      <c r="J31">
        <v>1300</v>
      </c>
      <c r="K31" s="10">
        <v>1445</v>
      </c>
      <c r="L31" s="12">
        <v>1</v>
      </c>
      <c r="M31" s="5">
        <v>0.23499999999999999</v>
      </c>
      <c r="N31" s="10">
        <v>2</v>
      </c>
      <c r="O31" s="5">
        <v>1.01E-3</v>
      </c>
      <c r="P31">
        <v>5.5E-2</v>
      </c>
      <c r="Q31" s="10">
        <v>1</v>
      </c>
      <c r="R31" s="8">
        <v>0</v>
      </c>
      <c r="S31">
        <v>0</v>
      </c>
      <c r="T31">
        <v>1</v>
      </c>
      <c r="U31" s="9">
        <v>0</v>
      </c>
      <c r="V31">
        <v>0</v>
      </c>
      <c r="W31" s="10">
        <v>1</v>
      </c>
      <c r="X31" s="1">
        <v>50.923400000000001</v>
      </c>
      <c r="Y31" s="2">
        <v>15.4682</v>
      </c>
      <c r="Z31" s="13">
        <v>0</v>
      </c>
      <c r="AA31" s="2">
        <v>50.923400000000001</v>
      </c>
      <c r="AB31" s="2">
        <v>15.4682</v>
      </c>
      <c r="AC31" s="2">
        <v>86.9</v>
      </c>
      <c r="AD31" s="2"/>
      <c r="AE31" s="7">
        <v>66.391599999999997</v>
      </c>
      <c r="AF31" s="2">
        <v>50.923400000000001</v>
      </c>
      <c r="AG31" s="2">
        <v>15.4682</v>
      </c>
      <c r="AH31" s="2">
        <v>9.7139978069552395</v>
      </c>
      <c r="AI31" s="2">
        <v>2.95066827583282</v>
      </c>
      <c r="AJ31" s="2">
        <v>-297.32946734338663</v>
      </c>
      <c r="AK31" s="2">
        <v>-90.315094175977507</v>
      </c>
      <c r="AL31" s="2">
        <v>0</v>
      </c>
      <c r="AM31" s="2">
        <v>0</v>
      </c>
      <c r="AN31" s="2">
        <v>86.9</v>
      </c>
      <c r="AO31" s="2">
        <v>79.757904202533823</v>
      </c>
      <c r="AP31" s="2">
        <v>79.757904202533823</v>
      </c>
      <c r="AQ31" s="2">
        <v>0</v>
      </c>
      <c r="AR31" s="2">
        <v>0</v>
      </c>
      <c r="AS31" s="2">
        <v>0</v>
      </c>
      <c r="AT31" s="2">
        <v>0</v>
      </c>
      <c r="AU31" s="1">
        <v>66.391599999999997</v>
      </c>
      <c r="AV31" s="2">
        <v>8.8014539447512874</v>
      </c>
      <c r="AW31" s="2">
        <v>-397.93759451472681</v>
      </c>
      <c r="AX31" s="2">
        <v>79.757904202533823</v>
      </c>
      <c r="AZ31" s="1">
        <f t="shared" si="45"/>
        <v>50.923400000000001</v>
      </c>
      <c r="BA31" s="2">
        <f t="shared" si="46"/>
        <v>9.7139978069552395</v>
      </c>
      <c r="BB31" s="7">
        <f t="shared" si="47"/>
        <v>-297.32946734338663</v>
      </c>
      <c r="BC31" s="1">
        <f t="shared" si="48"/>
        <v>15.4682</v>
      </c>
      <c r="BD31" s="2">
        <f t="shared" si="49"/>
        <v>2.95066827583282</v>
      </c>
      <c r="BE31" s="2">
        <f t="shared" si="50"/>
        <v>-90.315094175977507</v>
      </c>
      <c r="BF31" s="2">
        <f t="shared" si="51"/>
        <v>0</v>
      </c>
      <c r="BG31" s="7">
        <f t="shared" si="52"/>
        <v>0</v>
      </c>
      <c r="BH31" s="1">
        <f t="shared" si="53"/>
        <v>66.391599999999997</v>
      </c>
      <c r="BI31" s="2">
        <f t="shared" si="54"/>
        <v>12.664666082788059</v>
      </c>
      <c r="BJ31" s="2">
        <f t="shared" si="55"/>
        <v>387.64456151936412</v>
      </c>
      <c r="BK31" s="2">
        <f t="shared" si="56"/>
        <v>0</v>
      </c>
      <c r="BL31" s="7">
        <f t="shared" si="57"/>
        <v>0</v>
      </c>
      <c r="BM31" s="2"/>
      <c r="BN31" s="1">
        <f t="shared" si="22"/>
        <v>66.391599999999997</v>
      </c>
      <c r="BO31" s="4">
        <v>0</v>
      </c>
      <c r="BP31" s="2">
        <f t="shared" si="13"/>
        <v>66.391599999999997</v>
      </c>
      <c r="BQ31" s="2">
        <f t="shared" si="24"/>
        <v>79.757904202533823</v>
      </c>
      <c r="BR31" s="3">
        <f t="shared" si="25"/>
        <v>0.832414049288557</v>
      </c>
      <c r="BS31" s="1">
        <f t="shared" si="30"/>
        <v>86.9</v>
      </c>
      <c r="BT31" s="2">
        <f t="shared" si="31"/>
        <v>79.757904202533823</v>
      </c>
      <c r="BU31" s="21">
        <f t="shared" si="26"/>
        <v>1.0895471849326663</v>
      </c>
      <c r="BV31" s="2" t="str">
        <f t="shared" si="32"/>
        <v/>
      </c>
      <c r="BW31" s="2" t="str">
        <f t="shared" si="33"/>
        <v/>
      </c>
      <c r="BX31" s="21" t="str">
        <f t="shared" si="27"/>
        <v/>
      </c>
      <c r="BY31" s="15"/>
    </row>
    <row r="32" spans="1:77" x14ac:dyDescent="0.25">
      <c r="A32" t="str">
        <f t="shared" si="18"/>
        <v>Travée</v>
      </c>
      <c r="B32" t="b">
        <f t="shared" si="19"/>
        <v>0</v>
      </c>
      <c r="C32">
        <f t="shared" si="29"/>
        <v>3</v>
      </c>
      <c r="D32" s="5" t="s">
        <v>111</v>
      </c>
      <c r="E32" t="s">
        <v>53</v>
      </c>
      <c r="F32" s="5">
        <v>25</v>
      </c>
      <c r="G32" t="s">
        <v>46</v>
      </c>
      <c r="H32">
        <v>500</v>
      </c>
      <c r="I32">
        <v>170000</v>
      </c>
      <c r="J32">
        <v>1300</v>
      </c>
      <c r="K32" s="10">
        <v>1445</v>
      </c>
      <c r="L32" s="12">
        <v>1</v>
      </c>
      <c r="M32" s="5">
        <v>0.23499999999999999</v>
      </c>
      <c r="N32" s="10">
        <v>2</v>
      </c>
      <c r="O32" s="5">
        <v>5.1400000000000003E-4</v>
      </c>
      <c r="P32">
        <v>0.04</v>
      </c>
      <c r="Q32" s="10">
        <v>1</v>
      </c>
      <c r="R32" s="8">
        <v>0</v>
      </c>
      <c r="S32">
        <v>0</v>
      </c>
      <c r="T32">
        <v>1</v>
      </c>
      <c r="U32" s="9">
        <v>1.92E-4</v>
      </c>
      <c r="V32">
        <v>0</v>
      </c>
      <c r="W32" s="10">
        <v>1</v>
      </c>
      <c r="X32" s="1">
        <v>36.003839999999997</v>
      </c>
      <c r="Y32" s="2">
        <v>10.93632</v>
      </c>
      <c r="Z32" s="13">
        <v>0</v>
      </c>
      <c r="AA32" s="2">
        <v>36.003839999999997</v>
      </c>
      <c r="AB32" s="2">
        <v>10.93632</v>
      </c>
      <c r="AC32" s="2">
        <v>61.44</v>
      </c>
      <c r="AD32" s="2"/>
      <c r="AE32" s="7">
        <v>46.940159999999992</v>
      </c>
      <c r="AF32" s="2">
        <v>36.003839999999997</v>
      </c>
      <c r="AG32" s="2">
        <v>10.93632</v>
      </c>
      <c r="AH32" s="2">
        <v>8.15354368871294</v>
      </c>
      <c r="AI32" s="2">
        <v>2.01847955474841</v>
      </c>
      <c r="AJ32" s="2">
        <v>-374.64311613486149</v>
      </c>
      <c r="AK32" s="2">
        <v>-77.494865869790772</v>
      </c>
      <c r="AL32" s="2">
        <v>0</v>
      </c>
      <c r="AM32" s="2">
        <v>-81.61881873406216</v>
      </c>
      <c r="AN32" s="2">
        <v>61.44</v>
      </c>
      <c r="AO32" s="2">
        <v>45.722759787208261</v>
      </c>
      <c r="AP32" s="2">
        <v>103.6433947035309</v>
      </c>
      <c r="AQ32" s="2">
        <v>7.9405578821622127</v>
      </c>
      <c r="AR32" s="2">
        <v>-434.86265091935871</v>
      </c>
      <c r="AS32" s="2">
        <v>0</v>
      </c>
      <c r="AT32" s="2">
        <v>-487.1998537653613</v>
      </c>
      <c r="AU32" s="1">
        <v>46.940159999999992</v>
      </c>
      <c r="AV32" s="2">
        <v>0</v>
      </c>
      <c r="AW32" s="2">
        <v>0</v>
      </c>
      <c r="AX32" s="2">
        <v>45.722759787208261</v>
      </c>
      <c r="AZ32" s="1">
        <f t="shared" si="45"/>
        <v>36.003839999999997</v>
      </c>
      <c r="BA32" s="2">
        <f t="shared" si="46"/>
        <v>8.15354368871294</v>
      </c>
      <c r="BB32" s="7">
        <f t="shared" si="47"/>
        <v>-374.64311613486149</v>
      </c>
      <c r="BC32" s="1">
        <f t="shared" si="48"/>
        <v>10.93632</v>
      </c>
      <c r="BD32" s="2">
        <f t="shared" si="49"/>
        <v>2.01847955474841</v>
      </c>
      <c r="BE32" s="2">
        <f t="shared" si="50"/>
        <v>-77.494865869790772</v>
      </c>
      <c r="BF32" s="2">
        <f t="shared" si="51"/>
        <v>0</v>
      </c>
      <c r="BG32" s="7">
        <f t="shared" si="52"/>
        <v>-81.61881873406216</v>
      </c>
      <c r="BH32" s="1">
        <f t="shared" si="53"/>
        <v>46.940159999999999</v>
      </c>
      <c r="BI32" s="2">
        <f t="shared" si="54"/>
        <v>10.17202324346135</v>
      </c>
      <c r="BJ32" s="2">
        <f t="shared" si="55"/>
        <v>452.13798200465226</v>
      </c>
      <c r="BK32" s="2">
        <f t="shared" si="56"/>
        <v>0</v>
      </c>
      <c r="BL32" s="7">
        <f t="shared" si="57"/>
        <v>-81.61881873406216</v>
      </c>
      <c r="BM32" s="2"/>
      <c r="BN32" s="1">
        <f t="shared" si="22"/>
        <v>46.940159999999992</v>
      </c>
      <c r="BO32" s="4" t="str">
        <f t="shared" ref="BO32" si="74">IF(ISNUMBER(SEARCH("Appui",E32)),0,"0")</f>
        <v>0</v>
      </c>
      <c r="BP32" s="2">
        <f t="shared" si="13"/>
        <v>46.940159999999992</v>
      </c>
      <c r="BQ32" s="2">
        <f t="shared" si="24"/>
        <v>45.722759787208261</v>
      </c>
      <c r="BR32" s="3">
        <f t="shared" si="25"/>
        <v>1.0266256940407241</v>
      </c>
      <c r="BS32" s="1">
        <f t="shared" si="30"/>
        <v>61.44</v>
      </c>
      <c r="BT32" s="2">
        <f t="shared" si="31"/>
        <v>103.6433947035309</v>
      </c>
      <c r="BU32" s="21">
        <f t="shared" si="26"/>
        <v>0.592801887430911</v>
      </c>
      <c r="BV32" s="2">
        <f t="shared" si="32"/>
        <v>137.34</v>
      </c>
      <c r="BW32" s="2">
        <f t="shared" si="33"/>
        <v>183.40129890606471</v>
      </c>
      <c r="BX32" s="21">
        <f t="shared" si="27"/>
        <v>1.3353815269117861</v>
      </c>
      <c r="BY32" s="10" t="str">
        <f t="shared" ref="BY32" si="75">IF(C30&lt;C32,"Rive",IF(C34&gt;C32,"Rive","Inter"))</f>
        <v>Inter</v>
      </c>
    </row>
    <row r="33" spans="1:77" x14ac:dyDescent="0.25">
      <c r="A33" t="str">
        <f t="shared" si="18"/>
        <v>Appui</v>
      </c>
      <c r="B33" t="b">
        <f t="shared" si="19"/>
        <v>0</v>
      </c>
      <c r="C33">
        <f>IF(D33=D31,C31,C31+1)</f>
        <v>3</v>
      </c>
      <c r="D33" s="5" t="s">
        <v>111</v>
      </c>
      <c r="E33" t="s">
        <v>54</v>
      </c>
      <c r="F33" s="5">
        <v>25</v>
      </c>
      <c r="G33" t="s">
        <v>46</v>
      </c>
      <c r="H33">
        <v>500</v>
      </c>
      <c r="I33">
        <v>170000</v>
      </c>
      <c r="J33">
        <v>1300</v>
      </c>
      <c r="K33" s="10">
        <v>1445</v>
      </c>
      <c r="L33" s="12">
        <v>1</v>
      </c>
      <c r="M33" s="5">
        <v>0.23499999999999999</v>
      </c>
      <c r="N33" s="10">
        <v>2</v>
      </c>
      <c r="O33" s="5">
        <v>1.01E-3</v>
      </c>
      <c r="P33">
        <v>5.5E-2</v>
      </c>
      <c r="Q33" s="10">
        <v>1</v>
      </c>
      <c r="R33" s="8">
        <v>0</v>
      </c>
      <c r="S33">
        <v>0</v>
      </c>
      <c r="T33">
        <v>1</v>
      </c>
      <c r="U33" s="9">
        <v>0</v>
      </c>
      <c r="V33">
        <v>0</v>
      </c>
      <c r="W33" s="10">
        <v>1</v>
      </c>
      <c r="X33" s="1">
        <v>38.031399999999998</v>
      </c>
      <c r="Y33" s="2">
        <v>11.552199999999999</v>
      </c>
      <c r="Z33" s="13">
        <v>0</v>
      </c>
      <c r="AA33" s="2">
        <v>38.031399999999998</v>
      </c>
      <c r="AB33" s="2">
        <v>11.552199999999999</v>
      </c>
      <c r="AC33" s="2">
        <v>64.900000000000006</v>
      </c>
      <c r="AD33" s="2"/>
      <c r="AE33" s="7">
        <v>49.583599999999997</v>
      </c>
      <c r="AF33" s="2">
        <v>38.031399999999998</v>
      </c>
      <c r="AG33" s="2">
        <v>11.552199999999999</v>
      </c>
      <c r="AH33" s="2">
        <v>7.2547578558273296</v>
      </c>
      <c r="AI33" s="2">
        <v>2.2036636490397039</v>
      </c>
      <c r="AJ33" s="2">
        <v>-222.05618447164309</v>
      </c>
      <c r="AK33" s="2">
        <v>-67.450513371932544</v>
      </c>
      <c r="AL33" s="2">
        <v>0</v>
      </c>
      <c r="AM33" s="2">
        <v>0</v>
      </c>
      <c r="AN33" s="2">
        <v>64.900000000000006</v>
      </c>
      <c r="AO33" s="2">
        <v>79.757904202533823</v>
      </c>
      <c r="AP33" s="2">
        <v>79.757904202533823</v>
      </c>
      <c r="AQ33" s="2">
        <v>8.6274547059386055</v>
      </c>
      <c r="AR33" s="2">
        <v>-388.9231000247957</v>
      </c>
      <c r="AS33" s="2">
        <v>0</v>
      </c>
      <c r="AT33" s="2">
        <v>0</v>
      </c>
      <c r="AU33" s="1">
        <v>49.583599999999997</v>
      </c>
      <c r="AV33" s="2">
        <v>6.7717372357383567</v>
      </c>
      <c r="AW33" s="2">
        <v>-296.57814405772211</v>
      </c>
      <c r="AX33" s="2">
        <v>79.757904202533823</v>
      </c>
      <c r="AZ33" s="1">
        <f t="shared" si="45"/>
        <v>38.031399999999998</v>
      </c>
      <c r="BA33" s="2">
        <f t="shared" si="46"/>
        <v>7.2547578558273296</v>
      </c>
      <c r="BB33" s="7">
        <f t="shared" si="47"/>
        <v>-222.05618447164309</v>
      </c>
      <c r="BC33" s="1">
        <f t="shared" si="48"/>
        <v>11.552199999999999</v>
      </c>
      <c r="BD33" s="2">
        <f t="shared" si="49"/>
        <v>2.2036636490397039</v>
      </c>
      <c r="BE33" s="2">
        <f t="shared" si="50"/>
        <v>-67.450513371932544</v>
      </c>
      <c r="BF33" s="2">
        <f t="shared" si="51"/>
        <v>0</v>
      </c>
      <c r="BG33" s="7">
        <f t="shared" si="52"/>
        <v>0</v>
      </c>
      <c r="BH33" s="1">
        <f t="shared" si="53"/>
        <v>49.583599999999997</v>
      </c>
      <c r="BI33" s="2">
        <f t="shared" si="54"/>
        <v>9.458421504867033</v>
      </c>
      <c r="BJ33" s="2">
        <f t="shared" si="55"/>
        <v>289.50669784357564</v>
      </c>
      <c r="BK33" s="2">
        <f t="shared" si="56"/>
        <v>0</v>
      </c>
      <c r="BL33" s="7">
        <f t="shared" si="57"/>
        <v>0</v>
      </c>
      <c r="BM33" s="2"/>
      <c r="BN33" s="1">
        <f t="shared" si="22"/>
        <v>49.583599999999997</v>
      </c>
      <c r="BO33" s="4">
        <v>0</v>
      </c>
      <c r="BP33" s="2">
        <f t="shared" si="13"/>
        <v>49.583599999999997</v>
      </c>
      <c r="BQ33" s="2">
        <f t="shared" si="24"/>
        <v>79.757904202533823</v>
      </c>
      <c r="BR33" s="3">
        <f t="shared" si="25"/>
        <v>0.62167631529145395</v>
      </c>
      <c r="BS33" s="1">
        <f t="shared" si="30"/>
        <v>64.900000000000006</v>
      </c>
      <c r="BT33" s="2">
        <f t="shared" si="31"/>
        <v>79.757904202533823</v>
      </c>
      <c r="BU33" s="21">
        <f t="shared" si="26"/>
        <v>0.81371245456996599</v>
      </c>
      <c r="BV33" s="2" t="str">
        <f t="shared" si="32"/>
        <v/>
      </c>
      <c r="BW33" s="2" t="str">
        <f t="shared" si="33"/>
        <v/>
      </c>
      <c r="BX33" s="21" t="str">
        <f t="shared" si="27"/>
        <v/>
      </c>
      <c r="BY33" s="15"/>
    </row>
    <row r="34" spans="1:77" x14ac:dyDescent="0.25">
      <c r="A34" t="str">
        <f t="shared" si="18"/>
        <v>Travée</v>
      </c>
      <c r="B34" t="b">
        <f t="shared" si="19"/>
        <v>0</v>
      </c>
      <c r="C34">
        <f>IF(D34=D32,C32,C32+1)</f>
        <v>3</v>
      </c>
      <c r="D34" s="5" t="s">
        <v>111</v>
      </c>
      <c r="E34" t="s">
        <v>55</v>
      </c>
      <c r="F34" s="5">
        <v>25</v>
      </c>
      <c r="G34" t="s">
        <v>46</v>
      </c>
      <c r="H34">
        <v>500</v>
      </c>
      <c r="I34">
        <v>170000</v>
      </c>
      <c r="J34">
        <v>1300</v>
      </c>
      <c r="K34" s="10">
        <v>1445</v>
      </c>
      <c r="L34" s="12">
        <v>1</v>
      </c>
      <c r="M34" s="5">
        <v>0.23499999999999999</v>
      </c>
      <c r="N34" s="10">
        <v>2</v>
      </c>
      <c r="O34" s="5">
        <v>7.7000000000000007E-4</v>
      </c>
      <c r="P34">
        <v>0.04</v>
      </c>
      <c r="Q34" s="10">
        <v>1</v>
      </c>
      <c r="R34" s="8">
        <v>0</v>
      </c>
      <c r="S34">
        <v>0</v>
      </c>
      <c r="T34">
        <v>1</v>
      </c>
      <c r="U34" s="9">
        <v>0</v>
      </c>
      <c r="V34">
        <v>0</v>
      </c>
      <c r="W34" s="10">
        <v>1</v>
      </c>
      <c r="X34" s="1">
        <v>21.00224</v>
      </c>
      <c r="Y34" s="2">
        <v>6.3795200000000003</v>
      </c>
      <c r="Z34" s="13">
        <v>0</v>
      </c>
      <c r="AA34" s="2">
        <v>21.00224</v>
      </c>
      <c r="AB34" s="2">
        <v>6.3795200000000003</v>
      </c>
      <c r="AC34" s="2">
        <v>35.840000000000003</v>
      </c>
      <c r="AD34" s="2"/>
      <c r="AE34" s="7">
        <v>27.38176</v>
      </c>
      <c r="AF34" s="2">
        <v>21.00224</v>
      </c>
      <c r="AG34" s="2">
        <v>6.3795200000000003</v>
      </c>
      <c r="AH34" s="2">
        <v>3.9753654316015021</v>
      </c>
      <c r="AI34" s="2">
        <v>1.2075342095990911</v>
      </c>
      <c r="AJ34" s="2">
        <v>-147.13931490533889</v>
      </c>
      <c r="AK34" s="2">
        <v>-44.694194629949351</v>
      </c>
      <c r="AL34" s="2">
        <v>0</v>
      </c>
      <c r="AM34" s="2">
        <v>0</v>
      </c>
      <c r="AN34" s="2">
        <v>35.840000000000003</v>
      </c>
      <c r="AO34" s="2">
        <v>67.917174797849086</v>
      </c>
      <c r="AP34" s="2">
        <v>67.917174797849086</v>
      </c>
      <c r="AQ34" s="2">
        <v>4.9131178394510151</v>
      </c>
      <c r="AR34" s="2">
        <v>-256.14322364163939</v>
      </c>
      <c r="AS34" s="2">
        <v>0</v>
      </c>
      <c r="AT34" s="2">
        <v>0</v>
      </c>
      <c r="AU34" s="1">
        <v>27.38176</v>
      </c>
      <c r="AV34" s="2">
        <v>3.8021090635169288</v>
      </c>
      <c r="AW34" s="2">
        <v>-195.5530311543676</v>
      </c>
      <c r="AX34" s="2">
        <v>67.917174797849086</v>
      </c>
      <c r="AZ34" s="1">
        <f t="shared" si="45"/>
        <v>21.00224</v>
      </c>
      <c r="BA34" s="2">
        <f t="shared" si="46"/>
        <v>3.9753654316015021</v>
      </c>
      <c r="BB34" s="7">
        <f t="shared" si="47"/>
        <v>-147.13931490533889</v>
      </c>
      <c r="BC34" s="1">
        <f t="shared" si="48"/>
        <v>6.3795200000000003</v>
      </c>
      <c r="BD34" s="2">
        <f t="shared" si="49"/>
        <v>1.2075342095990911</v>
      </c>
      <c r="BE34" s="2">
        <f t="shared" si="50"/>
        <v>-44.694194629949351</v>
      </c>
      <c r="BF34" s="2">
        <f t="shared" si="51"/>
        <v>0</v>
      </c>
      <c r="BG34" s="7">
        <f t="shared" si="52"/>
        <v>0</v>
      </c>
      <c r="BH34" s="1">
        <f t="shared" si="53"/>
        <v>27.38176</v>
      </c>
      <c r="BI34" s="2">
        <f t="shared" si="54"/>
        <v>5.182899641200593</v>
      </c>
      <c r="BJ34" s="2">
        <f t="shared" si="55"/>
        <v>191.83350953528824</v>
      </c>
      <c r="BK34" s="2">
        <f t="shared" si="56"/>
        <v>0</v>
      </c>
      <c r="BL34" s="7">
        <f t="shared" si="57"/>
        <v>0</v>
      </c>
      <c r="BM34" s="2"/>
      <c r="BN34" s="1">
        <f t="shared" si="22"/>
        <v>27.38176</v>
      </c>
      <c r="BO34" s="4" t="str">
        <f t="shared" ref="BO34" si="76">IF(ISNUMBER(SEARCH("Appui",E34)),0,"0")</f>
        <v>0</v>
      </c>
      <c r="BP34" s="2">
        <f t="shared" si="13"/>
        <v>27.38176</v>
      </c>
      <c r="BQ34" s="2">
        <f t="shared" si="24"/>
        <v>67.917174797849086</v>
      </c>
      <c r="BR34" s="3">
        <f t="shared" si="25"/>
        <v>0.40316400205838909</v>
      </c>
      <c r="BS34" s="1">
        <f t="shared" si="30"/>
        <v>35.840000000000003</v>
      </c>
      <c r="BT34" s="2">
        <f t="shared" si="31"/>
        <v>67.917174797849086</v>
      </c>
      <c r="BU34" s="21">
        <f t="shared" si="26"/>
        <v>0.5277015733748549</v>
      </c>
      <c r="BV34" s="2">
        <f t="shared" si="32"/>
        <v>68.290000000000006</v>
      </c>
      <c r="BW34" s="2">
        <f t="shared" si="33"/>
        <v>107.79612689911599</v>
      </c>
      <c r="BX34" s="21">
        <f t="shared" si="27"/>
        <v>1.578505299445248</v>
      </c>
      <c r="BY34" s="10" t="str">
        <f t="shared" ref="BY34" si="77">IF(C32&lt;C34,"Rive",IF(C36&gt;C34,"Rive","Inter"))</f>
        <v>Rive</v>
      </c>
    </row>
    <row r="35" spans="1:77" x14ac:dyDescent="0.25">
      <c r="A35" t="str">
        <f t="shared" si="18"/>
        <v/>
      </c>
      <c r="B35" t="b">
        <f t="shared" si="19"/>
        <v>0</v>
      </c>
      <c r="C35">
        <f>IF(D35="",100000,IF(D35=D34,C34,C34+1))</f>
        <v>3</v>
      </c>
      <c r="D35" s="5" t="s">
        <v>111</v>
      </c>
      <c r="F35" s="5"/>
      <c r="K35" s="10"/>
      <c r="L35" s="12"/>
      <c r="M35" s="5"/>
      <c r="N35" s="10"/>
      <c r="O35" s="5"/>
      <c r="Q35" s="10"/>
      <c r="R35" s="8"/>
      <c r="U35" s="9"/>
      <c r="W35" s="10"/>
      <c r="X35" s="1"/>
      <c r="Y35" s="2"/>
      <c r="Z35" s="13"/>
      <c r="AA35" s="2"/>
      <c r="AB35" s="2"/>
      <c r="AC35" s="2"/>
      <c r="AD35" s="2"/>
      <c r="AE35" s="7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1"/>
      <c r="AV35" s="2"/>
      <c r="AW35" s="2"/>
      <c r="AX35" s="2"/>
      <c r="AZ35" s="1">
        <f t="shared" si="45"/>
        <v>0</v>
      </c>
      <c r="BA35" s="2">
        <f t="shared" si="46"/>
        <v>0</v>
      </c>
      <c r="BB35" s="7">
        <f t="shared" si="47"/>
        <v>0</v>
      </c>
      <c r="BC35" s="1">
        <f t="shared" si="48"/>
        <v>0</v>
      </c>
      <c r="BD35" s="2">
        <f t="shared" si="49"/>
        <v>0</v>
      </c>
      <c r="BE35" s="2">
        <f t="shared" si="50"/>
        <v>0</v>
      </c>
      <c r="BF35" s="2">
        <f t="shared" si="51"/>
        <v>0</v>
      </c>
      <c r="BG35" s="7">
        <f t="shared" si="52"/>
        <v>0</v>
      </c>
      <c r="BH35" s="1">
        <f t="shared" si="53"/>
        <v>0</v>
      </c>
      <c r="BI35" s="2">
        <f t="shared" si="54"/>
        <v>0</v>
      </c>
      <c r="BJ35" s="2">
        <f t="shared" si="55"/>
        <v>0</v>
      </c>
      <c r="BK35" s="2">
        <f t="shared" si="56"/>
        <v>0</v>
      </c>
      <c r="BL35" s="7">
        <f t="shared" si="57"/>
        <v>0</v>
      </c>
      <c r="BM35" s="2"/>
      <c r="BN35" s="1">
        <f t="shared" si="22"/>
        <v>0</v>
      </c>
      <c r="BO35" s="4">
        <v>0</v>
      </c>
      <c r="BP35" s="2">
        <f t="shared" si="13"/>
        <v>0</v>
      </c>
      <c r="BQ35" s="2">
        <f t="shared" si="24"/>
        <v>0</v>
      </c>
      <c r="BR35" s="3" t="e">
        <f t="shared" si="25"/>
        <v>#DIV/0!</v>
      </c>
      <c r="BS35" s="1">
        <f t="shared" si="30"/>
        <v>0</v>
      </c>
      <c r="BT35" s="2">
        <f t="shared" si="31"/>
        <v>0</v>
      </c>
      <c r="BU35" s="21" t="e">
        <f t="shared" si="26"/>
        <v>#DIV/0!</v>
      </c>
      <c r="BV35" s="2" t="str">
        <f t="shared" si="32"/>
        <v/>
      </c>
      <c r="BW35" s="2" t="str">
        <f t="shared" si="33"/>
        <v/>
      </c>
      <c r="BX35" s="21" t="str">
        <f t="shared" si="27"/>
        <v/>
      </c>
      <c r="BY35" s="15"/>
    </row>
    <row r="36" spans="1:77" x14ac:dyDescent="0.25">
      <c r="A36" t="str">
        <f t="shared" si="18"/>
        <v>Travée</v>
      </c>
      <c r="B36" t="b">
        <f t="shared" si="19"/>
        <v>1</v>
      </c>
      <c r="C36">
        <f>IF(D36="",100000,IF(D36=D35,C35,C35+1))</f>
        <v>4</v>
      </c>
      <c r="D36" s="5" t="s">
        <v>112</v>
      </c>
      <c r="E36" t="s">
        <v>45</v>
      </c>
      <c r="F36" s="5">
        <v>25</v>
      </c>
      <c r="G36" t="s">
        <v>46</v>
      </c>
      <c r="H36">
        <v>500</v>
      </c>
      <c r="I36">
        <v>170000</v>
      </c>
      <c r="J36">
        <v>1300</v>
      </c>
      <c r="K36" s="10">
        <v>1445</v>
      </c>
      <c r="L36" s="12">
        <v>1</v>
      </c>
      <c r="M36" s="5">
        <v>0.23499999999999999</v>
      </c>
      <c r="N36" s="10">
        <v>3.5</v>
      </c>
      <c r="O36" s="5">
        <v>4.4799999999999999E-4</v>
      </c>
      <c r="P36">
        <v>0.04</v>
      </c>
      <c r="Q36" s="10">
        <v>1</v>
      </c>
      <c r="R36" s="8">
        <v>0</v>
      </c>
      <c r="S36">
        <v>0</v>
      </c>
      <c r="T36">
        <v>1</v>
      </c>
      <c r="U36" s="9">
        <v>0</v>
      </c>
      <c r="V36">
        <v>0</v>
      </c>
      <c r="W36" s="10">
        <v>1</v>
      </c>
      <c r="X36" s="1">
        <v>3.7504</v>
      </c>
      <c r="Y36" s="2">
        <v>1.1392</v>
      </c>
      <c r="Z36" s="13">
        <v>0</v>
      </c>
      <c r="AA36" s="2">
        <v>3.7504</v>
      </c>
      <c r="AB36" s="2">
        <v>1.1392</v>
      </c>
      <c r="AC36" s="2">
        <v>6.4</v>
      </c>
      <c r="AD36" s="2"/>
      <c r="AE36" s="7">
        <v>4.8895999999999997</v>
      </c>
      <c r="AF36" s="2">
        <v>3.7504</v>
      </c>
      <c r="AG36" s="2">
        <v>1.1392</v>
      </c>
      <c r="AH36" s="2">
        <v>0.67111303336351735</v>
      </c>
      <c r="AI36" s="2">
        <v>0.20384290723623749</v>
      </c>
      <c r="AJ36" s="2">
        <v>-44.239830202899583</v>
      </c>
      <c r="AK36" s="2">
        <v>-13.43810682913819</v>
      </c>
      <c r="AL36" s="2">
        <v>0</v>
      </c>
      <c r="AM36" s="2">
        <v>0</v>
      </c>
      <c r="AN36" s="2">
        <v>6.4</v>
      </c>
      <c r="AO36" s="2">
        <v>40.181704347825907</v>
      </c>
      <c r="AP36" s="2">
        <v>40.181704347825907</v>
      </c>
      <c r="AQ36" s="2">
        <v>0.8457266519063904</v>
      </c>
      <c r="AR36" s="2">
        <v>-76.320923901278178</v>
      </c>
      <c r="AS36" s="2">
        <v>0</v>
      </c>
      <c r="AT36" s="2">
        <v>0</v>
      </c>
      <c r="AU36" s="1">
        <v>4.8895999999999997</v>
      </c>
      <c r="AV36" s="2">
        <v>0.64743649294995986</v>
      </c>
      <c r="AW36" s="2">
        <v>-58.305214998193229</v>
      </c>
      <c r="AX36" s="2">
        <v>40.181704347825907</v>
      </c>
      <c r="AZ36" s="1">
        <f t="shared" si="45"/>
        <v>3.7504</v>
      </c>
      <c r="BA36" s="2">
        <f t="shared" si="46"/>
        <v>0.67111303336351735</v>
      </c>
      <c r="BB36" s="7">
        <f t="shared" si="47"/>
        <v>-44.239830202899583</v>
      </c>
      <c r="BC36" s="1">
        <f t="shared" si="48"/>
        <v>1.1392</v>
      </c>
      <c r="BD36" s="2">
        <f t="shared" si="49"/>
        <v>0.20384290723623749</v>
      </c>
      <c r="BE36" s="2">
        <f t="shared" si="50"/>
        <v>-13.43810682913819</v>
      </c>
      <c r="BF36" s="2">
        <f t="shared" si="51"/>
        <v>0</v>
      </c>
      <c r="BG36" s="7">
        <f t="shared" si="52"/>
        <v>0</v>
      </c>
      <c r="BH36" s="1">
        <f t="shared" si="53"/>
        <v>4.8895999999999997</v>
      </c>
      <c r="BI36" s="2">
        <f t="shared" si="54"/>
        <v>0.8749559405997549</v>
      </c>
      <c r="BJ36" s="2">
        <f t="shared" si="55"/>
        <v>57.677937032037775</v>
      </c>
      <c r="BK36" s="2">
        <f t="shared" si="56"/>
        <v>0</v>
      </c>
      <c r="BL36" s="7">
        <f t="shared" si="57"/>
        <v>0</v>
      </c>
      <c r="BN36" s="1">
        <f t="shared" si="22"/>
        <v>4.8895999999999997</v>
      </c>
      <c r="BO36" s="4" t="str">
        <f t="shared" ref="BO36" si="78">IF(ISNUMBER(SEARCH("Appui",E36)),0,"0")</f>
        <v>0</v>
      </c>
      <c r="BP36" s="2">
        <f t="shared" si="13"/>
        <v>4.8895999999999997</v>
      </c>
      <c r="BQ36" s="2">
        <f t="shared" si="24"/>
        <v>40.181704347825907</v>
      </c>
      <c r="BR36" s="3">
        <f t="shared" si="25"/>
        <v>0.1216872225646287</v>
      </c>
      <c r="BS36" s="1">
        <f t="shared" si="30"/>
        <v>6.4</v>
      </c>
      <c r="BT36" s="2">
        <f t="shared" si="31"/>
        <v>40.181704347825907</v>
      </c>
      <c r="BU36" s="21">
        <f t="shared" si="26"/>
        <v>0.15927646932543024</v>
      </c>
      <c r="BV36" s="2">
        <f t="shared" si="32"/>
        <v>6.95</v>
      </c>
      <c r="BW36" s="2">
        <f t="shared" si="33"/>
        <v>91.130613153762454</v>
      </c>
      <c r="BX36" s="21">
        <f t="shared" si="27"/>
        <v>13.112318439390281</v>
      </c>
      <c r="BY36" s="10" t="str">
        <f t="shared" ref="BY36" si="79">IF(C34&lt;C36,"Rive",IF(C38&gt;C36,"Rive","Inter"))</f>
        <v>Rive</v>
      </c>
    </row>
    <row r="37" spans="1:77" x14ac:dyDescent="0.25">
      <c r="A37" t="str">
        <f t="shared" si="18"/>
        <v>Appui</v>
      </c>
      <c r="B37" t="b">
        <f t="shared" si="19"/>
        <v>1</v>
      </c>
      <c r="C37">
        <f t="shared" ref="C37:C67" si="80">IF(D37="",100000,IF(D37=D36,C36,C36+1))</f>
        <v>4</v>
      </c>
      <c r="D37" s="5" t="s">
        <v>112</v>
      </c>
      <c r="E37" t="s">
        <v>47</v>
      </c>
      <c r="F37" s="5">
        <v>25</v>
      </c>
      <c r="G37" t="s">
        <v>46</v>
      </c>
      <c r="H37">
        <v>500</v>
      </c>
      <c r="I37">
        <v>170000</v>
      </c>
      <c r="J37">
        <v>1300</v>
      </c>
      <c r="K37" s="10">
        <v>1445</v>
      </c>
      <c r="L37" s="12">
        <v>1</v>
      </c>
      <c r="M37" s="5">
        <v>0.23499999999999999</v>
      </c>
      <c r="N37" s="10">
        <v>4</v>
      </c>
      <c r="O37" s="5">
        <v>5.13E-4</v>
      </c>
      <c r="P37">
        <v>5.5E-2</v>
      </c>
      <c r="Q37" s="10">
        <v>1</v>
      </c>
      <c r="R37" s="8">
        <v>0</v>
      </c>
      <c r="S37">
        <v>0</v>
      </c>
      <c r="T37">
        <v>1</v>
      </c>
      <c r="U37" s="9">
        <v>1.92E-4</v>
      </c>
      <c r="V37">
        <v>0</v>
      </c>
      <c r="W37" s="10">
        <v>1</v>
      </c>
      <c r="X37" s="1">
        <v>0.64460000000000006</v>
      </c>
      <c r="Y37" s="2">
        <v>0.1958</v>
      </c>
      <c r="Z37" s="13">
        <v>0</v>
      </c>
      <c r="AA37" s="2">
        <v>0.64460000000000006</v>
      </c>
      <c r="AB37" s="2">
        <v>0.1958</v>
      </c>
      <c r="AC37" s="2">
        <v>1.1000000000000001</v>
      </c>
      <c r="AD37" s="2"/>
      <c r="AE37" s="7">
        <v>0.84040000000000004</v>
      </c>
      <c r="AF37" s="2">
        <v>0.64460000000000006</v>
      </c>
      <c r="AG37" s="2">
        <v>0.1958</v>
      </c>
      <c r="AH37" s="2">
        <v>0.11359825868219969</v>
      </c>
      <c r="AI37" s="2">
        <v>2.658102270291772E-2</v>
      </c>
      <c r="AJ37" s="2">
        <v>-7.2058877501233631</v>
      </c>
      <c r="AK37" s="2">
        <v>-1.4017609006482721</v>
      </c>
      <c r="AL37" s="2">
        <v>0</v>
      </c>
      <c r="AM37" s="2">
        <v>-1.599431817128621</v>
      </c>
      <c r="AN37" s="2">
        <v>1.1000000000000001</v>
      </c>
      <c r="AO37" s="2">
        <v>42.426316600790798</v>
      </c>
      <c r="AP37" s="2">
        <v>101.89781761187309</v>
      </c>
      <c r="AQ37" s="2">
        <v>0.1124354916408499</v>
      </c>
      <c r="AR37" s="2">
        <v>-7.975808375192269</v>
      </c>
      <c r="AS37" s="2">
        <v>0</v>
      </c>
      <c r="AT37" s="2">
        <v>-9.2019487463498884</v>
      </c>
      <c r="AU37" s="1">
        <v>0.84040000000000004</v>
      </c>
      <c r="AV37" s="2">
        <v>0.11087180014524579</v>
      </c>
      <c r="AW37" s="2">
        <v>-9.4931562442524449</v>
      </c>
      <c r="AX37" s="2">
        <v>42.426316600790798</v>
      </c>
      <c r="AZ37" s="1">
        <f t="shared" si="45"/>
        <v>0.64460000000000006</v>
      </c>
      <c r="BA37" s="2">
        <f t="shared" si="46"/>
        <v>0.11359825868219969</v>
      </c>
      <c r="BB37" s="7">
        <f t="shared" si="47"/>
        <v>-7.2058877501233631</v>
      </c>
      <c r="BC37" s="1">
        <f t="shared" si="48"/>
        <v>0.1958</v>
      </c>
      <c r="BD37" s="2">
        <f t="shared" si="49"/>
        <v>2.658102270291772E-2</v>
      </c>
      <c r="BE37" s="2">
        <f t="shared" si="50"/>
        <v>-1.4017609006482721</v>
      </c>
      <c r="BF37" s="2">
        <f t="shared" si="51"/>
        <v>0</v>
      </c>
      <c r="BG37" s="7">
        <f t="shared" si="52"/>
        <v>-1.599431817128621</v>
      </c>
      <c r="BH37" s="1">
        <f t="shared" si="53"/>
        <v>0.84040000000000004</v>
      </c>
      <c r="BI37" s="2">
        <f t="shared" si="54"/>
        <v>0.14017928138511743</v>
      </c>
      <c r="BJ37" s="2">
        <f t="shared" si="55"/>
        <v>8.607648650771635</v>
      </c>
      <c r="BK37" s="2">
        <f t="shared" si="56"/>
        <v>0</v>
      </c>
      <c r="BL37" s="7">
        <f t="shared" si="57"/>
        <v>-1.599431817128621</v>
      </c>
      <c r="BN37" s="1">
        <f t="shared" si="22"/>
        <v>0.84040000000000004</v>
      </c>
      <c r="BO37" s="4">
        <v>0</v>
      </c>
      <c r="BP37" s="2">
        <f t="shared" si="13"/>
        <v>0.84040000000000004</v>
      </c>
      <c r="BQ37" s="2">
        <f t="shared" si="24"/>
        <v>42.426316600790798</v>
      </c>
      <c r="BR37" s="3">
        <f t="shared" si="25"/>
        <v>1.9808460109976542E-2</v>
      </c>
      <c r="BS37" s="1">
        <f t="shared" si="30"/>
        <v>1.1000000000000001</v>
      </c>
      <c r="BT37" s="2">
        <f t="shared" si="31"/>
        <v>101.89781761187309</v>
      </c>
      <c r="BU37" s="21">
        <f t="shared" si="26"/>
        <v>1.0795128156619406E-2</v>
      </c>
      <c r="BV37" s="2" t="str">
        <f t="shared" si="32"/>
        <v/>
      </c>
      <c r="BW37" s="2" t="str">
        <f t="shared" si="33"/>
        <v/>
      </c>
      <c r="BX37" s="21" t="str">
        <f t="shared" si="27"/>
        <v/>
      </c>
      <c r="BY37" s="15"/>
    </row>
    <row r="38" spans="1:77" x14ac:dyDescent="0.25">
      <c r="A38" t="str">
        <f t="shared" si="18"/>
        <v>Travée</v>
      </c>
      <c r="B38" t="b">
        <f t="shared" si="19"/>
        <v>1</v>
      </c>
      <c r="C38">
        <f t="shared" si="80"/>
        <v>4</v>
      </c>
      <c r="D38" s="5" t="s">
        <v>112</v>
      </c>
      <c r="E38" t="s">
        <v>48</v>
      </c>
      <c r="F38" s="5">
        <v>25</v>
      </c>
      <c r="G38" t="s">
        <v>46</v>
      </c>
      <c r="H38">
        <v>500</v>
      </c>
      <c r="I38">
        <v>170000</v>
      </c>
      <c r="J38">
        <v>1300</v>
      </c>
      <c r="K38" s="10">
        <v>1445</v>
      </c>
      <c r="L38" s="12">
        <v>1</v>
      </c>
      <c r="M38" s="5">
        <v>0.23499999999999999</v>
      </c>
      <c r="N38" s="10">
        <v>4</v>
      </c>
      <c r="O38" s="5">
        <v>1.5399999999999999E-3</v>
      </c>
      <c r="P38">
        <v>0.04</v>
      </c>
      <c r="Q38" s="10">
        <v>1</v>
      </c>
      <c r="R38" s="8">
        <v>0</v>
      </c>
      <c r="S38">
        <v>0</v>
      </c>
      <c r="T38">
        <v>1</v>
      </c>
      <c r="U38" s="9">
        <v>0</v>
      </c>
      <c r="V38">
        <v>0</v>
      </c>
      <c r="W38" s="10">
        <v>1</v>
      </c>
      <c r="X38" s="1">
        <v>37.503999999999998</v>
      </c>
      <c r="Y38" s="2">
        <v>11.391999999999999</v>
      </c>
      <c r="Z38" s="13">
        <v>0</v>
      </c>
      <c r="AA38" s="2">
        <v>37.503999999999998</v>
      </c>
      <c r="AB38" s="2">
        <v>11.391999999999999</v>
      </c>
      <c r="AC38" s="2">
        <v>64</v>
      </c>
      <c r="AD38" s="2"/>
      <c r="AE38" s="7">
        <v>48.896000000000001</v>
      </c>
      <c r="AF38" s="2">
        <v>37.503999999999998</v>
      </c>
      <c r="AG38" s="2">
        <v>11.391999999999999</v>
      </c>
      <c r="AH38" s="2">
        <v>3.5494334210727652</v>
      </c>
      <c r="AI38" s="2">
        <v>1.0781555442849009</v>
      </c>
      <c r="AJ38" s="2">
        <v>-131.3743883083383</v>
      </c>
      <c r="AK38" s="2">
        <v>-39.905530919597624</v>
      </c>
      <c r="AL38" s="2">
        <v>0</v>
      </c>
      <c r="AM38" s="2">
        <v>0</v>
      </c>
      <c r="AN38" s="2">
        <v>64</v>
      </c>
      <c r="AO38" s="2">
        <v>135.8343495956982</v>
      </c>
      <c r="AP38" s="2">
        <v>135.8343495956982</v>
      </c>
      <c r="AQ38" s="2">
        <v>4.4126211433264846</v>
      </c>
      <c r="AR38" s="2">
        <v>-228.62415318341471</v>
      </c>
      <c r="AS38" s="2">
        <v>0</v>
      </c>
      <c r="AT38" s="2">
        <v>0</v>
      </c>
      <c r="AU38" s="1">
        <v>48.896000000000001</v>
      </c>
      <c r="AV38" s="2">
        <v>3.40949783572874</v>
      </c>
      <c r="AW38" s="2">
        <v>-174.55838255767361</v>
      </c>
      <c r="AX38" s="2">
        <v>135.8343495956982</v>
      </c>
      <c r="AZ38" s="1">
        <f t="shared" si="45"/>
        <v>37.503999999999998</v>
      </c>
      <c r="BA38" s="2">
        <f t="shared" si="46"/>
        <v>3.5494334210727652</v>
      </c>
      <c r="BB38" s="7">
        <f t="shared" si="47"/>
        <v>-131.3743883083383</v>
      </c>
      <c r="BC38" s="1">
        <f t="shared" si="48"/>
        <v>11.391999999999999</v>
      </c>
      <c r="BD38" s="2">
        <f t="shared" si="49"/>
        <v>1.0781555442849009</v>
      </c>
      <c r="BE38" s="2">
        <f t="shared" si="50"/>
        <v>-39.905530919597624</v>
      </c>
      <c r="BF38" s="2">
        <f t="shared" si="51"/>
        <v>0</v>
      </c>
      <c r="BG38" s="7">
        <f t="shared" si="52"/>
        <v>0</v>
      </c>
      <c r="BH38" s="1">
        <f t="shared" si="53"/>
        <v>48.896000000000001</v>
      </c>
      <c r="BI38" s="2">
        <f t="shared" si="54"/>
        <v>4.6275889653576661</v>
      </c>
      <c r="BJ38" s="2">
        <f t="shared" si="55"/>
        <v>171.27991922793592</v>
      </c>
      <c r="BK38" s="2">
        <f t="shared" si="56"/>
        <v>0</v>
      </c>
      <c r="BL38" s="7">
        <f t="shared" si="57"/>
        <v>0</v>
      </c>
      <c r="BN38" s="1">
        <f t="shared" si="22"/>
        <v>48.896000000000001</v>
      </c>
      <c r="BO38" s="4" t="str">
        <f t="shared" ref="BO38" si="81">IF(ISNUMBER(SEARCH("Appui",E38)),0,"0")</f>
        <v>0</v>
      </c>
      <c r="BP38" s="2">
        <f t="shared" si="13"/>
        <v>48.896000000000001</v>
      </c>
      <c r="BQ38" s="2">
        <f t="shared" si="24"/>
        <v>135.8343495956982</v>
      </c>
      <c r="BR38" s="3">
        <f t="shared" si="25"/>
        <v>0.35996785898070449</v>
      </c>
      <c r="BS38" s="1">
        <f t="shared" si="30"/>
        <v>64</v>
      </c>
      <c r="BT38" s="2">
        <f t="shared" si="31"/>
        <v>135.8343495956982</v>
      </c>
      <c r="BU38" s="21">
        <f t="shared" si="26"/>
        <v>0.47116211908469169</v>
      </c>
      <c r="BV38" s="2">
        <f t="shared" si="32"/>
        <v>95.350000000000009</v>
      </c>
      <c r="BW38" s="2">
        <f t="shared" si="33"/>
        <v>237.73216720757131</v>
      </c>
      <c r="BX38" s="21">
        <f t="shared" si="27"/>
        <v>2.4932581773211462</v>
      </c>
      <c r="BY38" s="10" t="str">
        <f t="shared" ref="BY38" si="82">IF(C36&lt;C38,"Rive",IF(C40&gt;C38,"Rive","Inter"))</f>
        <v>Inter</v>
      </c>
    </row>
    <row r="39" spans="1:77" x14ac:dyDescent="0.25">
      <c r="A39" t="str">
        <f t="shared" si="18"/>
        <v>Appui</v>
      </c>
      <c r="B39" t="b">
        <f t="shared" si="19"/>
        <v>1</v>
      </c>
      <c r="C39">
        <f t="shared" si="80"/>
        <v>4</v>
      </c>
      <c r="D39" s="5" t="s">
        <v>112</v>
      </c>
      <c r="E39" t="s">
        <v>49</v>
      </c>
      <c r="F39" s="5">
        <v>25</v>
      </c>
      <c r="G39" t="s">
        <v>46</v>
      </c>
      <c r="H39">
        <v>500</v>
      </c>
      <c r="I39">
        <v>170000</v>
      </c>
      <c r="J39">
        <v>1300</v>
      </c>
      <c r="K39" s="10">
        <v>1445</v>
      </c>
      <c r="L39" s="12">
        <v>1</v>
      </c>
      <c r="M39" s="5">
        <v>0.23499999999999999</v>
      </c>
      <c r="N39" s="10">
        <v>4</v>
      </c>
      <c r="O39" s="5">
        <v>5.13E-4</v>
      </c>
      <c r="P39">
        <v>5.5E-2</v>
      </c>
      <c r="Q39" s="10">
        <v>1</v>
      </c>
      <c r="R39" s="8">
        <v>0</v>
      </c>
      <c r="S39">
        <v>0</v>
      </c>
      <c r="T39">
        <v>1</v>
      </c>
      <c r="U39" s="9">
        <v>1.92E-4</v>
      </c>
      <c r="V39">
        <v>0</v>
      </c>
      <c r="W39" s="10">
        <v>1</v>
      </c>
      <c r="X39" s="1">
        <v>36.0976</v>
      </c>
      <c r="Y39" s="2">
        <v>10.9648</v>
      </c>
      <c r="Z39" s="13">
        <v>0</v>
      </c>
      <c r="AA39" s="2">
        <v>36.0976</v>
      </c>
      <c r="AB39" s="2">
        <v>10.9648</v>
      </c>
      <c r="AC39" s="2">
        <v>61.600000000000009</v>
      </c>
      <c r="AD39" s="2"/>
      <c r="AE39" s="7">
        <v>47.062399999999997</v>
      </c>
      <c r="AF39" s="2">
        <v>36.0976</v>
      </c>
      <c r="AG39" s="2">
        <v>10.9648</v>
      </c>
      <c r="AH39" s="2">
        <v>6.3613813754938793</v>
      </c>
      <c r="AI39" s="2">
        <v>1.495125936513394</v>
      </c>
      <c r="AJ39" s="2">
        <v>-403.53070394780701</v>
      </c>
      <c r="AK39" s="2">
        <v>-78.911987996940965</v>
      </c>
      <c r="AL39" s="2">
        <v>0</v>
      </c>
      <c r="AM39" s="2">
        <v>-90.037789282066328</v>
      </c>
      <c r="AN39" s="2">
        <v>61.600000000000009</v>
      </c>
      <c r="AO39" s="2">
        <v>42.426316600790798</v>
      </c>
      <c r="AP39" s="2">
        <v>101.89781761187309</v>
      </c>
      <c r="AQ39" s="2">
        <v>6.0069069906421726</v>
      </c>
      <c r="AR39" s="2">
        <v>-434.90478220567718</v>
      </c>
      <c r="AS39" s="2">
        <v>0</v>
      </c>
      <c r="AT39" s="2">
        <v>-540.57674456134146</v>
      </c>
      <c r="AU39" s="1">
        <v>47.062399999999997</v>
      </c>
      <c r="AV39" s="2">
        <v>0</v>
      </c>
      <c r="AW39" s="2">
        <v>0</v>
      </c>
      <c r="AX39" s="2">
        <v>42.426316600790798</v>
      </c>
      <c r="AZ39" s="1">
        <f t="shared" si="45"/>
        <v>36.0976</v>
      </c>
      <c r="BA39" s="2">
        <f t="shared" si="46"/>
        <v>6.3613813754938793</v>
      </c>
      <c r="BB39" s="7">
        <f t="shared" si="47"/>
        <v>-403.53070394780701</v>
      </c>
      <c r="BC39" s="1">
        <f t="shared" si="48"/>
        <v>10.9648</v>
      </c>
      <c r="BD39" s="2">
        <f t="shared" si="49"/>
        <v>1.495125936513394</v>
      </c>
      <c r="BE39" s="2">
        <f t="shared" si="50"/>
        <v>-78.911987996940965</v>
      </c>
      <c r="BF39" s="2">
        <f t="shared" si="51"/>
        <v>0</v>
      </c>
      <c r="BG39" s="7">
        <f t="shared" si="52"/>
        <v>-90.037789282066328</v>
      </c>
      <c r="BH39" s="1">
        <f t="shared" si="53"/>
        <v>47.062399999999997</v>
      </c>
      <c r="BI39" s="2">
        <f t="shared" si="54"/>
        <v>7.856507312007273</v>
      </c>
      <c r="BJ39" s="2">
        <f t="shared" si="55"/>
        <v>482.44269194474799</v>
      </c>
      <c r="BK39" s="2">
        <f t="shared" si="56"/>
        <v>0</v>
      </c>
      <c r="BL39" s="7">
        <f t="shared" si="57"/>
        <v>-90.037789282066328</v>
      </c>
      <c r="BN39" s="1">
        <f t="shared" si="22"/>
        <v>47.062399999999997</v>
      </c>
      <c r="BO39" s="4">
        <v>0</v>
      </c>
      <c r="BP39" s="2">
        <f t="shared" si="13"/>
        <v>47.062399999999997</v>
      </c>
      <c r="BQ39" s="2">
        <f t="shared" si="24"/>
        <v>42.426316600790798</v>
      </c>
      <c r="BR39" s="3">
        <f t="shared" si="25"/>
        <v>1.1092737661586862</v>
      </c>
      <c r="BS39" s="1">
        <f t="shared" si="30"/>
        <v>61.600000000000009</v>
      </c>
      <c r="BT39" s="2">
        <f t="shared" si="31"/>
        <v>101.89781761187309</v>
      </c>
      <c r="BU39" s="21">
        <f t="shared" si="26"/>
        <v>0.60452717677068679</v>
      </c>
      <c r="BV39" s="2" t="str">
        <f t="shared" si="32"/>
        <v/>
      </c>
      <c r="BW39" s="2" t="str">
        <f t="shared" si="33"/>
        <v/>
      </c>
      <c r="BX39" s="21" t="str">
        <f t="shared" si="27"/>
        <v/>
      </c>
      <c r="BY39" s="15"/>
    </row>
    <row r="40" spans="1:77" x14ac:dyDescent="0.25">
      <c r="A40" t="str">
        <f t="shared" si="18"/>
        <v>Travée</v>
      </c>
      <c r="B40" t="b">
        <f t="shared" si="19"/>
        <v>1</v>
      </c>
      <c r="C40">
        <f t="shared" si="80"/>
        <v>4</v>
      </c>
      <c r="D40" s="5" t="s">
        <v>112</v>
      </c>
      <c r="E40" t="s">
        <v>51</v>
      </c>
      <c r="F40" s="5">
        <v>25</v>
      </c>
      <c r="G40" t="s">
        <v>46</v>
      </c>
      <c r="H40">
        <v>500</v>
      </c>
      <c r="I40">
        <v>170000</v>
      </c>
      <c r="J40">
        <v>1300</v>
      </c>
      <c r="K40" s="10">
        <v>1445</v>
      </c>
      <c r="L40" s="12">
        <v>1</v>
      </c>
      <c r="M40" s="5">
        <v>0.23499999999999999</v>
      </c>
      <c r="N40" s="10">
        <v>4</v>
      </c>
      <c r="O40" s="5">
        <v>2.052E-3</v>
      </c>
      <c r="P40">
        <v>0.04</v>
      </c>
      <c r="Q40" s="10">
        <v>1</v>
      </c>
      <c r="R40" s="8">
        <v>0</v>
      </c>
      <c r="S40">
        <v>0</v>
      </c>
      <c r="T40">
        <v>1</v>
      </c>
      <c r="U40" s="9">
        <v>0</v>
      </c>
      <c r="V40">
        <v>0</v>
      </c>
      <c r="W40" s="10">
        <v>1</v>
      </c>
      <c r="X40" s="1">
        <v>77.258240000000001</v>
      </c>
      <c r="Y40" s="2">
        <v>23.46752</v>
      </c>
      <c r="Z40" s="13">
        <v>0</v>
      </c>
      <c r="AA40" s="2">
        <v>77.258240000000001</v>
      </c>
      <c r="AB40" s="2">
        <v>23.46752</v>
      </c>
      <c r="AC40" s="2">
        <v>131.84</v>
      </c>
      <c r="AD40" s="2"/>
      <c r="AE40" s="7">
        <v>100.72575999999999</v>
      </c>
      <c r="AF40" s="2">
        <v>77.258240000000001</v>
      </c>
      <c r="AG40" s="2">
        <v>23.46752</v>
      </c>
      <c r="AH40" s="2">
        <v>6.4658347942339107</v>
      </c>
      <c r="AI40" s="2">
        <v>1.964023753031259</v>
      </c>
      <c r="AJ40" s="2">
        <v>-204.4955907941505</v>
      </c>
      <c r="AK40" s="2">
        <v>-62.116415365998058</v>
      </c>
      <c r="AL40" s="2">
        <v>0</v>
      </c>
      <c r="AM40" s="2">
        <v>0</v>
      </c>
      <c r="AN40" s="2">
        <v>131.84</v>
      </c>
      <c r="AO40" s="2">
        <v>176.642758331491</v>
      </c>
      <c r="AP40" s="2">
        <v>176.642758331491</v>
      </c>
      <c r="AQ40" s="2">
        <v>7.7512559648193653</v>
      </c>
      <c r="AR40" s="2">
        <v>-357.87239106675719</v>
      </c>
      <c r="AS40" s="2">
        <v>0</v>
      </c>
      <c r="AT40" s="2">
        <v>0</v>
      </c>
      <c r="AU40" s="1">
        <v>100.72575999999999</v>
      </c>
      <c r="AV40" s="2">
        <v>6.0582318431600948</v>
      </c>
      <c r="AW40" s="2">
        <v>-273.02526657394549</v>
      </c>
      <c r="AX40" s="2">
        <v>176.642758331491</v>
      </c>
      <c r="AZ40" s="1">
        <f t="shared" si="45"/>
        <v>77.258240000000001</v>
      </c>
      <c r="BA40" s="2">
        <f t="shared" si="46"/>
        <v>6.4658347942339107</v>
      </c>
      <c r="BB40" s="7">
        <f t="shared" si="47"/>
        <v>-204.4955907941505</v>
      </c>
      <c r="BC40" s="1">
        <f t="shared" si="48"/>
        <v>23.46752</v>
      </c>
      <c r="BD40" s="2">
        <f t="shared" si="49"/>
        <v>1.964023753031259</v>
      </c>
      <c r="BE40" s="2">
        <f t="shared" si="50"/>
        <v>-62.116415365998058</v>
      </c>
      <c r="BF40" s="2">
        <f t="shared" si="51"/>
        <v>0</v>
      </c>
      <c r="BG40" s="7">
        <f t="shared" si="52"/>
        <v>0</v>
      </c>
      <c r="BH40" s="1">
        <f t="shared" si="53"/>
        <v>100.72576000000001</v>
      </c>
      <c r="BI40" s="2">
        <f t="shared" si="54"/>
        <v>8.4298585472651695</v>
      </c>
      <c r="BJ40" s="2">
        <f t="shared" si="55"/>
        <v>266.61200616014855</v>
      </c>
      <c r="BK40" s="2">
        <f t="shared" si="56"/>
        <v>0</v>
      </c>
      <c r="BL40" s="7">
        <f t="shared" si="57"/>
        <v>0</v>
      </c>
      <c r="BN40" s="1">
        <f t="shared" si="22"/>
        <v>100.72575999999999</v>
      </c>
      <c r="BO40" s="4" t="str">
        <f t="shared" ref="BO40" si="83">IF(ISNUMBER(SEARCH("Appui",E40)),0,"0")</f>
        <v>0</v>
      </c>
      <c r="BP40" s="2">
        <f t="shared" si="13"/>
        <v>100.72575999999999</v>
      </c>
      <c r="BQ40" s="2">
        <f t="shared" si="24"/>
        <v>176.642758331491</v>
      </c>
      <c r="BR40" s="3">
        <f t="shared" si="25"/>
        <v>0.57022297971013458</v>
      </c>
      <c r="BS40" s="1">
        <f t="shared" si="30"/>
        <v>131.84</v>
      </c>
      <c r="BT40" s="2">
        <f t="shared" si="31"/>
        <v>176.642758331491</v>
      </c>
      <c r="BU40" s="21">
        <f t="shared" si="26"/>
        <v>0.74636515668865788</v>
      </c>
      <c r="BV40" s="2">
        <f t="shared" si="32"/>
        <v>205.54000000000002</v>
      </c>
      <c r="BW40" s="2">
        <f t="shared" si="33"/>
        <v>278.5405759433641</v>
      </c>
      <c r="BX40" s="21">
        <f t="shared" si="27"/>
        <v>1.355164814359074</v>
      </c>
      <c r="BY40" s="10" t="str">
        <f t="shared" ref="BY40" si="84">IF(C38&lt;C40,"Rive",IF(C42&gt;C40,"Rive","Inter"))</f>
        <v>Inter</v>
      </c>
    </row>
    <row r="41" spans="1:77" x14ac:dyDescent="0.25">
      <c r="A41" t="str">
        <f t="shared" si="18"/>
        <v>Appui</v>
      </c>
      <c r="B41" t="b">
        <f t="shared" si="19"/>
        <v>1</v>
      </c>
      <c r="C41">
        <f t="shared" si="80"/>
        <v>4</v>
      </c>
      <c r="D41" s="5" t="s">
        <v>112</v>
      </c>
      <c r="E41" t="s">
        <v>52</v>
      </c>
      <c r="F41" s="5">
        <v>25</v>
      </c>
      <c r="G41" t="s">
        <v>46</v>
      </c>
      <c r="H41">
        <v>500</v>
      </c>
      <c r="I41">
        <v>170000</v>
      </c>
      <c r="J41">
        <v>1300</v>
      </c>
      <c r="K41" s="10">
        <v>1445</v>
      </c>
      <c r="L41" s="12">
        <v>1</v>
      </c>
      <c r="M41" s="5">
        <v>0.23499999999999999</v>
      </c>
      <c r="N41" s="10">
        <v>4</v>
      </c>
      <c r="O41" s="5">
        <v>5.13E-4</v>
      </c>
      <c r="P41">
        <v>5.5E-2</v>
      </c>
      <c r="Q41" s="10">
        <v>1</v>
      </c>
      <c r="R41" s="8">
        <v>0</v>
      </c>
      <c r="S41">
        <v>0</v>
      </c>
      <c r="T41">
        <v>1</v>
      </c>
      <c r="U41" s="9">
        <v>1.92E-4</v>
      </c>
      <c r="V41">
        <v>0</v>
      </c>
      <c r="W41" s="10">
        <v>1</v>
      </c>
      <c r="X41" s="1">
        <v>50.278799999999997</v>
      </c>
      <c r="Y41" s="2">
        <v>15.272399999999999</v>
      </c>
      <c r="Z41" s="13">
        <v>0</v>
      </c>
      <c r="AA41" s="2">
        <v>50.278799999999997</v>
      </c>
      <c r="AB41" s="2">
        <v>15.272399999999999</v>
      </c>
      <c r="AC41" s="2">
        <v>85.800000000000011</v>
      </c>
      <c r="AD41" s="2"/>
      <c r="AE41" s="7">
        <v>65.551200000000009</v>
      </c>
      <c r="AF41" s="2">
        <v>50.278799999999997</v>
      </c>
      <c r="AG41" s="2">
        <v>15.272399999999999</v>
      </c>
      <c r="AH41" s="2">
        <v>8.8604954872950543</v>
      </c>
      <c r="AI41" s="2">
        <v>2.0824968401436501</v>
      </c>
      <c r="AJ41" s="2">
        <v>-562.06062335587421</v>
      </c>
      <c r="AK41" s="2">
        <v>-109.9131261385964</v>
      </c>
      <c r="AL41" s="2">
        <v>0</v>
      </c>
      <c r="AM41" s="2">
        <v>-125.4097779285924</v>
      </c>
      <c r="AN41" s="2">
        <v>85.800000000000011</v>
      </c>
      <c r="AO41" s="2">
        <v>42.426316600790798</v>
      </c>
      <c r="AP41" s="2">
        <v>101.89781761187309</v>
      </c>
      <c r="AQ41" s="2">
        <v>9.2131027777714092</v>
      </c>
      <c r="AR41" s="2">
        <v>-436.63133023369448</v>
      </c>
      <c r="AS41" s="2">
        <v>0</v>
      </c>
      <c r="AT41" s="2">
        <v>-1081.0831335844989</v>
      </c>
      <c r="AU41" s="1">
        <v>65.551200000000009</v>
      </c>
      <c r="AV41" s="2">
        <v>0</v>
      </c>
      <c r="AW41" s="2">
        <v>0</v>
      </c>
      <c r="AX41" s="2">
        <v>42.426316600790798</v>
      </c>
      <c r="AZ41" s="1">
        <f t="shared" si="45"/>
        <v>50.278799999999997</v>
      </c>
      <c r="BA41" s="2">
        <f t="shared" si="46"/>
        <v>8.8604954872950543</v>
      </c>
      <c r="BB41" s="7">
        <f t="shared" si="47"/>
        <v>-562.06062335587421</v>
      </c>
      <c r="BC41" s="1">
        <f t="shared" si="48"/>
        <v>15.272399999999999</v>
      </c>
      <c r="BD41" s="2">
        <f t="shared" si="49"/>
        <v>2.0824968401436501</v>
      </c>
      <c r="BE41" s="2">
        <f t="shared" si="50"/>
        <v>-109.9131261385964</v>
      </c>
      <c r="BF41" s="2">
        <f t="shared" si="51"/>
        <v>0</v>
      </c>
      <c r="BG41" s="7">
        <f t="shared" si="52"/>
        <v>-125.4097779285924</v>
      </c>
      <c r="BH41" s="1">
        <f t="shared" si="53"/>
        <v>65.551199999999994</v>
      </c>
      <c r="BI41" s="2">
        <f t="shared" si="54"/>
        <v>10.942992327438704</v>
      </c>
      <c r="BJ41" s="2">
        <f t="shared" si="55"/>
        <v>671.97374949447067</v>
      </c>
      <c r="BK41" s="2">
        <f t="shared" si="56"/>
        <v>0</v>
      </c>
      <c r="BL41" s="7">
        <f t="shared" si="57"/>
        <v>-125.4097779285924</v>
      </c>
      <c r="BN41" s="1">
        <f t="shared" si="22"/>
        <v>65.551200000000009</v>
      </c>
      <c r="BO41" s="4">
        <v>0</v>
      </c>
      <c r="BP41" s="2">
        <f t="shared" si="13"/>
        <v>65.551200000000009</v>
      </c>
      <c r="BQ41" s="2">
        <f t="shared" si="24"/>
        <v>42.426316600790798</v>
      </c>
      <c r="BR41" s="3">
        <f t="shared" si="25"/>
        <v>1.5450598885781703</v>
      </c>
      <c r="BS41" s="1">
        <f t="shared" si="30"/>
        <v>85.800000000000011</v>
      </c>
      <c r="BT41" s="2">
        <f t="shared" si="31"/>
        <v>101.89781761187309</v>
      </c>
      <c r="BU41" s="21">
        <f t="shared" si="26"/>
        <v>0.84201999621631374</v>
      </c>
      <c r="BV41" s="2" t="str">
        <f t="shared" si="32"/>
        <v/>
      </c>
      <c r="BW41" s="2" t="str">
        <f t="shared" si="33"/>
        <v/>
      </c>
      <c r="BX41" s="21" t="str">
        <f t="shared" si="27"/>
        <v/>
      </c>
      <c r="BY41" s="15"/>
    </row>
    <row r="42" spans="1:77" x14ac:dyDescent="0.25">
      <c r="A42" t="str">
        <f t="shared" si="18"/>
        <v>Travée</v>
      </c>
      <c r="B42" t="b">
        <f t="shared" si="19"/>
        <v>1</v>
      </c>
      <c r="C42">
        <f t="shared" si="80"/>
        <v>4</v>
      </c>
      <c r="D42" s="5" t="s">
        <v>112</v>
      </c>
      <c r="E42" t="s">
        <v>53</v>
      </c>
      <c r="F42" s="5">
        <v>25</v>
      </c>
      <c r="G42" t="s">
        <v>46</v>
      </c>
      <c r="H42">
        <v>500</v>
      </c>
      <c r="I42">
        <v>170000</v>
      </c>
      <c r="J42">
        <v>1300</v>
      </c>
      <c r="K42" s="10">
        <v>1445</v>
      </c>
      <c r="L42" s="12">
        <v>1</v>
      </c>
      <c r="M42" s="5">
        <v>0.23499999999999999</v>
      </c>
      <c r="N42" s="10">
        <v>4</v>
      </c>
      <c r="O42" s="5">
        <v>1.5399999999999999E-3</v>
      </c>
      <c r="P42">
        <v>0.04</v>
      </c>
      <c r="Q42" s="10">
        <v>1</v>
      </c>
      <c r="R42" s="8">
        <v>0</v>
      </c>
      <c r="S42">
        <v>0</v>
      </c>
      <c r="T42">
        <v>1</v>
      </c>
      <c r="U42" s="9">
        <v>0</v>
      </c>
      <c r="V42">
        <v>0</v>
      </c>
      <c r="W42" s="10">
        <v>1</v>
      </c>
      <c r="X42" s="1">
        <v>71.257599999999996</v>
      </c>
      <c r="Y42" s="2">
        <v>21.6448</v>
      </c>
      <c r="Z42" s="13">
        <v>0</v>
      </c>
      <c r="AA42" s="2">
        <v>71.257599999999996</v>
      </c>
      <c r="AB42" s="2">
        <v>21.6448</v>
      </c>
      <c r="AC42" s="2">
        <v>121.6</v>
      </c>
      <c r="AD42" s="2"/>
      <c r="AE42" s="7">
        <v>92.9024</v>
      </c>
      <c r="AF42" s="2">
        <v>71.257599999999996</v>
      </c>
      <c r="AG42" s="2">
        <v>21.6448</v>
      </c>
      <c r="AH42" s="2">
        <v>6.7439235000382576</v>
      </c>
      <c r="AI42" s="2">
        <v>2.0484955341413151</v>
      </c>
      <c r="AJ42" s="2">
        <v>-249.61133778584261</v>
      </c>
      <c r="AK42" s="2">
        <v>-75.820508747235493</v>
      </c>
      <c r="AL42" s="2">
        <v>0</v>
      </c>
      <c r="AM42" s="2">
        <v>0</v>
      </c>
      <c r="AN42" s="2">
        <v>121.6</v>
      </c>
      <c r="AO42" s="2">
        <v>135.8343495956982</v>
      </c>
      <c r="AP42" s="2">
        <v>135.8343495956982</v>
      </c>
      <c r="AQ42" s="2">
        <v>8.1419253073402498</v>
      </c>
      <c r="AR42" s="2">
        <v>-434.85972251010088</v>
      </c>
      <c r="AS42" s="2">
        <v>0</v>
      </c>
      <c r="AT42" s="2">
        <v>0</v>
      </c>
      <c r="AU42" s="1">
        <v>92.9024</v>
      </c>
      <c r="AV42" s="2">
        <v>6.2613960648963003</v>
      </c>
      <c r="AW42" s="2">
        <v>-332.29021463249921</v>
      </c>
      <c r="AX42" s="2">
        <v>135.8343495956982</v>
      </c>
      <c r="AZ42" s="1">
        <f t="shared" si="45"/>
        <v>71.257599999999996</v>
      </c>
      <c r="BA42" s="2">
        <f t="shared" si="46"/>
        <v>6.7439235000382576</v>
      </c>
      <c r="BB42" s="7">
        <f t="shared" si="47"/>
        <v>-249.61133778584261</v>
      </c>
      <c r="BC42" s="1">
        <f t="shared" si="48"/>
        <v>21.6448</v>
      </c>
      <c r="BD42" s="2">
        <f t="shared" si="49"/>
        <v>2.0484955341413151</v>
      </c>
      <c r="BE42" s="2">
        <f t="shared" si="50"/>
        <v>-75.820508747235493</v>
      </c>
      <c r="BF42" s="2">
        <f t="shared" si="51"/>
        <v>0</v>
      </c>
      <c r="BG42" s="7">
        <f t="shared" si="52"/>
        <v>0</v>
      </c>
      <c r="BH42" s="1">
        <f t="shared" si="53"/>
        <v>92.9024</v>
      </c>
      <c r="BI42" s="2">
        <f t="shared" si="54"/>
        <v>8.7924190341795736</v>
      </c>
      <c r="BJ42" s="2">
        <f t="shared" si="55"/>
        <v>325.4318465330781</v>
      </c>
      <c r="BK42" s="2">
        <f t="shared" si="56"/>
        <v>0</v>
      </c>
      <c r="BL42" s="7">
        <f t="shared" si="57"/>
        <v>0</v>
      </c>
      <c r="BN42" s="1">
        <f t="shared" si="22"/>
        <v>92.9024</v>
      </c>
      <c r="BO42" s="4" t="str">
        <f t="shared" ref="BO42" si="85">IF(ISNUMBER(SEARCH("Appui",E42)),0,"0")</f>
        <v>0</v>
      </c>
      <c r="BP42" s="2">
        <f t="shared" si="13"/>
        <v>92.9024</v>
      </c>
      <c r="BQ42" s="2">
        <f t="shared" si="24"/>
        <v>135.8343495956982</v>
      </c>
      <c r="BR42" s="3">
        <f t="shared" si="25"/>
        <v>0.68393893206333845</v>
      </c>
      <c r="BS42" s="1">
        <f t="shared" si="30"/>
        <v>121.6</v>
      </c>
      <c r="BT42" s="2">
        <f t="shared" si="31"/>
        <v>135.8343495956982</v>
      </c>
      <c r="BU42" s="21">
        <f t="shared" si="26"/>
        <v>0.89520802626091422</v>
      </c>
      <c r="BV42" s="2">
        <f t="shared" si="32"/>
        <v>199.15</v>
      </c>
      <c r="BW42" s="2">
        <f t="shared" si="33"/>
        <v>237.73216720757131</v>
      </c>
      <c r="BX42" s="21">
        <f t="shared" si="27"/>
        <v>1.1937342064151208</v>
      </c>
      <c r="BY42" s="10" t="str">
        <f t="shared" ref="BY42" si="86">IF(C40&lt;C42,"Rive",IF(C44&gt;C42,"Rive","Inter"))</f>
        <v>Inter</v>
      </c>
    </row>
    <row r="43" spans="1:77" x14ac:dyDescent="0.25">
      <c r="A43" t="str">
        <f t="shared" si="18"/>
        <v>Appui</v>
      </c>
      <c r="B43" t="b">
        <f t="shared" si="19"/>
        <v>1</v>
      </c>
      <c r="C43">
        <f t="shared" si="80"/>
        <v>4</v>
      </c>
      <c r="D43" s="5" t="s">
        <v>112</v>
      </c>
      <c r="E43" t="s">
        <v>54</v>
      </c>
      <c r="F43" s="5">
        <v>25</v>
      </c>
      <c r="G43" t="s">
        <v>46</v>
      </c>
      <c r="H43">
        <v>500</v>
      </c>
      <c r="I43">
        <v>170000</v>
      </c>
      <c r="J43">
        <v>1300</v>
      </c>
      <c r="K43" s="10">
        <v>1445</v>
      </c>
      <c r="L43" s="12">
        <v>1</v>
      </c>
      <c r="M43" s="5">
        <v>0.23499999999999999</v>
      </c>
      <c r="N43" s="10">
        <v>4</v>
      </c>
      <c r="O43" s="5">
        <v>5.13E-4</v>
      </c>
      <c r="P43">
        <v>5.5E-2</v>
      </c>
      <c r="Q43" s="10">
        <v>1</v>
      </c>
      <c r="R43" s="8">
        <v>0</v>
      </c>
      <c r="S43">
        <v>0</v>
      </c>
      <c r="T43">
        <v>1</v>
      </c>
      <c r="U43" s="9">
        <v>1.92E-4</v>
      </c>
      <c r="V43">
        <v>0</v>
      </c>
      <c r="W43" s="10">
        <v>1</v>
      </c>
      <c r="X43" s="1">
        <v>40.609800000000007</v>
      </c>
      <c r="Y43" s="2">
        <v>12.3354</v>
      </c>
      <c r="Z43" s="13">
        <v>0</v>
      </c>
      <c r="AA43" s="2">
        <v>40.609800000000007</v>
      </c>
      <c r="AB43" s="2">
        <v>12.3354</v>
      </c>
      <c r="AC43" s="2">
        <v>69.300000000000011</v>
      </c>
      <c r="AD43" s="2"/>
      <c r="AE43" s="7">
        <v>52.945200000000007</v>
      </c>
      <c r="AF43" s="2">
        <v>40.609800000000007</v>
      </c>
      <c r="AG43" s="2">
        <v>12.3354</v>
      </c>
      <c r="AH43" s="2">
        <v>7.15655404743063</v>
      </c>
      <c r="AI43" s="2">
        <v>1.682016678577565</v>
      </c>
      <c r="AJ43" s="2">
        <v>-453.97204194128312</v>
      </c>
      <c r="AK43" s="2">
        <v>-88.77598649655863</v>
      </c>
      <c r="AL43" s="2">
        <v>0</v>
      </c>
      <c r="AM43" s="2">
        <v>-101.29251294232471</v>
      </c>
      <c r="AN43" s="2">
        <v>69.300000000000011</v>
      </c>
      <c r="AO43" s="2">
        <v>42.426316600790798</v>
      </c>
      <c r="AP43" s="2">
        <v>101.89781761187309</v>
      </c>
      <c r="AQ43" s="2">
        <v>7.0817545851631607</v>
      </c>
      <c r="AR43" s="2">
        <v>-435.45270186998391</v>
      </c>
      <c r="AS43" s="2">
        <v>0</v>
      </c>
      <c r="AT43" s="2">
        <v>-712.08742633331394</v>
      </c>
      <c r="AU43" s="1">
        <v>52.945200000000007</v>
      </c>
      <c r="AV43" s="2">
        <v>0</v>
      </c>
      <c r="AW43" s="2">
        <v>0</v>
      </c>
      <c r="AX43" s="2">
        <v>42.426316600790798</v>
      </c>
      <c r="AZ43" s="1">
        <f t="shared" si="45"/>
        <v>40.609800000000007</v>
      </c>
      <c r="BA43" s="2">
        <f t="shared" si="46"/>
        <v>7.15655404743063</v>
      </c>
      <c r="BB43" s="7">
        <f t="shared" si="47"/>
        <v>-453.97204194128312</v>
      </c>
      <c r="BC43" s="1">
        <f t="shared" si="48"/>
        <v>12.3354</v>
      </c>
      <c r="BD43" s="2">
        <f t="shared" si="49"/>
        <v>1.682016678577565</v>
      </c>
      <c r="BE43" s="2">
        <f t="shared" si="50"/>
        <v>-88.77598649655863</v>
      </c>
      <c r="BF43" s="2">
        <f t="shared" si="51"/>
        <v>0</v>
      </c>
      <c r="BG43" s="7">
        <f t="shared" si="52"/>
        <v>-101.29251294232471</v>
      </c>
      <c r="BH43" s="1">
        <f t="shared" si="53"/>
        <v>52.945200000000007</v>
      </c>
      <c r="BI43" s="2">
        <f t="shared" si="54"/>
        <v>8.8385707260081947</v>
      </c>
      <c r="BJ43" s="2">
        <f t="shared" si="55"/>
        <v>542.74802843784175</v>
      </c>
      <c r="BK43" s="2">
        <f t="shared" si="56"/>
        <v>0</v>
      </c>
      <c r="BL43" s="7">
        <f t="shared" si="57"/>
        <v>-101.29251294232471</v>
      </c>
      <c r="BN43" s="1">
        <f t="shared" si="22"/>
        <v>52.945200000000007</v>
      </c>
      <c r="BO43" s="4">
        <v>0</v>
      </c>
      <c r="BP43" s="2">
        <f t="shared" si="13"/>
        <v>52.945200000000007</v>
      </c>
      <c r="BQ43" s="2">
        <f t="shared" si="24"/>
        <v>42.426316600790798</v>
      </c>
      <c r="BR43" s="3">
        <f t="shared" si="25"/>
        <v>1.2479329869285223</v>
      </c>
      <c r="BS43" s="1">
        <f t="shared" si="30"/>
        <v>69.300000000000011</v>
      </c>
      <c r="BT43" s="2">
        <f t="shared" si="31"/>
        <v>101.89781761187309</v>
      </c>
      <c r="BU43" s="21">
        <f t="shared" si="26"/>
        <v>0.68009307386702267</v>
      </c>
      <c r="BV43" s="2" t="str">
        <f t="shared" si="32"/>
        <v/>
      </c>
      <c r="BW43" s="2" t="str">
        <f t="shared" si="33"/>
        <v/>
      </c>
      <c r="BX43" s="21" t="str">
        <f t="shared" si="27"/>
        <v/>
      </c>
      <c r="BY43" s="15"/>
    </row>
    <row r="44" spans="1:77" x14ac:dyDescent="0.25">
      <c r="A44" t="str">
        <f t="shared" si="18"/>
        <v>Travée</v>
      </c>
      <c r="B44" t="b">
        <f t="shared" si="19"/>
        <v>1</v>
      </c>
      <c r="C44">
        <f t="shared" si="80"/>
        <v>4</v>
      </c>
      <c r="D44" s="5" t="s">
        <v>112</v>
      </c>
      <c r="E44" t="s">
        <v>55</v>
      </c>
      <c r="F44" s="5">
        <v>25</v>
      </c>
      <c r="G44" t="s">
        <v>46</v>
      </c>
      <c r="H44">
        <v>500</v>
      </c>
      <c r="I44">
        <v>170000</v>
      </c>
      <c r="J44">
        <v>1300</v>
      </c>
      <c r="K44" s="10">
        <v>1445</v>
      </c>
      <c r="L44" s="12">
        <v>1</v>
      </c>
      <c r="M44" s="5">
        <v>0.23499999999999999</v>
      </c>
      <c r="N44" s="10">
        <v>4</v>
      </c>
      <c r="O44" s="5">
        <v>2.052E-3</v>
      </c>
      <c r="P44">
        <v>0.04</v>
      </c>
      <c r="Q44" s="10">
        <v>1</v>
      </c>
      <c r="R44" s="8">
        <v>0</v>
      </c>
      <c r="S44">
        <v>0</v>
      </c>
      <c r="T44">
        <v>1</v>
      </c>
      <c r="U44" s="9">
        <v>0</v>
      </c>
      <c r="V44">
        <v>0</v>
      </c>
      <c r="W44" s="10">
        <v>1</v>
      </c>
      <c r="X44" s="1">
        <v>61.50656</v>
      </c>
      <c r="Y44" s="2">
        <v>18.682880000000001</v>
      </c>
      <c r="Z44" s="13">
        <v>0</v>
      </c>
      <c r="AA44" s="2">
        <v>61.50656</v>
      </c>
      <c r="AB44" s="2">
        <v>18.682880000000001</v>
      </c>
      <c r="AC44" s="2">
        <v>104.96</v>
      </c>
      <c r="AD44" s="2"/>
      <c r="AE44" s="7">
        <v>80.189440000000005</v>
      </c>
      <c r="AF44" s="2">
        <v>61.50656</v>
      </c>
      <c r="AG44" s="2">
        <v>18.682880000000001</v>
      </c>
      <c r="AH44" s="2">
        <v>5.1475577973512676</v>
      </c>
      <c r="AI44" s="2">
        <v>1.563591335344019</v>
      </c>
      <c r="AJ44" s="2">
        <v>-162.8023150011683</v>
      </c>
      <c r="AK44" s="2">
        <v>-49.451905952451817</v>
      </c>
      <c r="AL44" s="2">
        <v>0</v>
      </c>
      <c r="AM44" s="2">
        <v>0</v>
      </c>
      <c r="AN44" s="2">
        <v>104.96</v>
      </c>
      <c r="AO44" s="2">
        <v>176.642758331491</v>
      </c>
      <c r="AP44" s="2">
        <v>176.642758331491</v>
      </c>
      <c r="AQ44" s="2">
        <v>6.2939863112632262</v>
      </c>
      <c r="AR44" s="2">
        <v>-284.5562878784973</v>
      </c>
      <c r="AS44" s="2">
        <v>0</v>
      </c>
      <c r="AT44" s="2">
        <v>0</v>
      </c>
      <c r="AU44" s="1">
        <v>80.189440000000005</v>
      </c>
      <c r="AV44" s="2">
        <v>4.8918621542830927</v>
      </c>
      <c r="AW44" s="2">
        <v>-217.16518579706951</v>
      </c>
      <c r="AX44" s="2">
        <v>176.642758331491</v>
      </c>
      <c r="AZ44" s="1">
        <f t="shared" si="45"/>
        <v>61.50656</v>
      </c>
      <c r="BA44" s="2">
        <f t="shared" si="46"/>
        <v>5.1475577973512676</v>
      </c>
      <c r="BB44" s="7">
        <f t="shared" si="47"/>
        <v>-162.8023150011683</v>
      </c>
      <c r="BC44" s="1">
        <f t="shared" si="48"/>
        <v>18.682880000000001</v>
      </c>
      <c r="BD44" s="2">
        <f t="shared" si="49"/>
        <v>1.563591335344019</v>
      </c>
      <c r="BE44" s="2">
        <f t="shared" si="50"/>
        <v>-49.451905952451817</v>
      </c>
      <c r="BF44" s="2">
        <f t="shared" si="51"/>
        <v>0</v>
      </c>
      <c r="BG44" s="7">
        <f t="shared" si="52"/>
        <v>0</v>
      </c>
      <c r="BH44" s="1">
        <f t="shared" si="53"/>
        <v>80.189440000000005</v>
      </c>
      <c r="BI44" s="2">
        <f t="shared" si="54"/>
        <v>6.7111491326952866</v>
      </c>
      <c r="BJ44" s="2">
        <f t="shared" si="55"/>
        <v>212.25422095362012</v>
      </c>
      <c r="BK44" s="2">
        <f t="shared" si="56"/>
        <v>0</v>
      </c>
      <c r="BL44" s="7">
        <f t="shared" si="57"/>
        <v>0</v>
      </c>
      <c r="BN44" s="1">
        <f t="shared" si="22"/>
        <v>80.189440000000005</v>
      </c>
      <c r="BO44" s="4" t="str">
        <f t="shared" ref="BO44" si="87">IF(ISNUMBER(SEARCH("Appui",E44)),0,"0")</f>
        <v>0</v>
      </c>
      <c r="BP44" s="2">
        <f t="shared" si="13"/>
        <v>80.189440000000005</v>
      </c>
      <c r="BQ44" s="2">
        <f t="shared" si="24"/>
        <v>176.642758331491</v>
      </c>
      <c r="BR44" s="3">
        <f t="shared" si="25"/>
        <v>0.45396392559447613</v>
      </c>
      <c r="BS44" s="1">
        <f t="shared" si="30"/>
        <v>104.96</v>
      </c>
      <c r="BT44" s="2">
        <f t="shared" si="31"/>
        <v>176.642758331491</v>
      </c>
      <c r="BU44" s="21">
        <f t="shared" si="26"/>
        <v>0.59419361988805763</v>
      </c>
      <c r="BV44" s="2">
        <f t="shared" si="32"/>
        <v>139.61000000000001</v>
      </c>
      <c r="BW44" s="2">
        <f t="shared" si="33"/>
        <v>227.59166713742755</v>
      </c>
      <c r="BX44" s="21">
        <f t="shared" si="27"/>
        <v>1.6301960256244361</v>
      </c>
      <c r="BY44" s="10" t="str">
        <f t="shared" ref="BY44" si="88">IF(C42&lt;C44,"Rive",IF(C46&gt;C44,"Rive","Inter"))</f>
        <v>Rive</v>
      </c>
    </row>
    <row r="45" spans="1:77" x14ac:dyDescent="0.25">
      <c r="A45" t="str">
        <f t="shared" si="18"/>
        <v/>
      </c>
      <c r="B45" t="b">
        <f t="shared" si="19"/>
        <v>1</v>
      </c>
      <c r="C45">
        <f>IF(D45="",100000,IF(D45=D43,C43,C43+1))</f>
        <v>100000</v>
      </c>
      <c r="D45" s="5"/>
      <c r="F45" s="5"/>
      <c r="K45" s="10"/>
      <c r="L45" s="12"/>
      <c r="M45" s="5"/>
      <c r="N45" s="10"/>
      <c r="O45" s="5"/>
      <c r="Q45" s="10"/>
      <c r="R45" s="8"/>
      <c r="U45" s="9"/>
      <c r="W45" s="10"/>
      <c r="X45" s="1"/>
      <c r="Y45" s="2"/>
      <c r="Z45" s="13"/>
      <c r="AA45" s="2"/>
      <c r="AB45" s="2"/>
      <c r="AC45" s="2"/>
      <c r="AD45" s="2"/>
      <c r="AE45" s="7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1"/>
      <c r="AV45" s="2"/>
      <c r="AW45" s="2"/>
      <c r="AX45" s="2"/>
      <c r="AZ45" s="1"/>
      <c r="BA45" s="2"/>
      <c r="BB45" s="7"/>
      <c r="BC45" s="1"/>
      <c r="BD45" s="2"/>
      <c r="BE45" s="2"/>
      <c r="BF45" s="2"/>
      <c r="BG45" s="7"/>
      <c r="BH45" s="1"/>
      <c r="BI45" s="2"/>
      <c r="BJ45" s="2"/>
      <c r="BK45" s="2"/>
      <c r="BL45" s="7"/>
      <c r="BN45" s="1"/>
      <c r="BO45" s="4"/>
      <c r="BP45" s="2">
        <f t="shared" si="13"/>
        <v>0</v>
      </c>
      <c r="BQ45" s="2"/>
      <c r="BR45" s="3"/>
      <c r="BS45" s="1"/>
      <c r="BT45" s="2"/>
      <c r="BU45" s="21"/>
      <c r="BV45" s="2" t="str">
        <f t="shared" ref="BV45:BV66" si="89">IF(ISNUMBER(SEARCH("Travée",E45)),BS45+(IF(C44&lt;C45,0,BS44)+IF(C46&gt;C45,0,BS46))/2,"")</f>
        <v/>
      </c>
      <c r="BW45" s="2" t="str">
        <f t="shared" ref="BW45:BW66" si="90">IF(ISNUMBER(SEARCH("Travée",E45)),BT45+(IF(C44&lt;C45,0,BT44)+IF(C46&gt;C45,0,BT46))/2,"")</f>
        <v/>
      </c>
      <c r="BX45" s="21" t="str">
        <f t="shared" ref="BX45:BX66" si="91">IF(ISNUMBER(SEARCH("Travée",E45)),BW45/BV45,"")</f>
        <v/>
      </c>
      <c r="BY45" s="15"/>
    </row>
    <row r="46" spans="1:77" x14ac:dyDescent="0.25">
      <c r="A46" t="str">
        <f t="shared" si="18"/>
        <v/>
      </c>
      <c r="B46" t="b">
        <f t="shared" si="19"/>
        <v>1</v>
      </c>
      <c r="C46">
        <f>IF(D46="",100000,IF(D46=D44,C44,C44+1))</f>
        <v>100000</v>
      </c>
      <c r="D46" s="5"/>
      <c r="F46" s="5"/>
      <c r="K46" s="10"/>
      <c r="L46" s="12"/>
      <c r="M46" s="5"/>
      <c r="N46" s="10"/>
      <c r="O46" s="5"/>
      <c r="Q46" s="10"/>
      <c r="R46" s="8"/>
      <c r="U46" s="9"/>
      <c r="W46" s="10"/>
      <c r="X46" s="1"/>
      <c r="Y46" s="2"/>
      <c r="Z46" s="13"/>
      <c r="AA46" s="2"/>
      <c r="AB46" s="2"/>
      <c r="AC46" s="2"/>
      <c r="AD46" s="2"/>
      <c r="AE46" s="7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1"/>
      <c r="AV46" s="2"/>
      <c r="AW46" s="2"/>
      <c r="AX46" s="2"/>
      <c r="AZ46" s="1"/>
      <c r="BA46" s="2"/>
      <c r="BB46" s="7"/>
      <c r="BC46" s="1"/>
      <c r="BD46" s="2"/>
      <c r="BE46" s="2"/>
      <c r="BF46" s="2"/>
      <c r="BG46" s="7"/>
      <c r="BH46" s="1"/>
      <c r="BI46" s="2"/>
      <c r="BJ46" s="2"/>
      <c r="BK46" s="2"/>
      <c r="BL46" s="7"/>
      <c r="BN46" s="1"/>
      <c r="BO46" s="4"/>
      <c r="BP46" s="2">
        <f t="shared" si="13"/>
        <v>0</v>
      </c>
      <c r="BQ46" s="2"/>
      <c r="BR46" s="3"/>
      <c r="BS46" s="1">
        <f t="shared" ref="BS46:BS66" si="92">AN46</f>
        <v>0</v>
      </c>
      <c r="BT46" s="2">
        <f t="shared" ref="BT46:BT66" si="93">AP46</f>
        <v>0</v>
      </c>
      <c r="BU46" s="21" t="e">
        <f t="shared" ref="BU46:BU66" si="94">BS46/BT46</f>
        <v>#DIV/0!</v>
      </c>
      <c r="BV46" s="2" t="str">
        <f t="shared" si="89"/>
        <v/>
      </c>
      <c r="BW46" s="2" t="str">
        <f t="shared" si="90"/>
        <v/>
      </c>
      <c r="BX46" s="21" t="str">
        <f t="shared" si="91"/>
        <v/>
      </c>
      <c r="BY46" s="10" t="str">
        <f t="shared" ref="BY46" si="95">IF(C44&lt;C46,"Rive",IF(C48&gt;C46,"Rive","Inter"))</f>
        <v>Rive</v>
      </c>
    </row>
    <row r="47" spans="1:77" x14ac:dyDescent="0.25">
      <c r="A47" t="str">
        <f t="shared" si="18"/>
        <v/>
      </c>
      <c r="B47" t="b">
        <f t="shared" si="19"/>
        <v>1</v>
      </c>
      <c r="C47">
        <f t="shared" si="80"/>
        <v>100000</v>
      </c>
      <c r="D47" s="5"/>
      <c r="F47" s="5"/>
      <c r="K47" s="10"/>
      <c r="L47" s="12"/>
      <c r="M47" s="5"/>
      <c r="N47" s="10"/>
      <c r="O47" s="5"/>
      <c r="Q47" s="10"/>
      <c r="R47" s="8"/>
      <c r="U47" s="9"/>
      <c r="W47" s="10"/>
      <c r="X47" s="1"/>
      <c r="Y47" s="2"/>
      <c r="Z47" s="13"/>
      <c r="AA47" s="2"/>
      <c r="AB47" s="2"/>
      <c r="AC47" s="2"/>
      <c r="AD47" s="2"/>
      <c r="AE47" s="7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1"/>
      <c r="AV47" s="2"/>
      <c r="AW47" s="2"/>
      <c r="AX47" s="2"/>
      <c r="AZ47" s="1"/>
      <c r="BA47" s="2"/>
      <c r="BB47" s="7"/>
      <c r="BC47" s="1"/>
      <c r="BD47" s="2"/>
      <c r="BE47" s="2"/>
      <c r="BF47" s="2"/>
      <c r="BG47" s="7"/>
      <c r="BH47" s="1"/>
      <c r="BI47" s="2"/>
      <c r="BJ47" s="2"/>
      <c r="BK47" s="2"/>
      <c r="BL47" s="7"/>
      <c r="BN47" s="1"/>
      <c r="BO47" s="4"/>
      <c r="BP47" s="2">
        <f t="shared" si="13"/>
        <v>0</v>
      </c>
      <c r="BQ47" s="2"/>
      <c r="BR47" s="3"/>
      <c r="BS47" s="1">
        <f t="shared" si="92"/>
        <v>0</v>
      </c>
      <c r="BT47" s="2">
        <f t="shared" si="93"/>
        <v>0</v>
      </c>
      <c r="BU47" s="21" t="e">
        <f t="shared" si="94"/>
        <v>#DIV/0!</v>
      </c>
      <c r="BV47" s="2" t="str">
        <f t="shared" si="89"/>
        <v/>
      </c>
      <c r="BW47" s="2" t="str">
        <f t="shared" si="90"/>
        <v/>
      </c>
      <c r="BX47" s="21" t="str">
        <f t="shared" si="91"/>
        <v/>
      </c>
      <c r="BY47" s="15"/>
    </row>
    <row r="48" spans="1:77" x14ac:dyDescent="0.25">
      <c r="A48" t="str">
        <f t="shared" si="18"/>
        <v/>
      </c>
      <c r="B48" t="b">
        <f t="shared" si="19"/>
        <v>1</v>
      </c>
      <c r="C48">
        <f t="shared" si="80"/>
        <v>100000</v>
      </c>
      <c r="D48" s="5"/>
      <c r="F48" s="5"/>
      <c r="K48" s="10"/>
      <c r="L48" s="12"/>
      <c r="M48" s="5"/>
      <c r="N48" s="10"/>
      <c r="O48" s="5"/>
      <c r="Q48" s="10"/>
      <c r="R48" s="8"/>
      <c r="U48" s="9"/>
      <c r="W48" s="10"/>
      <c r="X48" s="1"/>
      <c r="Y48" s="2"/>
      <c r="Z48" s="13"/>
      <c r="AA48" s="2"/>
      <c r="AB48" s="2"/>
      <c r="AC48" s="2"/>
      <c r="AD48" s="2"/>
      <c r="AE48" s="7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1"/>
      <c r="AV48" s="2"/>
      <c r="AW48" s="2"/>
      <c r="AX48" s="2"/>
      <c r="AZ48" s="1"/>
      <c r="BA48" s="2"/>
      <c r="BB48" s="7"/>
      <c r="BC48" s="1"/>
      <c r="BD48" s="2"/>
      <c r="BE48" s="2"/>
      <c r="BF48" s="2"/>
      <c r="BG48" s="7"/>
      <c r="BH48" s="1"/>
      <c r="BI48" s="2"/>
      <c r="BJ48" s="2"/>
      <c r="BK48" s="2"/>
      <c r="BL48" s="7"/>
      <c r="BN48" s="1"/>
      <c r="BO48" s="4"/>
      <c r="BP48" s="2">
        <f t="shared" si="13"/>
        <v>0</v>
      </c>
      <c r="BQ48" s="2"/>
      <c r="BR48" s="3"/>
      <c r="BS48" s="1">
        <f t="shared" si="92"/>
        <v>0</v>
      </c>
      <c r="BT48" s="2">
        <f t="shared" si="93"/>
        <v>0</v>
      </c>
      <c r="BU48" s="21" t="e">
        <f t="shared" si="94"/>
        <v>#DIV/0!</v>
      </c>
      <c r="BV48" s="2" t="str">
        <f t="shared" si="89"/>
        <v/>
      </c>
      <c r="BW48" s="2" t="str">
        <f t="shared" si="90"/>
        <v/>
      </c>
      <c r="BX48" s="21" t="str">
        <f t="shared" si="91"/>
        <v/>
      </c>
      <c r="BY48" s="10" t="str">
        <f t="shared" ref="BY48" si="96">IF(C46&lt;C48,"Rive",IF(C50&gt;C48,"Rive","Inter"))</f>
        <v>Inter</v>
      </c>
    </row>
    <row r="49" spans="1:77" x14ac:dyDescent="0.25">
      <c r="A49" t="str">
        <f t="shared" si="18"/>
        <v/>
      </c>
      <c r="B49" t="b">
        <f t="shared" si="19"/>
        <v>1</v>
      </c>
      <c r="C49">
        <f t="shared" si="80"/>
        <v>100000</v>
      </c>
      <c r="D49" s="5"/>
      <c r="F49" s="5"/>
      <c r="K49" s="10"/>
      <c r="L49" s="12"/>
      <c r="M49" s="5"/>
      <c r="N49" s="10"/>
      <c r="O49" s="5"/>
      <c r="Q49" s="10"/>
      <c r="R49" s="8"/>
      <c r="U49" s="9"/>
      <c r="W49" s="10"/>
      <c r="X49" s="1"/>
      <c r="Y49" s="2"/>
      <c r="Z49" s="13"/>
      <c r="AA49" s="2"/>
      <c r="AB49" s="2"/>
      <c r="AC49" s="2"/>
      <c r="AD49" s="2"/>
      <c r="AE49" s="7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1"/>
      <c r="AV49" s="2"/>
      <c r="AW49" s="2"/>
      <c r="AX49" s="2"/>
      <c r="AZ49" s="1"/>
      <c r="BA49" s="2"/>
      <c r="BB49" s="7"/>
      <c r="BC49" s="1"/>
      <c r="BD49" s="2"/>
      <c r="BE49" s="2"/>
      <c r="BF49" s="2"/>
      <c r="BG49" s="7"/>
      <c r="BH49" s="1"/>
      <c r="BI49" s="2"/>
      <c r="BJ49" s="2"/>
      <c r="BK49" s="2"/>
      <c r="BL49" s="7"/>
      <c r="BN49" s="1"/>
      <c r="BO49" s="4"/>
      <c r="BP49" s="2">
        <f t="shared" si="13"/>
        <v>0</v>
      </c>
      <c r="BQ49" s="2"/>
      <c r="BR49" s="3"/>
      <c r="BS49" s="1">
        <f t="shared" si="92"/>
        <v>0</v>
      </c>
      <c r="BT49" s="2">
        <f t="shared" si="93"/>
        <v>0</v>
      </c>
      <c r="BU49" s="21" t="e">
        <f t="shared" si="94"/>
        <v>#DIV/0!</v>
      </c>
      <c r="BV49" s="2" t="str">
        <f t="shared" si="89"/>
        <v/>
      </c>
      <c r="BW49" s="2" t="str">
        <f t="shared" si="90"/>
        <v/>
      </c>
      <c r="BX49" s="21" t="str">
        <f t="shared" si="91"/>
        <v/>
      </c>
      <c r="BY49" s="15"/>
    </row>
    <row r="50" spans="1:77" x14ac:dyDescent="0.25">
      <c r="A50" t="str">
        <f t="shared" si="18"/>
        <v/>
      </c>
      <c r="B50" t="b">
        <f t="shared" si="19"/>
        <v>1</v>
      </c>
      <c r="C50">
        <f t="shared" si="80"/>
        <v>100000</v>
      </c>
      <c r="D50" s="5"/>
      <c r="F50" s="5"/>
      <c r="K50" s="10"/>
      <c r="L50" s="12"/>
      <c r="M50" s="5"/>
      <c r="N50" s="10"/>
      <c r="O50" s="5"/>
      <c r="Q50" s="10"/>
      <c r="R50" s="8"/>
      <c r="U50" s="9"/>
      <c r="W50" s="10"/>
      <c r="X50" s="1"/>
      <c r="Y50" s="2"/>
      <c r="Z50" s="13"/>
      <c r="AA50" s="2"/>
      <c r="AB50" s="2"/>
      <c r="AC50" s="2"/>
      <c r="AD50" s="2"/>
      <c r="AE50" s="7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1"/>
      <c r="AV50" s="2"/>
      <c r="AW50" s="2"/>
      <c r="AX50" s="2"/>
      <c r="AZ50" s="1"/>
      <c r="BA50" s="2"/>
      <c r="BB50" s="7"/>
      <c r="BC50" s="1"/>
      <c r="BD50" s="2"/>
      <c r="BE50" s="2"/>
      <c r="BF50" s="2"/>
      <c r="BG50" s="7"/>
      <c r="BH50" s="1"/>
      <c r="BI50" s="2"/>
      <c r="BJ50" s="2"/>
      <c r="BK50" s="2"/>
      <c r="BL50" s="7"/>
      <c r="BN50" s="1"/>
      <c r="BO50" s="4"/>
      <c r="BP50" s="2">
        <f t="shared" si="13"/>
        <v>0</v>
      </c>
      <c r="BQ50" s="2"/>
      <c r="BR50" s="3"/>
      <c r="BS50" s="1">
        <f t="shared" si="92"/>
        <v>0</v>
      </c>
      <c r="BT50" s="2">
        <f t="shared" si="93"/>
        <v>0</v>
      </c>
      <c r="BU50" s="21" t="e">
        <f t="shared" si="94"/>
        <v>#DIV/0!</v>
      </c>
      <c r="BV50" s="2" t="str">
        <f t="shared" si="89"/>
        <v/>
      </c>
      <c r="BW50" s="2" t="str">
        <f t="shared" si="90"/>
        <v/>
      </c>
      <c r="BX50" s="21" t="str">
        <f t="shared" si="91"/>
        <v/>
      </c>
      <c r="BY50" s="10" t="str">
        <f t="shared" ref="BY50" si="97">IF(C48&lt;C50,"Rive",IF(C52&gt;C50,"Rive","Inter"))</f>
        <v>Inter</v>
      </c>
    </row>
    <row r="51" spans="1:77" x14ac:dyDescent="0.25">
      <c r="A51" t="str">
        <f t="shared" si="18"/>
        <v/>
      </c>
      <c r="B51" t="b">
        <f t="shared" si="19"/>
        <v>1</v>
      </c>
      <c r="C51">
        <f t="shared" si="80"/>
        <v>100000</v>
      </c>
      <c r="D51" s="5"/>
      <c r="F51" s="5"/>
      <c r="K51" s="10"/>
      <c r="L51" s="12"/>
      <c r="M51" s="5"/>
      <c r="N51" s="10"/>
      <c r="O51" s="5"/>
      <c r="Q51" s="10"/>
      <c r="R51" s="8"/>
      <c r="U51" s="9"/>
      <c r="W51" s="10"/>
      <c r="X51" s="1"/>
      <c r="Y51" s="2"/>
      <c r="Z51" s="13"/>
      <c r="AA51" s="2"/>
      <c r="AB51" s="2"/>
      <c r="AC51" s="2"/>
      <c r="AD51" s="2"/>
      <c r="AE51" s="7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1"/>
      <c r="AV51" s="2"/>
      <c r="AW51" s="2"/>
      <c r="AX51" s="2"/>
      <c r="AZ51" s="1"/>
      <c r="BA51" s="2"/>
      <c r="BB51" s="7"/>
      <c r="BC51" s="1"/>
      <c r="BD51" s="2"/>
      <c r="BE51" s="2"/>
      <c r="BF51" s="2"/>
      <c r="BG51" s="7"/>
      <c r="BH51" s="1"/>
      <c r="BI51" s="2"/>
      <c r="BJ51" s="2"/>
      <c r="BK51" s="2"/>
      <c r="BL51" s="7"/>
      <c r="BN51" s="1"/>
      <c r="BO51" s="4"/>
      <c r="BP51" s="2">
        <f t="shared" si="13"/>
        <v>0</v>
      </c>
      <c r="BQ51" s="2"/>
      <c r="BR51" s="3"/>
      <c r="BS51" s="1">
        <f t="shared" si="92"/>
        <v>0</v>
      </c>
      <c r="BT51" s="2">
        <f t="shared" si="93"/>
        <v>0</v>
      </c>
      <c r="BU51" s="21" t="e">
        <f t="shared" si="94"/>
        <v>#DIV/0!</v>
      </c>
      <c r="BV51" s="2" t="str">
        <f t="shared" si="89"/>
        <v/>
      </c>
      <c r="BW51" s="2" t="str">
        <f t="shared" si="90"/>
        <v/>
      </c>
      <c r="BX51" s="21" t="str">
        <f t="shared" si="91"/>
        <v/>
      </c>
      <c r="BY51" s="15"/>
    </row>
    <row r="52" spans="1:77" x14ac:dyDescent="0.25">
      <c r="A52" t="str">
        <f t="shared" si="18"/>
        <v/>
      </c>
      <c r="B52" t="b">
        <f t="shared" si="19"/>
        <v>1</v>
      </c>
      <c r="C52">
        <f t="shared" si="80"/>
        <v>100000</v>
      </c>
      <c r="D52" s="5"/>
      <c r="F52" s="5"/>
      <c r="K52" s="10"/>
      <c r="L52" s="12"/>
      <c r="M52" s="5"/>
      <c r="N52" s="10"/>
      <c r="O52" s="5"/>
      <c r="Q52" s="10"/>
      <c r="R52" s="8"/>
      <c r="U52" s="9"/>
      <c r="W52" s="10"/>
      <c r="X52" s="1"/>
      <c r="Y52" s="2"/>
      <c r="Z52" s="13"/>
      <c r="AA52" s="2"/>
      <c r="AB52" s="2"/>
      <c r="AC52" s="2"/>
      <c r="AD52" s="2"/>
      <c r="AE52" s="7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"/>
      <c r="AV52" s="2"/>
      <c r="AW52" s="2"/>
      <c r="AX52" s="2"/>
      <c r="AZ52" s="1"/>
      <c r="BA52" s="2"/>
      <c r="BB52" s="7"/>
      <c r="BC52" s="1"/>
      <c r="BD52" s="2"/>
      <c r="BE52" s="2"/>
      <c r="BF52" s="2"/>
      <c r="BG52" s="7"/>
      <c r="BH52" s="1"/>
      <c r="BI52" s="2"/>
      <c r="BJ52" s="2"/>
      <c r="BK52" s="2"/>
      <c r="BL52" s="7"/>
      <c r="BN52" s="1"/>
      <c r="BO52" s="4"/>
      <c r="BP52" s="2">
        <f t="shared" si="13"/>
        <v>0</v>
      </c>
      <c r="BQ52" s="2"/>
      <c r="BR52" s="3"/>
      <c r="BS52" s="1">
        <f t="shared" si="92"/>
        <v>0</v>
      </c>
      <c r="BT52" s="2">
        <f t="shared" si="93"/>
        <v>0</v>
      </c>
      <c r="BU52" s="21" t="e">
        <f t="shared" si="94"/>
        <v>#DIV/0!</v>
      </c>
      <c r="BV52" s="2" t="str">
        <f t="shared" si="89"/>
        <v/>
      </c>
      <c r="BW52" s="2" t="str">
        <f t="shared" si="90"/>
        <v/>
      </c>
      <c r="BX52" s="21" t="str">
        <f t="shared" si="91"/>
        <v/>
      </c>
      <c r="BY52" s="10" t="str">
        <f t="shared" ref="BY52" si="98">IF(C50&lt;C52,"Rive",IF(C54&gt;C52,"Rive","Inter"))</f>
        <v>Inter</v>
      </c>
    </row>
    <row r="53" spans="1:77" x14ac:dyDescent="0.25">
      <c r="A53" t="str">
        <f t="shared" si="18"/>
        <v/>
      </c>
      <c r="B53" t="b">
        <f t="shared" si="19"/>
        <v>1</v>
      </c>
      <c r="C53">
        <f t="shared" si="80"/>
        <v>100000</v>
      </c>
      <c r="D53" s="5"/>
      <c r="F53" s="5"/>
      <c r="K53" s="10"/>
      <c r="L53" s="12"/>
      <c r="M53" s="5"/>
      <c r="N53" s="10"/>
      <c r="O53" s="5"/>
      <c r="Q53" s="10"/>
      <c r="R53" s="8"/>
      <c r="U53" s="9"/>
      <c r="W53" s="10"/>
      <c r="X53" s="1"/>
      <c r="Y53" s="2"/>
      <c r="Z53" s="13"/>
      <c r="AA53" s="2"/>
      <c r="AB53" s="2"/>
      <c r="AC53" s="2"/>
      <c r="AD53" s="2"/>
      <c r="AE53" s="7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"/>
      <c r="AV53" s="2"/>
      <c r="AW53" s="2"/>
      <c r="AX53" s="2"/>
      <c r="AZ53" s="1"/>
      <c r="BA53" s="2"/>
      <c r="BB53" s="7"/>
      <c r="BC53" s="1"/>
      <c r="BD53" s="2"/>
      <c r="BE53" s="2"/>
      <c r="BF53" s="2"/>
      <c r="BG53" s="7"/>
      <c r="BH53" s="1"/>
      <c r="BI53" s="2"/>
      <c r="BJ53" s="2"/>
      <c r="BK53" s="2"/>
      <c r="BL53" s="7"/>
      <c r="BN53" s="1"/>
      <c r="BO53" s="4"/>
      <c r="BP53" s="2">
        <f t="shared" si="13"/>
        <v>0</v>
      </c>
      <c r="BQ53" s="2"/>
      <c r="BR53" s="3"/>
      <c r="BS53" s="1">
        <f t="shared" si="92"/>
        <v>0</v>
      </c>
      <c r="BT53" s="2">
        <f t="shared" si="93"/>
        <v>0</v>
      </c>
      <c r="BU53" s="21" t="e">
        <f t="shared" si="94"/>
        <v>#DIV/0!</v>
      </c>
      <c r="BV53" s="2" t="str">
        <f t="shared" si="89"/>
        <v/>
      </c>
      <c r="BW53" s="2" t="str">
        <f t="shared" si="90"/>
        <v/>
      </c>
      <c r="BX53" s="21" t="str">
        <f t="shared" si="91"/>
        <v/>
      </c>
      <c r="BY53" s="15"/>
    </row>
    <row r="54" spans="1:77" x14ac:dyDescent="0.25">
      <c r="A54" t="str">
        <f t="shared" si="18"/>
        <v/>
      </c>
      <c r="B54" t="b">
        <f t="shared" si="19"/>
        <v>1</v>
      </c>
      <c r="C54">
        <f t="shared" si="80"/>
        <v>100000</v>
      </c>
      <c r="D54" s="5"/>
      <c r="F54" s="5"/>
      <c r="K54" s="10"/>
      <c r="L54" s="12"/>
      <c r="M54" s="5"/>
      <c r="N54" s="10"/>
      <c r="O54" s="5"/>
      <c r="Q54" s="10"/>
      <c r="R54" s="8"/>
      <c r="U54" s="9"/>
      <c r="W54" s="10"/>
      <c r="X54" s="1"/>
      <c r="Y54" s="2"/>
      <c r="Z54" s="13"/>
      <c r="AA54" s="2"/>
      <c r="AB54" s="2"/>
      <c r="AC54" s="2"/>
      <c r="AD54" s="2"/>
      <c r="AE54" s="7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1"/>
      <c r="AV54" s="2"/>
      <c r="AW54" s="2"/>
      <c r="AX54" s="2"/>
      <c r="AZ54" s="1"/>
      <c r="BA54" s="2"/>
      <c r="BB54" s="7"/>
      <c r="BC54" s="1"/>
      <c r="BD54" s="2"/>
      <c r="BE54" s="2"/>
      <c r="BF54" s="2"/>
      <c r="BG54" s="7"/>
      <c r="BH54" s="1"/>
      <c r="BI54" s="2"/>
      <c r="BJ54" s="2"/>
      <c r="BK54" s="2"/>
      <c r="BL54" s="7"/>
      <c r="BN54" s="1"/>
      <c r="BO54" s="4"/>
      <c r="BP54" s="2">
        <f t="shared" si="13"/>
        <v>0</v>
      </c>
      <c r="BQ54" s="2"/>
      <c r="BR54" s="3"/>
      <c r="BS54" s="1">
        <f t="shared" si="92"/>
        <v>0</v>
      </c>
      <c r="BT54" s="2">
        <f t="shared" si="93"/>
        <v>0</v>
      </c>
      <c r="BU54" s="21" t="e">
        <f t="shared" si="94"/>
        <v>#DIV/0!</v>
      </c>
      <c r="BV54" s="2" t="str">
        <f t="shared" si="89"/>
        <v/>
      </c>
      <c r="BW54" s="2" t="str">
        <f t="shared" si="90"/>
        <v/>
      </c>
      <c r="BX54" s="21" t="str">
        <f t="shared" si="91"/>
        <v/>
      </c>
      <c r="BY54" s="10" t="str">
        <f t="shared" ref="BY54" si="99">IF(C52&lt;C54,"Rive",IF(C56&gt;C54,"Rive","Inter"))</f>
        <v>Inter</v>
      </c>
    </row>
    <row r="55" spans="1:77" x14ac:dyDescent="0.25">
      <c r="A55" t="str">
        <f t="shared" si="18"/>
        <v/>
      </c>
      <c r="B55" t="b">
        <f t="shared" si="19"/>
        <v>1</v>
      </c>
      <c r="C55">
        <f t="shared" si="80"/>
        <v>100000</v>
      </c>
      <c r="D55" s="5"/>
      <c r="F55" s="5"/>
      <c r="K55" s="10"/>
      <c r="L55" s="12"/>
      <c r="M55" s="5"/>
      <c r="N55" s="10"/>
      <c r="O55" s="5"/>
      <c r="Q55" s="10"/>
      <c r="R55" s="8"/>
      <c r="U55" s="9"/>
      <c r="W55" s="10"/>
      <c r="X55" s="1"/>
      <c r="Y55" s="2"/>
      <c r="Z55" s="13"/>
      <c r="AA55" s="2"/>
      <c r="AB55" s="2"/>
      <c r="AC55" s="2"/>
      <c r="AD55" s="2"/>
      <c r="AE55" s="7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1"/>
      <c r="AV55" s="2"/>
      <c r="AW55" s="2"/>
      <c r="AX55" s="2"/>
      <c r="AZ55" s="1"/>
      <c r="BA55" s="2"/>
      <c r="BB55" s="7"/>
      <c r="BC55" s="1"/>
      <c r="BD55" s="2"/>
      <c r="BE55" s="2"/>
      <c r="BF55" s="2"/>
      <c r="BG55" s="7"/>
      <c r="BH55" s="1"/>
      <c r="BI55" s="2"/>
      <c r="BJ55" s="2"/>
      <c r="BK55" s="2"/>
      <c r="BL55" s="7"/>
      <c r="BN55" s="1"/>
      <c r="BO55" s="4"/>
      <c r="BP55" s="2">
        <f t="shared" si="13"/>
        <v>0</v>
      </c>
      <c r="BQ55" s="2"/>
      <c r="BR55" s="3"/>
      <c r="BS55" s="1">
        <f t="shared" si="92"/>
        <v>0</v>
      </c>
      <c r="BT55" s="2">
        <f t="shared" si="93"/>
        <v>0</v>
      </c>
      <c r="BU55" s="21" t="e">
        <f t="shared" si="94"/>
        <v>#DIV/0!</v>
      </c>
      <c r="BV55" s="2" t="str">
        <f t="shared" si="89"/>
        <v/>
      </c>
      <c r="BW55" s="2" t="str">
        <f t="shared" si="90"/>
        <v/>
      </c>
      <c r="BX55" s="21" t="str">
        <f t="shared" si="91"/>
        <v/>
      </c>
      <c r="BY55" s="15"/>
    </row>
    <row r="56" spans="1:77" x14ac:dyDescent="0.25">
      <c r="A56" t="str">
        <f t="shared" si="18"/>
        <v/>
      </c>
      <c r="B56" t="b">
        <f t="shared" si="19"/>
        <v>1</v>
      </c>
      <c r="C56">
        <f t="shared" si="80"/>
        <v>100000</v>
      </c>
      <c r="D56" s="5"/>
      <c r="F56" s="5"/>
      <c r="K56" s="10"/>
      <c r="L56" s="12"/>
      <c r="M56" s="5"/>
      <c r="N56" s="10"/>
      <c r="O56" s="5"/>
      <c r="Q56" s="10"/>
      <c r="R56" s="8"/>
      <c r="U56" s="9"/>
      <c r="W56" s="10"/>
      <c r="X56" s="1"/>
      <c r="Y56" s="2"/>
      <c r="Z56" s="13"/>
      <c r="AA56" s="2"/>
      <c r="AB56" s="2"/>
      <c r="AC56" s="2"/>
      <c r="AD56" s="2"/>
      <c r="AE56" s="7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1"/>
      <c r="AV56" s="2"/>
      <c r="AW56" s="2"/>
      <c r="AX56" s="2"/>
      <c r="AZ56" s="1"/>
      <c r="BA56" s="2"/>
      <c r="BB56" s="7"/>
      <c r="BC56" s="1"/>
      <c r="BD56" s="2"/>
      <c r="BE56" s="2"/>
      <c r="BF56" s="2"/>
      <c r="BG56" s="7"/>
      <c r="BH56" s="1"/>
      <c r="BI56" s="2"/>
      <c r="BJ56" s="2"/>
      <c r="BK56" s="2"/>
      <c r="BL56" s="7"/>
      <c r="BN56" s="1"/>
      <c r="BO56" s="4"/>
      <c r="BP56" s="2">
        <f t="shared" si="13"/>
        <v>0</v>
      </c>
      <c r="BQ56" s="2"/>
      <c r="BR56" s="3"/>
      <c r="BS56" s="1">
        <f t="shared" si="92"/>
        <v>0</v>
      </c>
      <c r="BT56" s="2">
        <f t="shared" si="93"/>
        <v>0</v>
      </c>
      <c r="BU56" s="21" t="e">
        <f t="shared" si="94"/>
        <v>#DIV/0!</v>
      </c>
      <c r="BV56" s="2" t="str">
        <f t="shared" si="89"/>
        <v/>
      </c>
      <c r="BW56" s="2" t="str">
        <f t="shared" si="90"/>
        <v/>
      </c>
      <c r="BX56" s="21" t="str">
        <f t="shared" si="91"/>
        <v/>
      </c>
      <c r="BY56" s="10" t="str">
        <f t="shared" ref="BY56" si="100">IF(C54&lt;C56,"Rive",IF(C58&gt;C56,"Rive","Inter"))</f>
        <v>Inter</v>
      </c>
    </row>
    <row r="57" spans="1:77" x14ac:dyDescent="0.25">
      <c r="A57" t="str">
        <f t="shared" si="18"/>
        <v/>
      </c>
      <c r="B57" t="b">
        <f t="shared" si="19"/>
        <v>1</v>
      </c>
      <c r="C57">
        <f>IF(D57="",100000,IF(D57=D55,C55,C55+1))</f>
        <v>100000</v>
      </c>
      <c r="D57" s="5"/>
      <c r="F57" s="5"/>
      <c r="K57" s="10"/>
      <c r="L57" s="12"/>
      <c r="M57" s="5"/>
      <c r="N57" s="10"/>
      <c r="O57" s="5"/>
      <c r="Q57" s="10"/>
      <c r="R57" s="8"/>
      <c r="U57" s="9"/>
      <c r="W57" s="10"/>
      <c r="X57" s="1"/>
      <c r="Y57" s="2"/>
      <c r="Z57" s="13"/>
      <c r="AA57" s="2"/>
      <c r="AB57" s="2"/>
      <c r="AC57" s="2"/>
      <c r="AD57" s="2"/>
      <c r="AE57" s="7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"/>
      <c r="AV57" s="2"/>
      <c r="AW57" s="2"/>
      <c r="AX57" s="2"/>
      <c r="AZ57" s="1"/>
      <c r="BA57" s="2"/>
      <c r="BB57" s="7"/>
      <c r="BC57" s="1"/>
      <c r="BD57" s="2"/>
      <c r="BE57" s="2"/>
      <c r="BF57" s="2"/>
      <c r="BG57" s="7"/>
      <c r="BH57" s="1"/>
      <c r="BI57" s="2"/>
      <c r="BJ57" s="2"/>
      <c r="BK57" s="2"/>
      <c r="BL57" s="7"/>
      <c r="BN57" s="1"/>
      <c r="BO57" s="4"/>
      <c r="BP57" s="2">
        <f t="shared" si="13"/>
        <v>0</v>
      </c>
      <c r="BQ57" s="2"/>
      <c r="BR57" s="3"/>
      <c r="BS57" s="1">
        <f t="shared" si="92"/>
        <v>0</v>
      </c>
      <c r="BT57" s="2">
        <f t="shared" si="93"/>
        <v>0</v>
      </c>
      <c r="BU57" s="21" t="e">
        <f t="shared" si="94"/>
        <v>#DIV/0!</v>
      </c>
      <c r="BV57" s="2" t="str">
        <f t="shared" si="89"/>
        <v/>
      </c>
      <c r="BW57" s="2" t="str">
        <f t="shared" si="90"/>
        <v/>
      </c>
      <c r="BX57" s="21" t="str">
        <f t="shared" si="91"/>
        <v/>
      </c>
      <c r="BY57" s="15"/>
    </row>
    <row r="58" spans="1:77" x14ac:dyDescent="0.25">
      <c r="A58" t="str">
        <f t="shared" si="18"/>
        <v/>
      </c>
      <c r="B58" t="b">
        <f t="shared" si="19"/>
        <v>1</v>
      </c>
      <c r="C58">
        <f>IF(D58="",100000,IF(D58=D56,C56,C56+1))</f>
        <v>100000</v>
      </c>
      <c r="D58" s="5"/>
      <c r="F58" s="5"/>
      <c r="K58" s="10"/>
      <c r="L58" s="12"/>
      <c r="M58" s="5"/>
      <c r="N58" s="10"/>
      <c r="O58" s="5"/>
      <c r="Q58" s="10"/>
      <c r="R58" s="8"/>
      <c r="U58" s="9"/>
      <c r="W58" s="10"/>
      <c r="X58" s="1"/>
      <c r="Y58" s="2"/>
      <c r="Z58" s="13"/>
      <c r="AA58" s="2"/>
      <c r="AB58" s="2"/>
      <c r="AC58" s="2"/>
      <c r="AD58" s="2"/>
      <c r="AE58" s="7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"/>
      <c r="AV58" s="2"/>
      <c r="AW58" s="2"/>
      <c r="AX58" s="2"/>
      <c r="AZ58" s="1"/>
      <c r="BA58" s="2"/>
      <c r="BB58" s="7"/>
      <c r="BC58" s="1"/>
      <c r="BD58" s="2"/>
      <c r="BE58" s="2"/>
      <c r="BF58" s="2"/>
      <c r="BG58" s="7"/>
      <c r="BH58" s="1"/>
      <c r="BI58" s="2"/>
      <c r="BJ58" s="2"/>
      <c r="BK58" s="2"/>
      <c r="BL58" s="7"/>
      <c r="BN58" s="1"/>
      <c r="BO58" s="4"/>
      <c r="BP58" s="2">
        <f t="shared" si="13"/>
        <v>0</v>
      </c>
      <c r="BQ58" s="2"/>
      <c r="BR58" s="3"/>
      <c r="BS58" s="1">
        <f t="shared" si="92"/>
        <v>0</v>
      </c>
      <c r="BT58" s="2">
        <f t="shared" si="93"/>
        <v>0</v>
      </c>
      <c r="BU58" s="21" t="e">
        <f t="shared" si="94"/>
        <v>#DIV/0!</v>
      </c>
      <c r="BV58" s="2" t="str">
        <f t="shared" si="89"/>
        <v/>
      </c>
      <c r="BW58" s="2" t="str">
        <f t="shared" si="90"/>
        <v/>
      </c>
      <c r="BX58" s="21" t="str">
        <f t="shared" si="91"/>
        <v/>
      </c>
      <c r="BY58" s="10" t="str">
        <f t="shared" ref="BY58" si="101">IF(C56&lt;C58,"Rive",IF(C60&gt;C58,"Rive","Inter"))</f>
        <v>Inter</v>
      </c>
    </row>
    <row r="59" spans="1:77" x14ac:dyDescent="0.25">
      <c r="A59" t="str">
        <f t="shared" si="18"/>
        <v/>
      </c>
      <c r="B59" t="b">
        <f t="shared" si="19"/>
        <v>1</v>
      </c>
      <c r="C59">
        <f t="shared" si="80"/>
        <v>100000</v>
      </c>
      <c r="D59" s="5"/>
      <c r="F59" s="5"/>
      <c r="K59" s="10"/>
      <c r="L59" s="12"/>
      <c r="M59" s="5"/>
      <c r="N59" s="10"/>
      <c r="O59" s="5"/>
      <c r="Q59" s="10"/>
      <c r="R59" s="8"/>
      <c r="U59" s="9"/>
      <c r="W59" s="10"/>
      <c r="X59" s="1"/>
      <c r="Y59" s="2"/>
      <c r="Z59" s="13"/>
      <c r="AA59" s="2"/>
      <c r="AB59" s="2"/>
      <c r="AC59" s="2"/>
      <c r="AD59" s="2"/>
      <c r="AE59" s="7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"/>
      <c r="AV59" s="2"/>
      <c r="AW59" s="2"/>
      <c r="AX59" s="2"/>
      <c r="AZ59" s="1"/>
      <c r="BA59" s="2"/>
      <c r="BB59" s="7"/>
      <c r="BC59" s="1"/>
      <c r="BD59" s="2"/>
      <c r="BE59" s="2"/>
      <c r="BF59" s="2"/>
      <c r="BG59" s="7"/>
      <c r="BH59" s="1"/>
      <c r="BI59" s="2"/>
      <c r="BJ59" s="2"/>
      <c r="BK59" s="2"/>
      <c r="BL59" s="7"/>
      <c r="BN59" s="1"/>
      <c r="BO59" s="4"/>
      <c r="BP59" s="2">
        <f t="shared" si="13"/>
        <v>0</v>
      </c>
      <c r="BQ59" s="2"/>
      <c r="BR59" s="3"/>
      <c r="BS59" s="1">
        <f t="shared" si="92"/>
        <v>0</v>
      </c>
      <c r="BT59" s="2">
        <f t="shared" si="93"/>
        <v>0</v>
      </c>
      <c r="BU59" s="21" t="e">
        <f t="shared" si="94"/>
        <v>#DIV/0!</v>
      </c>
      <c r="BV59" s="2" t="str">
        <f t="shared" si="89"/>
        <v/>
      </c>
      <c r="BW59" s="2" t="str">
        <f t="shared" si="90"/>
        <v/>
      </c>
      <c r="BX59" s="21" t="str">
        <f t="shared" si="91"/>
        <v/>
      </c>
      <c r="BY59" s="15"/>
    </row>
    <row r="60" spans="1:77" x14ac:dyDescent="0.25">
      <c r="A60" t="str">
        <f t="shared" si="18"/>
        <v/>
      </c>
      <c r="B60" t="b">
        <f t="shared" si="19"/>
        <v>1</v>
      </c>
      <c r="C60">
        <f t="shared" si="80"/>
        <v>100000</v>
      </c>
      <c r="D60" s="5"/>
      <c r="F60" s="5"/>
      <c r="K60" s="10"/>
      <c r="L60" s="12"/>
      <c r="M60" s="5"/>
      <c r="N60" s="10"/>
      <c r="O60" s="5"/>
      <c r="Q60" s="10"/>
      <c r="R60" s="8"/>
      <c r="U60" s="9"/>
      <c r="W60" s="10"/>
      <c r="X60" s="1"/>
      <c r="Y60" s="2"/>
      <c r="Z60" s="13"/>
      <c r="AA60" s="2"/>
      <c r="AB60" s="2"/>
      <c r="AC60" s="2"/>
      <c r="AD60" s="2"/>
      <c r="AE60" s="7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"/>
      <c r="AV60" s="2"/>
      <c r="AW60" s="2"/>
      <c r="AX60" s="2"/>
      <c r="AZ60" s="1"/>
      <c r="BA60" s="2"/>
      <c r="BB60" s="7"/>
      <c r="BC60" s="1"/>
      <c r="BD60" s="2"/>
      <c r="BE60" s="2"/>
      <c r="BF60" s="2"/>
      <c r="BG60" s="7"/>
      <c r="BH60" s="1"/>
      <c r="BI60" s="2"/>
      <c r="BJ60" s="2"/>
      <c r="BK60" s="2"/>
      <c r="BL60" s="7"/>
      <c r="BN60" s="1"/>
      <c r="BO60" s="4"/>
      <c r="BP60" s="2">
        <f t="shared" si="13"/>
        <v>0</v>
      </c>
      <c r="BQ60" s="2"/>
      <c r="BR60" s="3"/>
      <c r="BS60" s="1">
        <f t="shared" si="92"/>
        <v>0</v>
      </c>
      <c r="BT60" s="2">
        <f t="shared" si="93"/>
        <v>0</v>
      </c>
      <c r="BU60" s="21" t="e">
        <f t="shared" si="94"/>
        <v>#DIV/0!</v>
      </c>
      <c r="BV60" s="2" t="str">
        <f t="shared" si="89"/>
        <v/>
      </c>
      <c r="BW60" s="2" t="str">
        <f t="shared" si="90"/>
        <v/>
      </c>
      <c r="BX60" s="21" t="str">
        <f t="shared" si="91"/>
        <v/>
      </c>
      <c r="BY60" s="10" t="str">
        <f t="shared" ref="BY60" si="102">IF(C59&lt;C60,"Rive",IF(C61&gt;C60,"Rive","Inter"))</f>
        <v>Inter</v>
      </c>
    </row>
    <row r="61" spans="1:77" x14ac:dyDescent="0.25">
      <c r="B61" t="b">
        <f t="shared" si="19"/>
        <v>1</v>
      </c>
      <c r="C61">
        <f t="shared" si="80"/>
        <v>100000</v>
      </c>
      <c r="D61" s="5"/>
      <c r="F61" s="5"/>
      <c r="K61" s="10"/>
      <c r="L61" s="12"/>
      <c r="M61" s="5"/>
      <c r="N61" s="10"/>
      <c r="O61" s="5"/>
      <c r="Q61" s="10"/>
      <c r="R61" s="8"/>
      <c r="U61" s="9"/>
      <c r="W61" s="10"/>
      <c r="X61" s="1"/>
      <c r="Y61" s="2"/>
      <c r="Z61" s="13"/>
      <c r="AA61" s="2"/>
      <c r="AB61" s="2"/>
      <c r="AC61" s="2"/>
      <c r="AD61" s="2"/>
      <c r="AE61" s="7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"/>
      <c r="AV61" s="2"/>
      <c r="AW61" s="2"/>
      <c r="AX61" s="2"/>
      <c r="AZ61" s="1"/>
      <c r="BA61" s="2"/>
      <c r="BB61" s="7"/>
      <c r="BC61" s="1"/>
      <c r="BD61" s="2"/>
      <c r="BE61" s="2"/>
      <c r="BF61" s="2"/>
      <c r="BG61" s="7"/>
      <c r="BH61" s="1"/>
      <c r="BI61" s="2"/>
      <c r="BJ61" s="2"/>
      <c r="BK61" s="2"/>
      <c r="BL61" s="7"/>
      <c r="BN61" s="1"/>
      <c r="BO61" s="4"/>
      <c r="BP61" s="2">
        <f t="shared" si="13"/>
        <v>0</v>
      </c>
      <c r="BQ61" s="2"/>
      <c r="BR61" s="3"/>
      <c r="BS61" s="1"/>
      <c r="BT61" s="2"/>
      <c r="BU61" s="21"/>
      <c r="BV61" s="2" t="str">
        <f t="shared" si="89"/>
        <v/>
      </c>
      <c r="BW61" s="2" t="str">
        <f t="shared" si="90"/>
        <v/>
      </c>
      <c r="BX61" s="21" t="str">
        <f t="shared" si="91"/>
        <v/>
      </c>
      <c r="BY61" s="15"/>
    </row>
    <row r="62" spans="1:77" x14ac:dyDescent="0.25">
      <c r="A62" t="str">
        <f t="shared" si="18"/>
        <v/>
      </c>
      <c r="B62" t="b">
        <f t="shared" si="19"/>
        <v>1</v>
      </c>
      <c r="C62">
        <f>IF(D62="",100000,IF(D62=D60,C60,C60+1))</f>
        <v>100000</v>
      </c>
      <c r="D62" s="5"/>
      <c r="F62" s="5"/>
      <c r="K62" s="10"/>
      <c r="L62" s="12"/>
      <c r="M62" s="5"/>
      <c r="N62" s="10"/>
      <c r="O62" s="5"/>
      <c r="Q62" s="10"/>
      <c r="R62" s="8"/>
      <c r="U62" s="9"/>
      <c r="W62" s="10"/>
      <c r="X62" s="1"/>
      <c r="Y62" s="2"/>
      <c r="Z62" s="13"/>
      <c r="AA62" s="2"/>
      <c r="AB62" s="2"/>
      <c r="AC62" s="2"/>
      <c r="AD62" s="2"/>
      <c r="AE62" s="7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"/>
      <c r="AV62" s="2"/>
      <c r="AW62" s="2"/>
      <c r="AX62" s="2"/>
      <c r="AZ62" s="1"/>
      <c r="BA62" s="2"/>
      <c r="BB62" s="7"/>
      <c r="BC62" s="1"/>
      <c r="BD62" s="2"/>
      <c r="BE62" s="2"/>
      <c r="BF62" s="2"/>
      <c r="BG62" s="7"/>
      <c r="BH62" s="1"/>
      <c r="BI62" s="2"/>
      <c r="BJ62" s="2"/>
      <c r="BK62" s="2"/>
      <c r="BL62" s="7"/>
      <c r="BN62" s="1"/>
      <c r="BO62" s="4"/>
      <c r="BP62" s="2">
        <f t="shared" si="13"/>
        <v>0</v>
      </c>
      <c r="BQ62" s="2"/>
      <c r="BR62" s="3"/>
      <c r="BS62" s="1">
        <f t="shared" si="92"/>
        <v>0</v>
      </c>
      <c r="BT62" s="2">
        <f t="shared" si="93"/>
        <v>0</v>
      </c>
      <c r="BU62" s="21" t="e">
        <f t="shared" si="94"/>
        <v>#DIV/0!</v>
      </c>
      <c r="BV62" s="2" t="str">
        <f t="shared" si="89"/>
        <v/>
      </c>
      <c r="BW62" s="2" t="str">
        <f t="shared" si="90"/>
        <v/>
      </c>
      <c r="BX62" s="21" t="str">
        <f t="shared" si="91"/>
        <v/>
      </c>
      <c r="BY62" s="10" t="str">
        <f t="shared" ref="BY62" si="103">IF(C61&lt;C62,"Rive",IF(C63&gt;C62,"Rive","Inter"))</f>
        <v>Inter</v>
      </c>
    </row>
    <row r="63" spans="1:77" x14ac:dyDescent="0.25">
      <c r="A63" t="str">
        <f t="shared" si="18"/>
        <v/>
      </c>
      <c r="B63" t="b">
        <f t="shared" si="19"/>
        <v>1</v>
      </c>
      <c r="C63">
        <f t="shared" si="80"/>
        <v>100000</v>
      </c>
      <c r="D63" s="5"/>
      <c r="F63" s="5"/>
      <c r="K63" s="10"/>
      <c r="L63" s="12"/>
      <c r="M63" s="5"/>
      <c r="N63" s="10"/>
      <c r="O63" s="5"/>
      <c r="Q63" s="10"/>
      <c r="R63" s="8"/>
      <c r="U63" s="9"/>
      <c r="W63" s="10"/>
      <c r="X63" s="1"/>
      <c r="Y63" s="2"/>
      <c r="Z63" s="13"/>
      <c r="AA63" s="2"/>
      <c r="AB63" s="2"/>
      <c r="AC63" s="2"/>
      <c r="AD63" s="2"/>
      <c r="AE63" s="7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"/>
      <c r="AV63" s="2"/>
      <c r="AW63" s="2"/>
      <c r="AX63" s="2"/>
      <c r="AZ63" s="1"/>
      <c r="BA63" s="2"/>
      <c r="BB63" s="7"/>
      <c r="BC63" s="1"/>
      <c r="BD63" s="2"/>
      <c r="BE63" s="2"/>
      <c r="BF63" s="2"/>
      <c r="BG63" s="7"/>
      <c r="BH63" s="1"/>
      <c r="BI63" s="2"/>
      <c r="BJ63" s="2"/>
      <c r="BK63" s="2"/>
      <c r="BL63" s="7"/>
      <c r="BN63" s="1"/>
      <c r="BO63" s="4"/>
      <c r="BP63" s="2">
        <f t="shared" si="13"/>
        <v>0</v>
      </c>
      <c r="BQ63" s="2"/>
      <c r="BR63" s="3"/>
      <c r="BS63" s="1">
        <f t="shared" si="92"/>
        <v>0</v>
      </c>
      <c r="BT63" s="2">
        <f t="shared" si="93"/>
        <v>0</v>
      </c>
      <c r="BU63" s="21" t="e">
        <f t="shared" si="94"/>
        <v>#DIV/0!</v>
      </c>
      <c r="BV63" s="2" t="str">
        <f t="shared" si="89"/>
        <v/>
      </c>
      <c r="BW63" s="2" t="str">
        <f t="shared" si="90"/>
        <v/>
      </c>
      <c r="BX63" s="21" t="str">
        <f t="shared" si="91"/>
        <v/>
      </c>
      <c r="BY63" s="15"/>
    </row>
    <row r="64" spans="1:77" x14ac:dyDescent="0.25">
      <c r="A64" t="str">
        <f t="shared" si="18"/>
        <v/>
      </c>
      <c r="B64" t="b">
        <f t="shared" si="19"/>
        <v>1</v>
      </c>
      <c r="C64">
        <f t="shared" si="80"/>
        <v>100000</v>
      </c>
      <c r="D64" s="5"/>
      <c r="F64" s="5"/>
      <c r="K64" s="10"/>
      <c r="L64" s="12"/>
      <c r="M64" s="5"/>
      <c r="N64" s="10"/>
      <c r="O64" s="5"/>
      <c r="Q64" s="10"/>
      <c r="R64" s="8"/>
      <c r="U64" s="9"/>
      <c r="W64" s="10"/>
      <c r="X64" s="1"/>
      <c r="Y64" s="2"/>
      <c r="Z64" s="13"/>
      <c r="AA64" s="2"/>
      <c r="AB64" s="2"/>
      <c r="AC64" s="2"/>
      <c r="AD64" s="2"/>
      <c r="AE64" s="7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"/>
      <c r="AV64" s="2"/>
      <c r="AW64" s="2"/>
      <c r="AX64" s="2"/>
      <c r="AZ64" s="1"/>
      <c r="BA64" s="2"/>
      <c r="BB64" s="7"/>
      <c r="BC64" s="1"/>
      <c r="BD64" s="2"/>
      <c r="BE64" s="2"/>
      <c r="BF64" s="2"/>
      <c r="BG64" s="7"/>
      <c r="BH64" s="1"/>
      <c r="BI64" s="2"/>
      <c r="BJ64" s="2"/>
      <c r="BK64" s="2"/>
      <c r="BL64" s="7"/>
      <c r="BN64" s="1"/>
      <c r="BO64" s="4"/>
      <c r="BP64" s="2">
        <f t="shared" si="13"/>
        <v>0</v>
      </c>
      <c r="BQ64" s="2"/>
      <c r="BR64" s="3"/>
      <c r="BS64" s="1">
        <f t="shared" si="92"/>
        <v>0</v>
      </c>
      <c r="BT64" s="2">
        <f t="shared" si="93"/>
        <v>0</v>
      </c>
      <c r="BU64" s="21" t="e">
        <f t="shared" si="94"/>
        <v>#DIV/0!</v>
      </c>
      <c r="BV64" s="2" t="str">
        <f t="shared" si="89"/>
        <v/>
      </c>
      <c r="BW64" s="2" t="str">
        <f t="shared" si="90"/>
        <v/>
      </c>
      <c r="BX64" s="21" t="str">
        <f t="shared" si="91"/>
        <v/>
      </c>
      <c r="BY64" s="10" t="str">
        <f t="shared" ref="BY64" si="104">IF(C63&lt;C64,"Rive",IF(C65&gt;C64,"Rive","Inter"))</f>
        <v>Inter</v>
      </c>
    </row>
    <row r="65" spans="1:77" x14ac:dyDescent="0.25">
      <c r="A65" t="str">
        <f t="shared" si="18"/>
        <v/>
      </c>
      <c r="B65" t="b">
        <f t="shared" si="19"/>
        <v>1</v>
      </c>
      <c r="C65">
        <f t="shared" si="80"/>
        <v>100000</v>
      </c>
      <c r="D65" s="5"/>
      <c r="F65" s="5"/>
      <c r="K65" s="10"/>
      <c r="L65" s="12"/>
      <c r="M65" s="5"/>
      <c r="N65" s="10"/>
      <c r="O65" s="5"/>
      <c r="Q65" s="10"/>
      <c r="R65" s="8"/>
      <c r="U65" s="9"/>
      <c r="W65" s="10"/>
      <c r="X65" s="1"/>
      <c r="Y65" s="2"/>
      <c r="Z65" s="13"/>
      <c r="AA65" s="2"/>
      <c r="AB65" s="2"/>
      <c r="AC65" s="2"/>
      <c r="AD65" s="2"/>
      <c r="AE65" s="7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"/>
      <c r="AV65" s="2"/>
      <c r="AW65" s="2"/>
      <c r="AX65" s="2"/>
      <c r="AZ65" s="1"/>
      <c r="BA65" s="2"/>
      <c r="BB65" s="7"/>
      <c r="BC65" s="1"/>
      <c r="BD65" s="2"/>
      <c r="BE65" s="2"/>
      <c r="BF65" s="2"/>
      <c r="BG65" s="7"/>
      <c r="BH65" s="1"/>
      <c r="BI65" s="2"/>
      <c r="BJ65" s="2"/>
      <c r="BK65" s="2"/>
      <c r="BL65" s="7"/>
      <c r="BN65" s="1"/>
      <c r="BO65" s="4"/>
      <c r="BP65" s="2">
        <f t="shared" si="13"/>
        <v>0</v>
      </c>
      <c r="BQ65" s="2"/>
      <c r="BR65" s="3"/>
      <c r="BS65" s="1">
        <f t="shared" si="92"/>
        <v>0</v>
      </c>
      <c r="BT65" s="2">
        <f t="shared" si="93"/>
        <v>0</v>
      </c>
      <c r="BU65" s="21" t="e">
        <f t="shared" si="94"/>
        <v>#DIV/0!</v>
      </c>
      <c r="BV65" s="2" t="str">
        <f t="shared" si="89"/>
        <v/>
      </c>
      <c r="BW65" s="2" t="str">
        <f t="shared" si="90"/>
        <v/>
      </c>
      <c r="BX65" s="21" t="str">
        <f t="shared" si="91"/>
        <v/>
      </c>
      <c r="BY65" s="15"/>
    </row>
    <row r="66" spans="1:77" x14ac:dyDescent="0.25">
      <c r="A66" t="str">
        <f t="shared" si="18"/>
        <v/>
      </c>
      <c r="B66" t="b">
        <f t="shared" si="19"/>
        <v>1</v>
      </c>
      <c r="C66">
        <f t="shared" si="80"/>
        <v>100000</v>
      </c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1"/>
      <c r="Y66" s="2"/>
      <c r="Z66" s="13"/>
      <c r="AA66" s="2"/>
      <c r="AB66" s="2"/>
      <c r="AC66" s="2"/>
      <c r="AD66" s="2"/>
      <c r="AE66" s="7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"/>
      <c r="AV66" s="2"/>
      <c r="AW66" s="2"/>
      <c r="AX66" s="2"/>
      <c r="AZ66" s="1"/>
      <c r="BA66" s="2"/>
      <c r="BB66" s="7"/>
      <c r="BC66" s="1"/>
      <c r="BD66" s="2"/>
      <c r="BE66" s="2"/>
      <c r="BF66" s="2"/>
      <c r="BG66" s="7"/>
      <c r="BH66" s="1"/>
      <c r="BI66" s="2"/>
      <c r="BJ66" s="2"/>
      <c r="BK66" s="2"/>
      <c r="BL66" s="7"/>
      <c r="BN66" s="1"/>
      <c r="BO66" s="4"/>
      <c r="BP66" s="2">
        <f t="shared" si="13"/>
        <v>0</v>
      </c>
      <c r="BQ66" s="2"/>
      <c r="BR66" s="3"/>
      <c r="BS66" s="1">
        <f t="shared" si="92"/>
        <v>0</v>
      </c>
      <c r="BT66" s="2">
        <f t="shared" si="93"/>
        <v>0</v>
      </c>
      <c r="BU66" s="21" t="e">
        <f t="shared" si="94"/>
        <v>#DIV/0!</v>
      </c>
      <c r="BV66" s="2" t="str">
        <f t="shared" si="89"/>
        <v/>
      </c>
      <c r="BW66" s="2" t="str">
        <f t="shared" si="90"/>
        <v/>
      </c>
      <c r="BX66" s="21" t="str">
        <f t="shared" si="91"/>
        <v/>
      </c>
      <c r="BY66" s="10" t="str">
        <f t="shared" ref="BY66" si="105">IF(C65&lt;C66,"Rive",IF(C67&gt;C66,"Rive","Inter"))</f>
        <v>Inter</v>
      </c>
    </row>
    <row r="67" spans="1:77" x14ac:dyDescent="0.25">
      <c r="C67">
        <f t="shared" si="80"/>
        <v>100000</v>
      </c>
      <c r="BP67" s="2">
        <f t="shared" si="13"/>
        <v>0</v>
      </c>
    </row>
  </sheetData>
  <mergeCells count="19">
    <mergeCell ref="G4:H4"/>
    <mergeCell ref="I4:K4"/>
    <mergeCell ref="R4:T4"/>
    <mergeCell ref="U4:W4"/>
    <mergeCell ref="AZ1:BY1"/>
    <mergeCell ref="AZ2:BL2"/>
    <mergeCell ref="BN2:BY2"/>
    <mergeCell ref="F3:K3"/>
    <mergeCell ref="M3:N4"/>
    <mergeCell ref="O3:Q4"/>
    <mergeCell ref="R3:W3"/>
    <mergeCell ref="X3:AE4"/>
    <mergeCell ref="AF3:AX4"/>
    <mergeCell ref="AZ3:BB4"/>
    <mergeCell ref="BX5:BY5"/>
    <mergeCell ref="BC3:BG4"/>
    <mergeCell ref="BH3:BL3"/>
    <mergeCell ref="BN3:BR4"/>
    <mergeCell ref="BS3:BY4"/>
  </mergeCells>
  <conditionalFormatting sqref="D6:D66">
    <cfRule type="expression" dxfId="36" priority="11">
      <formula>$B6=FALSE</formula>
    </cfRule>
  </conditionalFormatting>
  <conditionalFormatting sqref="BI6:BI66">
    <cfRule type="cellIs" dxfId="35" priority="5" operator="greaterThan">
      <formula>$BI$4</formula>
    </cfRule>
  </conditionalFormatting>
  <conditionalFormatting sqref="BJ6:BK66">
    <cfRule type="cellIs" dxfId="34" priority="9" operator="greaterThan">
      <formula>$BJ$4</formula>
    </cfRule>
  </conditionalFormatting>
  <conditionalFormatting sqref="BL6:BM9 BM10:BM35 BL10:BL66">
    <cfRule type="expression" dxfId="33" priority="10">
      <formula>ABS($BL6)&gt;$BL$4</formula>
    </cfRule>
  </conditionalFormatting>
  <conditionalFormatting sqref="BO6:BO66">
    <cfRule type="expression" dxfId="32" priority="4">
      <formula>$A6="Travée"</formula>
    </cfRule>
  </conditionalFormatting>
  <conditionalFormatting sqref="BR6:BR66">
    <cfRule type="cellIs" dxfId="31" priority="8" operator="greaterThan">
      <formula>1</formula>
    </cfRule>
  </conditionalFormatting>
  <conditionalFormatting sqref="BU6:BU66">
    <cfRule type="cellIs" dxfId="30" priority="7" operator="greaterThan">
      <formula>1</formula>
    </cfRule>
  </conditionalFormatting>
  <conditionalFormatting sqref="BV6:BX59 BV60:BY66">
    <cfRule type="cellIs" dxfId="29" priority="6" operator="equal">
      <formula>""</formula>
    </cfRule>
  </conditionalFormatting>
  <conditionalFormatting sqref="BX6:BX66">
    <cfRule type="cellIs" dxfId="28" priority="3" operator="lessThan">
      <formula>IF($BY6="Rive",1.15,IF($BY6="Inter",1.1,0))</formula>
    </cfRule>
  </conditionalFormatting>
  <conditionalFormatting sqref="BY6:BY59">
    <cfRule type="cellIs" dxfId="27" priority="1" operator="equal">
      <formula>""</formula>
    </cfRule>
  </conditionalFormatting>
  <pageMargins left="0.7" right="0.7" top="0.75" bottom="0.75" header="0.3" footer="0.3"/>
  <pageSetup paperSize="8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CA68-A9E5-4842-BF8A-1504994C7D34}">
  <sheetPr>
    <tabColor rgb="FFFF0000"/>
    <pageSetUpPr fitToPage="1"/>
  </sheetPr>
  <dimension ref="A1:BZ67"/>
  <sheetViews>
    <sheetView zoomScale="85" zoomScaleNormal="85" workbookViewId="0">
      <pane xSplit="5" topLeftCell="F1" activePane="topRight" state="frozen"/>
      <selection activeCell="A5" sqref="A5"/>
      <selection pane="topRight" activeCell="U49" sqref="U49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5.85546875" bestFit="1" customWidth="1"/>
    <col min="7" max="7" width="3.42578125" bestFit="1" customWidth="1"/>
    <col min="8" max="8" width="3.85546875" bestFit="1" customWidth="1"/>
    <col min="9" max="9" width="6.85546875" bestFit="1" customWidth="1"/>
    <col min="10" max="11" width="4.8554687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4" width="4.140625" bestFit="1" customWidth="1"/>
    <col min="25" max="25" width="3.85546875" bestFit="1" customWidth="1"/>
    <col min="26" max="26" width="4.5703125" bestFit="1" customWidth="1"/>
    <col min="27" max="27" width="4.140625" bestFit="1" customWidth="1"/>
    <col min="28" max="28" width="3.85546875" bestFit="1" customWidth="1"/>
    <col min="29" max="29" width="4.140625" bestFit="1" customWidth="1"/>
    <col min="30" max="30" width="3.85546875" bestFit="1" customWidth="1"/>
    <col min="31" max="31" width="4.140625" bestFit="1" customWidth="1"/>
    <col min="32" max="35" width="3.85546875" customWidth="1" outlineLevel="1"/>
    <col min="36" max="36" width="8" customWidth="1" outlineLevel="1"/>
    <col min="37" max="39" width="4.85546875" customWidth="1" outlineLevel="1"/>
    <col min="40" max="42" width="4.140625" customWidth="1" outlineLevel="1"/>
    <col min="43" max="43" width="3.85546875" customWidth="1" outlineLevel="1"/>
    <col min="44" max="44" width="4.85546875" customWidth="1" outlineLevel="1"/>
    <col min="45" max="45" width="5.28515625" customWidth="1" outlineLevel="1"/>
    <col min="46" max="46" width="5.85546875" customWidth="1" outlineLevel="1"/>
    <col min="47" max="48" width="4.140625" customWidth="1" outlineLevel="1"/>
    <col min="49" max="50" width="4.85546875" customWidth="1" outlineLevel="1"/>
    <col min="51" max="51" width="2.85546875" customWidth="1"/>
    <col min="52" max="52" width="6.42578125" customWidth="1"/>
    <col min="53" max="53" width="3.42578125" bestFit="1" customWidth="1"/>
    <col min="54" max="54" width="5.85546875" customWidth="1"/>
    <col min="55" max="56" width="3.42578125" bestFit="1" customWidth="1"/>
    <col min="57" max="57" width="4.85546875" bestFit="1" customWidth="1"/>
    <col min="58" max="59" width="4.42578125" bestFit="1" customWidth="1"/>
    <col min="60" max="60" width="3.85546875" bestFit="1" customWidth="1"/>
    <col min="61" max="61" width="4.28515625" bestFit="1" customWidth="1"/>
    <col min="62" max="64" width="5.28515625" bestFit="1" customWidth="1"/>
    <col min="66" max="66" width="4.140625" bestFit="1" customWidth="1"/>
    <col min="67" max="67" width="10.28515625" bestFit="1" customWidth="1"/>
    <col min="68" max="69" width="4.140625" bestFit="1" customWidth="1"/>
    <col min="70" max="70" width="5.28515625" bestFit="1" customWidth="1"/>
    <col min="71" max="72" width="4.140625" bestFit="1" customWidth="1"/>
    <col min="73" max="73" width="7.42578125" bestFit="1" customWidth="1"/>
    <col min="74" max="75" width="4.140625" bestFit="1" customWidth="1"/>
    <col min="76" max="76" width="4.7109375" bestFit="1" customWidth="1"/>
    <col min="77" max="77" width="5" bestFit="1" customWidth="1"/>
    <col min="79" max="79" width="9.140625" bestFit="1" customWidth="1"/>
  </cols>
  <sheetData>
    <row r="1" spans="1:78" ht="15.75" thickBot="1" x14ac:dyDescent="0.3">
      <c r="AZ1" s="80" t="s">
        <v>67</v>
      </c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2"/>
    </row>
    <row r="2" spans="1:78" ht="15.75" thickBot="1" x14ac:dyDescent="0.3">
      <c r="AZ2" s="67" t="s">
        <v>78</v>
      </c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79"/>
      <c r="BM2" s="6"/>
      <c r="BN2" s="67" t="s">
        <v>79</v>
      </c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79"/>
    </row>
    <row r="3" spans="1:78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61" t="s">
        <v>68</v>
      </c>
      <c r="Y3" s="62"/>
      <c r="Z3" s="62"/>
      <c r="AA3" s="62"/>
      <c r="AB3" s="62"/>
      <c r="AC3" s="62"/>
      <c r="AD3" s="62"/>
      <c r="AE3" s="63"/>
      <c r="AF3" s="67" t="s">
        <v>67</v>
      </c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Z3" s="83" t="s">
        <v>87</v>
      </c>
      <c r="BA3" s="62"/>
      <c r="BB3" s="63"/>
      <c r="BC3" s="83" t="s">
        <v>88</v>
      </c>
      <c r="BD3" s="62"/>
      <c r="BE3" s="62"/>
      <c r="BF3" s="62"/>
      <c r="BG3" s="63"/>
      <c r="BH3" s="71" t="s">
        <v>77</v>
      </c>
      <c r="BI3" s="72"/>
      <c r="BJ3" s="72"/>
      <c r="BK3" s="72"/>
      <c r="BL3" s="73"/>
      <c r="BN3" s="83" t="s">
        <v>89</v>
      </c>
      <c r="BO3" s="62"/>
      <c r="BP3" s="62"/>
      <c r="BQ3" s="62"/>
      <c r="BR3" s="63"/>
      <c r="BS3" s="83" t="s">
        <v>90</v>
      </c>
      <c r="BT3" s="62"/>
      <c r="BU3" s="62"/>
      <c r="BV3" s="62"/>
      <c r="BW3" s="62"/>
      <c r="BX3" s="62"/>
      <c r="BY3" s="63"/>
    </row>
    <row r="4" spans="1:78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64"/>
      <c r="Y4" s="65"/>
      <c r="Z4" s="65"/>
      <c r="AA4" s="65"/>
      <c r="AB4" s="65"/>
      <c r="AC4" s="65"/>
      <c r="AD4" s="65"/>
      <c r="AE4" s="66"/>
      <c r="AF4" s="67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Z4" s="64"/>
      <c r="BA4" s="65"/>
      <c r="BB4" s="66"/>
      <c r="BC4" s="64"/>
      <c r="BD4" s="65"/>
      <c r="BE4" s="65"/>
      <c r="BF4" s="65"/>
      <c r="BG4" s="66"/>
      <c r="BH4" s="23"/>
      <c r="BI4" s="24">
        <f>0.6*F7</f>
        <v>15</v>
      </c>
      <c r="BJ4" s="24">
        <f>0.8*H7</f>
        <v>400</v>
      </c>
      <c r="BK4" s="24">
        <f>0.8*H7</f>
        <v>400</v>
      </c>
      <c r="BL4" s="25">
        <f>MIN(J7,0.9*0.8*H7)</f>
        <v>360.00000000000006</v>
      </c>
      <c r="BM4" s="14"/>
      <c r="BN4" s="64"/>
      <c r="BO4" s="65"/>
      <c r="BP4" s="65"/>
      <c r="BQ4" s="65"/>
      <c r="BR4" s="66"/>
      <c r="BS4" s="64"/>
      <c r="BT4" s="65"/>
      <c r="BU4" s="65"/>
      <c r="BV4" s="65"/>
      <c r="BW4" s="65"/>
      <c r="BX4" s="65"/>
      <c r="BY4" s="66"/>
    </row>
    <row r="5" spans="1:78" ht="81.75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31" t="s">
        <v>69</v>
      </c>
      <c r="Y5" s="32" t="s">
        <v>70</v>
      </c>
      <c r="Z5" s="32" t="s">
        <v>71</v>
      </c>
      <c r="AA5" s="32" t="s">
        <v>20</v>
      </c>
      <c r="AB5" s="32" t="s">
        <v>21</v>
      </c>
      <c r="AC5" s="32" t="s">
        <v>22</v>
      </c>
      <c r="AD5" s="32" t="s">
        <v>23</v>
      </c>
      <c r="AE5" s="33" t="s">
        <v>24</v>
      </c>
      <c r="AF5" s="34" t="s">
        <v>25</v>
      </c>
      <c r="AG5" s="35" t="s">
        <v>26</v>
      </c>
      <c r="AH5" s="35" t="s">
        <v>27</v>
      </c>
      <c r="AI5" s="35" t="s">
        <v>28</v>
      </c>
      <c r="AJ5" s="35" t="s">
        <v>29</v>
      </c>
      <c r="AK5" s="35" t="s">
        <v>30</v>
      </c>
      <c r="AL5" s="35" t="s">
        <v>31</v>
      </c>
      <c r="AM5" s="35" t="s">
        <v>32</v>
      </c>
      <c r="AN5" s="35" t="s">
        <v>33</v>
      </c>
      <c r="AO5" s="35" t="s">
        <v>34</v>
      </c>
      <c r="AP5" s="35" t="s">
        <v>35</v>
      </c>
      <c r="AQ5" s="35" t="s">
        <v>36</v>
      </c>
      <c r="AR5" s="35" t="s">
        <v>37</v>
      </c>
      <c r="AS5" s="35" t="s">
        <v>38</v>
      </c>
      <c r="AT5" s="36" t="s">
        <v>39</v>
      </c>
      <c r="AU5" s="37" t="s">
        <v>40</v>
      </c>
      <c r="AV5" s="35" t="s">
        <v>42</v>
      </c>
      <c r="AW5" s="35" t="s">
        <v>43</v>
      </c>
      <c r="AX5" s="35" t="s">
        <v>41</v>
      </c>
      <c r="AY5" s="20"/>
      <c r="AZ5" s="16" t="s">
        <v>72</v>
      </c>
      <c r="BA5" s="18" t="s">
        <v>73</v>
      </c>
      <c r="BB5" s="17" t="s">
        <v>74</v>
      </c>
      <c r="BC5" s="18" t="s">
        <v>72</v>
      </c>
      <c r="BD5" s="18" t="s">
        <v>73</v>
      </c>
      <c r="BE5" s="18" t="s">
        <v>74</v>
      </c>
      <c r="BF5" s="18" t="s">
        <v>75</v>
      </c>
      <c r="BG5" s="17" t="s">
        <v>76</v>
      </c>
      <c r="BH5" s="16" t="s">
        <v>72</v>
      </c>
      <c r="BI5" s="18" t="s">
        <v>73</v>
      </c>
      <c r="BJ5" s="18" t="s">
        <v>74</v>
      </c>
      <c r="BK5" s="18" t="s">
        <v>75</v>
      </c>
      <c r="BL5" s="17" t="s">
        <v>76</v>
      </c>
      <c r="BM5" s="18"/>
      <c r="BN5" s="16" t="s">
        <v>80</v>
      </c>
      <c r="BO5" s="19" t="s">
        <v>66</v>
      </c>
      <c r="BP5" s="18" t="s">
        <v>82</v>
      </c>
      <c r="BQ5" s="18" t="s">
        <v>81</v>
      </c>
      <c r="BR5" s="17" t="s">
        <v>83</v>
      </c>
      <c r="BS5" s="16" t="s">
        <v>80</v>
      </c>
      <c r="BT5" s="18" t="s">
        <v>81</v>
      </c>
      <c r="BU5" s="20"/>
      <c r="BV5" s="18" t="s">
        <v>84</v>
      </c>
      <c r="BW5" s="18" t="s">
        <v>85</v>
      </c>
      <c r="BX5" s="77" t="s">
        <v>86</v>
      </c>
      <c r="BY5" s="78"/>
    </row>
    <row r="6" spans="1:78" x14ac:dyDescent="0.25">
      <c r="A6" t="str">
        <f>IF(ISNUMBER(SEARCH("Appui",E6)),"Appui",IF(ISNUMBER(SEARCH("Travée",E6)),"Travée",""))</f>
        <v>Travée</v>
      </c>
      <c r="B6" t="b">
        <f>MOD(C6,2)=0</f>
        <v>0</v>
      </c>
      <c r="C6">
        <v>1</v>
      </c>
      <c r="D6" s="5" t="s">
        <v>109</v>
      </c>
      <c r="E6" t="s">
        <v>45</v>
      </c>
      <c r="F6" s="5">
        <v>25</v>
      </c>
      <c r="G6" t="s">
        <v>46</v>
      </c>
      <c r="H6">
        <v>500</v>
      </c>
      <c r="I6">
        <v>170000</v>
      </c>
      <c r="J6">
        <v>1300</v>
      </c>
      <c r="K6" s="10">
        <v>1445</v>
      </c>
      <c r="L6" s="12">
        <v>1</v>
      </c>
      <c r="M6" s="5">
        <v>0.215</v>
      </c>
      <c r="N6" s="10">
        <v>4</v>
      </c>
      <c r="O6" s="5">
        <v>1.5399999999999999E-3</v>
      </c>
      <c r="P6">
        <v>0.04</v>
      </c>
      <c r="Q6" s="10">
        <v>1</v>
      </c>
      <c r="R6" s="8">
        <v>0</v>
      </c>
      <c r="S6">
        <v>0</v>
      </c>
      <c r="T6">
        <v>1</v>
      </c>
      <c r="U6" s="9">
        <v>0</v>
      </c>
      <c r="V6">
        <v>0</v>
      </c>
      <c r="W6" s="10">
        <v>0</v>
      </c>
      <c r="X6" s="1">
        <v>33.753599999999999</v>
      </c>
      <c r="Y6" s="2">
        <v>10.252800000000001</v>
      </c>
      <c r="Z6" s="13">
        <v>0</v>
      </c>
      <c r="AA6" s="2">
        <v>33.753599999999999</v>
      </c>
      <c r="AB6" s="2">
        <v>10.252800000000001</v>
      </c>
      <c r="AC6" s="2">
        <v>57.6</v>
      </c>
      <c r="AD6" s="2"/>
      <c r="AE6" s="7">
        <v>44.006399999999999</v>
      </c>
      <c r="AF6" s="2">
        <v>33.753599999999999</v>
      </c>
      <c r="AG6" s="2">
        <v>10.252800000000001</v>
      </c>
      <c r="AH6" s="2">
        <v>3.7892880098871409</v>
      </c>
      <c r="AI6" s="2">
        <v>1.1510132737296941</v>
      </c>
      <c r="AJ6" s="2">
        <v>-132.07376294008421</v>
      </c>
      <c r="AK6" s="2">
        <v>-40.117963158160883</v>
      </c>
      <c r="AL6" s="2">
        <v>0</v>
      </c>
      <c r="AM6" s="2">
        <v>0</v>
      </c>
      <c r="AN6" s="2">
        <v>57.6</v>
      </c>
      <c r="AO6" s="2">
        <v>121.0576163743554</v>
      </c>
      <c r="AP6" s="2">
        <v>121.0576163743554</v>
      </c>
      <c r="AQ6" s="2">
        <v>4.7045443221256686</v>
      </c>
      <c r="AR6" s="2">
        <v>-230.11235074086571</v>
      </c>
      <c r="AS6" s="2">
        <v>0</v>
      </c>
      <c r="AT6" s="2">
        <v>0</v>
      </c>
      <c r="AU6" s="1">
        <v>44.006399999999999</v>
      </c>
      <c r="AV6" s="2">
        <v>3.6366987036150471</v>
      </c>
      <c r="AW6" s="2">
        <v>-175.697867572701</v>
      </c>
      <c r="AX6" s="2">
        <v>121.0576163743554</v>
      </c>
      <c r="AZ6" s="1">
        <f>AF6</f>
        <v>33.753599999999999</v>
      </c>
      <c r="BA6" s="2">
        <f>AH6</f>
        <v>3.7892880098871409</v>
      </c>
      <c r="BB6" s="7">
        <f>AJ6</f>
        <v>-132.07376294008421</v>
      </c>
      <c r="BC6" s="1">
        <f>AG6</f>
        <v>10.252800000000001</v>
      </c>
      <c r="BD6" s="2">
        <f>AI6</f>
        <v>1.1510132737296941</v>
      </c>
      <c r="BE6" s="2">
        <f t="shared" ref="BE6:BG14" si="0">AK6</f>
        <v>-40.117963158160883</v>
      </c>
      <c r="BF6" s="2">
        <f t="shared" si="0"/>
        <v>0</v>
      </c>
      <c r="BG6" s="7">
        <f t="shared" si="0"/>
        <v>0</v>
      </c>
      <c r="BH6" s="1">
        <f t="shared" ref="BH6:BI14" si="1">AZ6+BC6</f>
        <v>44.006399999999999</v>
      </c>
      <c r="BI6" s="2">
        <f t="shared" si="1"/>
        <v>4.9403012836168347</v>
      </c>
      <c r="BJ6" s="2">
        <f t="shared" ref="BJ6:BJ14" si="2">ABS(BB6+BE6)</f>
        <v>172.19172609824508</v>
      </c>
      <c r="BK6" s="2">
        <f>ABS(BF6)</f>
        <v>0</v>
      </c>
      <c r="BL6" s="7">
        <f>BG6</f>
        <v>0</v>
      </c>
      <c r="BM6" s="2"/>
      <c r="BN6" s="1"/>
      <c r="BO6" s="4"/>
      <c r="BP6" s="2"/>
      <c r="BQ6" s="2"/>
      <c r="BR6" s="3"/>
      <c r="BS6" s="1"/>
      <c r="BT6" s="2"/>
      <c r="BU6" s="21"/>
      <c r="BV6" s="2"/>
      <c r="BW6" s="2"/>
      <c r="BX6" s="21"/>
      <c r="BY6" s="10"/>
    </row>
    <row r="7" spans="1:78" x14ac:dyDescent="0.25">
      <c r="A7" t="str">
        <f>IF(ISNUMBER(SEARCH("Appui",E7)),"Appui",IF(ISNUMBER(SEARCH("Travée",E7)),"Travée",""))</f>
        <v>Appui</v>
      </c>
      <c r="B7" t="b">
        <f>MOD(C7,2)=0</f>
        <v>0</v>
      </c>
      <c r="C7">
        <v>1</v>
      </c>
      <c r="D7" s="5" t="s">
        <v>109</v>
      </c>
      <c r="E7" t="s">
        <v>47</v>
      </c>
      <c r="F7" s="5">
        <v>25</v>
      </c>
      <c r="G7" t="s">
        <v>46</v>
      </c>
      <c r="H7">
        <v>500</v>
      </c>
      <c r="I7">
        <v>170000</v>
      </c>
      <c r="J7">
        <v>1300</v>
      </c>
      <c r="K7" s="10">
        <v>1445</v>
      </c>
      <c r="L7" s="12">
        <v>1</v>
      </c>
      <c r="M7" s="5">
        <v>0.215</v>
      </c>
      <c r="N7" s="10">
        <v>4</v>
      </c>
      <c r="O7" s="5">
        <v>1E-4</v>
      </c>
      <c r="P7">
        <v>5.5E-2</v>
      </c>
      <c r="Q7" s="10">
        <v>1</v>
      </c>
      <c r="R7" s="8">
        <v>0</v>
      </c>
      <c r="S7">
        <v>0</v>
      </c>
      <c r="T7">
        <v>1</v>
      </c>
      <c r="U7" s="9">
        <v>2.9099999999999999E-5</v>
      </c>
      <c r="V7">
        <v>0</v>
      </c>
      <c r="W7" s="10">
        <v>12</v>
      </c>
      <c r="X7" s="1">
        <v>25.783999999999999</v>
      </c>
      <c r="Y7" s="2">
        <v>7.8319999999999999</v>
      </c>
      <c r="Z7" s="13">
        <v>0</v>
      </c>
      <c r="AA7" s="2">
        <v>25.783999999999999</v>
      </c>
      <c r="AB7" s="2">
        <v>7.8319999999999999</v>
      </c>
      <c r="AC7" s="2">
        <v>44</v>
      </c>
      <c r="AD7" s="2"/>
      <c r="AE7" s="7">
        <v>33.616</v>
      </c>
      <c r="AF7" s="2">
        <v>25.783999999999999</v>
      </c>
      <c r="AG7" s="2">
        <v>7.8319999999999999</v>
      </c>
      <c r="AH7" s="2">
        <v>12.404878746884</v>
      </c>
      <c r="AI7" s="2">
        <v>1.286931461255171</v>
      </c>
      <c r="AJ7" s="2">
        <v>-1637.0793650793651</v>
      </c>
      <c r="AK7" s="2">
        <v>-77.284721332021647</v>
      </c>
      <c r="AL7" s="2">
        <v>0</v>
      </c>
      <c r="AM7" s="2">
        <v>-90.662939897942394</v>
      </c>
      <c r="AN7" s="2">
        <v>44</v>
      </c>
      <c r="AO7" s="2">
        <v>7.3383794466403751</v>
      </c>
      <c r="AP7" s="2">
        <v>111.3895019791925</v>
      </c>
      <c r="AQ7" s="2">
        <v>5.0996767359002622</v>
      </c>
      <c r="AR7" s="2">
        <v>-434.13622573705698</v>
      </c>
      <c r="AS7" s="2">
        <v>0</v>
      </c>
      <c r="AT7" s="2">
        <v>-515.37394809599584</v>
      </c>
      <c r="AU7" s="1">
        <v>33.616</v>
      </c>
      <c r="AV7" s="2">
        <v>0</v>
      </c>
      <c r="AW7" s="2">
        <v>0</v>
      </c>
      <c r="AX7" s="2">
        <v>7.3383794466403751</v>
      </c>
      <c r="AZ7" s="1">
        <f>AF7</f>
        <v>25.783999999999999</v>
      </c>
      <c r="BA7" s="2">
        <f>AH7</f>
        <v>12.404878746884</v>
      </c>
      <c r="BB7" s="7">
        <f>AJ7</f>
        <v>-1637.0793650793651</v>
      </c>
      <c r="BC7" s="1">
        <f>AG7</f>
        <v>7.8319999999999999</v>
      </c>
      <c r="BD7" s="2">
        <f>AI7</f>
        <v>1.286931461255171</v>
      </c>
      <c r="BE7" s="2">
        <f t="shared" si="0"/>
        <v>-77.284721332021647</v>
      </c>
      <c r="BF7" s="2">
        <f t="shared" si="0"/>
        <v>0</v>
      </c>
      <c r="BG7" s="7">
        <f t="shared" si="0"/>
        <v>-90.662939897942394</v>
      </c>
      <c r="BH7" s="1">
        <f t="shared" si="1"/>
        <v>33.616</v>
      </c>
      <c r="BI7" s="2">
        <f t="shared" si="1"/>
        <v>13.69181020813917</v>
      </c>
      <c r="BJ7" s="2">
        <f t="shared" si="2"/>
        <v>1714.3640864113868</v>
      </c>
      <c r="BK7" s="2">
        <f>ABS(BF7)</f>
        <v>0</v>
      </c>
      <c r="BL7" s="7">
        <f>BG7</f>
        <v>-90.662939897942394</v>
      </c>
      <c r="BM7" s="2"/>
      <c r="BN7" s="1"/>
      <c r="BO7" s="4"/>
      <c r="BP7" s="2"/>
      <c r="BQ7" s="2"/>
      <c r="BR7" s="3"/>
      <c r="BS7" s="1"/>
      <c r="BT7" s="2"/>
      <c r="BU7" s="21"/>
      <c r="BV7" s="2"/>
      <c r="BW7" s="2"/>
      <c r="BX7" s="21"/>
      <c r="BY7" s="15"/>
    </row>
    <row r="8" spans="1:78" x14ac:dyDescent="0.25">
      <c r="A8" t="str">
        <f t="shared" ref="A8:A66" si="3">IF(ISNUMBER(SEARCH("Appui",E8)),"Appui",IF(ISNUMBER(SEARCH("Travée",E8)),"Travée",""))</f>
        <v>Travée</v>
      </c>
      <c r="B8" t="b">
        <f t="shared" ref="B8:B66" si="4">MOD(C8,2)=0</f>
        <v>0</v>
      </c>
      <c r="C8">
        <f>IF(D8=D7,C7,C7+1)</f>
        <v>1</v>
      </c>
      <c r="D8" s="5" t="s">
        <v>109</v>
      </c>
      <c r="E8" t="s">
        <v>48</v>
      </c>
      <c r="F8" s="5">
        <v>25</v>
      </c>
      <c r="G8" t="s">
        <v>46</v>
      </c>
      <c r="H8">
        <v>500</v>
      </c>
      <c r="I8">
        <v>170000</v>
      </c>
      <c r="J8">
        <v>1300</v>
      </c>
      <c r="K8" s="10">
        <v>1445</v>
      </c>
      <c r="L8" s="12">
        <v>1</v>
      </c>
      <c r="M8" s="5">
        <v>0.215</v>
      </c>
      <c r="N8" s="10">
        <v>4</v>
      </c>
      <c r="O8" s="5">
        <v>5.1200000000000009E-4</v>
      </c>
      <c r="P8">
        <v>0.04</v>
      </c>
      <c r="Q8" s="10">
        <v>1</v>
      </c>
      <c r="R8" s="8">
        <v>0</v>
      </c>
      <c r="S8">
        <v>0</v>
      </c>
      <c r="T8">
        <v>1</v>
      </c>
      <c r="U8" s="9">
        <v>2.9099999999999999E-5</v>
      </c>
      <c r="V8">
        <v>0</v>
      </c>
      <c r="W8" s="10">
        <v>7</v>
      </c>
      <c r="X8" s="1">
        <v>16.501760000000001</v>
      </c>
      <c r="Y8" s="2">
        <v>5.01248</v>
      </c>
      <c r="Z8" s="13">
        <v>0</v>
      </c>
      <c r="AA8" s="2">
        <v>16.501760000000001</v>
      </c>
      <c r="AB8" s="2">
        <v>5.01248</v>
      </c>
      <c r="AC8" s="2">
        <v>28.16</v>
      </c>
      <c r="AD8" s="2"/>
      <c r="AE8" s="7">
        <v>21.514240000000001</v>
      </c>
      <c r="AF8" s="2">
        <v>16.501760000000001</v>
      </c>
      <c r="AG8" s="2">
        <v>5.01248</v>
      </c>
      <c r="AH8" s="2">
        <v>3.036352221138892</v>
      </c>
      <c r="AI8" s="2">
        <v>0.73168845112883729</v>
      </c>
      <c r="AJ8" s="2">
        <v>-190.22087360114671</v>
      </c>
      <c r="AK8" s="2">
        <v>-38.088517005856389</v>
      </c>
      <c r="AL8" s="2">
        <v>0</v>
      </c>
      <c r="AM8" s="2">
        <v>-40.678569626550683</v>
      </c>
      <c r="AN8" s="2">
        <v>28.16</v>
      </c>
      <c r="AO8" s="2">
        <v>41.150836363636166</v>
      </c>
      <c r="AP8" s="2">
        <v>98.758175272901155</v>
      </c>
      <c r="AQ8" s="2">
        <v>2.9940541903901741</v>
      </c>
      <c r="AR8" s="2">
        <v>-216.05998651151799</v>
      </c>
      <c r="AS8" s="2">
        <v>0</v>
      </c>
      <c r="AT8" s="2">
        <v>-232.9540576612728</v>
      </c>
      <c r="AU8" s="1">
        <v>21.514240000000001</v>
      </c>
      <c r="AV8" s="2">
        <v>2.885194018911005</v>
      </c>
      <c r="AW8" s="2">
        <v>-250.82194939421569</v>
      </c>
      <c r="AX8" s="2">
        <v>41.150836363636166</v>
      </c>
      <c r="AZ8" s="1">
        <f>AF8</f>
        <v>16.501760000000001</v>
      </c>
      <c r="BA8" s="2">
        <f>AH8</f>
        <v>3.036352221138892</v>
      </c>
      <c r="BB8" s="7">
        <f>AJ8</f>
        <v>-190.22087360114671</v>
      </c>
      <c r="BC8" s="1">
        <f>AG8</f>
        <v>5.01248</v>
      </c>
      <c r="BD8" s="2">
        <f>AI8</f>
        <v>0.73168845112883729</v>
      </c>
      <c r="BE8" s="2">
        <f t="shared" si="0"/>
        <v>-38.088517005856389</v>
      </c>
      <c r="BF8" s="2">
        <f t="shared" si="0"/>
        <v>0</v>
      </c>
      <c r="BG8" s="7">
        <f t="shared" si="0"/>
        <v>-40.678569626550683</v>
      </c>
      <c r="BH8" s="1">
        <f t="shared" si="1"/>
        <v>21.514240000000001</v>
      </c>
      <c r="BI8" s="2">
        <f t="shared" si="1"/>
        <v>3.7680406722677295</v>
      </c>
      <c r="BJ8" s="2">
        <f t="shared" si="2"/>
        <v>228.30939060700308</v>
      </c>
      <c r="BK8" s="2">
        <f t="shared" ref="BK8:BK14" si="5">ABS(BF8)</f>
        <v>0</v>
      </c>
      <c r="BL8" s="7">
        <f t="shared" ref="BL8:BL14" si="6">BG8</f>
        <v>-40.678569626550683</v>
      </c>
      <c r="BM8" s="2"/>
      <c r="BN8" s="1"/>
      <c r="BO8" s="4"/>
      <c r="BP8" s="2"/>
      <c r="BQ8" s="2"/>
      <c r="BR8" s="3"/>
      <c r="BS8" s="1"/>
      <c r="BT8" s="2"/>
      <c r="BU8" s="21"/>
      <c r="BV8" s="2"/>
      <c r="BW8" s="2"/>
      <c r="BX8" s="21"/>
      <c r="BY8" s="10"/>
    </row>
    <row r="9" spans="1:78" x14ac:dyDescent="0.25">
      <c r="A9" t="str">
        <f t="shared" si="3"/>
        <v>Appui</v>
      </c>
      <c r="B9" t="b">
        <f t="shared" si="4"/>
        <v>0</v>
      </c>
      <c r="C9">
        <f t="shared" ref="C9:C32" si="7">IF(D9=D8,C8,C8+1)</f>
        <v>1</v>
      </c>
      <c r="D9" s="5" t="s">
        <v>109</v>
      </c>
      <c r="E9" t="s">
        <v>49</v>
      </c>
      <c r="F9" s="5">
        <v>25</v>
      </c>
      <c r="G9" t="s">
        <v>46</v>
      </c>
      <c r="H9">
        <v>500</v>
      </c>
      <c r="I9">
        <v>170000</v>
      </c>
      <c r="J9">
        <v>1300</v>
      </c>
      <c r="K9" s="10">
        <v>1445</v>
      </c>
      <c r="L9" s="12">
        <v>1</v>
      </c>
      <c r="M9" s="5">
        <v>0.215</v>
      </c>
      <c r="N9" s="10">
        <v>4</v>
      </c>
      <c r="O9" s="5">
        <v>1E-4</v>
      </c>
      <c r="P9">
        <v>5.5E-2</v>
      </c>
      <c r="Q9" s="10">
        <v>1</v>
      </c>
      <c r="R9" s="8">
        <v>0</v>
      </c>
      <c r="S9">
        <v>0</v>
      </c>
      <c r="T9">
        <v>1</v>
      </c>
      <c r="U9" s="9">
        <v>2.9099999999999999E-5</v>
      </c>
      <c r="V9">
        <v>0</v>
      </c>
      <c r="W9" s="10">
        <v>12</v>
      </c>
      <c r="X9" s="1">
        <v>27.7178</v>
      </c>
      <c r="Y9" s="2">
        <v>8.4193999999999996</v>
      </c>
      <c r="Z9" s="13">
        <v>0</v>
      </c>
      <c r="AA9" s="2">
        <v>27.7178</v>
      </c>
      <c r="AB9" s="2">
        <v>8.4193999999999996</v>
      </c>
      <c r="AC9" s="2">
        <v>47.3</v>
      </c>
      <c r="AD9" s="2"/>
      <c r="AE9" s="7">
        <v>36.1372</v>
      </c>
      <c r="AF9" s="2">
        <v>27.7178</v>
      </c>
      <c r="AG9" s="2">
        <v>8.4193999999999996</v>
      </c>
      <c r="AH9" s="2">
        <v>13.335244652900331</v>
      </c>
      <c r="AI9" s="2">
        <v>1.3834513208493091</v>
      </c>
      <c r="AJ9" s="2">
        <v>-1759.8603174603179</v>
      </c>
      <c r="AK9" s="2">
        <v>-83.08107543192331</v>
      </c>
      <c r="AL9" s="2">
        <v>0</v>
      </c>
      <c r="AM9" s="2">
        <v>-97.462660390288136</v>
      </c>
      <c r="AN9" s="2">
        <v>47.3</v>
      </c>
      <c r="AO9" s="2">
        <v>7.3383794466403751</v>
      </c>
      <c r="AP9" s="2">
        <v>111.3895019791925</v>
      </c>
      <c r="AQ9" s="2">
        <v>5.4737017182372583</v>
      </c>
      <c r="AR9" s="2">
        <v>-434.91935324936168</v>
      </c>
      <c r="AS9" s="2">
        <v>0</v>
      </c>
      <c r="AT9" s="2">
        <v>-560.6510441493765</v>
      </c>
      <c r="AU9" s="1">
        <v>36.1372</v>
      </c>
      <c r="AV9" s="2">
        <v>0</v>
      </c>
      <c r="AW9" s="2">
        <v>0</v>
      </c>
      <c r="AX9" s="2">
        <v>7.3383794466403751</v>
      </c>
      <c r="AZ9" s="1">
        <f>AF9</f>
        <v>27.7178</v>
      </c>
      <c r="BA9" s="2">
        <f>AH9</f>
        <v>13.335244652900331</v>
      </c>
      <c r="BB9" s="7">
        <f>AJ9</f>
        <v>-1759.8603174603179</v>
      </c>
      <c r="BC9" s="1">
        <f>AG9</f>
        <v>8.4193999999999996</v>
      </c>
      <c r="BD9" s="2">
        <f>AI9</f>
        <v>1.3834513208493091</v>
      </c>
      <c r="BE9" s="2">
        <f t="shared" si="0"/>
        <v>-83.08107543192331</v>
      </c>
      <c r="BF9" s="2">
        <f t="shared" si="0"/>
        <v>0</v>
      </c>
      <c r="BG9" s="7">
        <f t="shared" si="0"/>
        <v>-97.462660390288136</v>
      </c>
      <c r="BH9" s="1">
        <f t="shared" si="1"/>
        <v>36.1372</v>
      </c>
      <c r="BI9" s="2">
        <f t="shared" si="1"/>
        <v>14.718695973749639</v>
      </c>
      <c r="BJ9" s="2">
        <f t="shared" si="2"/>
        <v>1842.9413928922413</v>
      </c>
      <c r="BK9" s="2">
        <f t="shared" si="5"/>
        <v>0</v>
      </c>
      <c r="BL9" s="7">
        <f t="shared" si="6"/>
        <v>-97.462660390288136</v>
      </c>
      <c r="BM9" s="2"/>
      <c r="BN9" s="1"/>
      <c r="BO9" s="4"/>
      <c r="BP9" s="2"/>
      <c r="BQ9" s="2"/>
      <c r="BR9" s="3"/>
      <c r="BS9" s="1"/>
      <c r="BT9" s="2"/>
      <c r="BU9" s="21"/>
      <c r="BV9" s="2"/>
      <c r="BW9" s="2"/>
      <c r="BX9" s="21"/>
      <c r="BY9" s="15"/>
    </row>
    <row r="10" spans="1:78" x14ac:dyDescent="0.25">
      <c r="A10" t="str">
        <f t="shared" si="3"/>
        <v>Travée</v>
      </c>
      <c r="B10" t="b">
        <f t="shared" si="4"/>
        <v>0</v>
      </c>
      <c r="C10">
        <f t="shared" si="7"/>
        <v>1</v>
      </c>
      <c r="D10" s="5" t="s">
        <v>109</v>
      </c>
      <c r="E10" t="s">
        <v>51</v>
      </c>
      <c r="F10" s="5">
        <v>25</v>
      </c>
      <c r="G10" t="s">
        <v>46</v>
      </c>
      <c r="H10">
        <v>500</v>
      </c>
      <c r="I10">
        <v>170000</v>
      </c>
      <c r="J10">
        <v>1300</v>
      </c>
      <c r="K10" s="10">
        <v>1445</v>
      </c>
      <c r="L10" s="12">
        <v>1</v>
      </c>
      <c r="M10" s="5">
        <v>0.215</v>
      </c>
      <c r="N10" s="10">
        <v>4.4000000000000004</v>
      </c>
      <c r="O10" s="5">
        <v>1.694E-3</v>
      </c>
      <c r="P10">
        <v>0.04</v>
      </c>
      <c r="Q10" s="10">
        <v>1</v>
      </c>
      <c r="R10" s="8">
        <v>0</v>
      </c>
      <c r="S10">
        <v>0</v>
      </c>
      <c r="T10">
        <v>1</v>
      </c>
      <c r="U10" s="9">
        <v>2.9099999999999999E-5</v>
      </c>
      <c r="V10">
        <v>0</v>
      </c>
      <c r="W10" s="10">
        <v>7</v>
      </c>
      <c r="X10" s="1">
        <v>71.257599999999996</v>
      </c>
      <c r="Y10" s="2">
        <v>21.6448</v>
      </c>
      <c r="Z10" s="13">
        <v>0</v>
      </c>
      <c r="AA10" s="2">
        <v>71.257599999999996</v>
      </c>
      <c r="AB10" s="2">
        <v>21.6448</v>
      </c>
      <c r="AC10" s="2">
        <v>121.6</v>
      </c>
      <c r="AD10" s="2"/>
      <c r="AE10" s="7">
        <v>92.9024</v>
      </c>
      <c r="AF10" s="2">
        <v>71.257599999999996</v>
      </c>
      <c r="AG10" s="2">
        <v>21.6448</v>
      </c>
      <c r="AH10" s="2">
        <v>7.272370928066227</v>
      </c>
      <c r="AI10" s="2">
        <v>2.036176728545362</v>
      </c>
      <c r="AJ10" s="2">
        <v>-253.47489857187861</v>
      </c>
      <c r="AK10" s="2">
        <v>-66.504468634586047</v>
      </c>
      <c r="AL10" s="2">
        <v>0</v>
      </c>
      <c r="AM10" s="2">
        <v>-71.963343527984847</v>
      </c>
      <c r="AN10" s="2">
        <v>121.6</v>
      </c>
      <c r="AO10" s="2">
        <v>133.16337801179071</v>
      </c>
      <c r="AP10" s="2">
        <v>182.71553392414009</v>
      </c>
      <c r="AQ10" s="2">
        <v>7.9884325538927294</v>
      </c>
      <c r="AR10" s="2">
        <v>-381.7212697533447</v>
      </c>
      <c r="AS10" s="2">
        <v>0</v>
      </c>
      <c r="AT10" s="2">
        <v>-420.26239980931598</v>
      </c>
      <c r="AU10" s="1">
        <v>92.9024</v>
      </c>
      <c r="AV10" s="2">
        <v>6.7307144471800759</v>
      </c>
      <c r="AW10" s="2">
        <v>-337.8347476497969</v>
      </c>
      <c r="AX10" s="2">
        <v>133.16337801179071</v>
      </c>
      <c r="AZ10" s="1">
        <f t="shared" ref="AZ10:AZ14" si="8">AF10</f>
        <v>71.257599999999996</v>
      </c>
      <c r="BA10" s="2">
        <f t="shared" ref="BA10:BA14" si="9">AH10</f>
        <v>7.272370928066227</v>
      </c>
      <c r="BB10" s="7">
        <f t="shared" ref="BB10:BB14" si="10">AJ10</f>
        <v>-253.47489857187861</v>
      </c>
      <c r="BC10" s="1">
        <f t="shared" ref="BC10:BC14" si="11">AG10</f>
        <v>21.6448</v>
      </c>
      <c r="BD10" s="2">
        <f t="shared" ref="BD10:BD14" si="12">AI10</f>
        <v>2.036176728545362</v>
      </c>
      <c r="BE10" s="2">
        <f t="shared" si="0"/>
        <v>-66.504468634586047</v>
      </c>
      <c r="BF10" s="2">
        <f t="shared" si="0"/>
        <v>0</v>
      </c>
      <c r="BG10" s="7">
        <f t="shared" si="0"/>
        <v>-71.963343527984847</v>
      </c>
      <c r="BH10" s="1">
        <f t="shared" si="1"/>
        <v>92.9024</v>
      </c>
      <c r="BI10" s="2">
        <f t="shared" si="1"/>
        <v>9.308547656611589</v>
      </c>
      <c r="BJ10" s="2">
        <f t="shared" si="2"/>
        <v>319.97936720646464</v>
      </c>
      <c r="BK10" s="2">
        <f t="shared" si="5"/>
        <v>0</v>
      </c>
      <c r="BL10" s="7">
        <f t="shared" si="6"/>
        <v>-71.963343527984847</v>
      </c>
      <c r="BM10" s="2"/>
      <c r="BN10" s="1"/>
      <c r="BO10" s="4"/>
      <c r="BP10" s="2"/>
      <c r="BQ10" s="2"/>
      <c r="BR10" s="3"/>
      <c r="BS10" s="1"/>
      <c r="BT10" s="2"/>
      <c r="BU10" s="21"/>
      <c r="BV10" s="2"/>
      <c r="BW10" s="2"/>
      <c r="BX10" s="21"/>
      <c r="BY10" s="10"/>
      <c r="BZ10" t="b">
        <f>SUM(BN7:BN10)&lt;=SUM(BP7:BP10)</f>
        <v>1</v>
      </c>
    </row>
    <row r="11" spans="1:78" x14ac:dyDescent="0.25">
      <c r="A11" t="str">
        <f t="shared" si="3"/>
        <v>Appui</v>
      </c>
      <c r="B11" t="b">
        <f t="shared" si="4"/>
        <v>0</v>
      </c>
      <c r="C11">
        <f t="shared" si="7"/>
        <v>1</v>
      </c>
      <c r="D11" s="5" t="s">
        <v>109</v>
      </c>
      <c r="E11" t="s">
        <v>52</v>
      </c>
      <c r="F11" s="5">
        <v>25</v>
      </c>
      <c r="G11" t="s">
        <v>46</v>
      </c>
      <c r="H11">
        <v>500</v>
      </c>
      <c r="I11">
        <v>170000</v>
      </c>
      <c r="J11">
        <v>1300</v>
      </c>
      <c r="K11" s="10">
        <v>1445</v>
      </c>
      <c r="L11" s="12">
        <v>1</v>
      </c>
      <c r="M11" s="5">
        <v>0.215</v>
      </c>
      <c r="N11" s="10">
        <v>4.4000000000000004</v>
      </c>
      <c r="O11" s="5">
        <v>1E-4</v>
      </c>
      <c r="P11">
        <v>7.2000000000000008E-2</v>
      </c>
      <c r="Q11" s="10">
        <v>1</v>
      </c>
      <c r="R11" s="8">
        <v>0</v>
      </c>
      <c r="S11">
        <v>0</v>
      </c>
      <c r="T11">
        <v>1</v>
      </c>
      <c r="U11" s="9">
        <v>2.9099999999999999E-5</v>
      </c>
      <c r="V11">
        <v>0</v>
      </c>
      <c r="W11" s="10">
        <v>12</v>
      </c>
      <c r="X11" s="1">
        <v>47.055799999999998</v>
      </c>
      <c r="Y11" s="2">
        <v>14.2934</v>
      </c>
      <c r="Z11" s="13">
        <v>0</v>
      </c>
      <c r="AA11" s="2">
        <v>47.055799999999998</v>
      </c>
      <c r="AB11" s="2">
        <v>14.2934</v>
      </c>
      <c r="AC11" s="2">
        <v>80.300000000000011</v>
      </c>
      <c r="AD11" s="2"/>
      <c r="AE11" s="7">
        <v>61.34920000000001</v>
      </c>
      <c r="AF11" s="2">
        <v>47.055799999999998</v>
      </c>
      <c r="AG11" s="2">
        <v>14.2934</v>
      </c>
      <c r="AH11" s="2">
        <v>24.873170564312868</v>
      </c>
      <c r="AI11" s="2">
        <v>2.2813841004155591</v>
      </c>
      <c r="AJ11" s="2">
        <v>-3349.1672597864772</v>
      </c>
      <c r="AK11" s="2">
        <v>-128.78323326160131</v>
      </c>
      <c r="AL11" s="2">
        <v>0</v>
      </c>
      <c r="AM11" s="2">
        <v>-170.7853003388723</v>
      </c>
      <c r="AN11" s="2">
        <v>80.300000000000011</v>
      </c>
      <c r="AO11" s="2">
        <v>6.5463003952577807</v>
      </c>
      <c r="AP11" s="2">
        <v>110.817332736499</v>
      </c>
      <c r="AQ11" s="2">
        <v>8.6479439676010141</v>
      </c>
      <c r="AR11" s="2">
        <v>-435.96597529200898</v>
      </c>
      <c r="AS11" s="2">
        <v>0</v>
      </c>
      <c r="AT11" s="2">
        <v>-1023.972118840408</v>
      </c>
      <c r="AU11" s="1">
        <v>61.34920000000001</v>
      </c>
      <c r="AV11" s="2">
        <v>0</v>
      </c>
      <c r="AW11" s="2">
        <v>0</v>
      </c>
      <c r="AX11" s="2">
        <v>6.5463003952577807</v>
      </c>
      <c r="AZ11" s="1">
        <f t="shared" si="8"/>
        <v>47.055799999999998</v>
      </c>
      <c r="BA11" s="2">
        <f t="shared" si="9"/>
        <v>24.873170564312868</v>
      </c>
      <c r="BB11" s="7">
        <f t="shared" si="10"/>
        <v>-3349.1672597864772</v>
      </c>
      <c r="BC11" s="1">
        <f t="shared" si="11"/>
        <v>14.2934</v>
      </c>
      <c r="BD11" s="2">
        <f t="shared" si="12"/>
        <v>2.2813841004155591</v>
      </c>
      <c r="BE11" s="2">
        <f t="shared" si="0"/>
        <v>-128.78323326160131</v>
      </c>
      <c r="BF11" s="2">
        <f t="shared" si="0"/>
        <v>0</v>
      </c>
      <c r="BG11" s="7">
        <f t="shared" si="0"/>
        <v>-170.7853003388723</v>
      </c>
      <c r="BH11" s="1">
        <f t="shared" si="1"/>
        <v>61.349199999999996</v>
      </c>
      <c r="BI11" s="2">
        <f t="shared" si="1"/>
        <v>27.154554664728426</v>
      </c>
      <c r="BJ11" s="2">
        <f t="shared" si="2"/>
        <v>3477.9504930480784</v>
      </c>
      <c r="BK11" s="2">
        <f t="shared" si="5"/>
        <v>0</v>
      </c>
      <c r="BL11" s="7">
        <f t="shared" si="6"/>
        <v>-170.7853003388723</v>
      </c>
      <c r="BM11" s="2"/>
      <c r="BN11" s="1"/>
      <c r="BO11" s="4"/>
      <c r="BP11" s="2"/>
      <c r="BQ11" s="2"/>
      <c r="BR11" s="3"/>
      <c r="BS11" s="1"/>
      <c r="BT11" s="2"/>
      <c r="BU11" s="21"/>
      <c r="BV11" s="2"/>
      <c r="BW11" s="2"/>
      <c r="BX11" s="21"/>
      <c r="BY11" s="15"/>
    </row>
    <row r="12" spans="1:78" x14ac:dyDescent="0.25">
      <c r="A12" t="str">
        <f t="shared" si="3"/>
        <v>Travée</v>
      </c>
      <c r="B12" t="b">
        <f t="shared" si="4"/>
        <v>0</v>
      </c>
      <c r="C12">
        <f t="shared" si="7"/>
        <v>1</v>
      </c>
      <c r="D12" s="5" t="s">
        <v>109</v>
      </c>
      <c r="E12" t="s">
        <v>53</v>
      </c>
      <c r="F12" s="5">
        <v>25</v>
      </c>
      <c r="G12" t="s">
        <v>46</v>
      </c>
      <c r="H12">
        <v>500</v>
      </c>
      <c r="I12">
        <v>170000</v>
      </c>
      <c r="J12">
        <v>1300</v>
      </c>
      <c r="K12" s="10">
        <v>1445</v>
      </c>
      <c r="L12" s="12">
        <v>1</v>
      </c>
      <c r="M12" s="5">
        <v>0.215</v>
      </c>
      <c r="N12" s="10">
        <v>4.4000000000000004</v>
      </c>
      <c r="O12" s="5">
        <v>2.2572E-3</v>
      </c>
      <c r="P12">
        <v>0.04</v>
      </c>
      <c r="Q12" s="10">
        <v>1</v>
      </c>
      <c r="R12" s="8">
        <v>0</v>
      </c>
      <c r="S12">
        <v>0</v>
      </c>
      <c r="T12">
        <v>1</v>
      </c>
      <c r="U12" s="9">
        <v>2.9099999999999999E-5</v>
      </c>
      <c r="V12">
        <v>0</v>
      </c>
      <c r="W12" s="10">
        <v>7</v>
      </c>
      <c r="X12" s="1">
        <v>93.759999999999991</v>
      </c>
      <c r="Y12" s="2">
        <v>28.48</v>
      </c>
      <c r="Z12" s="13">
        <v>0</v>
      </c>
      <c r="AA12" s="2">
        <v>93.759999999999991</v>
      </c>
      <c r="AB12" s="2">
        <v>28.48</v>
      </c>
      <c r="AC12" s="2">
        <v>160</v>
      </c>
      <c r="AD12" s="2"/>
      <c r="AE12" s="7">
        <v>122.24</v>
      </c>
      <c r="AF12" s="2">
        <v>93.759999999999991</v>
      </c>
      <c r="AG12" s="2">
        <v>28.48</v>
      </c>
      <c r="AH12" s="2">
        <v>8.4406929335862628</v>
      </c>
      <c r="AI12" s="2">
        <v>2.4158545875140751</v>
      </c>
      <c r="AJ12" s="2">
        <v>-252.28172608890239</v>
      </c>
      <c r="AK12" s="2">
        <v>-68.450309764651777</v>
      </c>
      <c r="AL12" s="2">
        <v>0</v>
      </c>
      <c r="AM12" s="2">
        <v>-74.464073076632928</v>
      </c>
      <c r="AN12" s="2">
        <v>160</v>
      </c>
      <c r="AO12" s="2">
        <v>172.61217635471789</v>
      </c>
      <c r="AP12" s="2">
        <v>221.63597721491439</v>
      </c>
      <c r="AQ12" s="2">
        <v>9.3532773117598111</v>
      </c>
      <c r="AR12" s="2">
        <v>-394.73080607706743</v>
      </c>
      <c r="AS12" s="2">
        <v>0</v>
      </c>
      <c r="AT12" s="2">
        <v>-438.44634821535283</v>
      </c>
      <c r="AU12" s="1">
        <v>122.24</v>
      </c>
      <c r="AV12" s="2">
        <v>7.7820239528633008</v>
      </c>
      <c r="AW12" s="2">
        <v>-337.38640576989951</v>
      </c>
      <c r="AX12" s="2">
        <v>172.61217635471789</v>
      </c>
      <c r="AZ12" s="1">
        <f t="shared" si="8"/>
        <v>93.759999999999991</v>
      </c>
      <c r="BA12" s="2">
        <f t="shared" si="9"/>
        <v>8.4406929335862628</v>
      </c>
      <c r="BB12" s="7">
        <f t="shared" si="10"/>
        <v>-252.28172608890239</v>
      </c>
      <c r="BC12" s="1">
        <f t="shared" si="11"/>
        <v>28.48</v>
      </c>
      <c r="BD12" s="2">
        <f t="shared" si="12"/>
        <v>2.4158545875140751</v>
      </c>
      <c r="BE12" s="2">
        <f t="shared" si="0"/>
        <v>-68.450309764651777</v>
      </c>
      <c r="BF12" s="2">
        <f t="shared" si="0"/>
        <v>0</v>
      </c>
      <c r="BG12" s="7">
        <f t="shared" si="0"/>
        <v>-74.464073076632928</v>
      </c>
      <c r="BH12" s="1">
        <f t="shared" si="1"/>
        <v>122.24</v>
      </c>
      <c r="BI12" s="2">
        <f t="shared" si="1"/>
        <v>10.856547521100339</v>
      </c>
      <c r="BJ12" s="2">
        <f t="shared" si="2"/>
        <v>320.73203585355418</v>
      </c>
      <c r="BK12" s="2">
        <f t="shared" si="5"/>
        <v>0</v>
      </c>
      <c r="BL12" s="7">
        <f t="shared" si="6"/>
        <v>-74.464073076632928</v>
      </c>
      <c r="BM12" s="2"/>
      <c r="BN12" s="1"/>
      <c r="BO12" s="4"/>
      <c r="BP12" s="2"/>
      <c r="BQ12" s="2"/>
      <c r="BR12" s="3"/>
      <c r="BS12" s="1"/>
      <c r="BT12" s="2"/>
      <c r="BU12" s="21"/>
      <c r="BV12" s="2"/>
      <c r="BW12" s="2"/>
      <c r="BX12" s="21"/>
      <c r="BY12" s="10"/>
    </row>
    <row r="13" spans="1:78" x14ac:dyDescent="0.25">
      <c r="A13" t="str">
        <f t="shared" si="3"/>
        <v>Appui</v>
      </c>
      <c r="B13" t="b">
        <f t="shared" si="4"/>
        <v>0</v>
      </c>
      <c r="C13">
        <f t="shared" si="7"/>
        <v>1</v>
      </c>
      <c r="D13" s="5" t="s">
        <v>109</v>
      </c>
      <c r="E13" t="s">
        <v>54</v>
      </c>
      <c r="F13" s="5">
        <v>25</v>
      </c>
      <c r="G13" t="s">
        <v>46</v>
      </c>
      <c r="H13">
        <v>500</v>
      </c>
      <c r="I13">
        <v>170000</v>
      </c>
      <c r="J13">
        <v>1300</v>
      </c>
      <c r="K13" s="10">
        <v>1445</v>
      </c>
      <c r="L13" s="12">
        <v>1</v>
      </c>
      <c r="M13" s="5">
        <v>0.215</v>
      </c>
      <c r="N13" s="10">
        <v>5</v>
      </c>
      <c r="O13" s="5">
        <v>1E-4</v>
      </c>
      <c r="P13">
        <v>5.5E-2</v>
      </c>
      <c r="Q13" s="10">
        <v>1</v>
      </c>
      <c r="R13" s="8">
        <v>0</v>
      </c>
      <c r="S13">
        <v>0</v>
      </c>
      <c r="T13">
        <v>1</v>
      </c>
      <c r="U13" s="9">
        <v>2.9099999999999999E-5</v>
      </c>
      <c r="V13">
        <v>0</v>
      </c>
      <c r="W13" s="10">
        <v>12</v>
      </c>
      <c r="X13" s="1">
        <v>33.519199999999998</v>
      </c>
      <c r="Y13" s="2">
        <v>10.1816</v>
      </c>
      <c r="Z13" s="13">
        <v>0</v>
      </c>
      <c r="AA13" s="2">
        <v>33.519199999999998</v>
      </c>
      <c r="AB13" s="2">
        <v>10.1816</v>
      </c>
      <c r="AC13" s="2">
        <v>57.2</v>
      </c>
      <c r="AD13" s="2"/>
      <c r="AE13" s="7">
        <v>43.700800000000001</v>
      </c>
      <c r="AF13" s="2">
        <v>33.519199999999998</v>
      </c>
      <c r="AG13" s="2">
        <v>10.1816</v>
      </c>
      <c r="AH13" s="2">
        <v>13.964358193574551</v>
      </c>
      <c r="AI13" s="2">
        <v>1.492062460812108</v>
      </c>
      <c r="AJ13" s="2">
        <v>-2128.2031746031739</v>
      </c>
      <c r="AK13" s="2">
        <v>-100.4543763081053</v>
      </c>
      <c r="AL13" s="2">
        <v>0</v>
      </c>
      <c r="AM13" s="2">
        <v>-117.50787326471421</v>
      </c>
      <c r="AN13" s="2">
        <v>57.2</v>
      </c>
      <c r="AO13" s="2">
        <v>7.3383794466411496</v>
      </c>
      <c r="AP13" s="2">
        <v>111.8342282676887</v>
      </c>
      <c r="AQ13" s="2">
        <v>5.8853917002555161</v>
      </c>
      <c r="AR13" s="2">
        <v>-435.3384441541034</v>
      </c>
      <c r="AS13" s="2">
        <v>0</v>
      </c>
      <c r="AT13" s="2">
        <v>-694.06608223508181</v>
      </c>
      <c r="AU13" s="1">
        <v>43.700800000000001</v>
      </c>
      <c r="AV13" s="2">
        <v>0</v>
      </c>
      <c r="AW13" s="2">
        <v>0</v>
      </c>
      <c r="AX13" s="2">
        <v>7.3383794466411496</v>
      </c>
      <c r="AZ13" s="1">
        <f t="shared" si="8"/>
        <v>33.519199999999998</v>
      </c>
      <c r="BA13" s="2">
        <f t="shared" si="9"/>
        <v>13.964358193574551</v>
      </c>
      <c r="BB13" s="7">
        <f t="shared" si="10"/>
        <v>-2128.2031746031739</v>
      </c>
      <c r="BC13" s="1">
        <f t="shared" si="11"/>
        <v>10.1816</v>
      </c>
      <c r="BD13" s="2">
        <f t="shared" si="12"/>
        <v>1.492062460812108</v>
      </c>
      <c r="BE13" s="2">
        <f t="shared" si="0"/>
        <v>-100.4543763081053</v>
      </c>
      <c r="BF13" s="2">
        <f t="shared" si="0"/>
        <v>0</v>
      </c>
      <c r="BG13" s="7">
        <f t="shared" si="0"/>
        <v>-117.50787326471421</v>
      </c>
      <c r="BH13" s="1">
        <f t="shared" si="1"/>
        <v>43.700800000000001</v>
      </c>
      <c r="BI13" s="2">
        <f t="shared" si="1"/>
        <v>15.456420654386658</v>
      </c>
      <c r="BJ13" s="2">
        <f t="shared" si="2"/>
        <v>2228.657550911279</v>
      </c>
      <c r="BK13" s="2">
        <f t="shared" si="5"/>
        <v>0</v>
      </c>
      <c r="BL13" s="7">
        <f t="shared" si="6"/>
        <v>-117.50787326471421</v>
      </c>
      <c r="BM13" s="2"/>
      <c r="BN13" s="1"/>
      <c r="BO13" s="4"/>
      <c r="BP13" s="2"/>
      <c r="BQ13" s="2"/>
      <c r="BR13" s="3"/>
      <c r="BS13" s="1"/>
      <c r="BT13" s="2"/>
      <c r="BU13" s="21"/>
      <c r="BV13" s="2"/>
      <c r="BW13" s="2"/>
      <c r="BX13" s="21"/>
      <c r="BY13" s="15"/>
    </row>
    <row r="14" spans="1:78" x14ac:dyDescent="0.25">
      <c r="A14" t="str">
        <f t="shared" si="3"/>
        <v>Travée</v>
      </c>
      <c r="B14" t="b">
        <f t="shared" si="4"/>
        <v>0</v>
      </c>
      <c r="C14">
        <f t="shared" si="7"/>
        <v>1</v>
      </c>
      <c r="D14" s="5" t="s">
        <v>109</v>
      </c>
      <c r="E14" t="s">
        <v>55</v>
      </c>
      <c r="F14" s="5">
        <v>25</v>
      </c>
      <c r="G14" t="s">
        <v>46</v>
      </c>
      <c r="H14">
        <v>500</v>
      </c>
      <c r="I14">
        <v>170000</v>
      </c>
      <c r="J14">
        <v>1300</v>
      </c>
      <c r="K14" s="10">
        <v>1445</v>
      </c>
      <c r="L14" s="12">
        <v>1</v>
      </c>
      <c r="M14" s="5">
        <v>0.215</v>
      </c>
      <c r="N14" s="10">
        <v>5</v>
      </c>
      <c r="O14" s="5">
        <v>2.565E-3</v>
      </c>
      <c r="P14">
        <v>0.04</v>
      </c>
      <c r="Q14" s="10">
        <v>1</v>
      </c>
      <c r="R14" s="8">
        <v>0</v>
      </c>
      <c r="S14">
        <v>0</v>
      </c>
      <c r="T14">
        <v>1</v>
      </c>
      <c r="U14" s="9">
        <v>2.9099999999999999E-5</v>
      </c>
      <c r="V14">
        <v>0</v>
      </c>
      <c r="W14" s="10">
        <v>7</v>
      </c>
      <c r="X14" s="1">
        <v>101.2608</v>
      </c>
      <c r="Y14" s="2">
        <v>30.758400000000002</v>
      </c>
      <c r="Z14" s="13">
        <v>0</v>
      </c>
      <c r="AA14" s="2">
        <v>101.2608</v>
      </c>
      <c r="AB14" s="2">
        <v>30.758400000000002</v>
      </c>
      <c r="AC14" s="2">
        <v>172.8</v>
      </c>
      <c r="AD14" s="2"/>
      <c r="AE14" s="7">
        <v>132.01920000000001</v>
      </c>
      <c r="AF14" s="2">
        <v>101.2608</v>
      </c>
      <c r="AG14" s="2">
        <v>30.758400000000002</v>
      </c>
      <c r="AH14" s="2">
        <v>8.0220345640803767</v>
      </c>
      <c r="AI14" s="2">
        <v>2.3113336768484301</v>
      </c>
      <c r="AJ14" s="2">
        <v>-239.76855247489291</v>
      </c>
      <c r="AK14" s="2">
        <v>-65.901011437303168</v>
      </c>
      <c r="AL14" s="2">
        <v>0</v>
      </c>
      <c r="AM14" s="2">
        <v>-71.672845324036416</v>
      </c>
      <c r="AN14" s="2">
        <v>172.8</v>
      </c>
      <c r="AO14" s="2">
        <v>196.15020040308829</v>
      </c>
      <c r="AP14" s="2">
        <v>243.9287119506406</v>
      </c>
      <c r="AQ14" s="2">
        <v>9.0013490211195997</v>
      </c>
      <c r="AR14" s="2">
        <v>-379.93476768300519</v>
      </c>
      <c r="AS14" s="2">
        <v>0</v>
      </c>
      <c r="AT14" s="2">
        <v>-421.77098042375297</v>
      </c>
      <c r="AU14" s="1">
        <v>132.01920000000001</v>
      </c>
      <c r="AV14" s="2">
        <v>7.4316344852423857</v>
      </c>
      <c r="AW14" s="2">
        <v>-320.55995857307119</v>
      </c>
      <c r="AX14" s="2">
        <v>196.15020040308829</v>
      </c>
      <c r="AZ14" s="1">
        <f t="shared" si="8"/>
        <v>101.2608</v>
      </c>
      <c r="BA14" s="2">
        <f t="shared" si="9"/>
        <v>8.0220345640803767</v>
      </c>
      <c r="BB14" s="7">
        <f t="shared" si="10"/>
        <v>-239.76855247489291</v>
      </c>
      <c r="BC14" s="1">
        <f t="shared" si="11"/>
        <v>30.758400000000002</v>
      </c>
      <c r="BD14" s="2">
        <f t="shared" si="12"/>
        <v>2.3113336768484301</v>
      </c>
      <c r="BE14" s="2">
        <f t="shared" si="0"/>
        <v>-65.901011437303168</v>
      </c>
      <c r="BF14" s="2">
        <f t="shared" si="0"/>
        <v>0</v>
      </c>
      <c r="BG14" s="7">
        <f t="shared" si="0"/>
        <v>-71.672845324036416</v>
      </c>
      <c r="BH14" s="1">
        <f t="shared" si="1"/>
        <v>132.01920000000001</v>
      </c>
      <c r="BI14" s="2">
        <f t="shared" si="1"/>
        <v>10.333368240928806</v>
      </c>
      <c r="BJ14" s="2">
        <f t="shared" si="2"/>
        <v>305.66956391219605</v>
      </c>
      <c r="BK14" s="2">
        <f t="shared" si="5"/>
        <v>0</v>
      </c>
      <c r="BL14" s="7">
        <f t="shared" si="6"/>
        <v>-71.672845324036416</v>
      </c>
      <c r="BM14" s="2"/>
      <c r="BN14" s="1"/>
      <c r="BO14" s="4"/>
      <c r="BP14" s="2"/>
      <c r="BQ14" s="2"/>
      <c r="BR14" s="3"/>
      <c r="BS14" s="1"/>
      <c r="BT14" s="2"/>
      <c r="BU14" s="21"/>
      <c r="BV14" s="2"/>
      <c r="BW14" s="2"/>
      <c r="BX14" s="21"/>
      <c r="BY14" s="10"/>
    </row>
    <row r="15" spans="1:78" x14ac:dyDescent="0.25">
      <c r="A15" t="str">
        <f t="shared" si="3"/>
        <v/>
      </c>
      <c r="B15" t="b">
        <f t="shared" si="4"/>
        <v>0</v>
      </c>
      <c r="C15">
        <f t="shared" si="7"/>
        <v>1</v>
      </c>
      <c r="D15" s="5" t="s">
        <v>109</v>
      </c>
      <c r="F15" s="5"/>
      <c r="K15" s="10"/>
      <c r="L15" s="12"/>
      <c r="M15" s="5"/>
      <c r="N15" s="10"/>
      <c r="O15" s="5"/>
      <c r="Q15" s="10"/>
      <c r="R15" s="8"/>
      <c r="U15" s="9"/>
      <c r="W15" s="10"/>
      <c r="X15" s="1"/>
      <c r="Y15" s="2"/>
      <c r="Z15" s="13"/>
      <c r="AA15" s="2"/>
      <c r="AB15" s="2"/>
      <c r="AC15" s="2"/>
      <c r="AD15" s="2"/>
      <c r="AE15" s="7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"/>
      <c r="AV15" s="2"/>
      <c r="AW15" s="2"/>
      <c r="AX15" s="2"/>
      <c r="AZ15" s="1"/>
      <c r="BA15" s="2"/>
      <c r="BB15" s="7"/>
      <c r="BC15" s="1"/>
      <c r="BD15" s="2"/>
      <c r="BE15" s="2"/>
      <c r="BF15" s="2"/>
      <c r="BG15" s="7"/>
      <c r="BH15" s="1"/>
      <c r="BI15" s="2"/>
      <c r="BJ15" s="2"/>
      <c r="BK15" s="2"/>
      <c r="BL15" s="7"/>
      <c r="BM15" s="2"/>
      <c r="BN15" s="1"/>
      <c r="BO15" s="4"/>
      <c r="BP15" s="2"/>
      <c r="BQ15" s="2"/>
      <c r="BR15" s="3"/>
      <c r="BS15" s="1"/>
      <c r="BT15" s="2"/>
      <c r="BU15" s="21"/>
      <c r="BV15" s="2"/>
      <c r="BW15" s="2"/>
      <c r="BX15" s="21"/>
      <c r="BY15" s="15"/>
    </row>
    <row r="16" spans="1:78" x14ac:dyDescent="0.25">
      <c r="A16" t="str">
        <f t="shared" si="3"/>
        <v>Travée</v>
      </c>
      <c r="B16" t="b">
        <f t="shared" si="4"/>
        <v>1</v>
      </c>
      <c r="C16">
        <f t="shared" si="7"/>
        <v>2</v>
      </c>
      <c r="D16" s="5" t="s">
        <v>110</v>
      </c>
      <c r="E16" t="s">
        <v>45</v>
      </c>
      <c r="F16" s="5">
        <v>25</v>
      </c>
      <c r="G16" t="s">
        <v>46</v>
      </c>
      <c r="H16">
        <v>500</v>
      </c>
      <c r="I16">
        <v>170000</v>
      </c>
      <c r="J16">
        <v>1300</v>
      </c>
      <c r="K16" s="10">
        <v>1445</v>
      </c>
      <c r="L16" s="12">
        <v>1</v>
      </c>
      <c r="M16" s="5">
        <v>0.215</v>
      </c>
      <c r="N16" s="10">
        <v>2</v>
      </c>
      <c r="O16" s="5">
        <v>7.7000000000000007E-4</v>
      </c>
      <c r="P16">
        <v>0.04</v>
      </c>
      <c r="Q16" s="10">
        <v>1</v>
      </c>
      <c r="R16" s="8">
        <v>0</v>
      </c>
      <c r="S16">
        <v>0</v>
      </c>
      <c r="T16">
        <v>1</v>
      </c>
      <c r="U16" s="9">
        <v>0</v>
      </c>
      <c r="V16">
        <v>0</v>
      </c>
      <c r="W16" s="10">
        <v>0</v>
      </c>
      <c r="X16" s="1">
        <v>15.0016</v>
      </c>
      <c r="Y16" s="2">
        <v>4.5568</v>
      </c>
      <c r="Z16" s="13">
        <v>0</v>
      </c>
      <c r="AA16" s="2">
        <v>15.0016</v>
      </c>
      <c r="AB16" s="2">
        <v>4.5568</v>
      </c>
      <c r="AC16" s="2">
        <v>25.6</v>
      </c>
      <c r="AD16" s="2"/>
      <c r="AE16" s="7">
        <v>19.558399999999999</v>
      </c>
      <c r="AF16" s="2">
        <v>15.0016</v>
      </c>
      <c r="AG16" s="2">
        <v>4.5568</v>
      </c>
      <c r="AH16" s="2">
        <v>3.3682560087885651</v>
      </c>
      <c r="AI16" s="2">
        <v>1.023123095173091</v>
      </c>
      <c r="AJ16" s="2">
        <v>-117.3989003911859</v>
      </c>
      <c r="AK16" s="2">
        <v>-35.66041047056121</v>
      </c>
      <c r="AL16" s="2">
        <v>0</v>
      </c>
      <c r="AM16" s="2">
        <v>0</v>
      </c>
      <c r="AN16" s="2">
        <v>25.6</v>
      </c>
      <c r="AO16" s="2">
        <v>60.528808187177717</v>
      </c>
      <c r="AP16" s="2">
        <v>60.528808187177717</v>
      </c>
      <c r="AQ16" s="2">
        <v>4.2052148076752074</v>
      </c>
      <c r="AR16" s="2">
        <v>-204.48468114139351</v>
      </c>
      <c r="AS16" s="2">
        <v>0</v>
      </c>
      <c r="AT16" s="2">
        <v>0</v>
      </c>
      <c r="AU16" s="1">
        <v>19.558399999999999</v>
      </c>
      <c r="AV16" s="2">
        <v>3.24595508753898</v>
      </c>
      <c r="AW16" s="2">
        <v>-156.14207889402979</v>
      </c>
      <c r="AX16" s="2">
        <v>60.528808187177717</v>
      </c>
      <c r="AZ16" s="1">
        <f t="shared" ref="AZ16:AZ40" si="13">AF16</f>
        <v>15.0016</v>
      </c>
      <c r="BA16" s="2">
        <f t="shared" ref="BA16:BA40" si="14">AH16</f>
        <v>3.3682560087885651</v>
      </c>
      <c r="BB16" s="7">
        <f t="shared" ref="BB16:BB40" si="15">AJ16</f>
        <v>-117.3989003911859</v>
      </c>
      <c r="BC16" s="1">
        <f t="shared" ref="BC16:BC40" si="16">AG16</f>
        <v>4.5568</v>
      </c>
      <c r="BD16" s="2">
        <f t="shared" ref="BD16:BD40" si="17">AI16</f>
        <v>1.023123095173091</v>
      </c>
      <c r="BE16" s="2">
        <f t="shared" ref="BE16:BG40" si="18">AK16</f>
        <v>-35.66041047056121</v>
      </c>
      <c r="BF16" s="2">
        <f t="shared" si="18"/>
        <v>0</v>
      </c>
      <c r="BG16" s="7">
        <f t="shared" si="18"/>
        <v>0</v>
      </c>
      <c r="BH16" s="1">
        <f t="shared" ref="BH16:BI40" si="19">AZ16+BC16</f>
        <v>19.558399999999999</v>
      </c>
      <c r="BI16" s="2">
        <f t="shared" si="19"/>
        <v>4.3913791039616559</v>
      </c>
      <c r="BJ16" s="2">
        <f t="shared" ref="BJ16:BJ40" si="20">ABS(BB16+BE16)</f>
        <v>153.05931086174712</v>
      </c>
      <c r="BK16" s="2">
        <f t="shared" ref="BK16:BK40" si="21">ABS(BF16)</f>
        <v>0</v>
      </c>
      <c r="BL16" s="7">
        <f t="shared" ref="BL16:BL40" si="22">BG16</f>
        <v>0</v>
      </c>
      <c r="BM16" s="2"/>
      <c r="BN16" s="1"/>
      <c r="BO16" s="4"/>
      <c r="BP16" s="2"/>
      <c r="BQ16" s="2"/>
      <c r="BR16" s="3"/>
      <c r="BS16" s="1"/>
      <c r="BT16" s="2"/>
      <c r="BU16" s="21"/>
      <c r="BV16" s="2"/>
      <c r="BW16" s="2"/>
      <c r="BX16" s="21"/>
      <c r="BY16" s="10"/>
    </row>
    <row r="17" spans="1:77" x14ac:dyDescent="0.25">
      <c r="A17" t="str">
        <f t="shared" si="3"/>
        <v>Appui</v>
      </c>
      <c r="B17" t="b">
        <f t="shared" si="4"/>
        <v>1</v>
      </c>
      <c r="C17">
        <f>IF(D17=D15,C15,C15+1)</f>
        <v>2</v>
      </c>
      <c r="D17" s="5" t="s">
        <v>110</v>
      </c>
      <c r="E17" t="s">
        <v>47</v>
      </c>
      <c r="F17" s="5">
        <v>25</v>
      </c>
      <c r="G17" t="s">
        <v>46</v>
      </c>
      <c r="H17">
        <v>500</v>
      </c>
      <c r="I17">
        <v>170000</v>
      </c>
      <c r="J17">
        <v>1300</v>
      </c>
      <c r="K17" s="10">
        <v>1445</v>
      </c>
      <c r="L17" s="12">
        <v>1</v>
      </c>
      <c r="M17" s="5">
        <v>0.215</v>
      </c>
      <c r="N17" s="10">
        <v>2</v>
      </c>
      <c r="O17" s="5">
        <v>7.7000000000000007E-4</v>
      </c>
      <c r="P17">
        <v>5.5E-2</v>
      </c>
      <c r="Q17" s="10">
        <v>1</v>
      </c>
      <c r="R17" s="8">
        <v>0</v>
      </c>
      <c r="S17">
        <v>0</v>
      </c>
      <c r="T17">
        <v>1</v>
      </c>
      <c r="U17" s="9">
        <v>0</v>
      </c>
      <c r="V17">
        <v>0</v>
      </c>
      <c r="W17" s="10">
        <v>0</v>
      </c>
      <c r="X17" s="1">
        <v>38.675999999999988</v>
      </c>
      <c r="Y17" s="2">
        <v>11.747999999999999</v>
      </c>
      <c r="Z17" s="13">
        <v>0</v>
      </c>
      <c r="AA17" s="2">
        <v>38.675999999999988</v>
      </c>
      <c r="AB17" s="2">
        <v>11.747999999999999</v>
      </c>
      <c r="AC17" s="2">
        <v>66</v>
      </c>
      <c r="AD17" s="2"/>
      <c r="AE17" s="7">
        <v>50.423999999999992</v>
      </c>
      <c r="AF17" s="2">
        <v>38.675999999999988</v>
      </c>
      <c r="AG17" s="2">
        <v>11.747999999999999</v>
      </c>
      <c r="AH17" s="2">
        <v>9.9732287446183197</v>
      </c>
      <c r="AI17" s="2">
        <v>3.0294107790820179</v>
      </c>
      <c r="AJ17" s="2">
        <v>-331.9729784250539</v>
      </c>
      <c r="AK17" s="2">
        <v>-100.8382084635829</v>
      </c>
      <c r="AL17" s="2">
        <v>0</v>
      </c>
      <c r="AM17" s="2">
        <v>0</v>
      </c>
      <c r="AN17" s="2">
        <v>66</v>
      </c>
      <c r="AO17" s="2">
        <v>54.853519619388152</v>
      </c>
      <c r="AP17" s="2">
        <v>54.853519619388152</v>
      </c>
      <c r="AQ17" s="2">
        <v>0</v>
      </c>
      <c r="AR17" s="2">
        <v>0</v>
      </c>
      <c r="AS17" s="2">
        <v>0</v>
      </c>
      <c r="AT17" s="2">
        <v>0</v>
      </c>
      <c r="AU17" s="1">
        <v>50.423999999999992</v>
      </c>
      <c r="AV17" s="2">
        <v>11.004320089383169</v>
      </c>
      <c r="AW17" s="2">
        <v>-436.04323633765279</v>
      </c>
      <c r="AX17" s="2">
        <v>54.853519619388152</v>
      </c>
      <c r="AZ17" s="1">
        <f t="shared" si="13"/>
        <v>38.675999999999988</v>
      </c>
      <c r="BA17" s="2">
        <f t="shared" si="14"/>
        <v>9.9732287446183197</v>
      </c>
      <c r="BB17" s="7">
        <f t="shared" si="15"/>
        <v>-331.9729784250539</v>
      </c>
      <c r="BC17" s="1">
        <f t="shared" si="16"/>
        <v>11.747999999999999</v>
      </c>
      <c r="BD17" s="2">
        <f t="shared" si="17"/>
        <v>3.0294107790820179</v>
      </c>
      <c r="BE17" s="2">
        <f t="shared" si="18"/>
        <v>-100.8382084635829</v>
      </c>
      <c r="BF17" s="2">
        <f t="shared" si="18"/>
        <v>0</v>
      </c>
      <c r="BG17" s="7">
        <f t="shared" si="18"/>
        <v>0</v>
      </c>
      <c r="BH17" s="1">
        <f t="shared" si="19"/>
        <v>50.423999999999985</v>
      </c>
      <c r="BI17" s="2">
        <f t="shared" si="19"/>
        <v>13.002639523700338</v>
      </c>
      <c r="BJ17" s="2">
        <f t="shared" si="20"/>
        <v>432.81118688863683</v>
      </c>
      <c r="BK17" s="2">
        <f t="shared" si="21"/>
        <v>0</v>
      </c>
      <c r="BL17" s="7">
        <f t="shared" si="22"/>
        <v>0</v>
      </c>
      <c r="BM17" s="2"/>
      <c r="BN17" s="1"/>
      <c r="BO17" s="4"/>
      <c r="BP17" s="2"/>
      <c r="BQ17" s="2"/>
      <c r="BR17" s="3"/>
      <c r="BS17" s="1"/>
      <c r="BT17" s="2"/>
      <c r="BU17" s="21"/>
      <c r="BV17" s="2"/>
      <c r="BW17" s="2"/>
      <c r="BX17" s="21"/>
      <c r="BY17" s="15"/>
    </row>
    <row r="18" spans="1:77" x14ac:dyDescent="0.25">
      <c r="A18" t="str">
        <f t="shared" si="3"/>
        <v>Travée</v>
      </c>
      <c r="B18" t="b">
        <f t="shared" si="4"/>
        <v>1</v>
      </c>
      <c r="C18">
        <f t="shared" si="7"/>
        <v>2</v>
      </c>
      <c r="D18" s="5" t="s">
        <v>110</v>
      </c>
      <c r="E18" t="s">
        <v>48</v>
      </c>
      <c r="F18" s="5">
        <v>25</v>
      </c>
      <c r="G18" t="s">
        <v>46</v>
      </c>
      <c r="H18">
        <v>500</v>
      </c>
      <c r="I18">
        <v>170000</v>
      </c>
      <c r="J18">
        <v>1300</v>
      </c>
      <c r="K18" s="10">
        <v>1445</v>
      </c>
      <c r="L18" s="12">
        <v>1</v>
      </c>
      <c r="M18" s="5">
        <v>0.215</v>
      </c>
      <c r="N18" s="10">
        <v>2</v>
      </c>
      <c r="O18" s="5">
        <v>5.1400000000000003E-4</v>
      </c>
      <c r="P18">
        <v>0.04</v>
      </c>
      <c r="Q18" s="10">
        <v>1</v>
      </c>
      <c r="R18" s="8">
        <v>0</v>
      </c>
      <c r="S18">
        <v>0</v>
      </c>
      <c r="T18">
        <v>1</v>
      </c>
      <c r="U18" s="9">
        <v>2.9099999999999999E-5</v>
      </c>
      <c r="V18">
        <v>0</v>
      </c>
      <c r="W18" s="10">
        <v>7</v>
      </c>
      <c r="X18" s="1">
        <v>37.503999999999998</v>
      </c>
      <c r="Y18" s="2">
        <v>11.391999999999999</v>
      </c>
      <c r="Z18" s="13">
        <v>0</v>
      </c>
      <c r="AA18" s="2">
        <v>37.503999999999998</v>
      </c>
      <c r="AB18" s="2">
        <v>11.391999999999999</v>
      </c>
      <c r="AC18" s="2">
        <v>64</v>
      </c>
      <c r="AD18" s="2"/>
      <c r="AE18" s="7">
        <v>48.896000000000001</v>
      </c>
      <c r="AF18" s="2">
        <v>37.503999999999998</v>
      </c>
      <c r="AG18" s="2">
        <v>11.391999999999999</v>
      </c>
      <c r="AH18" s="2">
        <v>10.09124772663343</v>
      </c>
      <c r="AI18" s="2">
        <v>2.4332224936382332</v>
      </c>
      <c r="AJ18" s="2">
        <v>-435.58842861819937</v>
      </c>
      <c r="AK18" s="2">
        <v>-87.181971832575101</v>
      </c>
      <c r="AL18" s="2">
        <v>0</v>
      </c>
      <c r="AM18" s="2">
        <v>-94.046721002617616</v>
      </c>
      <c r="AN18" s="2">
        <v>64</v>
      </c>
      <c r="AO18" s="2">
        <v>40.943613166806287</v>
      </c>
      <c r="AP18" s="2">
        <v>97.117633569329882</v>
      </c>
      <c r="AQ18" s="2">
        <v>9.9084329454460089</v>
      </c>
      <c r="AR18" s="2">
        <v>-435.41250965134509</v>
      </c>
      <c r="AS18" s="2">
        <v>0</v>
      </c>
      <c r="AT18" s="2">
        <v>-663.15838587711926</v>
      </c>
      <c r="AU18" s="1">
        <v>48.896000000000001</v>
      </c>
      <c r="AV18" s="2">
        <v>0</v>
      </c>
      <c r="AW18" s="2">
        <v>0</v>
      </c>
      <c r="AX18" s="2">
        <v>40.943613166806287</v>
      </c>
      <c r="AZ18" s="1">
        <f t="shared" si="13"/>
        <v>37.503999999999998</v>
      </c>
      <c r="BA18" s="2">
        <f t="shared" si="14"/>
        <v>10.09124772663343</v>
      </c>
      <c r="BB18" s="7">
        <f t="shared" si="15"/>
        <v>-435.58842861819937</v>
      </c>
      <c r="BC18" s="1">
        <f t="shared" si="16"/>
        <v>11.391999999999999</v>
      </c>
      <c r="BD18" s="2">
        <f t="shared" si="17"/>
        <v>2.4332224936382332</v>
      </c>
      <c r="BE18" s="2">
        <f t="shared" si="18"/>
        <v>-87.181971832575101</v>
      </c>
      <c r="BF18" s="2">
        <f t="shared" si="18"/>
        <v>0</v>
      </c>
      <c r="BG18" s="7">
        <f t="shared" si="18"/>
        <v>-94.046721002617616</v>
      </c>
      <c r="BH18" s="1">
        <f t="shared" si="19"/>
        <v>48.896000000000001</v>
      </c>
      <c r="BI18" s="2">
        <f t="shared" si="19"/>
        <v>12.524470220271663</v>
      </c>
      <c r="BJ18" s="2">
        <f t="shared" si="20"/>
        <v>522.77040045077445</v>
      </c>
      <c r="BK18" s="2">
        <f t="shared" si="21"/>
        <v>0</v>
      </c>
      <c r="BL18" s="7">
        <f t="shared" si="22"/>
        <v>-94.046721002617616</v>
      </c>
      <c r="BM18" s="2"/>
      <c r="BN18" s="1"/>
      <c r="BO18" s="4"/>
      <c r="BP18" s="2"/>
      <c r="BQ18" s="2"/>
      <c r="BR18" s="3"/>
      <c r="BS18" s="1"/>
      <c r="BT18" s="2"/>
      <c r="BU18" s="21"/>
      <c r="BV18" s="2"/>
      <c r="BW18" s="2"/>
      <c r="BX18" s="21"/>
      <c r="BY18" s="10"/>
    </row>
    <row r="19" spans="1:77" x14ac:dyDescent="0.25">
      <c r="A19" t="str">
        <f t="shared" si="3"/>
        <v>Appui</v>
      </c>
      <c r="B19" t="b">
        <f t="shared" si="4"/>
        <v>1</v>
      </c>
      <c r="C19">
        <f t="shared" si="7"/>
        <v>2</v>
      </c>
      <c r="D19" s="5" t="s">
        <v>110</v>
      </c>
      <c r="E19" t="s">
        <v>49</v>
      </c>
      <c r="F19" s="5">
        <v>25</v>
      </c>
      <c r="G19" t="s">
        <v>46</v>
      </c>
      <c r="H19">
        <v>500</v>
      </c>
      <c r="I19">
        <v>170000</v>
      </c>
      <c r="J19">
        <v>1300</v>
      </c>
      <c r="K19" s="10">
        <v>1445</v>
      </c>
      <c r="L19" s="12">
        <v>1</v>
      </c>
      <c r="M19" s="5">
        <v>0.215</v>
      </c>
      <c r="N19" s="10">
        <v>2</v>
      </c>
      <c r="O19" s="5">
        <v>1.01E-3</v>
      </c>
      <c r="P19">
        <v>5.5E-2</v>
      </c>
      <c r="Q19" s="10">
        <v>1</v>
      </c>
      <c r="R19" s="8">
        <v>0</v>
      </c>
      <c r="S19">
        <v>0</v>
      </c>
      <c r="T19">
        <v>1</v>
      </c>
      <c r="U19" s="9">
        <v>0</v>
      </c>
      <c r="V19">
        <v>0</v>
      </c>
      <c r="W19" s="10">
        <v>0</v>
      </c>
      <c r="X19" s="1">
        <v>48.344999999999999</v>
      </c>
      <c r="Y19" s="2">
        <v>14.685</v>
      </c>
      <c r="Z19" s="13">
        <v>0</v>
      </c>
      <c r="AA19" s="2">
        <v>48.344999999999999</v>
      </c>
      <c r="AB19" s="2">
        <v>14.685</v>
      </c>
      <c r="AC19" s="2">
        <v>82.5</v>
      </c>
      <c r="AD19" s="2"/>
      <c r="AE19" s="7">
        <v>63.03</v>
      </c>
      <c r="AF19" s="2">
        <v>48.344999999999999</v>
      </c>
      <c r="AG19" s="2">
        <v>14.685</v>
      </c>
      <c r="AH19" s="2">
        <v>11.107504326786399</v>
      </c>
      <c r="AI19" s="2">
        <v>3.3739518262252228</v>
      </c>
      <c r="AJ19" s="2">
        <v>-318.67474012476669</v>
      </c>
      <c r="AK19" s="2">
        <v>-96.798811846772139</v>
      </c>
      <c r="AL19" s="2">
        <v>0</v>
      </c>
      <c r="AM19" s="2">
        <v>0</v>
      </c>
      <c r="AN19" s="2">
        <v>82.5</v>
      </c>
      <c r="AO19" s="2">
        <v>70.122995185943253</v>
      </c>
      <c r="AP19" s="2">
        <v>70.122995185943253</v>
      </c>
      <c r="AQ19" s="2">
        <v>0</v>
      </c>
      <c r="AR19" s="2">
        <v>0</v>
      </c>
      <c r="AS19" s="2">
        <v>0</v>
      </c>
      <c r="AT19" s="2">
        <v>0</v>
      </c>
      <c r="AU19" s="1">
        <v>63.03</v>
      </c>
      <c r="AV19" s="2">
        <v>9.9095368843798131</v>
      </c>
      <c r="AW19" s="2">
        <v>-427.67829054492711</v>
      </c>
      <c r="AX19" s="2">
        <v>70.122995185943253</v>
      </c>
      <c r="AZ19" s="1">
        <f t="shared" si="13"/>
        <v>48.344999999999999</v>
      </c>
      <c r="BA19" s="2">
        <f t="shared" si="14"/>
        <v>11.107504326786399</v>
      </c>
      <c r="BB19" s="7">
        <f t="shared" si="15"/>
        <v>-318.67474012476669</v>
      </c>
      <c r="BC19" s="1">
        <f t="shared" si="16"/>
        <v>14.685</v>
      </c>
      <c r="BD19" s="2">
        <f t="shared" si="17"/>
        <v>3.3739518262252228</v>
      </c>
      <c r="BE19" s="2">
        <f t="shared" si="18"/>
        <v>-96.798811846772139</v>
      </c>
      <c r="BF19" s="2">
        <f t="shared" si="18"/>
        <v>0</v>
      </c>
      <c r="BG19" s="7">
        <f t="shared" si="18"/>
        <v>0</v>
      </c>
      <c r="BH19" s="1">
        <f t="shared" si="19"/>
        <v>63.03</v>
      </c>
      <c r="BI19" s="2">
        <f t="shared" si="19"/>
        <v>14.481456153011623</v>
      </c>
      <c r="BJ19" s="2">
        <f t="shared" si="20"/>
        <v>415.47355197153883</v>
      </c>
      <c r="BK19" s="2">
        <f t="shared" si="21"/>
        <v>0</v>
      </c>
      <c r="BL19" s="7">
        <f t="shared" si="22"/>
        <v>0</v>
      </c>
      <c r="BM19" s="2"/>
      <c r="BN19" s="1"/>
      <c r="BO19" s="4"/>
      <c r="BP19" s="2"/>
      <c r="BQ19" s="2"/>
      <c r="BR19" s="3"/>
      <c r="BS19" s="1"/>
      <c r="BT19" s="2"/>
      <c r="BU19" s="21"/>
      <c r="BV19" s="2"/>
      <c r="BW19" s="2"/>
      <c r="BX19" s="21"/>
      <c r="BY19" s="15"/>
    </row>
    <row r="20" spans="1:77" x14ac:dyDescent="0.25">
      <c r="A20" t="str">
        <f t="shared" si="3"/>
        <v>Travée</v>
      </c>
      <c r="B20" t="b">
        <f t="shared" si="4"/>
        <v>1</v>
      </c>
      <c r="C20">
        <f t="shared" si="7"/>
        <v>2</v>
      </c>
      <c r="D20" s="5" t="s">
        <v>110</v>
      </c>
      <c r="E20" t="s">
        <v>51</v>
      </c>
      <c r="F20" s="5">
        <v>25</v>
      </c>
      <c r="G20" t="s">
        <v>46</v>
      </c>
      <c r="H20">
        <v>500</v>
      </c>
      <c r="I20">
        <v>170000</v>
      </c>
      <c r="J20">
        <v>1300</v>
      </c>
      <c r="K20" s="10">
        <v>1445</v>
      </c>
      <c r="L20" s="12">
        <v>1</v>
      </c>
      <c r="M20" s="5">
        <v>0.215</v>
      </c>
      <c r="N20" s="10">
        <v>2</v>
      </c>
      <c r="O20" s="5">
        <v>7.7000000000000007E-4</v>
      </c>
      <c r="P20">
        <v>0.04</v>
      </c>
      <c r="Q20" s="10">
        <v>1</v>
      </c>
      <c r="R20" s="8">
        <v>0</v>
      </c>
      <c r="S20">
        <v>0</v>
      </c>
      <c r="T20">
        <v>1</v>
      </c>
      <c r="U20" s="9">
        <v>2.9099999999999999E-5</v>
      </c>
      <c r="V20">
        <v>0</v>
      </c>
      <c r="W20" s="10">
        <v>7</v>
      </c>
      <c r="X20" s="1">
        <v>30.75328</v>
      </c>
      <c r="Y20" s="2">
        <v>9.3414400000000004</v>
      </c>
      <c r="Z20" s="13">
        <v>0</v>
      </c>
      <c r="AA20" s="2">
        <v>30.75328</v>
      </c>
      <c r="AB20" s="2">
        <v>9.3414400000000004</v>
      </c>
      <c r="AC20" s="2">
        <v>52.48</v>
      </c>
      <c r="AD20" s="2"/>
      <c r="AE20" s="7">
        <v>40.094720000000002</v>
      </c>
      <c r="AF20" s="2">
        <v>30.75328</v>
      </c>
      <c r="AG20" s="2">
        <v>9.3414400000000004</v>
      </c>
      <c r="AH20" s="2">
        <v>6.904924818016565</v>
      </c>
      <c r="AI20" s="2">
        <v>1.7808677105684849</v>
      </c>
      <c r="AJ20" s="2">
        <v>-240.66774580193109</v>
      </c>
      <c r="AK20" s="2">
        <v>-54.263457337640787</v>
      </c>
      <c r="AL20" s="2">
        <v>0</v>
      </c>
      <c r="AM20" s="2">
        <v>-58.865049209813023</v>
      </c>
      <c r="AN20" s="2">
        <v>52.48</v>
      </c>
      <c r="AO20" s="2">
        <v>60.528808187177717</v>
      </c>
      <c r="AP20" s="2">
        <v>114.7199642682134</v>
      </c>
      <c r="AQ20" s="2">
        <v>7.1036725858776988</v>
      </c>
      <c r="AR20" s="2">
        <v>-310.57743604575762</v>
      </c>
      <c r="AS20" s="2">
        <v>0</v>
      </c>
      <c r="AT20" s="2">
        <v>-343.17865869636648</v>
      </c>
      <c r="AU20" s="1">
        <v>40.094720000000002</v>
      </c>
      <c r="AV20" s="2">
        <v>6.416474490268147</v>
      </c>
      <c r="AW20" s="2">
        <v>-320.69856911139232</v>
      </c>
      <c r="AX20" s="2">
        <v>60.528808187177717</v>
      </c>
      <c r="AZ20" s="1">
        <f t="shared" si="13"/>
        <v>30.75328</v>
      </c>
      <c r="BA20" s="2">
        <f t="shared" si="14"/>
        <v>6.904924818016565</v>
      </c>
      <c r="BB20" s="7">
        <f t="shared" si="15"/>
        <v>-240.66774580193109</v>
      </c>
      <c r="BC20" s="1">
        <f t="shared" si="16"/>
        <v>9.3414400000000004</v>
      </c>
      <c r="BD20" s="2">
        <f t="shared" si="17"/>
        <v>1.7808677105684849</v>
      </c>
      <c r="BE20" s="2">
        <f t="shared" si="18"/>
        <v>-54.263457337640787</v>
      </c>
      <c r="BF20" s="2">
        <f t="shared" si="18"/>
        <v>0</v>
      </c>
      <c r="BG20" s="7">
        <f t="shared" si="18"/>
        <v>-58.865049209813023</v>
      </c>
      <c r="BH20" s="1">
        <f t="shared" si="19"/>
        <v>40.094720000000002</v>
      </c>
      <c r="BI20" s="2">
        <f t="shared" si="19"/>
        <v>8.6857925285850506</v>
      </c>
      <c r="BJ20" s="2">
        <f t="shared" si="20"/>
        <v>294.93120313957189</v>
      </c>
      <c r="BK20" s="2">
        <f t="shared" si="21"/>
        <v>0</v>
      </c>
      <c r="BL20" s="7">
        <f t="shared" si="22"/>
        <v>-58.865049209813023</v>
      </c>
      <c r="BM20" s="2"/>
      <c r="BN20" s="1"/>
      <c r="BO20" s="4"/>
      <c r="BP20" s="2"/>
      <c r="BQ20" s="2"/>
      <c r="BR20" s="3"/>
      <c r="BS20" s="1"/>
      <c r="BT20" s="2"/>
      <c r="BU20" s="21"/>
      <c r="BV20" s="2"/>
      <c r="BW20" s="2"/>
      <c r="BX20" s="21"/>
      <c r="BY20" s="10"/>
    </row>
    <row r="21" spans="1:77" x14ac:dyDescent="0.25">
      <c r="A21" t="str">
        <f t="shared" si="3"/>
        <v>Appui</v>
      </c>
      <c r="B21" t="b">
        <f t="shared" si="4"/>
        <v>1</v>
      </c>
      <c r="C21">
        <f t="shared" si="7"/>
        <v>2</v>
      </c>
      <c r="D21" s="5" t="s">
        <v>110</v>
      </c>
      <c r="E21" t="s">
        <v>52</v>
      </c>
      <c r="F21" s="5">
        <v>25</v>
      </c>
      <c r="G21" t="s">
        <v>46</v>
      </c>
      <c r="H21">
        <v>500</v>
      </c>
      <c r="I21">
        <v>170000</v>
      </c>
      <c r="J21">
        <v>1300</v>
      </c>
      <c r="K21" s="10">
        <v>1445</v>
      </c>
      <c r="L21" s="12">
        <v>1</v>
      </c>
      <c r="M21" s="5">
        <v>0.215</v>
      </c>
      <c r="N21" s="10">
        <v>2</v>
      </c>
      <c r="O21" s="5">
        <v>1.01E-3</v>
      </c>
      <c r="P21">
        <v>5.5E-2</v>
      </c>
      <c r="Q21" s="10">
        <v>1</v>
      </c>
      <c r="R21" s="8">
        <v>0</v>
      </c>
      <c r="S21">
        <v>0</v>
      </c>
      <c r="T21">
        <v>1</v>
      </c>
      <c r="U21" s="9">
        <v>0</v>
      </c>
      <c r="V21">
        <v>0</v>
      </c>
      <c r="W21" s="10">
        <v>0</v>
      </c>
      <c r="X21" s="1">
        <v>36.742199999999997</v>
      </c>
      <c r="Y21" s="2">
        <v>11.160600000000001</v>
      </c>
      <c r="Z21" s="13">
        <v>0</v>
      </c>
      <c r="AA21" s="2">
        <v>36.742199999999997</v>
      </c>
      <c r="AB21" s="2">
        <v>11.160600000000001</v>
      </c>
      <c r="AC21" s="2">
        <v>62.7</v>
      </c>
      <c r="AD21" s="2"/>
      <c r="AE21" s="7">
        <v>47.902799999999999</v>
      </c>
      <c r="AF21" s="2">
        <v>36.742199999999997</v>
      </c>
      <c r="AG21" s="2">
        <v>11.160600000000001</v>
      </c>
      <c r="AH21" s="2">
        <v>8.4417032883576741</v>
      </c>
      <c r="AI21" s="2">
        <v>2.5642033879311699</v>
      </c>
      <c r="AJ21" s="2">
        <v>-242.1928024948227</v>
      </c>
      <c r="AK21" s="2">
        <v>-73.567097003546834</v>
      </c>
      <c r="AL21" s="2">
        <v>0</v>
      </c>
      <c r="AM21" s="2">
        <v>0</v>
      </c>
      <c r="AN21" s="2">
        <v>62.7</v>
      </c>
      <c r="AO21" s="2">
        <v>70.122995185943253</v>
      </c>
      <c r="AP21" s="2">
        <v>70.122995185943253</v>
      </c>
      <c r="AQ21" s="2">
        <v>9.8652003586927499</v>
      </c>
      <c r="AR21" s="2">
        <v>-425.41748823304732</v>
      </c>
      <c r="AS21" s="2">
        <v>0</v>
      </c>
      <c r="AT21" s="2">
        <v>0</v>
      </c>
      <c r="AU21" s="1">
        <v>47.902799999999999</v>
      </c>
      <c r="AV21" s="2">
        <v>7.7857628944424153</v>
      </c>
      <c r="AW21" s="2">
        <v>-324.31077314589942</v>
      </c>
      <c r="AX21" s="2">
        <v>70.122995185943253</v>
      </c>
      <c r="AZ21" s="1">
        <f t="shared" si="13"/>
        <v>36.742199999999997</v>
      </c>
      <c r="BA21" s="2">
        <f t="shared" si="14"/>
        <v>8.4417032883576741</v>
      </c>
      <c r="BB21" s="7">
        <f t="shared" si="15"/>
        <v>-242.1928024948227</v>
      </c>
      <c r="BC21" s="1">
        <f t="shared" si="16"/>
        <v>11.160600000000001</v>
      </c>
      <c r="BD21" s="2">
        <f t="shared" si="17"/>
        <v>2.5642033879311699</v>
      </c>
      <c r="BE21" s="2">
        <f t="shared" si="18"/>
        <v>-73.567097003546834</v>
      </c>
      <c r="BF21" s="2">
        <f t="shared" si="18"/>
        <v>0</v>
      </c>
      <c r="BG21" s="7">
        <f t="shared" si="18"/>
        <v>0</v>
      </c>
      <c r="BH21" s="1">
        <f t="shared" si="19"/>
        <v>47.902799999999999</v>
      </c>
      <c r="BI21" s="2">
        <f t="shared" si="19"/>
        <v>11.005906676288845</v>
      </c>
      <c r="BJ21" s="2">
        <f t="shared" si="20"/>
        <v>315.75989949836952</v>
      </c>
      <c r="BK21" s="2">
        <f t="shared" si="21"/>
        <v>0</v>
      </c>
      <c r="BL21" s="7">
        <f t="shared" si="22"/>
        <v>0</v>
      </c>
      <c r="BM21" s="2"/>
      <c r="BN21" s="1"/>
      <c r="BO21" s="4"/>
      <c r="BP21" s="2"/>
      <c r="BQ21" s="2"/>
      <c r="BR21" s="3"/>
      <c r="BS21" s="1"/>
      <c r="BT21" s="2"/>
      <c r="BU21" s="21"/>
      <c r="BV21" s="2"/>
      <c r="BW21" s="2"/>
      <c r="BX21" s="21"/>
      <c r="BY21" s="15"/>
    </row>
    <row r="22" spans="1:77" x14ac:dyDescent="0.25">
      <c r="A22" t="str">
        <f t="shared" si="3"/>
        <v>Travée</v>
      </c>
      <c r="B22" t="b">
        <f t="shared" si="4"/>
        <v>1</v>
      </c>
      <c r="C22">
        <f>IF(D22=D20,C20,C20+1)</f>
        <v>2</v>
      </c>
      <c r="D22" s="5" t="s">
        <v>110</v>
      </c>
      <c r="E22" t="s">
        <v>53</v>
      </c>
      <c r="F22" s="5">
        <v>25</v>
      </c>
      <c r="G22" t="s">
        <v>46</v>
      </c>
      <c r="H22">
        <v>500</v>
      </c>
      <c r="I22">
        <v>170000</v>
      </c>
      <c r="J22">
        <v>1300</v>
      </c>
      <c r="K22" s="10">
        <v>1445</v>
      </c>
      <c r="L22" s="12">
        <v>1</v>
      </c>
      <c r="M22" s="5">
        <v>0.215</v>
      </c>
      <c r="N22" s="10">
        <v>1.5</v>
      </c>
      <c r="O22" s="5">
        <v>5.7750000000000011E-4</v>
      </c>
      <c r="P22">
        <v>0.04</v>
      </c>
      <c r="Q22" s="10">
        <v>1</v>
      </c>
      <c r="R22" s="8">
        <v>0</v>
      </c>
      <c r="S22">
        <v>0</v>
      </c>
      <c r="T22">
        <v>1</v>
      </c>
      <c r="U22" s="9">
        <v>2.9099999999999999E-5</v>
      </c>
      <c r="V22">
        <v>0</v>
      </c>
      <c r="W22" s="10">
        <v>2</v>
      </c>
      <c r="X22" s="1">
        <v>32.253439999999998</v>
      </c>
      <c r="Y22" s="2">
        <v>9.7971199999999996</v>
      </c>
      <c r="Z22" s="13">
        <v>0</v>
      </c>
      <c r="AA22" s="2">
        <v>32.253439999999998</v>
      </c>
      <c r="AB22" s="2">
        <v>9.7971199999999996</v>
      </c>
      <c r="AC22" s="2">
        <v>55.04</v>
      </c>
      <c r="AD22" s="2"/>
      <c r="AE22" s="7">
        <v>42.050559999999997</v>
      </c>
      <c r="AF22" s="2">
        <v>32.253439999999998</v>
      </c>
      <c r="AG22" s="2">
        <v>9.7971199999999996</v>
      </c>
      <c r="AH22" s="2">
        <v>9.6556672251938931</v>
      </c>
      <c r="AI22" s="2">
        <v>2.7375925649790682</v>
      </c>
      <c r="AJ22" s="2">
        <v>-336.54351445473299</v>
      </c>
      <c r="AK22" s="2">
        <v>-90.287248089842123</v>
      </c>
      <c r="AL22" s="2">
        <v>0</v>
      </c>
      <c r="AM22" s="2">
        <v>-97.665264005133125</v>
      </c>
      <c r="AN22" s="2">
        <v>55.04</v>
      </c>
      <c r="AO22" s="2">
        <v>45.396606140383199</v>
      </c>
      <c r="AP22" s="2">
        <v>59.072936349027628</v>
      </c>
      <c r="AQ22" s="2">
        <v>12.92993127529591</v>
      </c>
      <c r="AR22" s="2">
        <v>-437.00816947407759</v>
      </c>
      <c r="AS22" s="2">
        <v>0</v>
      </c>
      <c r="AT22" s="2">
        <v>-1134.0870497405001</v>
      </c>
      <c r="AU22" s="1">
        <v>42.050559999999997</v>
      </c>
      <c r="AV22" s="2">
        <v>12.48624112211496</v>
      </c>
      <c r="AW22" s="2">
        <v>-437.71043361681791</v>
      </c>
      <c r="AX22" s="2">
        <v>45.396606140383199</v>
      </c>
      <c r="AZ22" s="1">
        <f t="shared" si="13"/>
        <v>32.253439999999998</v>
      </c>
      <c r="BA22" s="2">
        <f t="shared" si="14"/>
        <v>9.6556672251938931</v>
      </c>
      <c r="BB22" s="7">
        <f t="shared" si="15"/>
        <v>-336.54351445473299</v>
      </c>
      <c r="BC22" s="1">
        <f t="shared" si="16"/>
        <v>9.7971199999999996</v>
      </c>
      <c r="BD22" s="2">
        <f t="shared" si="17"/>
        <v>2.7375925649790682</v>
      </c>
      <c r="BE22" s="2">
        <f t="shared" si="18"/>
        <v>-90.287248089842123</v>
      </c>
      <c r="BF22" s="2">
        <f t="shared" si="18"/>
        <v>0</v>
      </c>
      <c r="BG22" s="7">
        <f t="shared" si="18"/>
        <v>-97.665264005133125</v>
      </c>
      <c r="BH22" s="1">
        <f t="shared" si="19"/>
        <v>42.050559999999997</v>
      </c>
      <c r="BI22" s="2">
        <f t="shared" si="19"/>
        <v>12.393259790172962</v>
      </c>
      <c r="BJ22" s="2">
        <f t="shared" si="20"/>
        <v>426.83076254457512</v>
      </c>
      <c r="BK22" s="2">
        <f t="shared" si="21"/>
        <v>0</v>
      </c>
      <c r="BL22" s="7">
        <f t="shared" si="22"/>
        <v>-97.665264005133125</v>
      </c>
      <c r="BM22" s="2"/>
      <c r="BN22" s="1"/>
      <c r="BO22" s="4"/>
      <c r="BP22" s="2"/>
      <c r="BQ22" s="2"/>
      <c r="BR22" s="3"/>
      <c r="BS22" s="1"/>
      <c r="BT22" s="2"/>
      <c r="BU22" s="21"/>
      <c r="BV22" s="2"/>
      <c r="BW22" s="2"/>
      <c r="BX22" s="21"/>
      <c r="BY22" s="10"/>
    </row>
    <row r="23" spans="1:77" x14ac:dyDescent="0.25">
      <c r="A23" t="str">
        <f t="shared" si="3"/>
        <v/>
      </c>
      <c r="B23" t="b">
        <f t="shared" si="4"/>
        <v>1</v>
      </c>
      <c r="C23">
        <f t="shared" si="7"/>
        <v>2</v>
      </c>
      <c r="D23" s="5" t="s">
        <v>110</v>
      </c>
      <c r="F23" s="5"/>
      <c r="K23" s="10"/>
      <c r="L23" s="12"/>
      <c r="M23" s="5"/>
      <c r="N23" s="10"/>
      <c r="O23" s="5"/>
      <c r="Q23" s="10"/>
      <c r="R23" s="8"/>
      <c r="U23" s="9"/>
      <c r="W23" s="10"/>
      <c r="X23" s="1"/>
      <c r="Y23" s="2"/>
      <c r="Z23" s="13"/>
      <c r="AA23" s="2"/>
      <c r="AB23" s="2"/>
      <c r="AC23" s="2"/>
      <c r="AD23" s="2"/>
      <c r="AE23" s="7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"/>
      <c r="AV23" s="2"/>
      <c r="AW23" s="2"/>
      <c r="AX23" s="2"/>
      <c r="AZ23" s="1"/>
      <c r="BA23" s="2"/>
      <c r="BB23" s="7"/>
      <c r="BC23" s="1"/>
      <c r="BD23" s="2"/>
      <c r="BE23" s="2"/>
      <c r="BF23" s="2"/>
      <c r="BG23" s="7"/>
      <c r="BH23" s="1"/>
      <c r="BI23" s="2"/>
      <c r="BJ23" s="2"/>
      <c r="BK23" s="2"/>
      <c r="BL23" s="7"/>
      <c r="BM23" s="2"/>
      <c r="BN23" s="1"/>
      <c r="BO23" s="4"/>
      <c r="BP23" s="2"/>
      <c r="BQ23" s="2"/>
      <c r="BR23" s="3"/>
      <c r="BS23" s="1"/>
      <c r="BT23" s="2"/>
      <c r="BU23" s="21"/>
      <c r="BV23" s="2"/>
      <c r="BW23" s="2"/>
      <c r="BX23" s="21"/>
      <c r="BY23" s="15"/>
    </row>
    <row r="24" spans="1:77" x14ac:dyDescent="0.25">
      <c r="A24" t="str">
        <f t="shared" si="3"/>
        <v>Travée</v>
      </c>
      <c r="B24" t="b">
        <f t="shared" si="4"/>
        <v>0</v>
      </c>
      <c r="C24">
        <f t="shared" si="7"/>
        <v>3</v>
      </c>
      <c r="D24" s="5" t="s">
        <v>111</v>
      </c>
      <c r="E24" t="s">
        <v>45</v>
      </c>
      <c r="F24" s="5">
        <v>25</v>
      </c>
      <c r="G24" t="s">
        <v>46</v>
      </c>
      <c r="H24">
        <v>500</v>
      </c>
      <c r="I24">
        <v>170000</v>
      </c>
      <c r="J24">
        <v>1300</v>
      </c>
      <c r="K24" s="10">
        <v>1445</v>
      </c>
      <c r="L24" s="12">
        <v>1</v>
      </c>
      <c r="M24" s="5">
        <v>0.215</v>
      </c>
      <c r="N24" s="10">
        <v>2.5</v>
      </c>
      <c r="O24" s="5">
        <v>6.4250000000000006E-4</v>
      </c>
      <c r="P24">
        <v>0.04</v>
      </c>
      <c r="Q24" s="10">
        <v>1</v>
      </c>
      <c r="R24" s="8">
        <v>0</v>
      </c>
      <c r="S24">
        <v>0</v>
      </c>
      <c r="T24">
        <v>1</v>
      </c>
      <c r="U24" s="9">
        <v>0</v>
      </c>
      <c r="V24">
        <v>0</v>
      </c>
      <c r="W24" s="10">
        <v>0</v>
      </c>
      <c r="X24" s="1">
        <v>11.251200000000001</v>
      </c>
      <c r="Y24" s="2">
        <v>3.4176000000000002</v>
      </c>
      <c r="Z24" s="13">
        <v>0</v>
      </c>
      <c r="AA24" s="2">
        <v>11.251200000000001</v>
      </c>
      <c r="AB24" s="2">
        <v>3.4176000000000002</v>
      </c>
      <c r="AC24" s="2">
        <v>19.2</v>
      </c>
      <c r="AD24" s="2"/>
      <c r="AE24" s="7">
        <v>14.668799999999999</v>
      </c>
      <c r="AF24" s="2">
        <v>11.251200000000001</v>
      </c>
      <c r="AG24" s="2">
        <v>3.4176000000000002</v>
      </c>
      <c r="AH24" s="2">
        <v>2.4219049669177091</v>
      </c>
      <c r="AI24" s="2">
        <v>0.73566443248503732</v>
      </c>
      <c r="AJ24" s="2">
        <v>-104.5411876991087</v>
      </c>
      <c r="AK24" s="2">
        <v>-31.754828782698091</v>
      </c>
      <c r="AL24" s="2">
        <v>0</v>
      </c>
      <c r="AM24" s="2">
        <v>0</v>
      </c>
      <c r="AN24" s="2">
        <v>19.2</v>
      </c>
      <c r="AO24" s="2">
        <v>51.179516458507877</v>
      </c>
      <c r="AP24" s="2">
        <v>51.179516458507877</v>
      </c>
      <c r="AQ24" s="2">
        <v>3.0224628423675899</v>
      </c>
      <c r="AR24" s="2">
        <v>-181.47633731988321</v>
      </c>
      <c r="AS24" s="2">
        <v>0</v>
      </c>
      <c r="AT24" s="2">
        <v>0</v>
      </c>
      <c r="AU24" s="1">
        <v>14.668799999999999</v>
      </c>
      <c r="AV24" s="2">
        <v>2.3260412711346441</v>
      </c>
      <c r="AW24" s="2">
        <v>-138.60274078702349</v>
      </c>
      <c r="AX24" s="2">
        <v>51.179516458507877</v>
      </c>
      <c r="AZ24" s="1">
        <f t="shared" si="13"/>
        <v>11.251200000000001</v>
      </c>
      <c r="BA24" s="2">
        <f t="shared" si="14"/>
        <v>2.4219049669177091</v>
      </c>
      <c r="BB24" s="7">
        <f t="shared" si="15"/>
        <v>-104.5411876991087</v>
      </c>
      <c r="BC24" s="1">
        <f t="shared" si="16"/>
        <v>3.4176000000000002</v>
      </c>
      <c r="BD24" s="2">
        <f t="shared" si="17"/>
        <v>0.73566443248503732</v>
      </c>
      <c r="BE24" s="2">
        <f t="shared" si="18"/>
        <v>-31.754828782698091</v>
      </c>
      <c r="BF24" s="2">
        <f t="shared" si="18"/>
        <v>0</v>
      </c>
      <c r="BG24" s="7">
        <f t="shared" si="18"/>
        <v>0</v>
      </c>
      <c r="BH24" s="1">
        <f t="shared" si="19"/>
        <v>14.668800000000001</v>
      </c>
      <c r="BI24" s="2">
        <f t="shared" si="19"/>
        <v>3.1575693994027465</v>
      </c>
      <c r="BJ24" s="2">
        <f t="shared" si="20"/>
        <v>136.29601648180679</v>
      </c>
      <c r="BK24" s="2">
        <f t="shared" si="21"/>
        <v>0</v>
      </c>
      <c r="BL24" s="7">
        <f t="shared" si="22"/>
        <v>0</v>
      </c>
      <c r="BM24" s="2"/>
      <c r="BN24" s="1"/>
      <c r="BO24" s="4"/>
      <c r="BP24" s="2"/>
      <c r="BQ24" s="2"/>
      <c r="BR24" s="3"/>
      <c r="BS24" s="1"/>
      <c r="BT24" s="2"/>
      <c r="BU24" s="21"/>
      <c r="BV24" s="2"/>
      <c r="BW24" s="2"/>
      <c r="BX24" s="21"/>
      <c r="BY24" s="10"/>
    </row>
    <row r="25" spans="1:77" x14ac:dyDescent="0.25">
      <c r="A25" t="str">
        <f t="shared" si="3"/>
        <v>Appui</v>
      </c>
      <c r="B25" t="b">
        <f t="shared" si="4"/>
        <v>0</v>
      </c>
      <c r="C25">
        <f t="shared" si="7"/>
        <v>3</v>
      </c>
      <c r="D25" s="5" t="s">
        <v>111</v>
      </c>
      <c r="E25" t="s">
        <v>47</v>
      </c>
      <c r="F25" s="5">
        <v>25</v>
      </c>
      <c r="G25" t="s">
        <v>46</v>
      </c>
      <c r="H25">
        <v>500</v>
      </c>
      <c r="I25">
        <v>170000</v>
      </c>
      <c r="J25">
        <v>1300</v>
      </c>
      <c r="K25" s="10">
        <v>1445</v>
      </c>
      <c r="L25" s="12">
        <v>1</v>
      </c>
      <c r="M25" s="5">
        <v>0.215</v>
      </c>
      <c r="N25" s="10">
        <v>2</v>
      </c>
      <c r="O25" s="5">
        <v>1.0059999999999999E-3</v>
      </c>
      <c r="P25">
        <v>5.5E-2</v>
      </c>
      <c r="Q25" s="10">
        <v>1</v>
      </c>
      <c r="R25" s="8">
        <v>0</v>
      </c>
      <c r="S25">
        <v>0</v>
      </c>
      <c r="T25">
        <v>1</v>
      </c>
      <c r="U25" s="9">
        <v>0</v>
      </c>
      <c r="V25">
        <v>0</v>
      </c>
      <c r="W25" s="10">
        <v>0</v>
      </c>
      <c r="X25" s="1">
        <v>32.229999999999997</v>
      </c>
      <c r="Y25" s="2">
        <v>9.7900000000000009</v>
      </c>
      <c r="Z25" s="13">
        <v>0</v>
      </c>
      <c r="AA25" s="2">
        <v>32.229999999999997</v>
      </c>
      <c r="AB25" s="2">
        <v>9.7900000000000009</v>
      </c>
      <c r="AC25" s="2">
        <v>55.000000000000007</v>
      </c>
      <c r="AD25" s="2"/>
      <c r="AE25" s="7">
        <v>42.02</v>
      </c>
      <c r="AF25" s="2">
        <v>32.229999999999997</v>
      </c>
      <c r="AG25" s="2">
        <v>9.7900000000000009</v>
      </c>
      <c r="AH25" s="2">
        <v>7.4178324098404174</v>
      </c>
      <c r="AI25" s="2">
        <v>2.2531982405317308</v>
      </c>
      <c r="AJ25" s="2">
        <v>-213.2680152379431</v>
      </c>
      <c r="AK25" s="2">
        <v>-64.781069475006632</v>
      </c>
      <c r="AL25" s="2">
        <v>0</v>
      </c>
      <c r="AM25" s="2">
        <v>0</v>
      </c>
      <c r="AN25" s="2">
        <v>55.000000000000007</v>
      </c>
      <c r="AO25" s="2">
        <v>69.880984950771875</v>
      </c>
      <c r="AP25" s="2">
        <v>69.880984950771875</v>
      </c>
      <c r="AQ25" s="2">
        <v>8.8168019775340447</v>
      </c>
      <c r="AR25" s="2">
        <v>-374.1697772573948</v>
      </c>
      <c r="AS25" s="2">
        <v>0</v>
      </c>
      <c r="AT25" s="2">
        <v>0</v>
      </c>
      <c r="AU25" s="1">
        <v>42.02</v>
      </c>
      <c r="AV25" s="2">
        <v>6.9219995076755847</v>
      </c>
      <c r="AW25" s="2">
        <v>-285.33827395990369</v>
      </c>
      <c r="AX25" s="2">
        <v>69.880984950771875</v>
      </c>
      <c r="AZ25" s="1">
        <f t="shared" si="13"/>
        <v>32.229999999999997</v>
      </c>
      <c r="BA25" s="2">
        <f t="shared" si="14"/>
        <v>7.4178324098404174</v>
      </c>
      <c r="BB25" s="7">
        <f t="shared" si="15"/>
        <v>-213.2680152379431</v>
      </c>
      <c r="BC25" s="1">
        <f t="shared" si="16"/>
        <v>9.7900000000000009</v>
      </c>
      <c r="BD25" s="2">
        <f t="shared" si="17"/>
        <v>2.2531982405317308</v>
      </c>
      <c r="BE25" s="2">
        <f t="shared" si="18"/>
        <v>-64.781069475006632</v>
      </c>
      <c r="BF25" s="2">
        <f t="shared" si="18"/>
        <v>0</v>
      </c>
      <c r="BG25" s="7">
        <f t="shared" si="18"/>
        <v>0</v>
      </c>
      <c r="BH25" s="1">
        <f t="shared" si="19"/>
        <v>42.019999999999996</v>
      </c>
      <c r="BI25" s="2">
        <f t="shared" si="19"/>
        <v>9.671030650372149</v>
      </c>
      <c r="BJ25" s="2">
        <f t="shared" si="20"/>
        <v>278.04908471294971</v>
      </c>
      <c r="BK25" s="2">
        <f t="shared" si="21"/>
        <v>0</v>
      </c>
      <c r="BL25" s="7">
        <f t="shared" si="22"/>
        <v>0</v>
      </c>
      <c r="BM25" s="2"/>
      <c r="BN25" s="1"/>
      <c r="BO25" s="4"/>
      <c r="BP25" s="2"/>
      <c r="BQ25" s="2"/>
      <c r="BR25" s="3"/>
      <c r="BS25" s="1"/>
      <c r="BT25" s="2"/>
      <c r="BU25" s="21"/>
      <c r="BV25" s="2"/>
      <c r="BW25" s="2"/>
      <c r="BX25" s="21"/>
      <c r="BY25" s="15"/>
    </row>
    <row r="26" spans="1:77" x14ac:dyDescent="0.25">
      <c r="A26" t="str">
        <f t="shared" si="3"/>
        <v>Travée</v>
      </c>
      <c r="B26" t="b">
        <f t="shared" si="4"/>
        <v>0</v>
      </c>
      <c r="C26">
        <f t="shared" si="7"/>
        <v>3</v>
      </c>
      <c r="D26" s="5" t="s">
        <v>111</v>
      </c>
      <c r="E26" t="s">
        <v>48</v>
      </c>
      <c r="F26" s="5">
        <v>25</v>
      </c>
      <c r="G26" t="s">
        <v>46</v>
      </c>
      <c r="H26">
        <v>500</v>
      </c>
      <c r="I26">
        <v>170000</v>
      </c>
      <c r="J26">
        <v>1300</v>
      </c>
      <c r="K26" s="10">
        <v>1445</v>
      </c>
      <c r="L26" s="12">
        <v>1</v>
      </c>
      <c r="M26" s="5">
        <v>0.215</v>
      </c>
      <c r="N26" s="10">
        <v>2</v>
      </c>
      <c r="O26" s="5">
        <v>5.1400000000000003E-4</v>
      </c>
      <c r="P26">
        <v>0.04</v>
      </c>
      <c r="Q26" s="10">
        <v>1</v>
      </c>
      <c r="R26" s="8">
        <v>0</v>
      </c>
      <c r="S26">
        <v>0</v>
      </c>
      <c r="T26">
        <v>1</v>
      </c>
      <c r="U26" s="9">
        <v>2.9099999999999999E-5</v>
      </c>
      <c r="V26">
        <v>0</v>
      </c>
      <c r="W26" s="10">
        <v>7</v>
      </c>
      <c r="X26" s="1">
        <v>37.503999999999998</v>
      </c>
      <c r="Y26" s="2">
        <v>11.391999999999999</v>
      </c>
      <c r="Z26" s="13">
        <v>0</v>
      </c>
      <c r="AA26" s="2">
        <v>37.503999999999998</v>
      </c>
      <c r="AB26" s="2">
        <v>11.391999999999999</v>
      </c>
      <c r="AC26" s="2">
        <v>64</v>
      </c>
      <c r="AD26" s="2"/>
      <c r="AE26" s="7">
        <v>48.896000000000001</v>
      </c>
      <c r="AF26" s="2">
        <v>37.503999999999998</v>
      </c>
      <c r="AG26" s="2">
        <v>11.391999999999999</v>
      </c>
      <c r="AH26" s="2">
        <v>10.09124772663343</v>
      </c>
      <c r="AI26" s="2">
        <v>2.4332224936382332</v>
      </c>
      <c r="AJ26" s="2">
        <v>-435.58842861819937</v>
      </c>
      <c r="AK26" s="2">
        <v>-87.181971832575101</v>
      </c>
      <c r="AL26" s="2">
        <v>0</v>
      </c>
      <c r="AM26" s="2">
        <v>-94.046721002617616</v>
      </c>
      <c r="AN26" s="2">
        <v>64</v>
      </c>
      <c r="AO26" s="2">
        <v>40.943613166806287</v>
      </c>
      <c r="AP26" s="2">
        <v>97.117633569329882</v>
      </c>
      <c r="AQ26" s="2">
        <v>9.9084329454460089</v>
      </c>
      <c r="AR26" s="2">
        <v>-435.41250965134509</v>
      </c>
      <c r="AS26" s="2">
        <v>0</v>
      </c>
      <c r="AT26" s="2">
        <v>-663.15838587711926</v>
      </c>
      <c r="AU26" s="1">
        <v>48.896000000000001</v>
      </c>
      <c r="AV26" s="2">
        <v>0</v>
      </c>
      <c r="AW26" s="2">
        <v>0</v>
      </c>
      <c r="AX26" s="2">
        <v>40.943613166806287</v>
      </c>
      <c r="AZ26" s="1">
        <f t="shared" si="13"/>
        <v>37.503999999999998</v>
      </c>
      <c r="BA26" s="2">
        <f t="shared" si="14"/>
        <v>10.09124772663343</v>
      </c>
      <c r="BB26" s="7">
        <f t="shared" si="15"/>
        <v>-435.58842861819937</v>
      </c>
      <c r="BC26" s="1">
        <f t="shared" si="16"/>
        <v>11.391999999999999</v>
      </c>
      <c r="BD26" s="2">
        <f t="shared" si="17"/>
        <v>2.4332224936382332</v>
      </c>
      <c r="BE26" s="2">
        <f t="shared" si="18"/>
        <v>-87.181971832575101</v>
      </c>
      <c r="BF26" s="2">
        <f t="shared" si="18"/>
        <v>0</v>
      </c>
      <c r="BG26" s="7">
        <f t="shared" si="18"/>
        <v>-94.046721002617616</v>
      </c>
      <c r="BH26" s="1">
        <f t="shared" si="19"/>
        <v>48.896000000000001</v>
      </c>
      <c r="BI26" s="2">
        <f t="shared" si="19"/>
        <v>12.524470220271663</v>
      </c>
      <c r="BJ26" s="2">
        <f t="shared" si="20"/>
        <v>522.77040045077445</v>
      </c>
      <c r="BK26" s="2">
        <f t="shared" si="21"/>
        <v>0</v>
      </c>
      <c r="BL26" s="7">
        <f t="shared" si="22"/>
        <v>-94.046721002617616</v>
      </c>
      <c r="BM26" s="2"/>
      <c r="BN26" s="1"/>
      <c r="BO26" s="4"/>
      <c r="BP26" s="2"/>
      <c r="BQ26" s="2"/>
      <c r="BR26" s="3"/>
      <c r="BS26" s="1"/>
      <c r="BT26" s="2"/>
      <c r="BU26" s="21"/>
      <c r="BV26" s="2"/>
      <c r="BW26" s="2"/>
      <c r="BX26" s="21"/>
      <c r="BY26" s="10"/>
    </row>
    <row r="27" spans="1:77" x14ac:dyDescent="0.25">
      <c r="A27" t="str">
        <f t="shared" si="3"/>
        <v>Appui</v>
      </c>
      <c r="B27" t="b">
        <f t="shared" si="4"/>
        <v>0</v>
      </c>
      <c r="C27">
        <f t="shared" si="7"/>
        <v>3</v>
      </c>
      <c r="D27" s="5" t="s">
        <v>111</v>
      </c>
      <c r="E27" t="s">
        <v>49</v>
      </c>
      <c r="F27" s="5">
        <v>25</v>
      </c>
      <c r="G27" t="s">
        <v>46</v>
      </c>
      <c r="H27">
        <v>500</v>
      </c>
      <c r="I27">
        <v>170000</v>
      </c>
      <c r="J27">
        <v>1300</v>
      </c>
      <c r="K27" s="10">
        <v>1445</v>
      </c>
      <c r="L27" s="12">
        <v>1</v>
      </c>
      <c r="M27" s="5">
        <v>0.215</v>
      </c>
      <c r="N27" s="10">
        <v>2</v>
      </c>
      <c r="O27" s="5">
        <v>1.0059999999999999E-3</v>
      </c>
      <c r="P27">
        <v>5.5E-2</v>
      </c>
      <c r="Q27" s="10">
        <v>1</v>
      </c>
      <c r="R27" s="8">
        <v>0</v>
      </c>
      <c r="S27">
        <v>0</v>
      </c>
      <c r="T27">
        <v>1</v>
      </c>
      <c r="U27" s="9">
        <v>0</v>
      </c>
      <c r="V27">
        <v>0</v>
      </c>
      <c r="W27" s="10">
        <v>0</v>
      </c>
      <c r="X27" s="1">
        <v>46.411200000000001</v>
      </c>
      <c r="Y27" s="2">
        <v>14.0976</v>
      </c>
      <c r="Z27" s="13">
        <v>0</v>
      </c>
      <c r="AA27" s="2">
        <v>46.411200000000001</v>
      </c>
      <c r="AB27" s="2">
        <v>14.0976</v>
      </c>
      <c r="AC27" s="2">
        <v>79.2</v>
      </c>
      <c r="AD27" s="2"/>
      <c r="AE27" s="7">
        <v>60.508800000000001</v>
      </c>
      <c r="AF27" s="2">
        <v>46.411200000000001</v>
      </c>
      <c r="AG27" s="2">
        <v>14.0976</v>
      </c>
      <c r="AH27" s="2">
        <v>10.681678670170189</v>
      </c>
      <c r="AI27" s="2">
        <v>3.2446054663656918</v>
      </c>
      <c r="AJ27" s="2">
        <v>-307.10594194263803</v>
      </c>
      <c r="AK27" s="2">
        <v>-93.28474004400951</v>
      </c>
      <c r="AL27" s="2">
        <v>0</v>
      </c>
      <c r="AM27" s="2">
        <v>0</v>
      </c>
      <c r="AN27" s="2">
        <v>79.2</v>
      </c>
      <c r="AO27" s="2">
        <v>69.880984950771875</v>
      </c>
      <c r="AP27" s="2">
        <v>69.880984950771875</v>
      </c>
      <c r="AQ27" s="2">
        <v>0</v>
      </c>
      <c r="AR27" s="2">
        <v>0</v>
      </c>
      <c r="AS27" s="2">
        <v>0</v>
      </c>
      <c r="AT27" s="2">
        <v>0</v>
      </c>
      <c r="AU27" s="1">
        <v>60.508800000000001</v>
      </c>
      <c r="AV27" s="2">
        <v>9.5810002997925228</v>
      </c>
      <c r="AW27" s="2">
        <v>-411.98700100208151</v>
      </c>
      <c r="AX27" s="2">
        <v>69.880984950771875</v>
      </c>
      <c r="AZ27" s="1">
        <f t="shared" si="13"/>
        <v>46.411200000000001</v>
      </c>
      <c r="BA27" s="2">
        <f t="shared" si="14"/>
        <v>10.681678670170189</v>
      </c>
      <c r="BB27" s="7">
        <f t="shared" si="15"/>
        <v>-307.10594194263803</v>
      </c>
      <c r="BC27" s="1">
        <f t="shared" si="16"/>
        <v>14.0976</v>
      </c>
      <c r="BD27" s="2">
        <f t="shared" si="17"/>
        <v>3.2446054663656918</v>
      </c>
      <c r="BE27" s="2">
        <f t="shared" si="18"/>
        <v>-93.28474004400951</v>
      </c>
      <c r="BF27" s="2">
        <f t="shared" si="18"/>
        <v>0</v>
      </c>
      <c r="BG27" s="7">
        <f t="shared" si="18"/>
        <v>0</v>
      </c>
      <c r="BH27" s="1">
        <f t="shared" si="19"/>
        <v>60.508800000000001</v>
      </c>
      <c r="BI27" s="2">
        <f t="shared" si="19"/>
        <v>13.92628413653588</v>
      </c>
      <c r="BJ27" s="2">
        <f t="shared" si="20"/>
        <v>400.39068198664756</v>
      </c>
      <c r="BK27" s="2">
        <f t="shared" si="21"/>
        <v>0</v>
      </c>
      <c r="BL27" s="7">
        <f t="shared" si="22"/>
        <v>0</v>
      </c>
      <c r="BM27" s="2"/>
      <c r="BN27" s="1"/>
      <c r="BO27" s="4"/>
      <c r="BP27" s="2"/>
      <c r="BQ27" s="2"/>
      <c r="BR27" s="3"/>
      <c r="BS27" s="1"/>
      <c r="BT27" s="2"/>
      <c r="BU27" s="21"/>
      <c r="BV27" s="2"/>
      <c r="BW27" s="2"/>
      <c r="BX27" s="21"/>
      <c r="BY27" s="15"/>
    </row>
    <row r="28" spans="1:77" x14ac:dyDescent="0.25">
      <c r="A28" t="str">
        <f t="shared" si="3"/>
        <v>Travée</v>
      </c>
      <c r="B28" t="b">
        <f t="shared" si="4"/>
        <v>0</v>
      </c>
      <c r="C28">
        <f t="shared" si="7"/>
        <v>3</v>
      </c>
      <c r="D28" s="5" t="s">
        <v>111</v>
      </c>
      <c r="E28" t="s">
        <v>51</v>
      </c>
      <c r="F28" s="5">
        <v>25</v>
      </c>
      <c r="G28" t="s">
        <v>46</v>
      </c>
      <c r="H28">
        <v>500</v>
      </c>
      <c r="I28">
        <v>170000</v>
      </c>
      <c r="J28">
        <v>1300</v>
      </c>
      <c r="K28" s="10">
        <v>1445</v>
      </c>
      <c r="L28" s="12">
        <v>1</v>
      </c>
      <c r="M28" s="5">
        <v>0.215</v>
      </c>
      <c r="N28" s="10">
        <v>2</v>
      </c>
      <c r="O28" s="5">
        <v>7.7000000000000007E-4</v>
      </c>
      <c r="P28">
        <v>0.04</v>
      </c>
      <c r="Q28" s="10">
        <v>1</v>
      </c>
      <c r="R28" s="8">
        <v>0</v>
      </c>
      <c r="S28">
        <v>0</v>
      </c>
      <c r="T28">
        <v>1</v>
      </c>
      <c r="U28" s="9">
        <v>2.9099999999999999E-5</v>
      </c>
      <c r="V28">
        <v>0</v>
      </c>
      <c r="W28" s="10">
        <v>7</v>
      </c>
      <c r="X28" s="1">
        <v>33.753599999999999</v>
      </c>
      <c r="Y28" s="2">
        <v>10.252800000000001</v>
      </c>
      <c r="Z28" s="13">
        <v>0</v>
      </c>
      <c r="AA28" s="2">
        <v>33.753599999999999</v>
      </c>
      <c r="AB28" s="2">
        <v>10.252800000000001</v>
      </c>
      <c r="AC28" s="2">
        <v>57.6</v>
      </c>
      <c r="AD28" s="2"/>
      <c r="AE28" s="7">
        <v>44.006399999999999</v>
      </c>
      <c r="AF28" s="2">
        <v>33.753599999999999</v>
      </c>
      <c r="AG28" s="2">
        <v>10.252800000000001</v>
      </c>
      <c r="AH28" s="2">
        <v>7.5785760197742746</v>
      </c>
      <c r="AI28" s="2">
        <v>1.9546109018434581</v>
      </c>
      <c r="AJ28" s="2">
        <v>-264.1475258801683</v>
      </c>
      <c r="AK28" s="2">
        <v>-59.557453175459457</v>
      </c>
      <c r="AL28" s="2">
        <v>0</v>
      </c>
      <c r="AM28" s="2">
        <v>-64.607980840038735</v>
      </c>
      <c r="AN28" s="2">
        <v>57.6</v>
      </c>
      <c r="AO28" s="2">
        <v>60.528808187177717</v>
      </c>
      <c r="AP28" s="2">
        <v>114.7199642682134</v>
      </c>
      <c r="AQ28" s="2">
        <v>7.7299818284768627</v>
      </c>
      <c r="AR28" s="2">
        <v>-341.01694645839649</v>
      </c>
      <c r="AS28" s="2">
        <v>0</v>
      </c>
      <c r="AT28" s="2">
        <v>-376.92654032463167</v>
      </c>
      <c r="AU28" s="1">
        <v>44.006399999999999</v>
      </c>
      <c r="AV28" s="2">
        <v>6.990283515118958</v>
      </c>
      <c r="AW28" s="2">
        <v>-352.1209256295864</v>
      </c>
      <c r="AX28" s="2">
        <v>60.528808187177717</v>
      </c>
      <c r="AZ28" s="1">
        <f t="shared" si="13"/>
        <v>33.753599999999999</v>
      </c>
      <c r="BA28" s="2">
        <f t="shared" si="14"/>
        <v>7.5785760197742746</v>
      </c>
      <c r="BB28" s="7">
        <f t="shared" si="15"/>
        <v>-264.1475258801683</v>
      </c>
      <c r="BC28" s="1">
        <f t="shared" si="16"/>
        <v>10.252800000000001</v>
      </c>
      <c r="BD28" s="2">
        <f t="shared" si="17"/>
        <v>1.9546109018434581</v>
      </c>
      <c r="BE28" s="2">
        <f t="shared" si="18"/>
        <v>-59.557453175459457</v>
      </c>
      <c r="BF28" s="2">
        <f t="shared" si="18"/>
        <v>0</v>
      </c>
      <c r="BG28" s="7">
        <f t="shared" si="18"/>
        <v>-64.607980840038735</v>
      </c>
      <c r="BH28" s="1">
        <f t="shared" si="19"/>
        <v>44.006399999999999</v>
      </c>
      <c r="BI28" s="2">
        <f t="shared" si="19"/>
        <v>9.5331869216177321</v>
      </c>
      <c r="BJ28" s="2">
        <f t="shared" si="20"/>
        <v>323.70497905562775</v>
      </c>
      <c r="BK28" s="2">
        <f t="shared" si="21"/>
        <v>0</v>
      </c>
      <c r="BL28" s="7">
        <f t="shared" si="22"/>
        <v>-64.607980840038735</v>
      </c>
      <c r="BM28" s="2"/>
      <c r="BN28" s="1"/>
      <c r="BO28" s="4"/>
      <c r="BP28" s="2"/>
      <c r="BQ28" s="2"/>
      <c r="BR28" s="3"/>
      <c r="BS28" s="1"/>
      <c r="BT28" s="2"/>
      <c r="BU28" s="21"/>
      <c r="BV28" s="2"/>
      <c r="BW28" s="2"/>
      <c r="BX28" s="21"/>
      <c r="BY28" s="10"/>
    </row>
    <row r="29" spans="1:77" x14ac:dyDescent="0.25">
      <c r="A29" t="str">
        <f t="shared" si="3"/>
        <v>Appui</v>
      </c>
      <c r="B29" t="b">
        <f t="shared" si="4"/>
        <v>0</v>
      </c>
      <c r="C29">
        <f t="shared" si="7"/>
        <v>3</v>
      </c>
      <c r="D29" s="5" t="s">
        <v>111</v>
      </c>
      <c r="E29" t="s">
        <v>52</v>
      </c>
      <c r="F29" s="5">
        <v>25</v>
      </c>
      <c r="G29" t="s">
        <v>46</v>
      </c>
      <c r="H29">
        <v>500</v>
      </c>
      <c r="I29">
        <v>170000</v>
      </c>
      <c r="J29">
        <v>1300</v>
      </c>
      <c r="K29" s="10">
        <v>1445</v>
      </c>
      <c r="L29" s="12">
        <v>1</v>
      </c>
      <c r="M29" s="5">
        <v>0.215</v>
      </c>
      <c r="N29" s="10">
        <v>2</v>
      </c>
      <c r="O29" s="5">
        <v>1.01E-3</v>
      </c>
      <c r="P29">
        <v>5.5E-2</v>
      </c>
      <c r="Q29" s="10">
        <v>1</v>
      </c>
      <c r="R29" s="8">
        <v>0</v>
      </c>
      <c r="S29">
        <v>0</v>
      </c>
      <c r="T29">
        <v>1</v>
      </c>
      <c r="U29" s="9">
        <v>0</v>
      </c>
      <c r="V29">
        <v>0</v>
      </c>
      <c r="W29" s="10">
        <v>1</v>
      </c>
      <c r="X29" s="1">
        <v>34.808399999999999</v>
      </c>
      <c r="Y29" s="2">
        <v>10.5732</v>
      </c>
      <c r="Z29" s="13">
        <v>0</v>
      </c>
      <c r="AA29" s="2">
        <v>34.808399999999999</v>
      </c>
      <c r="AB29" s="2">
        <v>10.5732</v>
      </c>
      <c r="AC29" s="2">
        <v>59.400000000000013</v>
      </c>
      <c r="AD29" s="2"/>
      <c r="AE29" s="7">
        <v>45.381599999999999</v>
      </c>
      <c r="AF29" s="2">
        <v>34.808399999999999</v>
      </c>
      <c r="AG29" s="2">
        <v>10.5732</v>
      </c>
      <c r="AH29" s="2">
        <v>7.9974031152862137</v>
      </c>
      <c r="AI29" s="2">
        <v>2.429245314882158</v>
      </c>
      <c r="AJ29" s="2">
        <v>-229.44581288983201</v>
      </c>
      <c r="AK29" s="2">
        <v>-69.695144529675972</v>
      </c>
      <c r="AL29" s="2">
        <v>0</v>
      </c>
      <c r="AM29" s="2">
        <v>0</v>
      </c>
      <c r="AN29" s="2">
        <v>59.400000000000013</v>
      </c>
      <c r="AO29" s="2">
        <v>70.122995185943253</v>
      </c>
      <c r="AP29" s="2">
        <v>70.122995185943253</v>
      </c>
      <c r="AQ29" s="2">
        <v>9.4167843344949631</v>
      </c>
      <c r="AR29" s="2">
        <v>-402.82433909432427</v>
      </c>
      <c r="AS29" s="2">
        <v>0</v>
      </c>
      <c r="AT29" s="2">
        <v>0</v>
      </c>
      <c r="AU29" s="1">
        <v>45.381599999999999</v>
      </c>
      <c r="AV29" s="2">
        <v>7.4144730106360957</v>
      </c>
      <c r="AW29" s="2">
        <v>-307.13317998059199</v>
      </c>
      <c r="AX29" s="2">
        <v>70.122995185943253</v>
      </c>
      <c r="AZ29" s="1">
        <f t="shared" si="13"/>
        <v>34.808399999999999</v>
      </c>
      <c r="BA29" s="2">
        <f t="shared" si="14"/>
        <v>7.9974031152862137</v>
      </c>
      <c r="BB29" s="7">
        <f t="shared" si="15"/>
        <v>-229.44581288983201</v>
      </c>
      <c r="BC29" s="1">
        <f t="shared" si="16"/>
        <v>10.5732</v>
      </c>
      <c r="BD29" s="2">
        <f t="shared" si="17"/>
        <v>2.429245314882158</v>
      </c>
      <c r="BE29" s="2">
        <f t="shared" si="18"/>
        <v>-69.695144529675972</v>
      </c>
      <c r="BF29" s="2">
        <f t="shared" si="18"/>
        <v>0</v>
      </c>
      <c r="BG29" s="7">
        <f t="shared" si="18"/>
        <v>0</v>
      </c>
      <c r="BH29" s="1">
        <f t="shared" si="19"/>
        <v>45.381599999999999</v>
      </c>
      <c r="BI29" s="2">
        <f t="shared" si="19"/>
        <v>10.426648430168372</v>
      </c>
      <c r="BJ29" s="2">
        <f t="shared" si="20"/>
        <v>299.14095741950797</v>
      </c>
      <c r="BK29" s="2">
        <f t="shared" si="21"/>
        <v>0</v>
      </c>
      <c r="BL29" s="7">
        <f t="shared" si="22"/>
        <v>0</v>
      </c>
      <c r="BM29" s="2"/>
      <c r="BN29" s="1"/>
      <c r="BO29" s="4"/>
      <c r="BP29" s="2"/>
      <c r="BQ29" s="2"/>
      <c r="BR29" s="3"/>
      <c r="BS29" s="1"/>
      <c r="BT29" s="2"/>
      <c r="BU29" s="21"/>
      <c r="BV29" s="2"/>
      <c r="BW29" s="2"/>
      <c r="BX29" s="21"/>
      <c r="BY29" s="15"/>
    </row>
    <row r="30" spans="1:77" x14ac:dyDescent="0.25">
      <c r="A30" t="str">
        <f t="shared" si="3"/>
        <v>Travée</v>
      </c>
      <c r="B30" t="b">
        <f t="shared" si="4"/>
        <v>0</v>
      </c>
      <c r="C30">
        <f t="shared" si="7"/>
        <v>3</v>
      </c>
      <c r="D30" s="5" t="s">
        <v>111</v>
      </c>
      <c r="E30" t="s">
        <v>53</v>
      </c>
      <c r="F30" s="5">
        <v>25</v>
      </c>
      <c r="G30" t="s">
        <v>46</v>
      </c>
      <c r="H30">
        <v>500</v>
      </c>
      <c r="I30">
        <v>170000</v>
      </c>
      <c r="J30">
        <v>1300</v>
      </c>
      <c r="K30" s="10">
        <v>1445</v>
      </c>
      <c r="L30" s="12">
        <v>1</v>
      </c>
      <c r="M30" s="5">
        <v>0.215</v>
      </c>
      <c r="N30" s="10">
        <v>2</v>
      </c>
      <c r="O30" s="5">
        <v>7.7000000000000007E-4</v>
      </c>
      <c r="P30">
        <v>0.04</v>
      </c>
      <c r="Q30" s="10">
        <v>1</v>
      </c>
      <c r="R30" s="8">
        <v>0</v>
      </c>
      <c r="S30">
        <v>0</v>
      </c>
      <c r="T30">
        <v>1</v>
      </c>
      <c r="U30" s="9">
        <v>0</v>
      </c>
      <c r="V30">
        <v>0</v>
      </c>
      <c r="W30" s="10">
        <v>1</v>
      </c>
      <c r="X30" s="1">
        <v>18.751999999999999</v>
      </c>
      <c r="Y30" s="2">
        <v>5.6959999999999997</v>
      </c>
      <c r="Z30" s="13">
        <v>0</v>
      </c>
      <c r="AA30" s="2">
        <v>18.751999999999999</v>
      </c>
      <c r="AB30" s="2">
        <v>5.6959999999999997</v>
      </c>
      <c r="AC30" s="2">
        <v>32</v>
      </c>
      <c r="AD30" s="2"/>
      <c r="AE30" s="7">
        <v>24.448</v>
      </c>
      <c r="AF30" s="2">
        <v>18.751999999999999</v>
      </c>
      <c r="AG30" s="2">
        <v>5.6959999999999997</v>
      </c>
      <c r="AH30" s="2">
        <v>4.2103200109856997</v>
      </c>
      <c r="AI30" s="2">
        <v>1.278903348062028</v>
      </c>
      <c r="AJ30" s="2">
        <v>-146.74862548898241</v>
      </c>
      <c r="AK30" s="2">
        <v>-44.575516535509337</v>
      </c>
      <c r="AL30" s="2">
        <v>0</v>
      </c>
      <c r="AM30" s="2">
        <v>0</v>
      </c>
      <c r="AN30" s="2">
        <v>32</v>
      </c>
      <c r="AO30" s="2">
        <v>60.528808187177717</v>
      </c>
      <c r="AP30" s="2">
        <v>60.528808187177717</v>
      </c>
      <c r="AQ30" s="2">
        <v>5.1976617095772344</v>
      </c>
      <c r="AR30" s="2">
        <v>-255.75605412671499</v>
      </c>
      <c r="AS30" s="2">
        <v>0</v>
      </c>
      <c r="AT30" s="2">
        <v>0</v>
      </c>
      <c r="AU30" s="1">
        <v>24.448</v>
      </c>
      <c r="AV30" s="2">
        <v>4.023958209987927</v>
      </c>
      <c r="AW30" s="2">
        <v>-195.26257447088011</v>
      </c>
      <c r="AX30" s="2">
        <v>60.528808187177717</v>
      </c>
      <c r="AZ30" s="1">
        <f t="shared" si="13"/>
        <v>18.751999999999999</v>
      </c>
      <c r="BA30" s="2">
        <f t="shared" si="14"/>
        <v>4.2103200109856997</v>
      </c>
      <c r="BB30" s="7">
        <f t="shared" si="15"/>
        <v>-146.74862548898241</v>
      </c>
      <c r="BC30" s="1">
        <f t="shared" si="16"/>
        <v>5.6959999999999997</v>
      </c>
      <c r="BD30" s="2">
        <f t="shared" si="17"/>
        <v>1.278903348062028</v>
      </c>
      <c r="BE30" s="2">
        <f t="shared" si="18"/>
        <v>-44.575516535509337</v>
      </c>
      <c r="BF30" s="2">
        <f t="shared" si="18"/>
        <v>0</v>
      </c>
      <c r="BG30" s="7">
        <f t="shared" si="18"/>
        <v>0</v>
      </c>
      <c r="BH30" s="1">
        <f t="shared" si="19"/>
        <v>24.448</v>
      </c>
      <c r="BI30" s="2">
        <f t="shared" si="19"/>
        <v>5.4892233590477275</v>
      </c>
      <c r="BJ30" s="2">
        <f t="shared" si="20"/>
        <v>191.32414202449175</v>
      </c>
      <c r="BK30" s="2">
        <f t="shared" si="21"/>
        <v>0</v>
      </c>
      <c r="BL30" s="7">
        <f t="shared" si="22"/>
        <v>0</v>
      </c>
      <c r="BM30" s="2"/>
      <c r="BN30" s="1"/>
      <c r="BO30" s="4"/>
      <c r="BP30" s="2"/>
      <c r="BQ30" s="2"/>
      <c r="BR30" s="3"/>
      <c r="BS30" s="1"/>
      <c r="BT30" s="2"/>
      <c r="BU30" s="21"/>
      <c r="BV30" s="2"/>
      <c r="BW30" s="2"/>
      <c r="BX30" s="21"/>
      <c r="BY30" s="10"/>
    </row>
    <row r="31" spans="1:77" x14ac:dyDescent="0.25">
      <c r="A31" t="str">
        <f t="shared" si="3"/>
        <v/>
      </c>
      <c r="B31" t="b">
        <f t="shared" si="4"/>
        <v>0</v>
      </c>
      <c r="C31">
        <f t="shared" si="7"/>
        <v>3</v>
      </c>
      <c r="D31" s="5" t="s">
        <v>111</v>
      </c>
      <c r="F31" s="5"/>
      <c r="K31" s="10"/>
      <c r="L31" s="12"/>
      <c r="M31" s="5"/>
      <c r="N31" s="10"/>
      <c r="O31" s="5"/>
      <c r="Q31" s="10"/>
      <c r="R31" s="8"/>
      <c r="U31" s="9"/>
      <c r="W31" s="10"/>
      <c r="X31" s="1"/>
      <c r="Y31" s="2"/>
      <c r="Z31" s="13"/>
      <c r="AA31" s="2"/>
      <c r="AB31" s="2"/>
      <c r="AC31" s="2"/>
      <c r="AD31" s="2"/>
      <c r="AE31" s="7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1"/>
      <c r="AV31" s="2"/>
      <c r="AW31" s="2"/>
      <c r="AX31" s="2"/>
      <c r="AZ31" s="1"/>
      <c r="BA31" s="2"/>
      <c r="BB31" s="7"/>
      <c r="BC31" s="1"/>
      <c r="BD31" s="2"/>
      <c r="BE31" s="2"/>
      <c r="BF31" s="2"/>
      <c r="BG31" s="7"/>
      <c r="BH31" s="1"/>
      <c r="BI31" s="2"/>
      <c r="BJ31" s="2"/>
      <c r="BK31" s="2"/>
      <c r="BL31" s="7"/>
      <c r="BM31" s="2"/>
      <c r="BN31" s="1"/>
      <c r="BO31" s="4"/>
      <c r="BP31" s="2"/>
      <c r="BQ31" s="2"/>
      <c r="BR31" s="3"/>
      <c r="BS31" s="1"/>
      <c r="BT31" s="2"/>
      <c r="BU31" s="21"/>
      <c r="BV31" s="2"/>
      <c r="BW31" s="2"/>
      <c r="BX31" s="21"/>
      <c r="BY31" s="15"/>
    </row>
    <row r="32" spans="1:77" x14ac:dyDescent="0.25">
      <c r="A32" t="str">
        <f t="shared" si="3"/>
        <v>Travée</v>
      </c>
      <c r="B32" t="b">
        <f t="shared" si="4"/>
        <v>1</v>
      </c>
      <c r="C32">
        <f t="shared" si="7"/>
        <v>4</v>
      </c>
      <c r="D32" s="5" t="s">
        <v>112</v>
      </c>
      <c r="E32" t="s">
        <v>45</v>
      </c>
      <c r="F32" s="5">
        <v>25</v>
      </c>
      <c r="G32" t="s">
        <v>46</v>
      </c>
      <c r="H32">
        <v>500</v>
      </c>
      <c r="I32">
        <v>170000</v>
      </c>
      <c r="J32">
        <v>1300</v>
      </c>
      <c r="K32" s="10">
        <v>1445</v>
      </c>
      <c r="L32" s="12">
        <v>1</v>
      </c>
      <c r="M32" s="5">
        <v>0.215</v>
      </c>
      <c r="N32" s="10">
        <v>3.5</v>
      </c>
      <c r="O32" s="5">
        <v>4.4799999999999999E-4</v>
      </c>
      <c r="P32">
        <v>0.04</v>
      </c>
      <c r="Q32" s="10">
        <v>1</v>
      </c>
      <c r="R32" s="8">
        <v>0</v>
      </c>
      <c r="S32">
        <v>0</v>
      </c>
      <c r="T32">
        <v>1</v>
      </c>
      <c r="U32" s="9">
        <v>0</v>
      </c>
      <c r="V32">
        <v>0</v>
      </c>
      <c r="W32" s="10">
        <v>1</v>
      </c>
      <c r="X32" s="1">
        <v>10.50112</v>
      </c>
      <c r="Y32" s="2">
        <v>3.1897600000000002</v>
      </c>
      <c r="Z32" s="13">
        <v>0</v>
      </c>
      <c r="AA32" s="2">
        <v>10.50112</v>
      </c>
      <c r="AB32" s="2">
        <v>3.1897600000000002</v>
      </c>
      <c r="AC32" s="2">
        <v>17.920000000000002</v>
      </c>
      <c r="AD32" s="2"/>
      <c r="AE32" s="7">
        <v>13.69088</v>
      </c>
      <c r="AF32" s="2">
        <v>10.50112</v>
      </c>
      <c r="AG32" s="2">
        <v>3.1897600000000002</v>
      </c>
      <c r="AH32" s="2">
        <v>2.208256160828284</v>
      </c>
      <c r="AI32" s="2">
        <v>0.67076722973964897</v>
      </c>
      <c r="AJ32" s="2">
        <v>-138.34245352810669</v>
      </c>
      <c r="AK32" s="2">
        <v>-42.022110457342997</v>
      </c>
      <c r="AL32" s="2">
        <v>0</v>
      </c>
      <c r="AM32" s="2">
        <v>0</v>
      </c>
      <c r="AN32" s="2">
        <v>17.920000000000002</v>
      </c>
      <c r="AO32" s="2">
        <v>36.00698181818165</v>
      </c>
      <c r="AP32" s="2">
        <v>36.00698181818165</v>
      </c>
      <c r="AQ32" s="2">
        <v>2.7503433873656098</v>
      </c>
      <c r="AR32" s="2">
        <v>-238.7554204538678</v>
      </c>
      <c r="AS32" s="2">
        <v>0</v>
      </c>
      <c r="AT32" s="2">
        <v>0</v>
      </c>
      <c r="AU32" s="1">
        <v>13.69088</v>
      </c>
      <c r="AV32" s="2">
        <v>2.1148929605375</v>
      </c>
      <c r="AW32" s="2">
        <v>-182.37756374125121</v>
      </c>
      <c r="AX32" s="2">
        <v>36.00698181818165</v>
      </c>
      <c r="AZ32" s="1">
        <f t="shared" si="13"/>
        <v>10.50112</v>
      </c>
      <c r="BA32" s="2">
        <f t="shared" si="14"/>
        <v>2.208256160828284</v>
      </c>
      <c r="BB32" s="7">
        <f t="shared" si="15"/>
        <v>-138.34245352810669</v>
      </c>
      <c r="BC32" s="1">
        <f t="shared" si="16"/>
        <v>3.1897600000000002</v>
      </c>
      <c r="BD32" s="2">
        <f t="shared" si="17"/>
        <v>0.67076722973964897</v>
      </c>
      <c r="BE32" s="2">
        <f t="shared" si="18"/>
        <v>-42.022110457342997</v>
      </c>
      <c r="BF32" s="2">
        <f t="shared" si="18"/>
        <v>0</v>
      </c>
      <c r="BG32" s="7">
        <f t="shared" si="18"/>
        <v>0</v>
      </c>
      <c r="BH32" s="1">
        <f t="shared" si="19"/>
        <v>13.69088</v>
      </c>
      <c r="BI32" s="2">
        <f t="shared" si="19"/>
        <v>2.8790233905679328</v>
      </c>
      <c r="BJ32" s="2">
        <f t="shared" si="20"/>
        <v>180.36456398544968</v>
      </c>
      <c r="BK32" s="2">
        <f t="shared" si="21"/>
        <v>0</v>
      </c>
      <c r="BL32" s="7">
        <f t="shared" si="22"/>
        <v>0</v>
      </c>
      <c r="BM32" s="2"/>
      <c r="BN32" s="1"/>
      <c r="BO32" s="4"/>
      <c r="BP32" s="2"/>
      <c r="BQ32" s="2"/>
      <c r="BR32" s="3"/>
      <c r="BS32" s="1"/>
      <c r="BT32" s="2"/>
      <c r="BU32" s="21"/>
      <c r="BV32" s="2"/>
      <c r="BW32" s="2"/>
      <c r="BX32" s="21"/>
      <c r="BY32" s="10"/>
    </row>
    <row r="33" spans="1:77" x14ac:dyDescent="0.25">
      <c r="A33" t="str">
        <f t="shared" si="3"/>
        <v>Appui</v>
      </c>
      <c r="B33" t="b">
        <f t="shared" si="4"/>
        <v>1</v>
      </c>
      <c r="C33">
        <f>IF(D33=D31,C31,C31+1)</f>
        <v>4</v>
      </c>
      <c r="D33" s="5" t="s">
        <v>112</v>
      </c>
      <c r="E33" t="s">
        <v>47</v>
      </c>
      <c r="F33" s="5">
        <v>25</v>
      </c>
      <c r="G33" t="s">
        <v>46</v>
      </c>
      <c r="H33">
        <v>500</v>
      </c>
      <c r="I33">
        <v>170000</v>
      </c>
      <c r="J33">
        <v>1300</v>
      </c>
      <c r="K33" s="10">
        <v>1445</v>
      </c>
      <c r="L33" s="12">
        <v>1</v>
      </c>
      <c r="M33" s="5">
        <v>0.215</v>
      </c>
      <c r="N33" s="10">
        <v>4</v>
      </c>
      <c r="O33" s="5">
        <v>1E-4</v>
      </c>
      <c r="P33">
        <v>5.5E-2</v>
      </c>
      <c r="Q33" s="10">
        <v>1</v>
      </c>
      <c r="R33" s="8">
        <v>0</v>
      </c>
      <c r="S33">
        <v>0</v>
      </c>
      <c r="T33">
        <v>1</v>
      </c>
      <c r="U33" s="9">
        <v>2.9099999999999999E-5</v>
      </c>
      <c r="V33">
        <v>0</v>
      </c>
      <c r="W33" s="10">
        <v>12</v>
      </c>
      <c r="X33" s="1">
        <v>0.64460000000000006</v>
      </c>
      <c r="Y33" s="2">
        <v>0.1958</v>
      </c>
      <c r="Z33" s="13">
        <v>0</v>
      </c>
      <c r="AA33" s="2">
        <v>0.64460000000000006</v>
      </c>
      <c r="AB33" s="2">
        <v>0.1958</v>
      </c>
      <c r="AC33" s="2">
        <v>1.1000000000000001</v>
      </c>
      <c r="AD33" s="2"/>
      <c r="AE33" s="7">
        <v>0.84040000000000004</v>
      </c>
      <c r="AF33" s="2">
        <v>0.64460000000000006</v>
      </c>
      <c r="AG33" s="2">
        <v>0.1958</v>
      </c>
      <c r="AH33" s="2">
        <v>0.31020303104493568</v>
      </c>
      <c r="AI33" s="2">
        <v>3.199068140631886E-2</v>
      </c>
      <c r="AJ33" s="2">
        <v>-40.926452300360438</v>
      </c>
      <c r="AK33" s="2">
        <v>-1.9240915163244949</v>
      </c>
      <c r="AL33" s="2">
        <v>0</v>
      </c>
      <c r="AM33" s="2">
        <v>-2.2570666882099859</v>
      </c>
      <c r="AN33" s="2">
        <v>1.1000000000000001</v>
      </c>
      <c r="AO33" s="2">
        <v>7.3383794466403751</v>
      </c>
      <c r="AP33" s="2">
        <v>111.3895019791925</v>
      </c>
      <c r="AQ33" s="2">
        <v>0.13448140015323021</v>
      </c>
      <c r="AR33" s="2">
        <v>-10.850835774195129</v>
      </c>
      <c r="AS33" s="2">
        <v>0</v>
      </c>
      <c r="AT33" s="2">
        <v>-12.86616942299097</v>
      </c>
      <c r="AU33" s="1">
        <v>0.84040000000000004</v>
      </c>
      <c r="AV33" s="2">
        <v>0.28231381575201481</v>
      </c>
      <c r="AW33" s="2">
        <v>-53.741258717431727</v>
      </c>
      <c r="AX33" s="2">
        <v>7.3383794466403751</v>
      </c>
      <c r="AZ33" s="1">
        <f t="shared" si="13"/>
        <v>0.64460000000000006</v>
      </c>
      <c r="BA33" s="2">
        <f t="shared" si="14"/>
        <v>0.31020303104493568</v>
      </c>
      <c r="BB33" s="7">
        <f t="shared" si="15"/>
        <v>-40.926452300360438</v>
      </c>
      <c r="BC33" s="1">
        <f t="shared" si="16"/>
        <v>0.1958</v>
      </c>
      <c r="BD33" s="2">
        <f t="shared" si="17"/>
        <v>3.199068140631886E-2</v>
      </c>
      <c r="BE33" s="2">
        <f t="shared" si="18"/>
        <v>-1.9240915163244949</v>
      </c>
      <c r="BF33" s="2">
        <f t="shared" si="18"/>
        <v>0</v>
      </c>
      <c r="BG33" s="7">
        <f t="shared" si="18"/>
        <v>-2.2570666882099859</v>
      </c>
      <c r="BH33" s="1">
        <f t="shared" si="19"/>
        <v>0.84040000000000004</v>
      </c>
      <c r="BI33" s="2">
        <f t="shared" si="19"/>
        <v>0.34219371245125452</v>
      </c>
      <c r="BJ33" s="2">
        <f t="shared" si="20"/>
        <v>42.850543816684933</v>
      </c>
      <c r="BK33" s="2">
        <f t="shared" si="21"/>
        <v>0</v>
      </c>
      <c r="BL33" s="7">
        <f t="shared" si="22"/>
        <v>-2.2570666882099859</v>
      </c>
      <c r="BM33" s="2"/>
      <c r="BN33" s="1"/>
      <c r="BO33" s="4"/>
      <c r="BP33" s="2"/>
      <c r="BQ33" s="2"/>
      <c r="BR33" s="3"/>
      <c r="BS33" s="1"/>
      <c r="BT33" s="2"/>
      <c r="BU33" s="21"/>
      <c r="BV33" s="2"/>
      <c r="BW33" s="2"/>
      <c r="BX33" s="21"/>
      <c r="BY33" s="15"/>
    </row>
    <row r="34" spans="1:77" x14ac:dyDescent="0.25">
      <c r="A34" t="str">
        <f t="shared" si="3"/>
        <v>Travée</v>
      </c>
      <c r="B34" t="b">
        <f t="shared" si="4"/>
        <v>1</v>
      </c>
      <c r="C34">
        <f>IF(D34=D32,C32,C32+1)</f>
        <v>4</v>
      </c>
      <c r="D34" s="5" t="s">
        <v>112</v>
      </c>
      <c r="E34" t="s">
        <v>48</v>
      </c>
      <c r="F34" s="5">
        <v>25</v>
      </c>
      <c r="G34" t="s">
        <v>46</v>
      </c>
      <c r="H34">
        <v>500</v>
      </c>
      <c r="I34">
        <v>170000</v>
      </c>
      <c r="J34">
        <v>1300</v>
      </c>
      <c r="K34" s="10">
        <v>1445</v>
      </c>
      <c r="L34" s="12">
        <v>1</v>
      </c>
      <c r="M34" s="5">
        <v>0.215</v>
      </c>
      <c r="N34" s="10">
        <v>4</v>
      </c>
      <c r="O34" s="5">
        <v>2.6679999999999998E-3</v>
      </c>
      <c r="P34">
        <v>0.04</v>
      </c>
      <c r="Q34" s="10">
        <v>1</v>
      </c>
      <c r="R34" s="8">
        <v>0</v>
      </c>
      <c r="S34">
        <v>0</v>
      </c>
      <c r="T34">
        <v>1</v>
      </c>
      <c r="U34" s="9">
        <v>0</v>
      </c>
      <c r="V34">
        <v>0</v>
      </c>
      <c r="W34" s="10">
        <v>0</v>
      </c>
      <c r="X34" s="1">
        <v>37.503999999999998</v>
      </c>
      <c r="Y34" s="2">
        <v>11.391999999999999</v>
      </c>
      <c r="Z34" s="13">
        <v>0</v>
      </c>
      <c r="AA34" s="2">
        <v>37.503999999999998</v>
      </c>
      <c r="AB34" s="2">
        <v>11.391999999999999</v>
      </c>
      <c r="AC34" s="2">
        <v>64</v>
      </c>
      <c r="AD34" s="2"/>
      <c r="AE34" s="7">
        <v>48.896000000000001</v>
      </c>
      <c r="AF34" s="2">
        <v>37.503999999999998</v>
      </c>
      <c r="AG34" s="2">
        <v>11.391999999999999</v>
      </c>
      <c r="AH34" s="2">
        <v>3.326384020178403</v>
      </c>
      <c r="AI34" s="2">
        <v>1.010403337187298</v>
      </c>
      <c r="AJ34" s="2">
        <v>-86.039421284769688</v>
      </c>
      <c r="AK34" s="2">
        <v>-26.134841277626279</v>
      </c>
      <c r="AL34" s="2">
        <v>0</v>
      </c>
      <c r="AM34" s="2">
        <v>0</v>
      </c>
      <c r="AN34" s="2">
        <v>64</v>
      </c>
      <c r="AO34" s="2">
        <v>199.1367646123885</v>
      </c>
      <c r="AP34" s="2">
        <v>199.1367646123885</v>
      </c>
      <c r="AQ34" s="2">
        <v>4.2263304683916099</v>
      </c>
      <c r="AR34" s="2">
        <v>-150.60474754428239</v>
      </c>
      <c r="AS34" s="2">
        <v>0</v>
      </c>
      <c r="AT34" s="2">
        <v>0</v>
      </c>
      <c r="AU34" s="1">
        <v>48.896000000000001</v>
      </c>
      <c r="AV34" s="2">
        <v>3.261510411124847</v>
      </c>
      <c r="AW34" s="2">
        <v>-114.9803992250819</v>
      </c>
      <c r="AX34" s="2">
        <v>199.1367646123885</v>
      </c>
      <c r="AZ34" s="1">
        <f t="shared" si="13"/>
        <v>37.503999999999998</v>
      </c>
      <c r="BA34" s="2">
        <f t="shared" si="14"/>
        <v>3.326384020178403</v>
      </c>
      <c r="BB34" s="7">
        <f t="shared" si="15"/>
        <v>-86.039421284769688</v>
      </c>
      <c r="BC34" s="1">
        <f t="shared" si="16"/>
        <v>11.391999999999999</v>
      </c>
      <c r="BD34" s="2">
        <f t="shared" si="17"/>
        <v>1.010403337187298</v>
      </c>
      <c r="BE34" s="2">
        <f t="shared" si="18"/>
        <v>-26.134841277626279</v>
      </c>
      <c r="BF34" s="2">
        <f t="shared" si="18"/>
        <v>0</v>
      </c>
      <c r="BG34" s="7">
        <f t="shared" si="18"/>
        <v>0</v>
      </c>
      <c r="BH34" s="1">
        <f t="shared" si="19"/>
        <v>48.896000000000001</v>
      </c>
      <c r="BI34" s="2">
        <f t="shared" si="19"/>
        <v>4.3367873573657008</v>
      </c>
      <c r="BJ34" s="2">
        <f t="shared" si="20"/>
        <v>112.17426256239597</v>
      </c>
      <c r="BK34" s="2">
        <f t="shared" si="21"/>
        <v>0</v>
      </c>
      <c r="BL34" s="7">
        <f t="shared" si="22"/>
        <v>0</v>
      </c>
      <c r="BM34" s="2"/>
      <c r="BN34" s="1"/>
      <c r="BO34" s="4"/>
      <c r="BP34" s="2"/>
      <c r="BQ34" s="2"/>
      <c r="BR34" s="3"/>
      <c r="BS34" s="1"/>
      <c r="BT34" s="2"/>
      <c r="BU34" s="21"/>
      <c r="BV34" s="2"/>
      <c r="BW34" s="2"/>
      <c r="BX34" s="21"/>
      <c r="BY34" s="10"/>
    </row>
    <row r="35" spans="1:77" x14ac:dyDescent="0.25">
      <c r="A35" t="str">
        <f t="shared" si="3"/>
        <v>Appui</v>
      </c>
      <c r="B35" t="b">
        <f t="shared" si="4"/>
        <v>1</v>
      </c>
      <c r="C35">
        <f>IF(D35="",100000,IF(D35=D34,C34,C34+1))</f>
        <v>4</v>
      </c>
      <c r="D35" s="5" t="s">
        <v>112</v>
      </c>
      <c r="E35" t="s">
        <v>49</v>
      </c>
      <c r="F35" s="5">
        <v>25</v>
      </c>
      <c r="G35" t="s">
        <v>46</v>
      </c>
      <c r="H35">
        <v>500</v>
      </c>
      <c r="I35">
        <v>170000</v>
      </c>
      <c r="J35">
        <v>1300</v>
      </c>
      <c r="K35" s="10">
        <v>1445</v>
      </c>
      <c r="L35" s="12">
        <v>1</v>
      </c>
      <c r="M35" s="5">
        <v>0.215</v>
      </c>
      <c r="N35" s="10">
        <v>4</v>
      </c>
      <c r="O35" s="5">
        <v>2.0119999999999999E-3</v>
      </c>
      <c r="P35">
        <v>5.5E-2</v>
      </c>
      <c r="Q35" s="10">
        <v>1</v>
      </c>
      <c r="R35" s="8">
        <v>0</v>
      </c>
      <c r="S35">
        <v>0</v>
      </c>
      <c r="T35">
        <v>1</v>
      </c>
      <c r="U35" s="9">
        <v>0</v>
      </c>
      <c r="V35">
        <v>0</v>
      </c>
      <c r="W35" s="10">
        <v>0</v>
      </c>
      <c r="X35" s="1">
        <v>32.229999999999997</v>
      </c>
      <c r="Y35" s="2">
        <v>9.7900000000000009</v>
      </c>
      <c r="Z35" s="13">
        <v>0</v>
      </c>
      <c r="AA35" s="2">
        <v>32.229999999999997</v>
      </c>
      <c r="AB35" s="2">
        <v>9.7900000000000009</v>
      </c>
      <c r="AC35" s="2">
        <v>55.000000000000007</v>
      </c>
      <c r="AD35" s="2"/>
      <c r="AE35" s="7">
        <v>42.02</v>
      </c>
      <c r="AF35" s="2">
        <v>32.229999999999997</v>
      </c>
      <c r="AG35" s="2">
        <v>9.7900000000000009</v>
      </c>
      <c r="AH35" s="2">
        <v>3.7089162049202051</v>
      </c>
      <c r="AI35" s="2">
        <v>1.126599120265865</v>
      </c>
      <c r="AJ35" s="2">
        <v>-106.63400761897159</v>
      </c>
      <c r="AK35" s="2">
        <v>-32.390534737503302</v>
      </c>
      <c r="AL35" s="2">
        <v>0</v>
      </c>
      <c r="AM35" s="2">
        <v>0</v>
      </c>
      <c r="AN35" s="2">
        <v>55.000000000000007</v>
      </c>
      <c r="AO35" s="2">
        <v>139.76196990154381</v>
      </c>
      <c r="AP35" s="2">
        <v>139.76196990154381</v>
      </c>
      <c r="AQ35" s="2">
        <v>4.6581059573670203</v>
      </c>
      <c r="AR35" s="2">
        <v>-186.38155975246889</v>
      </c>
      <c r="AS35" s="2">
        <v>0</v>
      </c>
      <c r="AT35" s="2">
        <v>0</v>
      </c>
      <c r="AU35" s="1">
        <v>42.02</v>
      </c>
      <c r="AV35" s="2">
        <v>3.6006435454733872</v>
      </c>
      <c r="AW35" s="2">
        <v>-142.2795966379885</v>
      </c>
      <c r="AX35" s="2">
        <v>139.76196990154381</v>
      </c>
      <c r="AZ35" s="1">
        <f t="shared" si="13"/>
        <v>32.229999999999997</v>
      </c>
      <c r="BA35" s="2">
        <f t="shared" si="14"/>
        <v>3.7089162049202051</v>
      </c>
      <c r="BB35" s="7">
        <f t="shared" si="15"/>
        <v>-106.63400761897159</v>
      </c>
      <c r="BC35" s="1">
        <f t="shared" si="16"/>
        <v>9.7900000000000009</v>
      </c>
      <c r="BD35" s="2">
        <f t="shared" si="17"/>
        <v>1.126599120265865</v>
      </c>
      <c r="BE35" s="2">
        <f t="shared" si="18"/>
        <v>-32.390534737503302</v>
      </c>
      <c r="BF35" s="2">
        <f t="shared" si="18"/>
        <v>0</v>
      </c>
      <c r="BG35" s="7">
        <f t="shared" si="18"/>
        <v>0</v>
      </c>
      <c r="BH35" s="1">
        <f t="shared" si="19"/>
        <v>42.019999999999996</v>
      </c>
      <c r="BI35" s="2">
        <f t="shared" si="19"/>
        <v>4.8355153251860701</v>
      </c>
      <c r="BJ35" s="2">
        <f t="shared" si="20"/>
        <v>139.02454235647491</v>
      </c>
      <c r="BK35" s="2">
        <f t="shared" si="21"/>
        <v>0</v>
      </c>
      <c r="BL35" s="7">
        <f t="shared" si="22"/>
        <v>0</v>
      </c>
      <c r="BM35" s="2"/>
      <c r="BN35" s="1"/>
      <c r="BO35" s="4"/>
      <c r="BP35" s="2"/>
      <c r="BQ35" s="2"/>
      <c r="BR35" s="3"/>
      <c r="BS35" s="1"/>
      <c r="BT35" s="2"/>
      <c r="BU35" s="21"/>
      <c r="BV35" s="2"/>
      <c r="BW35" s="2"/>
      <c r="BX35" s="21"/>
      <c r="BY35" s="15"/>
    </row>
    <row r="36" spans="1:77" x14ac:dyDescent="0.25">
      <c r="A36" t="str">
        <f t="shared" si="3"/>
        <v>Travée</v>
      </c>
      <c r="B36" t="b">
        <f t="shared" si="4"/>
        <v>1</v>
      </c>
      <c r="C36">
        <f>IF(D36="",100000,IF(D36=D35,C35,C35+1))</f>
        <v>4</v>
      </c>
      <c r="D36" s="5" t="s">
        <v>112</v>
      </c>
      <c r="E36" t="s">
        <v>51</v>
      </c>
      <c r="F36" s="5">
        <v>25</v>
      </c>
      <c r="G36" t="s">
        <v>46</v>
      </c>
      <c r="H36">
        <v>500</v>
      </c>
      <c r="I36">
        <v>170000</v>
      </c>
      <c r="J36">
        <v>1300</v>
      </c>
      <c r="K36" s="10">
        <v>1445</v>
      </c>
      <c r="L36" s="12">
        <v>1</v>
      </c>
      <c r="M36" s="5">
        <v>0.215</v>
      </c>
      <c r="N36" s="10">
        <v>4</v>
      </c>
      <c r="O36" s="5">
        <v>2.052E-3</v>
      </c>
      <c r="P36">
        <v>0.04</v>
      </c>
      <c r="Q36" s="10">
        <v>1</v>
      </c>
      <c r="R36" s="8">
        <v>0</v>
      </c>
      <c r="S36">
        <v>0</v>
      </c>
      <c r="T36">
        <v>1</v>
      </c>
      <c r="U36" s="9">
        <v>0</v>
      </c>
      <c r="V36">
        <v>0</v>
      </c>
      <c r="W36" s="10">
        <v>0</v>
      </c>
      <c r="X36" s="1">
        <v>113.26208</v>
      </c>
      <c r="Y36" s="2">
        <v>34.403840000000002</v>
      </c>
      <c r="Z36" s="13">
        <v>0</v>
      </c>
      <c r="AA36" s="2">
        <v>113.26208</v>
      </c>
      <c r="AB36" s="2">
        <v>34.403840000000002</v>
      </c>
      <c r="AC36" s="2">
        <v>193.28</v>
      </c>
      <c r="AD36" s="2"/>
      <c r="AE36" s="7">
        <v>147.66592</v>
      </c>
      <c r="AF36" s="2">
        <v>113.26208</v>
      </c>
      <c r="AG36" s="2">
        <v>34.403840000000002</v>
      </c>
      <c r="AH36" s="2">
        <v>11.21599277014943</v>
      </c>
      <c r="AI36" s="2">
        <v>3.406905653731394</v>
      </c>
      <c r="AJ36" s="2">
        <v>-335.23195762693348</v>
      </c>
      <c r="AK36" s="2">
        <v>-101.8281372996488</v>
      </c>
      <c r="AL36" s="2">
        <v>0</v>
      </c>
      <c r="AM36" s="2">
        <v>0</v>
      </c>
      <c r="AN36" s="2">
        <v>193.28</v>
      </c>
      <c r="AO36" s="2">
        <v>156.92016032247111</v>
      </c>
      <c r="AP36" s="2">
        <v>156.92016032247111</v>
      </c>
      <c r="AQ36" s="2">
        <v>0</v>
      </c>
      <c r="AR36" s="2">
        <v>0</v>
      </c>
      <c r="AS36" s="2">
        <v>0</v>
      </c>
      <c r="AT36" s="2">
        <v>0</v>
      </c>
      <c r="AU36" s="1">
        <v>147.66592</v>
      </c>
      <c r="AV36" s="2">
        <v>13.53705082329253</v>
      </c>
      <c r="AW36" s="2">
        <v>-437.30745476489579</v>
      </c>
      <c r="AX36" s="2">
        <v>156.92016032247111</v>
      </c>
      <c r="AZ36" s="1">
        <f t="shared" si="13"/>
        <v>113.26208</v>
      </c>
      <c r="BA36" s="2">
        <f t="shared" si="14"/>
        <v>11.21599277014943</v>
      </c>
      <c r="BB36" s="7">
        <f t="shared" si="15"/>
        <v>-335.23195762693348</v>
      </c>
      <c r="BC36" s="1">
        <f t="shared" si="16"/>
        <v>34.403840000000002</v>
      </c>
      <c r="BD36" s="2">
        <f t="shared" si="17"/>
        <v>3.406905653731394</v>
      </c>
      <c r="BE36" s="2">
        <f t="shared" si="18"/>
        <v>-101.8281372996488</v>
      </c>
      <c r="BF36" s="2">
        <f t="shared" si="18"/>
        <v>0</v>
      </c>
      <c r="BG36" s="7">
        <f t="shared" si="18"/>
        <v>0</v>
      </c>
      <c r="BH36" s="1">
        <f t="shared" si="19"/>
        <v>147.66592</v>
      </c>
      <c r="BI36" s="2">
        <f t="shared" si="19"/>
        <v>14.622898423880825</v>
      </c>
      <c r="BJ36" s="2">
        <f t="shared" si="20"/>
        <v>437.06009492658228</v>
      </c>
      <c r="BK36" s="2">
        <f t="shared" si="21"/>
        <v>0</v>
      </c>
      <c r="BL36" s="7">
        <f t="shared" si="22"/>
        <v>0</v>
      </c>
      <c r="BN36" s="1"/>
      <c r="BO36" s="4"/>
      <c r="BP36" s="2"/>
      <c r="BQ36" s="2"/>
      <c r="BR36" s="3"/>
      <c r="BS36" s="1"/>
      <c r="BT36" s="2"/>
      <c r="BU36" s="21"/>
      <c r="BV36" s="2"/>
      <c r="BW36" s="2"/>
      <c r="BX36" s="21"/>
      <c r="BY36" s="10"/>
    </row>
    <row r="37" spans="1:77" x14ac:dyDescent="0.25">
      <c r="A37" t="str">
        <f t="shared" si="3"/>
        <v>Appui</v>
      </c>
      <c r="B37" t="b">
        <f t="shared" si="4"/>
        <v>1</v>
      </c>
      <c r="C37">
        <f t="shared" ref="C37:C67" si="23">IF(D37="",100000,IF(D37=D36,C36,C36+1))</f>
        <v>4</v>
      </c>
      <c r="D37" s="5" t="s">
        <v>112</v>
      </c>
      <c r="E37" t="s">
        <v>52</v>
      </c>
      <c r="F37" s="5">
        <v>25</v>
      </c>
      <c r="G37" t="s">
        <v>46</v>
      </c>
      <c r="H37">
        <v>500</v>
      </c>
      <c r="I37">
        <v>170000</v>
      </c>
      <c r="J37">
        <v>1300</v>
      </c>
      <c r="K37" s="10">
        <v>1445</v>
      </c>
      <c r="L37" s="12">
        <v>1</v>
      </c>
      <c r="M37" s="5">
        <v>0.215</v>
      </c>
      <c r="N37" s="10">
        <v>4</v>
      </c>
      <c r="O37" s="5">
        <v>1E-4</v>
      </c>
      <c r="P37">
        <v>5.5E-2</v>
      </c>
      <c r="Q37" s="10">
        <v>1</v>
      </c>
      <c r="R37" s="8">
        <v>0</v>
      </c>
      <c r="S37">
        <v>0</v>
      </c>
      <c r="T37">
        <v>1</v>
      </c>
      <c r="U37" s="9">
        <v>2.9099999999999999E-5</v>
      </c>
      <c r="V37">
        <v>0</v>
      </c>
      <c r="W37" s="10">
        <v>12</v>
      </c>
      <c r="X37" s="1">
        <v>38.675999999999988</v>
      </c>
      <c r="Y37" s="2">
        <v>11.747999999999999</v>
      </c>
      <c r="Z37" s="13">
        <v>0</v>
      </c>
      <c r="AA37" s="2">
        <v>38.675999999999988</v>
      </c>
      <c r="AB37" s="2">
        <v>11.747999999999999</v>
      </c>
      <c r="AC37" s="2">
        <v>66</v>
      </c>
      <c r="AD37" s="2"/>
      <c r="AE37" s="7">
        <v>50.423999999999992</v>
      </c>
      <c r="AF37" s="2">
        <v>38.675999999999988</v>
      </c>
      <c r="AG37" s="2">
        <v>11.747999999999999</v>
      </c>
      <c r="AH37" s="2">
        <v>18.607318120326109</v>
      </c>
      <c r="AI37" s="2">
        <v>1.9303971918827589</v>
      </c>
      <c r="AJ37" s="2">
        <v>-2455.6190476190468</v>
      </c>
      <c r="AK37" s="2">
        <v>-115.92708199803261</v>
      </c>
      <c r="AL37" s="2">
        <v>0</v>
      </c>
      <c r="AM37" s="2">
        <v>-135.9944098469137</v>
      </c>
      <c r="AN37" s="2">
        <v>66</v>
      </c>
      <c r="AO37" s="2">
        <v>7.3383794466403751</v>
      </c>
      <c r="AP37" s="2">
        <v>111.3895019791925</v>
      </c>
      <c r="AQ37" s="2">
        <v>7.5144694164141219</v>
      </c>
      <c r="AR37" s="2">
        <v>-435.71006921344929</v>
      </c>
      <c r="AS37" s="2">
        <v>0</v>
      </c>
      <c r="AT37" s="2">
        <v>-818.18667475651114</v>
      </c>
      <c r="AU37" s="1">
        <v>50.423999999999992</v>
      </c>
      <c r="AV37" s="2">
        <v>0</v>
      </c>
      <c r="AW37" s="2">
        <v>0</v>
      </c>
      <c r="AX37" s="2">
        <v>7.3383794466403751</v>
      </c>
      <c r="AZ37" s="1">
        <f t="shared" si="13"/>
        <v>38.675999999999988</v>
      </c>
      <c r="BA37" s="2">
        <f t="shared" si="14"/>
        <v>18.607318120326109</v>
      </c>
      <c r="BB37" s="7">
        <f t="shared" si="15"/>
        <v>-2455.6190476190468</v>
      </c>
      <c r="BC37" s="1">
        <f t="shared" si="16"/>
        <v>11.747999999999999</v>
      </c>
      <c r="BD37" s="2">
        <f t="shared" si="17"/>
        <v>1.9303971918827589</v>
      </c>
      <c r="BE37" s="2">
        <f t="shared" si="18"/>
        <v>-115.92708199803261</v>
      </c>
      <c r="BF37" s="2">
        <f t="shared" si="18"/>
        <v>0</v>
      </c>
      <c r="BG37" s="7">
        <f t="shared" si="18"/>
        <v>-135.9944098469137</v>
      </c>
      <c r="BH37" s="1">
        <f t="shared" si="19"/>
        <v>50.423999999999985</v>
      </c>
      <c r="BI37" s="2">
        <f t="shared" si="19"/>
        <v>20.537715312208867</v>
      </c>
      <c r="BJ37" s="2">
        <f t="shared" si="20"/>
        <v>2571.5461296170793</v>
      </c>
      <c r="BK37" s="2">
        <f t="shared" si="21"/>
        <v>0</v>
      </c>
      <c r="BL37" s="7">
        <f t="shared" si="22"/>
        <v>-135.9944098469137</v>
      </c>
      <c r="BN37" s="1"/>
      <c r="BO37" s="4"/>
      <c r="BP37" s="2"/>
      <c r="BQ37" s="2"/>
      <c r="BR37" s="3"/>
      <c r="BS37" s="1"/>
      <c r="BT37" s="2"/>
      <c r="BU37" s="21"/>
      <c r="BV37" s="2"/>
      <c r="BW37" s="2"/>
      <c r="BX37" s="21"/>
      <c r="BY37" s="15"/>
    </row>
    <row r="38" spans="1:77" x14ac:dyDescent="0.25">
      <c r="A38" t="str">
        <f t="shared" si="3"/>
        <v>Travée</v>
      </c>
      <c r="B38" t="b">
        <f t="shared" si="4"/>
        <v>1</v>
      </c>
      <c r="C38">
        <f t="shared" si="23"/>
        <v>4</v>
      </c>
      <c r="D38" s="5" t="s">
        <v>112</v>
      </c>
      <c r="E38" t="s">
        <v>53</v>
      </c>
      <c r="F38" s="5">
        <v>25</v>
      </c>
      <c r="G38" t="s">
        <v>46</v>
      </c>
      <c r="H38">
        <v>500</v>
      </c>
      <c r="I38">
        <v>170000</v>
      </c>
      <c r="J38">
        <v>1300</v>
      </c>
      <c r="K38" s="10">
        <v>1445</v>
      </c>
      <c r="L38" s="12">
        <v>1</v>
      </c>
      <c r="M38" s="5">
        <v>0.215</v>
      </c>
      <c r="N38" s="10">
        <v>4</v>
      </c>
      <c r="O38" s="5">
        <v>2.052E-3</v>
      </c>
      <c r="P38">
        <v>0.04</v>
      </c>
      <c r="Q38" s="10">
        <v>1</v>
      </c>
      <c r="R38" s="8">
        <v>0</v>
      </c>
      <c r="S38">
        <v>0</v>
      </c>
      <c r="T38">
        <v>1</v>
      </c>
      <c r="U38" s="9">
        <v>0</v>
      </c>
      <c r="V38">
        <v>0</v>
      </c>
      <c r="W38" s="10">
        <v>1</v>
      </c>
      <c r="X38" s="1">
        <v>48.755200000000002</v>
      </c>
      <c r="Y38" s="2">
        <v>14.8096</v>
      </c>
      <c r="Z38" s="13">
        <v>0</v>
      </c>
      <c r="AA38" s="2">
        <v>48.755200000000002</v>
      </c>
      <c r="AB38" s="2">
        <v>14.8096</v>
      </c>
      <c r="AC38" s="2">
        <v>83.2</v>
      </c>
      <c r="AD38" s="2"/>
      <c r="AE38" s="7">
        <v>63.564800000000012</v>
      </c>
      <c r="AF38" s="2">
        <v>48.755200000000002</v>
      </c>
      <c r="AG38" s="2">
        <v>14.8096</v>
      </c>
      <c r="AH38" s="2">
        <v>4.8280763580113346</v>
      </c>
      <c r="AI38" s="2">
        <v>1.4665487913413291</v>
      </c>
      <c r="AJ38" s="2">
        <v>-144.30514732285221</v>
      </c>
      <c r="AK38" s="2">
        <v>-43.833304135610398</v>
      </c>
      <c r="AL38" s="2">
        <v>0</v>
      </c>
      <c r="AM38" s="2">
        <v>0</v>
      </c>
      <c r="AN38" s="2">
        <v>83.2</v>
      </c>
      <c r="AO38" s="2">
        <v>156.92016032247111</v>
      </c>
      <c r="AP38" s="2">
        <v>156.92016032247111</v>
      </c>
      <c r="AQ38" s="2">
        <v>5.9653167704986076</v>
      </c>
      <c r="AR38" s="2">
        <v>-252.2402385014542</v>
      </c>
      <c r="AS38" s="2">
        <v>0</v>
      </c>
      <c r="AT38" s="2">
        <v>0</v>
      </c>
      <c r="AU38" s="1">
        <v>63.564800000000012</v>
      </c>
      <c r="AV38" s="2">
        <v>4.6288713070441707</v>
      </c>
      <c r="AW38" s="2">
        <v>-192.5293928897357</v>
      </c>
      <c r="AX38" s="2">
        <v>156.92016032247111</v>
      </c>
      <c r="AZ38" s="1">
        <f t="shared" si="13"/>
        <v>48.755200000000002</v>
      </c>
      <c r="BA38" s="2">
        <f t="shared" si="14"/>
        <v>4.8280763580113346</v>
      </c>
      <c r="BB38" s="7">
        <f t="shared" si="15"/>
        <v>-144.30514732285221</v>
      </c>
      <c r="BC38" s="1">
        <f t="shared" si="16"/>
        <v>14.8096</v>
      </c>
      <c r="BD38" s="2">
        <f t="shared" si="17"/>
        <v>1.4665487913413291</v>
      </c>
      <c r="BE38" s="2">
        <f t="shared" si="18"/>
        <v>-43.833304135610398</v>
      </c>
      <c r="BF38" s="2">
        <f t="shared" si="18"/>
        <v>0</v>
      </c>
      <c r="BG38" s="7">
        <f t="shared" si="18"/>
        <v>0</v>
      </c>
      <c r="BH38" s="1">
        <f t="shared" si="19"/>
        <v>63.564800000000005</v>
      </c>
      <c r="BI38" s="2">
        <f t="shared" si="19"/>
        <v>6.2946251493526635</v>
      </c>
      <c r="BJ38" s="2">
        <f t="shared" si="20"/>
        <v>188.13845145846261</v>
      </c>
      <c r="BK38" s="2">
        <f t="shared" si="21"/>
        <v>0</v>
      </c>
      <c r="BL38" s="7">
        <f t="shared" si="22"/>
        <v>0</v>
      </c>
      <c r="BN38" s="1"/>
      <c r="BO38" s="4"/>
      <c r="BP38" s="2"/>
      <c r="BQ38" s="2"/>
      <c r="BR38" s="3"/>
      <c r="BS38" s="1"/>
      <c r="BT38" s="2"/>
      <c r="BU38" s="21"/>
      <c r="BV38" s="2"/>
      <c r="BW38" s="2"/>
      <c r="BX38" s="21"/>
      <c r="BY38" s="10"/>
    </row>
    <row r="39" spans="1:77" x14ac:dyDescent="0.25">
      <c r="A39" t="str">
        <f t="shared" si="3"/>
        <v>Appui</v>
      </c>
      <c r="B39" t="b">
        <f t="shared" si="4"/>
        <v>1</v>
      </c>
      <c r="C39">
        <f t="shared" si="23"/>
        <v>4</v>
      </c>
      <c r="D39" s="5" t="s">
        <v>112</v>
      </c>
      <c r="E39" t="s">
        <v>54</v>
      </c>
      <c r="F39" s="5">
        <v>25</v>
      </c>
      <c r="G39" t="s">
        <v>46</v>
      </c>
      <c r="H39">
        <v>500</v>
      </c>
      <c r="I39">
        <v>170000</v>
      </c>
      <c r="J39">
        <v>1300</v>
      </c>
      <c r="K39" s="10">
        <v>1445</v>
      </c>
      <c r="L39" s="12">
        <v>1</v>
      </c>
      <c r="M39" s="5">
        <v>0.215</v>
      </c>
      <c r="N39" s="10">
        <v>4</v>
      </c>
      <c r="O39" s="5">
        <v>6.7199999999999996E-4</v>
      </c>
      <c r="P39">
        <v>5.5E-2</v>
      </c>
      <c r="Q39" s="10">
        <v>1</v>
      </c>
      <c r="R39" s="8">
        <v>0</v>
      </c>
      <c r="S39">
        <v>0</v>
      </c>
      <c r="T39">
        <v>1</v>
      </c>
      <c r="U39" s="9">
        <v>0</v>
      </c>
      <c r="V39">
        <v>0</v>
      </c>
      <c r="W39" s="10">
        <v>1</v>
      </c>
      <c r="X39" s="1">
        <v>19.982600000000001</v>
      </c>
      <c r="Y39" s="2">
        <v>6.0697999999999999</v>
      </c>
      <c r="Z39" s="13">
        <v>0</v>
      </c>
      <c r="AA39" s="2">
        <v>19.982600000000001</v>
      </c>
      <c r="AB39" s="2">
        <v>6.0697999999999999</v>
      </c>
      <c r="AC39" s="2">
        <v>34.1</v>
      </c>
      <c r="AD39" s="2"/>
      <c r="AE39" s="7">
        <v>26.052399999999999</v>
      </c>
      <c r="AF39" s="2">
        <v>19.982600000000001</v>
      </c>
      <c r="AG39" s="2">
        <v>6.0697999999999999</v>
      </c>
      <c r="AH39" s="2">
        <v>3.753273900939655</v>
      </c>
      <c r="AI39" s="2">
        <v>1.140072959671097</v>
      </c>
      <c r="AJ39" s="2">
        <v>-192.95118059539101</v>
      </c>
      <c r="AK39" s="2">
        <v>-58.609744276415682</v>
      </c>
      <c r="AL39" s="2">
        <v>0</v>
      </c>
      <c r="AM39" s="2">
        <v>0</v>
      </c>
      <c r="AN39" s="2">
        <v>34.1</v>
      </c>
      <c r="AO39" s="2">
        <v>49.303261971052187</v>
      </c>
      <c r="AP39" s="2">
        <v>49.303261971052187</v>
      </c>
      <c r="AQ39" s="2">
        <v>4.5607309466029111</v>
      </c>
      <c r="AR39" s="2">
        <v>-334.42143905058799</v>
      </c>
      <c r="AS39" s="2">
        <v>0</v>
      </c>
      <c r="AT39" s="2">
        <v>0</v>
      </c>
      <c r="AU39" s="1">
        <v>26.052399999999999</v>
      </c>
      <c r="AV39" s="2">
        <v>3.527131432231863</v>
      </c>
      <c r="AW39" s="2">
        <v>-255.37126334948971</v>
      </c>
      <c r="AX39" s="2">
        <v>49.303261971052187</v>
      </c>
      <c r="AZ39" s="1">
        <f t="shared" si="13"/>
        <v>19.982600000000001</v>
      </c>
      <c r="BA39" s="2">
        <f t="shared" si="14"/>
        <v>3.753273900939655</v>
      </c>
      <c r="BB39" s="7">
        <f t="shared" si="15"/>
        <v>-192.95118059539101</v>
      </c>
      <c r="BC39" s="1">
        <f t="shared" si="16"/>
        <v>6.0697999999999999</v>
      </c>
      <c r="BD39" s="2">
        <f t="shared" si="17"/>
        <v>1.140072959671097</v>
      </c>
      <c r="BE39" s="2">
        <f t="shared" si="18"/>
        <v>-58.609744276415682</v>
      </c>
      <c r="BF39" s="2">
        <f t="shared" si="18"/>
        <v>0</v>
      </c>
      <c r="BG39" s="7">
        <f t="shared" si="18"/>
        <v>0</v>
      </c>
      <c r="BH39" s="1">
        <f t="shared" si="19"/>
        <v>26.052400000000002</v>
      </c>
      <c r="BI39" s="2">
        <f t="shared" si="19"/>
        <v>4.8933468606107517</v>
      </c>
      <c r="BJ39" s="2">
        <f t="shared" si="20"/>
        <v>251.56092487180669</v>
      </c>
      <c r="BK39" s="2">
        <f t="shared" si="21"/>
        <v>0</v>
      </c>
      <c r="BL39" s="7">
        <f t="shared" si="22"/>
        <v>0</v>
      </c>
      <c r="BN39" s="1"/>
      <c r="BO39" s="4"/>
      <c r="BP39" s="2"/>
      <c r="BQ39" s="2"/>
      <c r="BR39" s="3"/>
      <c r="BS39" s="1"/>
      <c r="BT39" s="2"/>
      <c r="BU39" s="21"/>
      <c r="BV39" s="2"/>
      <c r="BW39" s="2"/>
      <c r="BX39" s="21"/>
      <c r="BY39" s="15"/>
    </row>
    <row r="40" spans="1:77" x14ac:dyDescent="0.25">
      <c r="A40" t="str">
        <f t="shared" si="3"/>
        <v>Travée</v>
      </c>
      <c r="B40" t="b">
        <f t="shared" si="4"/>
        <v>1</v>
      </c>
      <c r="C40">
        <f t="shared" si="23"/>
        <v>4</v>
      </c>
      <c r="D40" s="5" t="s">
        <v>112</v>
      </c>
      <c r="E40" t="s">
        <v>55</v>
      </c>
      <c r="F40" s="5">
        <v>25</v>
      </c>
      <c r="G40" t="s">
        <v>46</v>
      </c>
      <c r="H40">
        <v>500</v>
      </c>
      <c r="I40">
        <v>170000</v>
      </c>
      <c r="J40">
        <v>1300</v>
      </c>
      <c r="K40" s="10">
        <v>1445</v>
      </c>
      <c r="L40" s="12">
        <v>1</v>
      </c>
      <c r="M40" s="5">
        <v>0.215</v>
      </c>
      <c r="N40" s="10">
        <v>4</v>
      </c>
      <c r="O40" s="5">
        <v>2.052E-3</v>
      </c>
      <c r="P40">
        <v>0.04</v>
      </c>
      <c r="Q40" s="10">
        <v>1</v>
      </c>
      <c r="R40" s="8">
        <v>0</v>
      </c>
      <c r="S40">
        <v>0</v>
      </c>
      <c r="T40">
        <v>1</v>
      </c>
      <c r="U40" s="9">
        <v>0</v>
      </c>
      <c r="V40">
        <v>0</v>
      </c>
      <c r="W40" s="10">
        <v>1</v>
      </c>
      <c r="X40" s="1">
        <v>33.753599999999999</v>
      </c>
      <c r="Y40" s="2">
        <v>10.252800000000001</v>
      </c>
      <c r="Z40" s="13">
        <v>0</v>
      </c>
      <c r="AA40" s="2">
        <v>33.753599999999999</v>
      </c>
      <c r="AB40" s="2">
        <v>10.252800000000001</v>
      </c>
      <c r="AC40" s="2">
        <v>57.6</v>
      </c>
      <c r="AD40" s="2"/>
      <c r="AE40" s="7">
        <v>44.006399999999999</v>
      </c>
      <c r="AF40" s="2">
        <v>33.753599999999999</v>
      </c>
      <c r="AG40" s="2">
        <v>10.252800000000001</v>
      </c>
      <c r="AH40" s="2">
        <v>3.342514401700158</v>
      </c>
      <c r="AI40" s="2">
        <v>1.0153030093901501</v>
      </c>
      <c r="AJ40" s="2">
        <v>-99.903563531205378</v>
      </c>
      <c r="AK40" s="2">
        <v>-30.346133632345669</v>
      </c>
      <c r="AL40" s="2">
        <v>0</v>
      </c>
      <c r="AM40" s="2">
        <v>0</v>
      </c>
      <c r="AN40" s="2">
        <v>57.6</v>
      </c>
      <c r="AO40" s="2">
        <v>156.92016032247111</v>
      </c>
      <c r="AP40" s="2">
        <v>156.92016032247111</v>
      </c>
      <c r="AQ40" s="2">
        <v>4.2137085930922984</v>
      </c>
      <c r="AR40" s="2">
        <v>-174.4140283652867</v>
      </c>
      <c r="AS40" s="2">
        <v>0</v>
      </c>
      <c r="AT40" s="2">
        <v>0</v>
      </c>
      <c r="AU40" s="1">
        <v>44.006399999999999</v>
      </c>
      <c r="AV40" s="2">
        <v>3.2521511329887751</v>
      </c>
      <c r="AW40" s="2">
        <v>-133.16910764333431</v>
      </c>
      <c r="AX40" s="2">
        <v>156.92016032247111</v>
      </c>
      <c r="AZ40" s="1">
        <f t="shared" si="13"/>
        <v>33.753599999999999</v>
      </c>
      <c r="BA40" s="2">
        <f t="shared" si="14"/>
        <v>3.342514401700158</v>
      </c>
      <c r="BB40" s="7">
        <f t="shared" si="15"/>
        <v>-99.903563531205378</v>
      </c>
      <c r="BC40" s="1">
        <f t="shared" si="16"/>
        <v>10.252800000000001</v>
      </c>
      <c r="BD40" s="2">
        <f t="shared" si="17"/>
        <v>1.0153030093901501</v>
      </c>
      <c r="BE40" s="2">
        <f t="shared" si="18"/>
        <v>-30.346133632345669</v>
      </c>
      <c r="BF40" s="2">
        <f t="shared" si="18"/>
        <v>0</v>
      </c>
      <c r="BG40" s="7">
        <f t="shared" si="18"/>
        <v>0</v>
      </c>
      <c r="BH40" s="1">
        <f t="shared" si="19"/>
        <v>44.006399999999999</v>
      </c>
      <c r="BI40" s="2">
        <f t="shared" si="19"/>
        <v>4.3578174110903083</v>
      </c>
      <c r="BJ40" s="2">
        <f t="shared" si="20"/>
        <v>130.24969716355105</v>
      </c>
      <c r="BK40" s="2">
        <f t="shared" si="21"/>
        <v>0</v>
      </c>
      <c r="BL40" s="7">
        <f t="shared" si="22"/>
        <v>0</v>
      </c>
      <c r="BN40" s="1"/>
      <c r="BO40" s="4"/>
      <c r="BP40" s="2"/>
      <c r="BQ40" s="2"/>
      <c r="BR40" s="3"/>
      <c r="BS40" s="1"/>
      <c r="BT40" s="2"/>
      <c r="BU40" s="21"/>
      <c r="BV40" s="2"/>
      <c r="BW40" s="2"/>
      <c r="BX40" s="21"/>
      <c r="BY40" s="10"/>
    </row>
    <row r="41" spans="1:77" x14ac:dyDescent="0.25">
      <c r="A41" t="str">
        <f t="shared" si="3"/>
        <v/>
      </c>
      <c r="B41" t="b">
        <f t="shared" si="4"/>
        <v>1</v>
      </c>
      <c r="C41">
        <f t="shared" si="23"/>
        <v>100000</v>
      </c>
      <c r="D41" s="5"/>
      <c r="F41" s="5"/>
      <c r="K41" s="10"/>
      <c r="L41" s="12"/>
      <c r="M41" s="5"/>
      <c r="N41" s="10"/>
      <c r="O41" s="5"/>
      <c r="Q41" s="10"/>
      <c r="R41" s="8"/>
      <c r="U41" s="9"/>
      <c r="W41" s="10"/>
      <c r="X41" s="1"/>
      <c r="Y41" s="2"/>
      <c r="Z41" s="13"/>
      <c r="AA41" s="2"/>
      <c r="AB41" s="2"/>
      <c r="AC41" s="2"/>
      <c r="AD41" s="2"/>
      <c r="AE41" s="7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"/>
      <c r="AV41" s="2"/>
      <c r="AW41" s="2"/>
      <c r="AX41" s="2"/>
      <c r="AZ41" s="1"/>
      <c r="BA41" s="2"/>
      <c r="BB41" s="7"/>
      <c r="BC41" s="1"/>
      <c r="BD41" s="2"/>
      <c r="BE41" s="2"/>
      <c r="BF41" s="2"/>
      <c r="BG41" s="7"/>
      <c r="BH41" s="1"/>
      <c r="BI41" s="2"/>
      <c r="BJ41" s="2"/>
      <c r="BK41" s="2"/>
      <c r="BL41" s="7"/>
      <c r="BN41" s="1"/>
      <c r="BO41" s="4"/>
      <c r="BP41" s="2"/>
      <c r="BQ41" s="2"/>
      <c r="BR41" s="3"/>
      <c r="BS41" s="1"/>
      <c r="BT41" s="2"/>
      <c r="BU41" s="21"/>
      <c r="BV41" s="2"/>
      <c r="BW41" s="2"/>
      <c r="BX41" s="21"/>
      <c r="BY41" s="15"/>
    </row>
    <row r="42" spans="1:77" x14ac:dyDescent="0.25">
      <c r="A42" t="str">
        <f t="shared" si="3"/>
        <v/>
      </c>
      <c r="B42" t="b">
        <f t="shared" si="4"/>
        <v>1</v>
      </c>
      <c r="C42">
        <f t="shared" si="23"/>
        <v>100000</v>
      </c>
      <c r="D42" s="5"/>
      <c r="F42" s="5"/>
      <c r="K42" s="10"/>
      <c r="L42" s="12"/>
      <c r="M42" s="5"/>
      <c r="N42" s="10"/>
      <c r="O42" s="5"/>
      <c r="Q42" s="10"/>
      <c r="R42" s="8"/>
      <c r="U42" s="9"/>
      <c r="W42" s="10"/>
      <c r="X42" s="1"/>
      <c r="Y42" s="2"/>
      <c r="Z42" s="13"/>
      <c r="AA42" s="2"/>
      <c r="AB42" s="2"/>
      <c r="AC42" s="2"/>
      <c r="AD42" s="2"/>
      <c r="AE42" s="7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1"/>
      <c r="AV42" s="2"/>
      <c r="AW42" s="2"/>
      <c r="AX42" s="2"/>
      <c r="AZ42" s="1"/>
      <c r="BA42" s="2"/>
      <c r="BB42" s="7"/>
      <c r="BC42" s="1"/>
      <c r="BD42" s="2"/>
      <c r="BE42" s="2"/>
      <c r="BF42" s="2"/>
      <c r="BG42" s="7"/>
      <c r="BH42" s="1"/>
      <c r="BI42" s="2"/>
      <c r="BJ42" s="2"/>
      <c r="BK42" s="2"/>
      <c r="BL42" s="7"/>
      <c r="BN42" s="1"/>
      <c r="BO42" s="4"/>
      <c r="BP42" s="2"/>
      <c r="BQ42" s="2"/>
      <c r="BR42" s="3"/>
      <c r="BS42" s="1"/>
      <c r="BT42" s="2"/>
      <c r="BU42" s="21"/>
      <c r="BV42" s="2"/>
      <c r="BW42" s="2"/>
      <c r="BX42" s="21"/>
      <c r="BY42" s="10"/>
    </row>
    <row r="43" spans="1:77" x14ac:dyDescent="0.25">
      <c r="A43" t="str">
        <f t="shared" si="3"/>
        <v/>
      </c>
      <c r="B43" t="b">
        <f t="shared" si="4"/>
        <v>1</v>
      </c>
      <c r="C43">
        <f t="shared" si="23"/>
        <v>100000</v>
      </c>
      <c r="D43" s="5"/>
      <c r="F43" s="5"/>
      <c r="K43" s="10"/>
      <c r="L43" s="12"/>
      <c r="M43" s="5"/>
      <c r="N43" s="10"/>
      <c r="O43" s="5"/>
      <c r="Q43" s="10"/>
      <c r="R43" s="8"/>
      <c r="U43" s="9"/>
      <c r="W43" s="10"/>
      <c r="X43" s="1"/>
      <c r="Y43" s="2"/>
      <c r="Z43" s="13"/>
      <c r="AA43" s="2"/>
      <c r="AB43" s="2"/>
      <c r="AC43" s="2"/>
      <c r="AD43" s="2"/>
      <c r="AE43" s="7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1"/>
      <c r="AV43" s="2"/>
      <c r="AW43" s="2"/>
      <c r="AX43" s="2"/>
      <c r="AZ43" s="1"/>
      <c r="BA43" s="2"/>
      <c r="BB43" s="7"/>
      <c r="BC43" s="1"/>
      <c r="BD43" s="2"/>
      <c r="BE43" s="2"/>
      <c r="BF43" s="2"/>
      <c r="BG43" s="7"/>
      <c r="BH43" s="1"/>
      <c r="BI43" s="2"/>
      <c r="BJ43" s="2"/>
      <c r="BK43" s="2"/>
      <c r="BL43" s="7"/>
      <c r="BN43" s="1"/>
      <c r="BO43" s="4"/>
      <c r="BP43" s="2"/>
      <c r="BQ43" s="2"/>
      <c r="BR43" s="3"/>
      <c r="BS43" s="1"/>
      <c r="BT43" s="2"/>
      <c r="BU43" s="21"/>
      <c r="BV43" s="2"/>
      <c r="BW43" s="2"/>
      <c r="BX43" s="21"/>
      <c r="BY43" s="15"/>
    </row>
    <row r="44" spans="1:77" x14ac:dyDescent="0.25">
      <c r="A44" t="str">
        <f t="shared" si="3"/>
        <v/>
      </c>
      <c r="B44" t="b">
        <f t="shared" si="4"/>
        <v>1</v>
      </c>
      <c r="C44">
        <f t="shared" si="23"/>
        <v>100000</v>
      </c>
      <c r="D44" s="5"/>
      <c r="F44" s="5"/>
      <c r="K44" s="10"/>
      <c r="L44" s="12"/>
      <c r="M44" s="5"/>
      <c r="N44" s="10"/>
      <c r="O44" s="5"/>
      <c r="Q44" s="10"/>
      <c r="R44" s="8"/>
      <c r="U44" s="9"/>
      <c r="W44" s="10"/>
      <c r="X44" s="1"/>
      <c r="Y44" s="2"/>
      <c r="Z44" s="13"/>
      <c r="AA44" s="2"/>
      <c r="AB44" s="2"/>
      <c r="AC44" s="2"/>
      <c r="AD44" s="2"/>
      <c r="AE44" s="7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1"/>
      <c r="AV44" s="2"/>
      <c r="AW44" s="2"/>
      <c r="AX44" s="2"/>
      <c r="AZ44" s="1"/>
      <c r="BA44" s="2"/>
      <c r="BB44" s="7"/>
      <c r="BC44" s="1"/>
      <c r="BD44" s="2"/>
      <c r="BE44" s="2"/>
      <c r="BF44" s="2"/>
      <c r="BG44" s="7"/>
      <c r="BH44" s="1"/>
      <c r="BI44" s="2"/>
      <c r="BJ44" s="2"/>
      <c r="BK44" s="2"/>
      <c r="BL44" s="7"/>
      <c r="BN44" s="1"/>
      <c r="BO44" s="4"/>
      <c r="BP44" s="2"/>
      <c r="BQ44" s="2"/>
      <c r="BR44" s="3"/>
      <c r="BS44" s="1"/>
      <c r="BT44" s="2"/>
      <c r="BU44" s="21"/>
      <c r="BV44" s="2"/>
      <c r="BW44" s="2"/>
      <c r="BX44" s="21"/>
      <c r="BY44" s="10"/>
    </row>
    <row r="45" spans="1:77" x14ac:dyDescent="0.25">
      <c r="A45" t="str">
        <f t="shared" si="3"/>
        <v/>
      </c>
      <c r="B45" t="b">
        <f t="shared" si="4"/>
        <v>1</v>
      </c>
      <c r="C45">
        <f>IF(D45="",100000,IF(D45=D43,C43,C43+1))</f>
        <v>100000</v>
      </c>
      <c r="D45" s="5"/>
      <c r="F45" s="5"/>
      <c r="K45" s="10"/>
      <c r="L45" s="12"/>
      <c r="M45" s="5"/>
      <c r="N45" s="10"/>
      <c r="O45" s="5"/>
      <c r="Q45" s="10"/>
      <c r="R45" s="8"/>
      <c r="U45" s="9"/>
      <c r="W45" s="10"/>
      <c r="X45" s="1"/>
      <c r="Y45" s="2"/>
      <c r="Z45" s="13"/>
      <c r="AA45" s="2"/>
      <c r="AB45" s="2"/>
      <c r="AC45" s="2"/>
      <c r="AD45" s="2"/>
      <c r="AE45" s="7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1"/>
      <c r="AV45" s="2"/>
      <c r="AW45" s="2"/>
      <c r="AX45" s="2"/>
      <c r="AZ45" s="1"/>
      <c r="BA45" s="2"/>
      <c r="BB45" s="7"/>
      <c r="BC45" s="1"/>
      <c r="BD45" s="2"/>
      <c r="BE45" s="2"/>
      <c r="BF45" s="2"/>
      <c r="BG45" s="7"/>
      <c r="BH45" s="1"/>
      <c r="BI45" s="2"/>
      <c r="BJ45" s="2"/>
      <c r="BK45" s="2"/>
      <c r="BL45" s="7"/>
      <c r="BN45" s="1"/>
      <c r="BO45" s="4"/>
      <c r="BP45" s="2"/>
      <c r="BQ45" s="2"/>
      <c r="BR45" s="3"/>
      <c r="BS45" s="1"/>
      <c r="BT45" s="2"/>
      <c r="BU45" s="21"/>
      <c r="BV45" s="2"/>
      <c r="BW45" s="2"/>
      <c r="BX45" s="21"/>
      <c r="BY45" s="15"/>
    </row>
    <row r="46" spans="1:77" x14ac:dyDescent="0.25">
      <c r="A46" t="str">
        <f t="shared" si="3"/>
        <v/>
      </c>
      <c r="B46" t="b">
        <f t="shared" si="4"/>
        <v>1</v>
      </c>
      <c r="C46">
        <f>IF(D46="",100000,IF(D46=D44,C44,C44+1))</f>
        <v>100000</v>
      </c>
      <c r="D46" s="5"/>
      <c r="F46" s="5"/>
      <c r="K46" s="10"/>
      <c r="L46" s="12"/>
      <c r="M46" s="5"/>
      <c r="N46" s="10"/>
      <c r="O46" s="5"/>
      <c r="Q46" s="10"/>
      <c r="R46" s="8"/>
      <c r="U46" s="9"/>
      <c r="W46" s="10"/>
      <c r="X46" s="1"/>
      <c r="Y46" s="2"/>
      <c r="Z46" s="13"/>
      <c r="AA46" s="2"/>
      <c r="AB46" s="2"/>
      <c r="AC46" s="2"/>
      <c r="AD46" s="2"/>
      <c r="AE46" s="7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1"/>
      <c r="AV46" s="2"/>
      <c r="AW46" s="2"/>
      <c r="AX46" s="2"/>
      <c r="AZ46" s="1"/>
      <c r="BA46" s="2"/>
      <c r="BB46" s="7"/>
      <c r="BC46" s="1"/>
      <c r="BD46" s="2"/>
      <c r="BE46" s="2"/>
      <c r="BF46" s="2"/>
      <c r="BG46" s="7"/>
      <c r="BH46" s="1"/>
      <c r="BI46" s="2"/>
      <c r="BJ46" s="2"/>
      <c r="BK46" s="2"/>
      <c r="BL46" s="7"/>
      <c r="BN46" s="1"/>
      <c r="BO46" s="4"/>
      <c r="BP46" s="2"/>
      <c r="BQ46" s="2"/>
      <c r="BR46" s="3"/>
      <c r="BS46" s="1"/>
      <c r="BT46" s="2"/>
      <c r="BU46" s="21"/>
      <c r="BV46" s="2"/>
      <c r="BW46" s="2"/>
      <c r="BX46" s="21"/>
      <c r="BY46" s="10"/>
    </row>
    <row r="47" spans="1:77" x14ac:dyDescent="0.25">
      <c r="A47" t="str">
        <f t="shared" si="3"/>
        <v/>
      </c>
      <c r="B47" t="b">
        <f t="shared" si="4"/>
        <v>1</v>
      </c>
      <c r="C47">
        <f t="shared" si="23"/>
        <v>100000</v>
      </c>
      <c r="D47" s="5"/>
      <c r="F47" s="5"/>
      <c r="K47" s="10"/>
      <c r="L47" s="12"/>
      <c r="M47" s="5"/>
      <c r="N47" s="10"/>
      <c r="O47" s="5"/>
      <c r="Q47" s="10"/>
      <c r="R47" s="8"/>
      <c r="U47" s="9"/>
      <c r="W47" s="10"/>
      <c r="X47" s="1"/>
      <c r="Y47" s="2"/>
      <c r="Z47" s="13"/>
      <c r="AA47" s="2"/>
      <c r="AB47" s="2"/>
      <c r="AC47" s="2"/>
      <c r="AD47" s="2"/>
      <c r="AE47" s="7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1"/>
      <c r="AV47" s="2"/>
      <c r="AW47" s="2"/>
      <c r="AX47" s="2"/>
      <c r="AZ47" s="1"/>
      <c r="BA47" s="2"/>
      <c r="BB47" s="7"/>
      <c r="BC47" s="1"/>
      <c r="BD47" s="2"/>
      <c r="BE47" s="2"/>
      <c r="BF47" s="2"/>
      <c r="BG47" s="7"/>
      <c r="BH47" s="1"/>
      <c r="BI47" s="2"/>
      <c r="BJ47" s="2"/>
      <c r="BK47" s="2"/>
      <c r="BL47" s="7"/>
      <c r="BN47" s="1"/>
      <c r="BO47" s="4"/>
      <c r="BP47" s="2"/>
      <c r="BQ47" s="2"/>
      <c r="BR47" s="3"/>
      <c r="BS47" s="1"/>
      <c r="BT47" s="2"/>
      <c r="BU47" s="21"/>
      <c r="BV47" s="2"/>
      <c r="BW47" s="2"/>
      <c r="BX47" s="21"/>
      <c r="BY47" s="15"/>
    </row>
    <row r="48" spans="1:77" x14ac:dyDescent="0.25">
      <c r="A48" t="str">
        <f t="shared" si="3"/>
        <v/>
      </c>
      <c r="B48" t="b">
        <f t="shared" si="4"/>
        <v>1</v>
      </c>
      <c r="C48">
        <f t="shared" si="23"/>
        <v>100000</v>
      </c>
      <c r="D48" s="5"/>
      <c r="F48" s="5"/>
      <c r="K48" s="10"/>
      <c r="L48" s="12"/>
      <c r="M48" s="5"/>
      <c r="N48" s="10"/>
      <c r="O48" s="5"/>
      <c r="Q48" s="10"/>
      <c r="R48" s="8"/>
      <c r="U48" s="9"/>
      <c r="W48" s="10"/>
      <c r="X48" s="1"/>
      <c r="Y48" s="2"/>
      <c r="Z48" s="13"/>
      <c r="AA48" s="2"/>
      <c r="AB48" s="2"/>
      <c r="AC48" s="2"/>
      <c r="AD48" s="2"/>
      <c r="AE48" s="7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1"/>
      <c r="AV48" s="2"/>
      <c r="AW48" s="2"/>
      <c r="AX48" s="2"/>
      <c r="AZ48" s="1"/>
      <c r="BA48" s="2"/>
      <c r="BB48" s="7"/>
      <c r="BC48" s="1"/>
      <c r="BD48" s="2"/>
      <c r="BE48" s="2"/>
      <c r="BF48" s="2"/>
      <c r="BG48" s="7"/>
      <c r="BH48" s="1"/>
      <c r="BI48" s="2"/>
      <c r="BJ48" s="2"/>
      <c r="BK48" s="2"/>
      <c r="BL48" s="7"/>
      <c r="BN48" s="1"/>
      <c r="BO48" s="4"/>
      <c r="BP48" s="2"/>
      <c r="BQ48" s="2"/>
      <c r="BR48" s="3"/>
      <c r="BS48" s="1"/>
      <c r="BT48" s="2"/>
      <c r="BU48" s="21"/>
      <c r="BV48" s="2"/>
      <c r="BW48" s="2"/>
      <c r="BX48" s="21"/>
      <c r="BY48" s="10"/>
    </row>
    <row r="49" spans="1:77" x14ac:dyDescent="0.25">
      <c r="A49" t="str">
        <f t="shared" si="3"/>
        <v/>
      </c>
      <c r="B49" t="b">
        <f t="shared" si="4"/>
        <v>1</v>
      </c>
      <c r="C49">
        <f t="shared" si="23"/>
        <v>100000</v>
      </c>
      <c r="D49" s="5"/>
      <c r="F49" s="5"/>
      <c r="K49" s="10"/>
      <c r="L49" s="12"/>
      <c r="M49" s="5"/>
      <c r="N49" s="10"/>
      <c r="O49" s="5"/>
      <c r="Q49" s="10"/>
      <c r="R49" s="8"/>
      <c r="U49" s="9"/>
      <c r="W49" s="10"/>
      <c r="X49" s="1"/>
      <c r="Y49" s="2"/>
      <c r="Z49" s="13"/>
      <c r="AA49" s="2"/>
      <c r="AB49" s="2"/>
      <c r="AC49" s="2"/>
      <c r="AD49" s="2"/>
      <c r="AE49" s="7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1"/>
      <c r="AV49" s="2"/>
      <c r="AW49" s="2"/>
      <c r="AX49" s="2"/>
      <c r="AZ49" s="1"/>
      <c r="BA49" s="2"/>
      <c r="BB49" s="7"/>
      <c r="BC49" s="1"/>
      <c r="BD49" s="2"/>
      <c r="BE49" s="2"/>
      <c r="BF49" s="2"/>
      <c r="BG49" s="7"/>
      <c r="BH49" s="1"/>
      <c r="BI49" s="2"/>
      <c r="BJ49" s="2"/>
      <c r="BK49" s="2"/>
      <c r="BL49" s="7"/>
      <c r="BN49" s="1"/>
      <c r="BO49" s="4"/>
      <c r="BP49" s="2"/>
      <c r="BQ49" s="2"/>
      <c r="BR49" s="3"/>
      <c r="BS49" s="1"/>
      <c r="BT49" s="2"/>
      <c r="BU49" s="21"/>
      <c r="BV49" s="2"/>
      <c r="BW49" s="2"/>
      <c r="BX49" s="21"/>
      <c r="BY49" s="15"/>
    </row>
    <row r="50" spans="1:77" x14ac:dyDescent="0.25">
      <c r="A50" t="str">
        <f t="shared" si="3"/>
        <v/>
      </c>
      <c r="B50" t="b">
        <f t="shared" si="4"/>
        <v>1</v>
      </c>
      <c r="C50">
        <f t="shared" si="23"/>
        <v>100000</v>
      </c>
      <c r="D50" s="5"/>
      <c r="F50" s="5"/>
      <c r="K50" s="10"/>
      <c r="L50" s="12"/>
      <c r="M50" s="5"/>
      <c r="N50" s="10"/>
      <c r="O50" s="5"/>
      <c r="Q50" s="10"/>
      <c r="R50" s="8"/>
      <c r="U50" s="9"/>
      <c r="W50" s="10"/>
      <c r="X50" s="1"/>
      <c r="Y50" s="2"/>
      <c r="Z50" s="13"/>
      <c r="AA50" s="2"/>
      <c r="AB50" s="2"/>
      <c r="AC50" s="2"/>
      <c r="AD50" s="2"/>
      <c r="AE50" s="7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1"/>
      <c r="AV50" s="2"/>
      <c r="AW50" s="2"/>
      <c r="AX50" s="2"/>
      <c r="AZ50" s="1"/>
      <c r="BA50" s="2"/>
      <c r="BB50" s="7"/>
      <c r="BC50" s="1"/>
      <c r="BD50" s="2"/>
      <c r="BE50" s="2"/>
      <c r="BF50" s="2"/>
      <c r="BG50" s="7"/>
      <c r="BH50" s="1"/>
      <c r="BI50" s="2"/>
      <c r="BJ50" s="2"/>
      <c r="BK50" s="2"/>
      <c r="BL50" s="7"/>
      <c r="BN50" s="1"/>
      <c r="BO50" s="4"/>
      <c r="BP50" s="2"/>
      <c r="BQ50" s="2"/>
      <c r="BR50" s="3"/>
      <c r="BS50" s="1"/>
      <c r="BT50" s="2"/>
      <c r="BU50" s="21"/>
      <c r="BV50" s="2"/>
      <c r="BW50" s="2"/>
      <c r="BX50" s="21"/>
      <c r="BY50" s="10"/>
    </row>
    <row r="51" spans="1:77" x14ac:dyDescent="0.25">
      <c r="A51" t="str">
        <f t="shared" si="3"/>
        <v/>
      </c>
      <c r="B51" t="b">
        <f t="shared" si="4"/>
        <v>1</v>
      </c>
      <c r="C51">
        <f t="shared" si="23"/>
        <v>100000</v>
      </c>
      <c r="D51" s="5"/>
      <c r="F51" s="5"/>
      <c r="K51" s="10"/>
      <c r="L51" s="12"/>
      <c r="M51" s="5"/>
      <c r="N51" s="10"/>
      <c r="O51" s="5"/>
      <c r="Q51" s="10"/>
      <c r="R51" s="8"/>
      <c r="U51" s="9"/>
      <c r="W51" s="10"/>
      <c r="X51" s="1"/>
      <c r="Y51" s="2"/>
      <c r="Z51" s="13"/>
      <c r="AA51" s="2"/>
      <c r="AB51" s="2"/>
      <c r="AC51" s="2"/>
      <c r="AD51" s="2"/>
      <c r="AE51" s="7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1"/>
      <c r="AV51" s="2"/>
      <c r="AW51" s="2"/>
      <c r="AX51" s="2"/>
      <c r="AZ51" s="1"/>
      <c r="BA51" s="2"/>
      <c r="BB51" s="7"/>
      <c r="BC51" s="1"/>
      <c r="BD51" s="2"/>
      <c r="BE51" s="2"/>
      <c r="BF51" s="2"/>
      <c r="BG51" s="7"/>
      <c r="BH51" s="1"/>
      <c r="BI51" s="2"/>
      <c r="BJ51" s="2"/>
      <c r="BK51" s="2"/>
      <c r="BL51" s="7"/>
      <c r="BN51" s="1"/>
      <c r="BO51" s="4"/>
      <c r="BP51" s="2"/>
      <c r="BQ51" s="2"/>
      <c r="BR51" s="3"/>
      <c r="BS51" s="1"/>
      <c r="BT51" s="2"/>
      <c r="BU51" s="21"/>
      <c r="BV51" s="2"/>
      <c r="BW51" s="2"/>
      <c r="BX51" s="21"/>
      <c r="BY51" s="15"/>
    </row>
    <row r="52" spans="1:77" x14ac:dyDescent="0.25">
      <c r="A52" t="str">
        <f t="shared" si="3"/>
        <v/>
      </c>
      <c r="B52" t="b">
        <f t="shared" si="4"/>
        <v>1</v>
      </c>
      <c r="C52">
        <f t="shared" si="23"/>
        <v>100000</v>
      </c>
      <c r="D52" s="5"/>
      <c r="F52" s="5"/>
      <c r="K52" s="10"/>
      <c r="L52" s="12"/>
      <c r="M52" s="5"/>
      <c r="N52" s="10"/>
      <c r="O52" s="5"/>
      <c r="Q52" s="10"/>
      <c r="R52" s="8"/>
      <c r="U52" s="9"/>
      <c r="W52" s="10"/>
      <c r="X52" s="1"/>
      <c r="Y52" s="2"/>
      <c r="Z52" s="13"/>
      <c r="AA52" s="2"/>
      <c r="AB52" s="2"/>
      <c r="AC52" s="2"/>
      <c r="AD52" s="2"/>
      <c r="AE52" s="7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"/>
      <c r="AV52" s="2"/>
      <c r="AW52" s="2"/>
      <c r="AX52" s="2"/>
      <c r="AZ52" s="1"/>
      <c r="BA52" s="2"/>
      <c r="BB52" s="7"/>
      <c r="BC52" s="1"/>
      <c r="BD52" s="2"/>
      <c r="BE52" s="2"/>
      <c r="BF52" s="2"/>
      <c r="BG52" s="7"/>
      <c r="BH52" s="1"/>
      <c r="BI52" s="2"/>
      <c r="BJ52" s="2"/>
      <c r="BK52" s="2"/>
      <c r="BL52" s="7"/>
      <c r="BN52" s="1"/>
      <c r="BO52" s="4"/>
      <c r="BP52" s="2"/>
      <c r="BQ52" s="2"/>
      <c r="BR52" s="3"/>
      <c r="BS52" s="1"/>
      <c r="BT52" s="2"/>
      <c r="BU52" s="21"/>
      <c r="BV52" s="2"/>
      <c r="BW52" s="2"/>
      <c r="BX52" s="21"/>
      <c r="BY52" s="10"/>
    </row>
    <row r="53" spans="1:77" x14ac:dyDescent="0.25">
      <c r="A53" t="str">
        <f t="shared" si="3"/>
        <v/>
      </c>
      <c r="B53" t="b">
        <f t="shared" si="4"/>
        <v>1</v>
      </c>
      <c r="C53">
        <f t="shared" si="23"/>
        <v>100000</v>
      </c>
      <c r="D53" s="5"/>
      <c r="F53" s="5"/>
      <c r="K53" s="10"/>
      <c r="L53" s="12"/>
      <c r="M53" s="5"/>
      <c r="N53" s="10"/>
      <c r="O53" s="5"/>
      <c r="Q53" s="10"/>
      <c r="R53" s="8"/>
      <c r="U53" s="9"/>
      <c r="W53" s="10"/>
      <c r="X53" s="1"/>
      <c r="Y53" s="2"/>
      <c r="Z53" s="13"/>
      <c r="AA53" s="2"/>
      <c r="AB53" s="2"/>
      <c r="AC53" s="2"/>
      <c r="AD53" s="2"/>
      <c r="AE53" s="7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"/>
      <c r="AV53" s="2"/>
      <c r="AW53" s="2"/>
      <c r="AX53" s="2"/>
      <c r="AZ53" s="1"/>
      <c r="BA53" s="2"/>
      <c r="BB53" s="7"/>
      <c r="BC53" s="1"/>
      <c r="BD53" s="2"/>
      <c r="BE53" s="2"/>
      <c r="BF53" s="2"/>
      <c r="BG53" s="7"/>
      <c r="BH53" s="1"/>
      <c r="BI53" s="2"/>
      <c r="BJ53" s="2"/>
      <c r="BK53" s="2"/>
      <c r="BL53" s="7"/>
      <c r="BN53" s="1"/>
      <c r="BO53" s="4"/>
      <c r="BP53" s="2"/>
      <c r="BQ53" s="2"/>
      <c r="BR53" s="3"/>
      <c r="BS53" s="1"/>
      <c r="BT53" s="2"/>
      <c r="BU53" s="21"/>
      <c r="BV53" s="2"/>
      <c r="BW53" s="2"/>
      <c r="BX53" s="21"/>
      <c r="BY53" s="15"/>
    </row>
    <row r="54" spans="1:77" x14ac:dyDescent="0.25">
      <c r="A54" t="str">
        <f t="shared" si="3"/>
        <v/>
      </c>
      <c r="B54" t="b">
        <f t="shared" si="4"/>
        <v>1</v>
      </c>
      <c r="C54">
        <f t="shared" si="23"/>
        <v>100000</v>
      </c>
      <c r="D54" s="5"/>
      <c r="F54" s="5"/>
      <c r="K54" s="10"/>
      <c r="L54" s="12"/>
      <c r="M54" s="5"/>
      <c r="N54" s="10"/>
      <c r="O54" s="5"/>
      <c r="Q54" s="10"/>
      <c r="R54" s="8"/>
      <c r="U54" s="9"/>
      <c r="W54" s="10"/>
      <c r="X54" s="1"/>
      <c r="Y54" s="2"/>
      <c r="Z54" s="13"/>
      <c r="AA54" s="2"/>
      <c r="AB54" s="2"/>
      <c r="AC54" s="2"/>
      <c r="AD54" s="2"/>
      <c r="AE54" s="7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1"/>
      <c r="AV54" s="2"/>
      <c r="AW54" s="2"/>
      <c r="AX54" s="2"/>
      <c r="AZ54" s="1"/>
      <c r="BA54" s="2"/>
      <c r="BB54" s="7"/>
      <c r="BC54" s="1"/>
      <c r="BD54" s="2"/>
      <c r="BE54" s="2"/>
      <c r="BF54" s="2"/>
      <c r="BG54" s="7"/>
      <c r="BH54" s="1"/>
      <c r="BI54" s="2"/>
      <c r="BJ54" s="2"/>
      <c r="BK54" s="2"/>
      <c r="BL54" s="7"/>
      <c r="BN54" s="1"/>
      <c r="BO54" s="4"/>
      <c r="BP54" s="2"/>
      <c r="BQ54" s="2"/>
      <c r="BR54" s="3"/>
      <c r="BS54" s="1"/>
      <c r="BT54" s="2"/>
      <c r="BU54" s="21"/>
      <c r="BV54" s="2"/>
      <c r="BW54" s="2"/>
      <c r="BX54" s="21"/>
      <c r="BY54" s="10"/>
    </row>
    <row r="55" spans="1:77" x14ac:dyDescent="0.25">
      <c r="A55" t="str">
        <f t="shared" si="3"/>
        <v/>
      </c>
      <c r="B55" t="b">
        <f t="shared" si="4"/>
        <v>1</v>
      </c>
      <c r="C55">
        <f t="shared" si="23"/>
        <v>100000</v>
      </c>
      <c r="D55" s="5"/>
      <c r="F55" s="5"/>
      <c r="K55" s="10"/>
      <c r="L55" s="12"/>
      <c r="M55" s="5"/>
      <c r="N55" s="10"/>
      <c r="O55" s="5"/>
      <c r="Q55" s="10"/>
      <c r="R55" s="8"/>
      <c r="U55" s="9"/>
      <c r="W55" s="10"/>
      <c r="X55" s="1"/>
      <c r="Y55" s="2"/>
      <c r="Z55" s="13"/>
      <c r="AA55" s="2"/>
      <c r="AB55" s="2"/>
      <c r="AC55" s="2"/>
      <c r="AD55" s="2"/>
      <c r="AE55" s="7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1"/>
      <c r="AV55" s="2"/>
      <c r="AW55" s="2"/>
      <c r="AX55" s="2"/>
      <c r="AZ55" s="1"/>
      <c r="BA55" s="2"/>
      <c r="BB55" s="7"/>
      <c r="BC55" s="1"/>
      <c r="BD55" s="2"/>
      <c r="BE55" s="2"/>
      <c r="BF55" s="2"/>
      <c r="BG55" s="7"/>
      <c r="BH55" s="1"/>
      <c r="BI55" s="2"/>
      <c r="BJ55" s="2"/>
      <c r="BK55" s="2"/>
      <c r="BL55" s="7"/>
      <c r="BN55" s="1"/>
      <c r="BO55" s="4"/>
      <c r="BP55" s="2"/>
      <c r="BQ55" s="2"/>
      <c r="BR55" s="3"/>
      <c r="BS55" s="1"/>
      <c r="BT55" s="2"/>
      <c r="BU55" s="21"/>
      <c r="BV55" s="2"/>
      <c r="BW55" s="2"/>
      <c r="BX55" s="21"/>
      <c r="BY55" s="15"/>
    </row>
    <row r="56" spans="1:77" x14ac:dyDescent="0.25">
      <c r="A56" t="str">
        <f t="shared" si="3"/>
        <v/>
      </c>
      <c r="B56" t="b">
        <f t="shared" si="4"/>
        <v>1</v>
      </c>
      <c r="C56">
        <f t="shared" si="23"/>
        <v>100000</v>
      </c>
      <c r="D56" s="5"/>
      <c r="F56" s="5"/>
      <c r="K56" s="10"/>
      <c r="L56" s="12"/>
      <c r="M56" s="5"/>
      <c r="N56" s="10"/>
      <c r="O56" s="5"/>
      <c r="Q56" s="10"/>
      <c r="R56" s="8"/>
      <c r="U56" s="9"/>
      <c r="W56" s="10"/>
      <c r="X56" s="1"/>
      <c r="Y56" s="2"/>
      <c r="Z56" s="13"/>
      <c r="AA56" s="2"/>
      <c r="AB56" s="2"/>
      <c r="AC56" s="2"/>
      <c r="AD56" s="2"/>
      <c r="AE56" s="7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1"/>
      <c r="AV56" s="2"/>
      <c r="AW56" s="2"/>
      <c r="AX56" s="2"/>
      <c r="AZ56" s="1"/>
      <c r="BA56" s="2"/>
      <c r="BB56" s="7"/>
      <c r="BC56" s="1"/>
      <c r="BD56" s="2"/>
      <c r="BE56" s="2"/>
      <c r="BF56" s="2"/>
      <c r="BG56" s="7"/>
      <c r="BH56" s="1"/>
      <c r="BI56" s="2"/>
      <c r="BJ56" s="2"/>
      <c r="BK56" s="2"/>
      <c r="BL56" s="7"/>
      <c r="BN56" s="1"/>
      <c r="BO56" s="4"/>
      <c r="BP56" s="2"/>
      <c r="BQ56" s="2"/>
      <c r="BR56" s="3"/>
      <c r="BS56" s="1"/>
      <c r="BT56" s="2"/>
      <c r="BU56" s="21"/>
      <c r="BV56" s="2"/>
      <c r="BW56" s="2"/>
      <c r="BX56" s="21"/>
      <c r="BY56" s="10"/>
    </row>
    <row r="57" spans="1:77" x14ac:dyDescent="0.25">
      <c r="A57" t="str">
        <f t="shared" si="3"/>
        <v/>
      </c>
      <c r="B57" t="b">
        <f t="shared" si="4"/>
        <v>1</v>
      </c>
      <c r="C57">
        <f>IF(D57="",100000,IF(D57=D55,C55,C55+1))</f>
        <v>100000</v>
      </c>
      <c r="D57" s="5"/>
      <c r="F57" s="5"/>
      <c r="K57" s="10"/>
      <c r="L57" s="12"/>
      <c r="M57" s="5"/>
      <c r="N57" s="10"/>
      <c r="O57" s="5"/>
      <c r="Q57" s="10"/>
      <c r="R57" s="8"/>
      <c r="U57" s="9"/>
      <c r="W57" s="10"/>
      <c r="X57" s="1"/>
      <c r="Y57" s="2"/>
      <c r="Z57" s="13"/>
      <c r="AA57" s="2"/>
      <c r="AB57" s="2"/>
      <c r="AC57" s="2"/>
      <c r="AD57" s="2"/>
      <c r="AE57" s="7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"/>
      <c r="AV57" s="2"/>
      <c r="AW57" s="2"/>
      <c r="AX57" s="2"/>
      <c r="AZ57" s="1"/>
      <c r="BA57" s="2"/>
      <c r="BB57" s="7"/>
      <c r="BC57" s="1"/>
      <c r="BD57" s="2"/>
      <c r="BE57" s="2"/>
      <c r="BF57" s="2"/>
      <c r="BG57" s="7"/>
      <c r="BH57" s="1"/>
      <c r="BI57" s="2"/>
      <c r="BJ57" s="2"/>
      <c r="BK57" s="2"/>
      <c r="BL57" s="7"/>
      <c r="BN57" s="1"/>
      <c r="BO57" s="4"/>
      <c r="BP57" s="2"/>
      <c r="BQ57" s="2"/>
      <c r="BR57" s="3"/>
      <c r="BS57" s="1"/>
      <c r="BT57" s="2"/>
      <c r="BU57" s="21"/>
      <c r="BV57" s="2"/>
      <c r="BW57" s="2"/>
      <c r="BX57" s="21"/>
      <c r="BY57" s="15"/>
    </row>
    <row r="58" spans="1:77" x14ac:dyDescent="0.25">
      <c r="A58" t="str">
        <f t="shared" si="3"/>
        <v/>
      </c>
      <c r="B58" t="b">
        <f t="shared" si="4"/>
        <v>1</v>
      </c>
      <c r="C58">
        <f>IF(D58="",100000,IF(D58=D56,C56,C56+1))</f>
        <v>100000</v>
      </c>
      <c r="D58" s="5"/>
      <c r="F58" s="5"/>
      <c r="K58" s="10"/>
      <c r="L58" s="12"/>
      <c r="M58" s="5"/>
      <c r="N58" s="10"/>
      <c r="O58" s="5"/>
      <c r="Q58" s="10"/>
      <c r="R58" s="8"/>
      <c r="U58" s="9"/>
      <c r="W58" s="10"/>
      <c r="X58" s="1"/>
      <c r="Y58" s="2"/>
      <c r="Z58" s="13"/>
      <c r="AA58" s="2"/>
      <c r="AB58" s="2"/>
      <c r="AC58" s="2"/>
      <c r="AD58" s="2"/>
      <c r="AE58" s="7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"/>
      <c r="AV58" s="2"/>
      <c r="AW58" s="2"/>
      <c r="AX58" s="2"/>
      <c r="AZ58" s="1"/>
      <c r="BA58" s="2"/>
      <c r="BB58" s="7"/>
      <c r="BC58" s="1"/>
      <c r="BD58" s="2"/>
      <c r="BE58" s="2"/>
      <c r="BF58" s="2"/>
      <c r="BG58" s="7"/>
      <c r="BH58" s="1"/>
      <c r="BI58" s="2"/>
      <c r="BJ58" s="2"/>
      <c r="BK58" s="2"/>
      <c r="BL58" s="7"/>
      <c r="BN58" s="1"/>
      <c r="BO58" s="4"/>
      <c r="BP58" s="2"/>
      <c r="BQ58" s="2"/>
      <c r="BR58" s="3"/>
      <c r="BS58" s="1"/>
      <c r="BT58" s="2"/>
      <c r="BU58" s="21"/>
      <c r="BV58" s="2"/>
      <c r="BW58" s="2"/>
      <c r="BX58" s="21"/>
      <c r="BY58" s="10"/>
    </row>
    <row r="59" spans="1:77" x14ac:dyDescent="0.25">
      <c r="A59" t="str">
        <f t="shared" si="3"/>
        <v/>
      </c>
      <c r="B59" t="b">
        <f t="shared" si="4"/>
        <v>1</v>
      </c>
      <c r="C59">
        <f t="shared" si="23"/>
        <v>100000</v>
      </c>
      <c r="D59" s="5"/>
      <c r="F59" s="5"/>
      <c r="K59" s="10"/>
      <c r="L59" s="12"/>
      <c r="M59" s="5"/>
      <c r="N59" s="10"/>
      <c r="O59" s="5"/>
      <c r="Q59" s="10"/>
      <c r="R59" s="8"/>
      <c r="U59" s="9"/>
      <c r="W59" s="10"/>
      <c r="X59" s="1"/>
      <c r="Y59" s="2"/>
      <c r="Z59" s="13"/>
      <c r="AA59" s="2"/>
      <c r="AB59" s="2"/>
      <c r="AC59" s="2"/>
      <c r="AD59" s="2"/>
      <c r="AE59" s="7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"/>
      <c r="AV59" s="2"/>
      <c r="AW59" s="2"/>
      <c r="AX59" s="2"/>
      <c r="AZ59" s="1"/>
      <c r="BA59" s="2"/>
      <c r="BB59" s="7"/>
      <c r="BC59" s="1"/>
      <c r="BD59" s="2"/>
      <c r="BE59" s="2"/>
      <c r="BF59" s="2"/>
      <c r="BG59" s="7"/>
      <c r="BH59" s="1"/>
      <c r="BI59" s="2"/>
      <c r="BJ59" s="2"/>
      <c r="BK59" s="2"/>
      <c r="BL59" s="7"/>
      <c r="BN59" s="1"/>
      <c r="BO59" s="4"/>
      <c r="BP59" s="2"/>
      <c r="BQ59" s="2"/>
      <c r="BR59" s="3"/>
      <c r="BS59" s="1"/>
      <c r="BT59" s="2"/>
      <c r="BU59" s="21"/>
      <c r="BV59" s="2"/>
      <c r="BW59" s="2"/>
      <c r="BX59" s="21"/>
      <c r="BY59" s="15"/>
    </row>
    <row r="60" spans="1:77" x14ac:dyDescent="0.25">
      <c r="A60" t="str">
        <f t="shared" si="3"/>
        <v/>
      </c>
      <c r="B60" t="b">
        <f t="shared" si="4"/>
        <v>1</v>
      </c>
      <c r="C60">
        <f t="shared" si="23"/>
        <v>100000</v>
      </c>
      <c r="D60" s="5"/>
      <c r="F60" s="5"/>
      <c r="K60" s="10"/>
      <c r="L60" s="12"/>
      <c r="M60" s="5"/>
      <c r="N60" s="10"/>
      <c r="O60" s="5"/>
      <c r="Q60" s="10"/>
      <c r="R60" s="8"/>
      <c r="U60" s="9"/>
      <c r="W60" s="10"/>
      <c r="X60" s="1"/>
      <c r="Y60" s="2"/>
      <c r="Z60" s="13"/>
      <c r="AA60" s="2"/>
      <c r="AB60" s="2"/>
      <c r="AC60" s="2"/>
      <c r="AD60" s="2"/>
      <c r="AE60" s="7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"/>
      <c r="AV60" s="2"/>
      <c r="AW60" s="2"/>
      <c r="AX60" s="2"/>
      <c r="AZ60" s="1"/>
      <c r="BA60" s="2"/>
      <c r="BB60" s="7"/>
      <c r="BC60" s="1"/>
      <c r="BD60" s="2"/>
      <c r="BE60" s="2"/>
      <c r="BF60" s="2"/>
      <c r="BG60" s="7"/>
      <c r="BH60" s="1"/>
      <c r="BI60" s="2"/>
      <c r="BJ60" s="2"/>
      <c r="BK60" s="2"/>
      <c r="BL60" s="7"/>
      <c r="BN60" s="1"/>
      <c r="BO60" s="4"/>
      <c r="BP60" s="2"/>
      <c r="BQ60" s="2"/>
      <c r="BR60" s="3"/>
      <c r="BS60" s="1"/>
      <c r="BT60" s="2"/>
      <c r="BU60" s="21"/>
      <c r="BV60" s="2"/>
      <c r="BW60" s="2"/>
      <c r="BX60" s="21"/>
      <c r="BY60" s="10"/>
    </row>
    <row r="61" spans="1:77" x14ac:dyDescent="0.25">
      <c r="B61" t="b">
        <f t="shared" si="4"/>
        <v>1</v>
      </c>
      <c r="C61">
        <f t="shared" si="23"/>
        <v>100000</v>
      </c>
      <c r="D61" s="5"/>
      <c r="F61" s="5"/>
      <c r="K61" s="10"/>
      <c r="L61" s="12"/>
      <c r="M61" s="5"/>
      <c r="N61" s="10"/>
      <c r="O61" s="5"/>
      <c r="Q61" s="10"/>
      <c r="R61" s="8"/>
      <c r="U61" s="9"/>
      <c r="W61" s="10"/>
      <c r="X61" s="1"/>
      <c r="Y61" s="2"/>
      <c r="Z61" s="13"/>
      <c r="AA61" s="2"/>
      <c r="AB61" s="2"/>
      <c r="AC61" s="2"/>
      <c r="AD61" s="2"/>
      <c r="AE61" s="7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"/>
      <c r="AV61" s="2"/>
      <c r="AW61" s="2"/>
      <c r="AX61" s="2"/>
      <c r="AZ61" s="1"/>
      <c r="BA61" s="2"/>
      <c r="BB61" s="7"/>
      <c r="BC61" s="1"/>
      <c r="BD61" s="2"/>
      <c r="BE61" s="2"/>
      <c r="BF61" s="2"/>
      <c r="BG61" s="7"/>
      <c r="BH61" s="1"/>
      <c r="BI61" s="2"/>
      <c r="BJ61" s="2"/>
      <c r="BK61" s="2"/>
      <c r="BL61" s="7"/>
      <c r="BN61" s="1"/>
      <c r="BO61" s="4"/>
      <c r="BP61" s="2"/>
      <c r="BQ61" s="2"/>
      <c r="BR61" s="3"/>
      <c r="BS61" s="1"/>
      <c r="BT61" s="2"/>
      <c r="BU61" s="21"/>
      <c r="BV61" s="2"/>
      <c r="BW61" s="2"/>
      <c r="BX61" s="21"/>
      <c r="BY61" s="15"/>
    </row>
    <row r="62" spans="1:77" x14ac:dyDescent="0.25">
      <c r="A62" t="str">
        <f t="shared" si="3"/>
        <v/>
      </c>
      <c r="B62" t="b">
        <f t="shared" si="4"/>
        <v>1</v>
      </c>
      <c r="C62">
        <f>IF(D62="",100000,IF(D62=D60,C60,C60+1))</f>
        <v>100000</v>
      </c>
      <c r="D62" s="5"/>
      <c r="F62" s="5"/>
      <c r="K62" s="10"/>
      <c r="L62" s="12"/>
      <c r="M62" s="5"/>
      <c r="N62" s="10"/>
      <c r="O62" s="5"/>
      <c r="Q62" s="10"/>
      <c r="R62" s="8"/>
      <c r="U62" s="9"/>
      <c r="W62" s="10"/>
      <c r="X62" s="1"/>
      <c r="Y62" s="2"/>
      <c r="Z62" s="13"/>
      <c r="AA62" s="2"/>
      <c r="AB62" s="2"/>
      <c r="AC62" s="2"/>
      <c r="AD62" s="2"/>
      <c r="AE62" s="7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"/>
      <c r="AV62" s="2"/>
      <c r="AW62" s="2"/>
      <c r="AX62" s="2"/>
      <c r="AZ62" s="1"/>
      <c r="BA62" s="2"/>
      <c r="BB62" s="7"/>
      <c r="BC62" s="1"/>
      <c r="BD62" s="2"/>
      <c r="BE62" s="2"/>
      <c r="BF62" s="2"/>
      <c r="BG62" s="7"/>
      <c r="BH62" s="1"/>
      <c r="BI62" s="2"/>
      <c r="BJ62" s="2"/>
      <c r="BK62" s="2"/>
      <c r="BL62" s="7"/>
      <c r="BN62" s="1"/>
      <c r="BO62" s="4"/>
      <c r="BP62" s="2"/>
      <c r="BQ62" s="2"/>
      <c r="BR62" s="3"/>
      <c r="BS62" s="1"/>
      <c r="BT62" s="2"/>
      <c r="BU62" s="21"/>
      <c r="BV62" s="2"/>
      <c r="BW62" s="2"/>
      <c r="BX62" s="21"/>
      <c r="BY62" s="10"/>
    </row>
    <row r="63" spans="1:77" x14ac:dyDescent="0.25">
      <c r="A63" t="str">
        <f t="shared" si="3"/>
        <v/>
      </c>
      <c r="B63" t="b">
        <f t="shared" si="4"/>
        <v>1</v>
      </c>
      <c r="C63">
        <f t="shared" si="23"/>
        <v>100000</v>
      </c>
      <c r="D63" s="5"/>
      <c r="F63" s="5"/>
      <c r="K63" s="10"/>
      <c r="L63" s="12"/>
      <c r="M63" s="5"/>
      <c r="N63" s="10"/>
      <c r="O63" s="5"/>
      <c r="Q63" s="10"/>
      <c r="R63" s="8"/>
      <c r="U63" s="9"/>
      <c r="W63" s="10"/>
      <c r="X63" s="1"/>
      <c r="Y63" s="2"/>
      <c r="Z63" s="13"/>
      <c r="AA63" s="2"/>
      <c r="AB63" s="2"/>
      <c r="AC63" s="2"/>
      <c r="AD63" s="2"/>
      <c r="AE63" s="7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"/>
      <c r="AV63" s="2"/>
      <c r="AW63" s="2"/>
      <c r="AX63" s="2"/>
      <c r="AZ63" s="1"/>
      <c r="BA63" s="2"/>
      <c r="BB63" s="7"/>
      <c r="BC63" s="1"/>
      <c r="BD63" s="2"/>
      <c r="BE63" s="2"/>
      <c r="BF63" s="2"/>
      <c r="BG63" s="7"/>
      <c r="BH63" s="1"/>
      <c r="BI63" s="2"/>
      <c r="BJ63" s="2"/>
      <c r="BK63" s="2"/>
      <c r="BL63" s="7"/>
      <c r="BN63" s="1"/>
      <c r="BO63" s="4"/>
      <c r="BP63" s="2"/>
      <c r="BQ63" s="2"/>
      <c r="BR63" s="3"/>
      <c r="BS63" s="1"/>
      <c r="BT63" s="2"/>
      <c r="BU63" s="21"/>
      <c r="BV63" s="2"/>
      <c r="BW63" s="2"/>
      <c r="BX63" s="21"/>
      <c r="BY63" s="15"/>
    </row>
    <row r="64" spans="1:77" x14ac:dyDescent="0.25">
      <c r="A64" t="str">
        <f t="shared" si="3"/>
        <v/>
      </c>
      <c r="B64" t="b">
        <f t="shared" si="4"/>
        <v>1</v>
      </c>
      <c r="C64">
        <f t="shared" si="23"/>
        <v>100000</v>
      </c>
      <c r="D64" s="5"/>
      <c r="F64" s="5"/>
      <c r="K64" s="10"/>
      <c r="L64" s="12"/>
      <c r="M64" s="5"/>
      <c r="N64" s="10"/>
      <c r="O64" s="5"/>
      <c r="Q64" s="10"/>
      <c r="R64" s="8"/>
      <c r="U64" s="9"/>
      <c r="W64" s="10"/>
      <c r="X64" s="1"/>
      <c r="Y64" s="2"/>
      <c r="Z64" s="13"/>
      <c r="AA64" s="2"/>
      <c r="AB64" s="2"/>
      <c r="AC64" s="2"/>
      <c r="AD64" s="2"/>
      <c r="AE64" s="7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"/>
      <c r="AV64" s="2"/>
      <c r="AW64" s="2"/>
      <c r="AX64" s="2"/>
      <c r="AZ64" s="1"/>
      <c r="BA64" s="2"/>
      <c r="BB64" s="7"/>
      <c r="BC64" s="1"/>
      <c r="BD64" s="2"/>
      <c r="BE64" s="2"/>
      <c r="BF64" s="2"/>
      <c r="BG64" s="7"/>
      <c r="BH64" s="1"/>
      <c r="BI64" s="2"/>
      <c r="BJ64" s="2"/>
      <c r="BK64" s="2"/>
      <c r="BL64" s="7"/>
      <c r="BN64" s="1"/>
      <c r="BO64" s="4"/>
      <c r="BP64" s="2"/>
      <c r="BQ64" s="2"/>
      <c r="BR64" s="3"/>
      <c r="BS64" s="1"/>
      <c r="BT64" s="2"/>
      <c r="BU64" s="21"/>
      <c r="BV64" s="2"/>
      <c r="BW64" s="2"/>
      <c r="BX64" s="21"/>
      <c r="BY64" s="10"/>
    </row>
    <row r="65" spans="1:77" x14ac:dyDescent="0.25">
      <c r="A65" t="str">
        <f t="shared" si="3"/>
        <v/>
      </c>
      <c r="B65" t="b">
        <f t="shared" si="4"/>
        <v>1</v>
      </c>
      <c r="C65">
        <f t="shared" si="23"/>
        <v>100000</v>
      </c>
      <c r="D65" s="5"/>
      <c r="F65" s="5"/>
      <c r="K65" s="10"/>
      <c r="L65" s="12"/>
      <c r="M65" s="5"/>
      <c r="N65" s="10"/>
      <c r="O65" s="5"/>
      <c r="Q65" s="10"/>
      <c r="R65" s="8"/>
      <c r="U65" s="9"/>
      <c r="W65" s="10"/>
      <c r="X65" s="1"/>
      <c r="Y65" s="2"/>
      <c r="Z65" s="13"/>
      <c r="AA65" s="2"/>
      <c r="AB65" s="2"/>
      <c r="AC65" s="2"/>
      <c r="AD65" s="2"/>
      <c r="AE65" s="7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"/>
      <c r="AV65" s="2"/>
      <c r="AW65" s="2"/>
      <c r="AX65" s="2"/>
      <c r="AZ65" s="1"/>
      <c r="BA65" s="2"/>
      <c r="BB65" s="7"/>
      <c r="BC65" s="1"/>
      <c r="BD65" s="2"/>
      <c r="BE65" s="2"/>
      <c r="BF65" s="2"/>
      <c r="BG65" s="7"/>
      <c r="BH65" s="1"/>
      <c r="BI65" s="2"/>
      <c r="BJ65" s="2"/>
      <c r="BK65" s="2"/>
      <c r="BL65" s="7"/>
      <c r="BN65" s="1"/>
      <c r="BO65" s="4"/>
      <c r="BP65" s="2"/>
      <c r="BQ65" s="2"/>
      <c r="BR65" s="3"/>
      <c r="BS65" s="1"/>
      <c r="BT65" s="2"/>
      <c r="BU65" s="21"/>
      <c r="BV65" s="2"/>
      <c r="BW65" s="2"/>
      <c r="BX65" s="21"/>
      <c r="BY65" s="15"/>
    </row>
    <row r="66" spans="1:77" x14ac:dyDescent="0.25">
      <c r="A66" t="str">
        <f t="shared" si="3"/>
        <v/>
      </c>
      <c r="B66" t="b">
        <f t="shared" si="4"/>
        <v>1</v>
      </c>
      <c r="C66">
        <f t="shared" si="23"/>
        <v>100000</v>
      </c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1"/>
      <c r="Y66" s="2"/>
      <c r="Z66" s="13"/>
      <c r="AA66" s="2"/>
      <c r="AB66" s="2"/>
      <c r="AC66" s="2"/>
      <c r="AD66" s="2"/>
      <c r="AE66" s="7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"/>
      <c r="AV66" s="2"/>
      <c r="AW66" s="2"/>
      <c r="AX66" s="2"/>
      <c r="AZ66" s="1"/>
      <c r="BA66" s="2"/>
      <c r="BB66" s="7"/>
      <c r="BC66" s="1"/>
      <c r="BD66" s="2"/>
      <c r="BE66" s="2"/>
      <c r="BF66" s="2"/>
      <c r="BG66" s="7"/>
      <c r="BH66" s="1"/>
      <c r="BI66" s="2"/>
      <c r="BJ66" s="2"/>
      <c r="BK66" s="2"/>
      <c r="BL66" s="7"/>
      <c r="BN66" s="1"/>
      <c r="BO66" s="4"/>
      <c r="BP66" s="2"/>
      <c r="BQ66" s="2"/>
      <c r="BR66" s="3"/>
      <c r="BS66" s="1"/>
      <c r="BT66" s="2"/>
      <c r="BU66" s="21"/>
      <c r="BV66" s="2"/>
      <c r="BW66" s="2"/>
      <c r="BX66" s="21"/>
      <c r="BY66" s="10"/>
    </row>
    <row r="67" spans="1:77" x14ac:dyDescent="0.25">
      <c r="C67">
        <f t="shared" si="23"/>
        <v>100000</v>
      </c>
    </row>
  </sheetData>
  <mergeCells count="19">
    <mergeCell ref="BX5:BY5"/>
    <mergeCell ref="BC3:BG4"/>
    <mergeCell ref="BH3:BL3"/>
    <mergeCell ref="BN3:BR4"/>
    <mergeCell ref="BS3:BY4"/>
    <mergeCell ref="G4:H4"/>
    <mergeCell ref="I4:K4"/>
    <mergeCell ref="R4:T4"/>
    <mergeCell ref="U4:W4"/>
    <mergeCell ref="AZ1:BY1"/>
    <mergeCell ref="AZ2:BL2"/>
    <mergeCell ref="BN2:BY2"/>
    <mergeCell ref="F3:K3"/>
    <mergeCell ref="M3:N4"/>
    <mergeCell ref="O3:Q4"/>
    <mergeCell ref="R3:W3"/>
    <mergeCell ref="X3:AE4"/>
    <mergeCell ref="AF3:AX4"/>
    <mergeCell ref="AZ3:BB4"/>
  </mergeCells>
  <conditionalFormatting sqref="D6:D66">
    <cfRule type="expression" dxfId="26" priority="12">
      <formula>$B6=FALSE</formula>
    </cfRule>
  </conditionalFormatting>
  <conditionalFormatting sqref="BI6:BI66">
    <cfRule type="cellIs" dxfId="25" priority="6" operator="greaterThan">
      <formula>$BI$4</formula>
    </cfRule>
  </conditionalFormatting>
  <conditionalFormatting sqref="BJ6:BK66">
    <cfRule type="cellIs" dxfId="24" priority="10" operator="greaterThan">
      <formula>$BJ$4</formula>
    </cfRule>
  </conditionalFormatting>
  <conditionalFormatting sqref="BL6:BM9 BM10:BM35 BL10:BL66">
    <cfRule type="expression" dxfId="23" priority="11">
      <formula>ABS($BL6)&gt;$BL$4</formula>
    </cfRule>
  </conditionalFormatting>
  <conditionalFormatting sqref="BO6:BO66">
    <cfRule type="expression" dxfId="22" priority="1">
      <formula>$A6="Travée"</formula>
    </cfRule>
  </conditionalFormatting>
  <conditionalFormatting sqref="BR6:BR66">
    <cfRule type="cellIs" dxfId="21" priority="9" operator="greaterThan">
      <formula>1</formula>
    </cfRule>
  </conditionalFormatting>
  <conditionalFormatting sqref="BU6:BU66">
    <cfRule type="cellIs" dxfId="20" priority="8" operator="greaterThan">
      <formula>1</formula>
    </cfRule>
  </conditionalFormatting>
  <conditionalFormatting sqref="BV7:BX59 BV60:BY66">
    <cfRule type="cellIs" dxfId="19" priority="7" operator="equal">
      <formula>""</formula>
    </cfRule>
  </conditionalFormatting>
  <conditionalFormatting sqref="BX6:BX66">
    <cfRule type="cellIs" dxfId="18" priority="4" operator="lessThan">
      <formula>IF($BY6="Rive",1.15,IF($BY6="Inter",1.1,0))</formula>
    </cfRule>
  </conditionalFormatting>
  <conditionalFormatting sqref="BY6:BY59">
    <cfRule type="cellIs" dxfId="17" priority="2" operator="equal">
      <formula>""</formula>
    </cfRule>
  </conditionalFormatting>
  <pageMargins left="0.7" right="0.7" top="0.75" bottom="0.75" header="0.3" footer="0.3"/>
  <pageSetup paperSize="8" scale="7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55C4-6C02-4E50-AEFA-0EE641A6A6BC}">
  <sheetPr>
    <tabColor rgb="FFFF0000"/>
    <pageSetUpPr fitToPage="1"/>
  </sheetPr>
  <dimension ref="A1:CH68"/>
  <sheetViews>
    <sheetView topLeftCell="A3" zoomScale="55" zoomScaleNormal="55" workbookViewId="0">
      <pane xSplit="5" topLeftCell="F1" activePane="topRight" state="frozen"/>
      <selection activeCell="D6" sqref="D6:BA71"/>
      <selection pane="topRight" activeCell="D6" sqref="D6:BA45"/>
    </sheetView>
  </sheetViews>
  <sheetFormatPr baseColWidth="10" defaultColWidth="8.7109375" defaultRowHeight="15" outlineLevelCol="1" x14ac:dyDescent="0.25"/>
  <cols>
    <col min="2" max="2" width="5.42578125" bestFit="1" customWidth="1"/>
    <col min="3" max="3" width="6.85546875" bestFit="1" customWidth="1"/>
    <col min="4" max="4" width="9.7109375" customWidth="1"/>
    <col min="5" max="5" width="11.5703125" customWidth="1"/>
    <col min="6" max="6" width="6.140625" bestFit="1" customWidth="1"/>
    <col min="7" max="7" width="3.85546875" bestFit="1" customWidth="1"/>
    <col min="8" max="8" width="4.140625" bestFit="1" customWidth="1"/>
    <col min="9" max="9" width="7.42578125" bestFit="1" customWidth="1"/>
    <col min="10" max="11" width="5.140625" bestFit="1" customWidth="1"/>
    <col min="12" max="12" width="3.42578125" bestFit="1" customWidth="1"/>
    <col min="13" max="13" width="5.85546875" bestFit="1" customWidth="1"/>
    <col min="14" max="14" width="3.85546875" bestFit="1" customWidth="1"/>
    <col min="15" max="15" width="9.85546875" bestFit="1" customWidth="1"/>
    <col min="16" max="16" width="5.85546875" bestFit="1" customWidth="1"/>
    <col min="17" max="17" width="3.42578125" bestFit="1" customWidth="1"/>
    <col min="18" max="18" width="10.7109375" customWidth="1"/>
    <col min="19" max="19" width="4.85546875" bestFit="1" customWidth="1"/>
    <col min="20" max="20" width="3.42578125" bestFit="1" customWidth="1"/>
    <col min="21" max="21" width="9.28515625" customWidth="1"/>
    <col min="22" max="23" width="3.42578125" bestFit="1" customWidth="1"/>
    <col min="24" max="25" width="3.42578125" customWidth="1"/>
    <col min="26" max="26" width="7.85546875" bestFit="1" customWidth="1"/>
    <col min="27" max="34" width="5.140625" customWidth="1"/>
    <col min="35" max="38" width="3.85546875" customWidth="1" outlineLevel="1"/>
    <col min="39" max="39" width="8" customWidth="1" outlineLevel="1"/>
    <col min="40" max="42" width="4.85546875" customWidth="1" outlineLevel="1"/>
    <col min="43" max="45" width="4.140625" customWidth="1" outlineLevel="1"/>
    <col min="46" max="46" width="3.85546875" customWidth="1" outlineLevel="1"/>
    <col min="47" max="47" width="4.85546875" customWidth="1" outlineLevel="1"/>
    <col min="48" max="48" width="5.28515625" customWidth="1" outlineLevel="1"/>
    <col min="49" max="49" width="5.85546875" customWidth="1" outlineLevel="1"/>
    <col min="50" max="51" width="4.140625" customWidth="1" outlineLevel="1"/>
    <col min="52" max="53" width="4.85546875" customWidth="1" outlineLevel="1"/>
    <col min="54" max="54" width="2.85546875" customWidth="1"/>
    <col min="55" max="56" width="3.85546875" bestFit="1" customWidth="1"/>
    <col min="57" max="57" width="4.85546875" bestFit="1" customWidth="1"/>
    <col min="58" max="59" width="3.85546875" bestFit="1" customWidth="1"/>
    <col min="60" max="62" width="4.85546875" bestFit="1" customWidth="1"/>
    <col min="63" max="63" width="3.85546875" bestFit="1" customWidth="1"/>
    <col min="64" max="64" width="4.28515625" bestFit="1" customWidth="1"/>
    <col min="65" max="67" width="5.28515625" bestFit="1" customWidth="1"/>
    <col min="69" max="69" width="4.140625" bestFit="1" customWidth="1"/>
    <col min="70" max="70" width="10.28515625" bestFit="1" customWidth="1"/>
    <col min="71" max="71" width="4.85546875" bestFit="1" customWidth="1"/>
    <col min="72" max="72" width="4.5703125" bestFit="1" customWidth="1"/>
    <col min="73" max="73" width="7.140625" customWidth="1"/>
    <col min="74" max="75" width="6.85546875" bestFit="1" customWidth="1"/>
    <col min="76" max="76" width="6.140625" bestFit="1" customWidth="1"/>
    <col min="77" max="77" width="4.140625" bestFit="1" customWidth="1"/>
    <col min="78" max="78" width="6.140625" bestFit="1" customWidth="1"/>
    <col min="79" max="79" width="4.140625" customWidth="1"/>
    <col min="80" max="80" width="4.140625" bestFit="1" customWidth="1"/>
    <col min="81" max="81" width="7.42578125" bestFit="1" customWidth="1"/>
    <col min="82" max="83" width="4.140625" bestFit="1" customWidth="1"/>
    <col min="84" max="84" width="5.7109375" bestFit="1" customWidth="1"/>
    <col min="85" max="85" width="5.5703125" bestFit="1" customWidth="1"/>
    <col min="87" max="87" width="9.140625" bestFit="1" customWidth="1"/>
  </cols>
  <sheetData>
    <row r="1" spans="1:86" ht="15.75" thickBot="1" x14ac:dyDescent="0.3">
      <c r="BC1" s="80" t="s">
        <v>67</v>
      </c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2"/>
    </row>
    <row r="2" spans="1:86" ht="15.75" thickBot="1" x14ac:dyDescent="0.3">
      <c r="BC2" s="67" t="s">
        <v>78</v>
      </c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79"/>
      <c r="BP2" s="6"/>
      <c r="BQ2" s="67" t="s">
        <v>79</v>
      </c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79"/>
    </row>
    <row r="3" spans="1:86" x14ac:dyDescent="0.25">
      <c r="F3" s="71" t="s">
        <v>62</v>
      </c>
      <c r="G3" s="72"/>
      <c r="H3" s="72"/>
      <c r="I3" s="72"/>
      <c r="J3" s="72"/>
      <c r="K3" s="73"/>
      <c r="L3" s="11"/>
      <c r="M3" s="71" t="s">
        <v>63</v>
      </c>
      <c r="N3" s="73"/>
      <c r="O3" s="71" t="s">
        <v>64</v>
      </c>
      <c r="P3" s="72"/>
      <c r="Q3" s="73"/>
      <c r="R3" s="71" t="s">
        <v>65</v>
      </c>
      <c r="S3" s="72"/>
      <c r="T3" s="72"/>
      <c r="U3" s="72"/>
      <c r="V3" s="72"/>
      <c r="W3" s="73"/>
      <c r="X3" s="38"/>
      <c r="Y3" s="39"/>
      <c r="Z3" s="39"/>
      <c r="AA3" s="62" t="s">
        <v>68</v>
      </c>
      <c r="AB3" s="62"/>
      <c r="AC3" s="62"/>
      <c r="AD3" s="62"/>
      <c r="AE3" s="62"/>
      <c r="AF3" s="62"/>
      <c r="AG3" s="62"/>
      <c r="AH3" s="63"/>
      <c r="AI3" s="67" t="s">
        <v>67</v>
      </c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C3" s="83" t="s">
        <v>87</v>
      </c>
      <c r="BD3" s="62"/>
      <c r="BE3" s="63"/>
      <c r="BF3" s="83" t="s">
        <v>88</v>
      </c>
      <c r="BG3" s="62"/>
      <c r="BH3" s="62"/>
      <c r="BI3" s="62"/>
      <c r="BJ3" s="63"/>
      <c r="BK3" s="71" t="s">
        <v>77</v>
      </c>
      <c r="BL3" s="72"/>
      <c r="BM3" s="72"/>
      <c r="BN3" s="72"/>
      <c r="BO3" s="73"/>
      <c r="BQ3" s="83" t="s">
        <v>89</v>
      </c>
      <c r="BR3" s="62"/>
      <c r="BS3" s="62"/>
      <c r="BT3" s="62"/>
      <c r="BU3" s="63"/>
      <c r="BV3" s="40"/>
      <c r="BW3" s="40"/>
      <c r="BX3" s="40"/>
      <c r="BY3" s="83" t="s">
        <v>90</v>
      </c>
      <c r="BZ3" s="84"/>
      <c r="CA3" s="84"/>
      <c r="CB3" s="62"/>
      <c r="CC3" s="62"/>
      <c r="CD3" s="62"/>
      <c r="CE3" s="62"/>
      <c r="CF3" s="62"/>
      <c r="CG3" s="63"/>
    </row>
    <row r="4" spans="1:86" ht="15.75" thickBot="1" x14ac:dyDescent="0.3">
      <c r="F4" s="22" t="s">
        <v>59</v>
      </c>
      <c r="G4" s="69" t="s">
        <v>60</v>
      </c>
      <c r="H4" s="69"/>
      <c r="I4" s="69" t="s">
        <v>61</v>
      </c>
      <c r="J4" s="69"/>
      <c r="K4" s="70"/>
      <c r="L4" s="12"/>
      <c r="M4" s="74"/>
      <c r="N4" s="75"/>
      <c r="O4" s="74"/>
      <c r="P4" s="76"/>
      <c r="Q4" s="75"/>
      <c r="R4" s="74" t="s">
        <v>60</v>
      </c>
      <c r="S4" s="76"/>
      <c r="T4" s="76"/>
      <c r="U4" s="76" t="s">
        <v>61</v>
      </c>
      <c r="V4" s="76"/>
      <c r="W4" s="75"/>
      <c r="X4" s="44"/>
      <c r="Y4" s="45"/>
      <c r="Z4" s="45"/>
      <c r="AA4" s="65"/>
      <c r="AB4" s="65"/>
      <c r="AC4" s="65"/>
      <c r="AD4" s="65"/>
      <c r="AE4" s="65"/>
      <c r="AF4" s="65"/>
      <c r="AG4" s="65"/>
      <c r="AH4" s="66"/>
      <c r="AI4" s="67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C4" s="64"/>
      <c r="BD4" s="65"/>
      <c r="BE4" s="66"/>
      <c r="BF4" s="64"/>
      <c r="BG4" s="65"/>
      <c r="BH4" s="65"/>
      <c r="BI4" s="65"/>
      <c r="BJ4" s="66"/>
      <c r="BK4" s="23"/>
      <c r="BL4" s="24">
        <f>0.6*F7</f>
        <v>15</v>
      </c>
      <c r="BM4" s="24">
        <f>0.8*H7</f>
        <v>400</v>
      </c>
      <c r="BN4" s="24">
        <f>0.8*H7</f>
        <v>400</v>
      </c>
      <c r="BO4" s="25">
        <f>MIN(J7,0.9*0.8*H7)</f>
        <v>360.00000000000006</v>
      </c>
      <c r="BP4" s="14"/>
      <c r="BQ4" s="64"/>
      <c r="BR4" s="65"/>
      <c r="BS4" s="65"/>
      <c r="BT4" s="65"/>
      <c r="BU4" s="66"/>
      <c r="BV4" s="42"/>
      <c r="BW4" s="42"/>
      <c r="BX4" s="42"/>
      <c r="BY4" s="64"/>
      <c r="BZ4" s="65"/>
      <c r="CA4" s="65"/>
      <c r="CB4" s="65"/>
      <c r="CC4" s="65"/>
      <c r="CD4" s="65"/>
      <c r="CE4" s="65"/>
      <c r="CF4" s="65"/>
      <c r="CG4" s="66"/>
      <c r="CH4" t="s">
        <v>113</v>
      </c>
    </row>
    <row r="5" spans="1:86" ht="81.95" customHeight="1" thickBot="1" x14ac:dyDescent="0.3">
      <c r="C5">
        <v>0</v>
      </c>
      <c r="D5" s="26" t="s">
        <v>0</v>
      </c>
      <c r="E5" s="27" t="s">
        <v>1</v>
      </c>
      <c r="F5" s="26" t="s">
        <v>2</v>
      </c>
      <c r="G5" s="28" t="s">
        <v>3</v>
      </c>
      <c r="H5" s="28" t="s">
        <v>4</v>
      </c>
      <c r="I5" s="28" t="s">
        <v>5</v>
      </c>
      <c r="J5" s="28" t="s">
        <v>6</v>
      </c>
      <c r="K5" s="29" t="s">
        <v>7</v>
      </c>
      <c r="L5" s="30" t="s">
        <v>8</v>
      </c>
      <c r="M5" s="26" t="s">
        <v>9</v>
      </c>
      <c r="N5" s="29" t="s">
        <v>10</v>
      </c>
      <c r="O5" s="26" t="s">
        <v>11</v>
      </c>
      <c r="P5" s="28" t="s">
        <v>12</v>
      </c>
      <c r="Q5" s="29" t="s">
        <v>13</v>
      </c>
      <c r="R5" s="26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9" t="s">
        <v>19</v>
      </c>
      <c r="X5" s="46" t="s">
        <v>114</v>
      </c>
      <c r="Y5" s="47" t="s">
        <v>115</v>
      </c>
      <c r="Z5" s="47" t="s">
        <v>116</v>
      </c>
      <c r="AA5" s="48" t="s">
        <v>69</v>
      </c>
      <c r="AB5" s="32" t="s">
        <v>70</v>
      </c>
      <c r="AC5" s="32" t="s">
        <v>71</v>
      </c>
      <c r="AD5" s="32" t="s">
        <v>20</v>
      </c>
      <c r="AE5" s="32" t="s">
        <v>21</v>
      </c>
      <c r="AF5" s="32" t="s">
        <v>22</v>
      </c>
      <c r="AG5" s="32" t="s">
        <v>23</v>
      </c>
      <c r="AH5" s="33" t="s">
        <v>24</v>
      </c>
      <c r="AI5" s="34" t="s">
        <v>25</v>
      </c>
      <c r="AJ5" s="35" t="s">
        <v>26</v>
      </c>
      <c r="AK5" s="35" t="s">
        <v>27</v>
      </c>
      <c r="AL5" s="35" t="s">
        <v>28</v>
      </c>
      <c r="AM5" s="35" t="s">
        <v>29</v>
      </c>
      <c r="AN5" s="35" t="s">
        <v>30</v>
      </c>
      <c r="AO5" s="35" t="s">
        <v>31</v>
      </c>
      <c r="AP5" s="35" t="s">
        <v>32</v>
      </c>
      <c r="AQ5" s="35" t="s">
        <v>33</v>
      </c>
      <c r="AR5" s="35" t="s">
        <v>34</v>
      </c>
      <c r="AS5" s="35" t="s">
        <v>35</v>
      </c>
      <c r="AT5" s="35" t="s">
        <v>36</v>
      </c>
      <c r="AU5" s="35" t="s">
        <v>37</v>
      </c>
      <c r="AV5" s="35" t="s">
        <v>38</v>
      </c>
      <c r="AW5" s="36" t="s">
        <v>39</v>
      </c>
      <c r="AX5" s="37" t="s">
        <v>40</v>
      </c>
      <c r="AY5" s="35" t="s">
        <v>42</v>
      </c>
      <c r="AZ5" s="35" t="s">
        <v>43</v>
      </c>
      <c r="BA5" s="35" t="s">
        <v>41</v>
      </c>
      <c r="BB5" s="20"/>
      <c r="BC5" s="16" t="s">
        <v>72</v>
      </c>
      <c r="BD5" s="18" t="s">
        <v>73</v>
      </c>
      <c r="BE5" s="17" t="s">
        <v>74</v>
      </c>
      <c r="BF5" s="18" t="s">
        <v>72</v>
      </c>
      <c r="BG5" s="18" t="s">
        <v>73</v>
      </c>
      <c r="BH5" s="18" t="s">
        <v>74</v>
      </c>
      <c r="BI5" s="18" t="s">
        <v>75</v>
      </c>
      <c r="BJ5" s="17" t="s">
        <v>76</v>
      </c>
      <c r="BK5" s="16" t="s">
        <v>72</v>
      </c>
      <c r="BL5" s="18" t="s">
        <v>73</v>
      </c>
      <c r="BM5" s="18" t="s">
        <v>74</v>
      </c>
      <c r="BN5" s="18" t="s">
        <v>75</v>
      </c>
      <c r="BO5" s="17" t="s">
        <v>76</v>
      </c>
      <c r="BP5" s="18"/>
      <c r="BQ5" s="16" t="s">
        <v>80</v>
      </c>
      <c r="BR5" s="19" t="s">
        <v>66</v>
      </c>
      <c r="BS5" s="18" t="s">
        <v>82</v>
      </c>
      <c r="BT5" s="18" t="s">
        <v>81</v>
      </c>
      <c r="BU5" s="18" t="s">
        <v>117</v>
      </c>
      <c r="BV5" s="18" t="s">
        <v>118</v>
      </c>
      <c r="BW5" s="18" t="s">
        <v>119</v>
      </c>
      <c r="BX5" s="49" t="s">
        <v>120</v>
      </c>
      <c r="BY5" s="16" t="s">
        <v>80</v>
      </c>
      <c r="BZ5" s="19" t="s">
        <v>66</v>
      </c>
      <c r="CA5" s="18" t="s">
        <v>82</v>
      </c>
      <c r="CB5" s="18" t="s">
        <v>81</v>
      </c>
      <c r="CC5" s="20"/>
      <c r="CD5" s="18" t="s">
        <v>121</v>
      </c>
      <c r="CE5" s="18" t="s">
        <v>122</v>
      </c>
      <c r="CF5" s="77" t="s">
        <v>86</v>
      </c>
      <c r="CG5" s="78"/>
      <c r="CH5" s="50" t="s">
        <v>123</v>
      </c>
    </row>
    <row r="6" spans="1:86" x14ac:dyDescent="0.25">
      <c r="A6" t="str">
        <f>IF(ISNUMBER(SEARCH("Appui",E6)),"Appui",IF(ISNUMBER(SEARCH("Travée",E6)),"Travée",""))</f>
        <v/>
      </c>
      <c r="B6" t="b">
        <f>MOD(C6,2)=0</f>
        <v>0</v>
      </c>
      <c r="C6">
        <v>1</v>
      </c>
      <c r="D6" s="5" t="s">
        <v>130</v>
      </c>
      <c r="F6" s="5">
        <v>25</v>
      </c>
      <c r="G6" t="s">
        <v>46</v>
      </c>
      <c r="H6">
        <v>500</v>
      </c>
      <c r="I6">
        <v>220000</v>
      </c>
      <c r="J6">
        <v>1576</v>
      </c>
      <c r="K6" s="10">
        <v>1870</v>
      </c>
      <c r="L6" s="12">
        <v>1</v>
      </c>
      <c r="M6" s="5">
        <v>0.2</v>
      </c>
      <c r="N6" s="10">
        <v>2.2000000000000002</v>
      </c>
      <c r="O6" s="5">
        <v>1.0000000000000001E-5</v>
      </c>
      <c r="P6">
        <v>0.03</v>
      </c>
      <c r="Q6" s="10">
        <v>1</v>
      </c>
      <c r="R6" s="8">
        <v>0</v>
      </c>
      <c r="S6">
        <v>0</v>
      </c>
      <c r="T6">
        <v>1</v>
      </c>
      <c r="U6" s="9">
        <v>0</v>
      </c>
      <c r="V6">
        <v>0</v>
      </c>
      <c r="W6" s="10">
        <v>0</v>
      </c>
      <c r="X6" s="5">
        <v>0</v>
      </c>
      <c r="Y6">
        <v>0</v>
      </c>
      <c r="Z6" s="4">
        <v>0</v>
      </c>
      <c r="AA6" s="2">
        <v>0</v>
      </c>
      <c r="AB6" s="2">
        <v>0</v>
      </c>
      <c r="AC6" s="13">
        <v>0</v>
      </c>
      <c r="AD6" s="2">
        <v>0</v>
      </c>
      <c r="AE6" s="2">
        <v>0</v>
      </c>
      <c r="AF6" s="2">
        <v>0</v>
      </c>
      <c r="AG6" s="2"/>
      <c r="AH6" s="7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0.78043082983844214</v>
      </c>
      <c r="AS6" s="2">
        <v>0.78043082983844214</v>
      </c>
      <c r="AT6" s="2">
        <v>0</v>
      </c>
      <c r="AU6" s="2">
        <v>0</v>
      </c>
      <c r="AV6" s="2">
        <v>0</v>
      </c>
      <c r="AW6" s="2">
        <v>0</v>
      </c>
      <c r="AX6" s="1">
        <v>0</v>
      </c>
      <c r="AY6" s="2">
        <v>0</v>
      </c>
      <c r="AZ6" s="2">
        <v>0</v>
      </c>
      <c r="BA6" s="2">
        <v>0.78043082983844214</v>
      </c>
      <c r="BC6" s="1"/>
      <c r="BD6" s="2"/>
      <c r="BE6" s="7"/>
      <c r="BF6" s="1"/>
      <c r="BG6" s="2"/>
      <c r="BH6" s="2"/>
      <c r="BI6" s="2"/>
      <c r="BJ6" s="7"/>
      <c r="BK6" s="1"/>
      <c r="BL6" s="2"/>
      <c r="BM6" s="2"/>
      <c r="BN6" s="2"/>
      <c r="BO6" s="7"/>
      <c r="BP6" s="2"/>
      <c r="BQ6" s="1">
        <f t="shared" ref="BQ6:BQ45" si="0">AX6</f>
        <v>0</v>
      </c>
      <c r="BR6" s="4" t="str">
        <f t="shared" ref="BR6" si="1">IF(ISNUMBER(SEARCH("Appui",E6)),0,"0")</f>
        <v>0</v>
      </c>
      <c r="BS6" s="2">
        <f t="shared" ref="BS6:BS45" si="2">IF(ISNUMBER(SEARCH("Appui",E6)),BQ6+BR6*BQ6,IF(C5&lt;C6,BQ6-BR7*BQ7/2,IF(C6&lt;C7,BQ6-(BR5*BQ5)/2,BQ6-(BR7*BQ7+BR5*BQ5)/2)))</f>
        <v>0</v>
      </c>
      <c r="BT6" s="2">
        <f>BA6</f>
        <v>0.78043082983844214</v>
      </c>
      <c r="BU6" s="21">
        <f t="shared" ref="BU6:BU45" si="3">IFERROR(IF(BT6=0,"",BT6/BS6),1)</f>
        <v>1</v>
      </c>
      <c r="BV6" s="21" t="str">
        <f t="shared" ref="BV6:BV45" si="4">IF(ISNUMBER(SEARCH("Travée",E6)),BS6+(IF(C5&lt;C6,0,BS5)+IF(C7&gt;C6,0,BS7))/2,"")</f>
        <v/>
      </c>
      <c r="BW6" s="21" t="str">
        <f t="shared" ref="BW6:BW45" si="5">IF(ISNUMBER(SEARCH("Travée",E6)),BT6+(IF(C5&lt;C6,0,BT5)+IF(C7&gt;C6,0,BT7))/2,"")</f>
        <v/>
      </c>
      <c r="BX6" s="21" t="str">
        <f t="shared" ref="BX6:BX45" si="6">IF(ISNUMBER(SEARCH("Travée",E6)),IF(BV6=0,"",BW6/BV6),"")</f>
        <v/>
      </c>
      <c r="BY6" s="1">
        <f>AQ6</f>
        <v>0</v>
      </c>
      <c r="BZ6" s="4" t="str">
        <f t="shared" ref="BZ6" si="7">IF(ISNUMBER(SEARCH("Appui",M6)),0,"0")</f>
        <v>0</v>
      </c>
      <c r="CA6" s="2">
        <f t="shared" ref="CA6:CA45" si="8">IF(ISNUMBER(SEARCH("Appui",$E6)),BY6+BZ6*BY6,IF($C5&lt;$C6,BY6-BZ7*BY7/2,IF($C6&lt;$C7,BY6-(BZ5*BY5)/2,BY6-(BZ7*BY7+BZ5*BY5)/2)))</f>
        <v>0</v>
      </c>
      <c r="CB6" s="2">
        <f>AS6</f>
        <v>0.78043082983844214</v>
      </c>
      <c r="CC6" s="21">
        <f t="shared" ref="CC6:CC68" si="9">IFERROR(IF(CB6=0,"",CB6/CA6),1)</f>
        <v>1</v>
      </c>
      <c r="CD6" s="2" t="str">
        <f>IF(ISNUMBER(SEARCH("Travée",E6)),CA6+(IF(C5&lt;C6,0,CA5)+IF(C7&gt;C6,0,CA7))/2,"")</f>
        <v/>
      </c>
      <c r="CE6" s="2" t="str">
        <f t="shared" ref="CE6:CE45" si="10">IF(ISNUMBER(SEARCH("Travée",E6)),CB6+(IF(C5&lt;C6,0,CB5)+IF(C7&gt;C6,0,CB7))/2,"")</f>
        <v/>
      </c>
      <c r="CF6" s="21" t="str">
        <f t="shared" ref="CF6:CF45" si="11">IF(ISNUMBER(SEARCH("Travée",E6)),CE6/CD6,"")</f>
        <v/>
      </c>
      <c r="CG6" s="10" t="str">
        <f>IF(C4&lt;C6,"Rive",IF(C8&gt;C6,"Rive","Inter"))</f>
        <v>Rive</v>
      </c>
      <c r="CH6" s="21" t="str">
        <f t="shared" ref="CH6:CH45" si="12">IF(ISNUMBER(SEARCH("Travée",E6)),BW6/CD6,"")</f>
        <v/>
      </c>
    </row>
    <row r="7" spans="1:86" x14ac:dyDescent="0.25">
      <c r="A7" t="str">
        <f>IF(ISNUMBER(SEARCH("Appui",E7)),"Appui",IF(ISNUMBER(SEARCH("Travée",E7)),"Travée",""))</f>
        <v>Travée</v>
      </c>
      <c r="B7" t="b">
        <f>MOD(C7,2)=0</f>
        <v>0</v>
      </c>
      <c r="C7">
        <v>1</v>
      </c>
      <c r="D7" s="5" t="s">
        <v>109</v>
      </c>
      <c r="E7" t="s">
        <v>45</v>
      </c>
      <c r="F7" s="5">
        <v>25</v>
      </c>
      <c r="G7" t="s">
        <v>46</v>
      </c>
      <c r="H7">
        <v>500</v>
      </c>
      <c r="I7">
        <v>220000</v>
      </c>
      <c r="J7">
        <v>1576</v>
      </c>
      <c r="K7" s="10">
        <v>1870</v>
      </c>
      <c r="L7" s="12">
        <v>1</v>
      </c>
      <c r="M7" s="5">
        <v>0.23499999999999999</v>
      </c>
      <c r="N7" s="10">
        <v>4</v>
      </c>
      <c r="O7" s="5">
        <v>5.1200000000000009E-4</v>
      </c>
      <c r="P7">
        <v>0.04</v>
      </c>
      <c r="Q7" s="10">
        <v>1</v>
      </c>
      <c r="R7" s="8">
        <v>0</v>
      </c>
      <c r="S7">
        <v>0</v>
      </c>
      <c r="T7">
        <v>1</v>
      </c>
      <c r="U7" s="9">
        <v>2.9099999999999999E-5</v>
      </c>
      <c r="V7">
        <v>0</v>
      </c>
      <c r="W7" s="10">
        <v>7</v>
      </c>
      <c r="X7" s="5">
        <v>56.256</v>
      </c>
      <c r="Y7">
        <v>17.088000000000001</v>
      </c>
      <c r="Z7" s="4">
        <v>0</v>
      </c>
      <c r="AA7" s="2">
        <v>56.256</v>
      </c>
      <c r="AB7" s="2">
        <v>17.088000000000001</v>
      </c>
      <c r="AC7" s="13">
        <v>0</v>
      </c>
      <c r="AD7" s="2">
        <v>56.256</v>
      </c>
      <c r="AE7" s="2">
        <v>17.088000000000001</v>
      </c>
      <c r="AF7" s="2">
        <v>101.5776</v>
      </c>
      <c r="AG7" s="2"/>
      <c r="AH7" s="7">
        <v>73.343999999999994</v>
      </c>
      <c r="AI7" s="2">
        <v>56.256</v>
      </c>
      <c r="AJ7" s="2">
        <v>17.088000000000001</v>
      </c>
      <c r="AK7" s="2">
        <v>8.8083296655322005</v>
      </c>
      <c r="AL7" s="2">
        <v>2.0297164194749988</v>
      </c>
      <c r="AM7" s="2">
        <v>-580.64796242663192</v>
      </c>
      <c r="AN7" s="2">
        <v>-107.48651142491251</v>
      </c>
      <c r="AO7" s="2">
        <v>0</v>
      </c>
      <c r="AP7" s="2">
        <v>-145.39862020216751</v>
      </c>
      <c r="AQ7" s="2">
        <v>101.5776</v>
      </c>
      <c r="AR7" s="2">
        <v>45.92194782608675</v>
      </c>
      <c r="AS7" s="2">
        <v>128.32768715856341</v>
      </c>
      <c r="AT7" s="2">
        <v>9.4036967396501332</v>
      </c>
      <c r="AU7" s="2">
        <v>-436.67776190431709</v>
      </c>
      <c r="AV7" s="2">
        <v>0</v>
      </c>
      <c r="AW7" s="2">
        <v>-1297.92119164163</v>
      </c>
      <c r="AX7" s="1">
        <v>73.343999999999994</v>
      </c>
      <c r="AY7" s="2">
        <v>0</v>
      </c>
      <c r="AZ7" s="2">
        <v>0</v>
      </c>
      <c r="BA7" s="2">
        <v>45.92194782608675</v>
      </c>
      <c r="BC7" s="1">
        <f>AI7</f>
        <v>56.256</v>
      </c>
      <c r="BD7" s="2">
        <f>AK7</f>
        <v>8.8083296655322005</v>
      </c>
      <c r="BE7" s="7">
        <f>AM7</f>
        <v>-580.64796242663192</v>
      </c>
      <c r="BF7" s="1">
        <f>AJ7</f>
        <v>17.088000000000001</v>
      </c>
      <c r="BG7" s="2">
        <f>AL7</f>
        <v>2.0297164194749988</v>
      </c>
      <c r="BH7" s="2">
        <f t="shared" ref="BH7:BJ9" si="13">AN7</f>
        <v>-107.48651142491251</v>
      </c>
      <c r="BI7" s="2">
        <f t="shared" si="13"/>
        <v>0</v>
      </c>
      <c r="BJ7" s="7">
        <f t="shared" si="13"/>
        <v>-145.39862020216751</v>
      </c>
      <c r="BK7" s="1">
        <f t="shared" ref="BK7:BL9" si="14">BC7+BF7</f>
        <v>73.343999999999994</v>
      </c>
      <c r="BL7" s="2">
        <f t="shared" si="14"/>
        <v>10.8380460850072</v>
      </c>
      <c r="BM7" s="2">
        <f t="shared" ref="BM7:BM9" si="15">ABS(BE7+BH7)</f>
        <v>688.13447385154439</v>
      </c>
      <c r="BN7" s="2">
        <f>ABS(BI7)</f>
        <v>0</v>
      </c>
      <c r="BO7" s="7">
        <f>BJ7</f>
        <v>-145.39862020216751</v>
      </c>
      <c r="BP7" s="2"/>
      <c r="BQ7" s="1">
        <f t="shared" si="0"/>
        <v>73.343999999999994</v>
      </c>
      <c r="BR7" s="4">
        <v>0</v>
      </c>
      <c r="BS7" s="2">
        <f t="shared" si="2"/>
        <v>73.343999999999994</v>
      </c>
      <c r="BT7" s="2">
        <f>BA7</f>
        <v>45.92194782608675</v>
      </c>
      <c r="BU7" s="21">
        <f t="shared" si="3"/>
        <v>0.62611730783822472</v>
      </c>
      <c r="BV7" s="21">
        <f t="shared" si="4"/>
        <v>73.764199999999988</v>
      </c>
      <c r="BW7" s="21">
        <f t="shared" si="5"/>
        <v>87.563885260281779</v>
      </c>
      <c r="BX7" s="21">
        <f t="shared" si="6"/>
        <v>1.1870783559000408</v>
      </c>
      <c r="BY7" s="1">
        <f>AQ7</f>
        <v>101.5776</v>
      </c>
      <c r="BZ7" s="4">
        <v>0</v>
      </c>
      <c r="CA7" s="2">
        <f t="shared" si="8"/>
        <v>101.5776</v>
      </c>
      <c r="CB7" s="2">
        <f>AS7</f>
        <v>128.32768715856341</v>
      </c>
      <c r="CC7" s="21">
        <f t="shared" si="9"/>
        <v>1.2633463200406723</v>
      </c>
      <c r="CD7" s="2">
        <f>IF(ISNUMBER(SEARCH("Travée",E7)),CA7+(IF(C6&lt;C7,0,CA6)+IF(C8&gt;C7,0,CA8))/2,"")</f>
        <v>102.159555</v>
      </c>
      <c r="CE7" s="2">
        <f t="shared" si="10"/>
        <v>169.96962459275844</v>
      </c>
      <c r="CF7" s="21">
        <f t="shared" si="11"/>
        <v>1.663766297658192</v>
      </c>
      <c r="CG7" s="15"/>
      <c r="CH7" s="21">
        <f t="shared" si="12"/>
        <v>0.85712868718233726</v>
      </c>
    </row>
    <row r="8" spans="1:86" x14ac:dyDescent="0.25">
      <c r="A8" t="str">
        <f t="shared" ref="A8:A66" si="16">IF(ISNUMBER(SEARCH("Appui",E8)),"Appui",IF(ISNUMBER(SEARCH("Travée",E8)),"Travée",""))</f>
        <v>Appui</v>
      </c>
      <c r="B8" t="b">
        <f t="shared" ref="B8:B46" si="17">MOD(C8,2)=0</f>
        <v>0</v>
      </c>
      <c r="C8">
        <f>IF(D8=D7,C7,C7+1)</f>
        <v>1</v>
      </c>
      <c r="D8" s="5" t="s">
        <v>109</v>
      </c>
      <c r="E8" t="s">
        <v>47</v>
      </c>
      <c r="F8" s="5">
        <v>25</v>
      </c>
      <c r="G8" t="s">
        <v>46</v>
      </c>
      <c r="H8">
        <v>500</v>
      </c>
      <c r="I8">
        <v>220000</v>
      </c>
      <c r="J8">
        <v>1576</v>
      </c>
      <c r="K8" s="10">
        <v>1870</v>
      </c>
      <c r="L8" s="12">
        <v>1</v>
      </c>
      <c r="M8" s="5">
        <v>0.23499999999999999</v>
      </c>
      <c r="N8" s="10">
        <v>4</v>
      </c>
      <c r="O8" s="5">
        <v>1.0059999999999999E-3</v>
      </c>
      <c r="P8">
        <v>5.5E-2</v>
      </c>
      <c r="Q8" s="10">
        <v>1</v>
      </c>
      <c r="R8" s="8">
        <v>0</v>
      </c>
      <c r="S8">
        <v>0</v>
      </c>
      <c r="T8">
        <v>1</v>
      </c>
      <c r="U8" s="9">
        <v>0</v>
      </c>
      <c r="V8">
        <v>0</v>
      </c>
      <c r="W8" s="10">
        <v>0</v>
      </c>
      <c r="X8" s="5">
        <v>0.64460000000000006</v>
      </c>
      <c r="Y8">
        <v>0.1958</v>
      </c>
      <c r="Z8" s="4">
        <v>0</v>
      </c>
      <c r="AA8" s="2">
        <v>0.64460000000000006</v>
      </c>
      <c r="AB8" s="2">
        <v>0.1958</v>
      </c>
      <c r="AC8" s="13">
        <v>0</v>
      </c>
      <c r="AD8" s="2">
        <v>0.64460000000000006</v>
      </c>
      <c r="AE8" s="2">
        <v>0.1958</v>
      </c>
      <c r="AF8" s="2">
        <v>1.16391</v>
      </c>
      <c r="AG8" s="2"/>
      <c r="AH8" s="7">
        <v>0.84040000000000004</v>
      </c>
      <c r="AI8" s="2">
        <v>0.64460000000000006</v>
      </c>
      <c r="AJ8" s="2">
        <v>0.1958</v>
      </c>
      <c r="AK8" s="2">
        <v>8.3792931604445384E-2</v>
      </c>
      <c r="AL8" s="2">
        <v>2.5314743225125561E-2</v>
      </c>
      <c r="AM8" s="2">
        <v>-3.714926624659403</v>
      </c>
      <c r="AN8" s="2">
        <v>-1.1206786717965951</v>
      </c>
      <c r="AO8" s="2">
        <v>0</v>
      </c>
      <c r="AP8" s="2">
        <v>0</v>
      </c>
      <c r="AQ8" s="2">
        <v>1.16391</v>
      </c>
      <c r="AR8" s="2">
        <v>82.503444038551606</v>
      </c>
      <c r="AS8" s="2">
        <v>82.503444038551606</v>
      </c>
      <c r="AT8" s="2">
        <v>0.11379119465557511</v>
      </c>
      <c r="AU8" s="2">
        <v>-6.8126235153092276</v>
      </c>
      <c r="AV8" s="2">
        <v>0</v>
      </c>
      <c r="AW8" s="2">
        <v>0</v>
      </c>
      <c r="AX8" s="1">
        <v>0.84040000000000004</v>
      </c>
      <c r="AY8" s="2">
        <v>8.2186678910060415E-2</v>
      </c>
      <c r="AZ8" s="2">
        <v>-4.9189627856769027</v>
      </c>
      <c r="BA8" s="2">
        <v>82.503444038551606</v>
      </c>
      <c r="BC8" s="1">
        <f>AI8</f>
        <v>0.64460000000000006</v>
      </c>
      <c r="BD8" s="2">
        <f>AK8</f>
        <v>8.3792931604445384E-2</v>
      </c>
      <c r="BE8" s="7">
        <f>AM8</f>
        <v>-3.714926624659403</v>
      </c>
      <c r="BF8" s="1">
        <f>AJ8</f>
        <v>0.1958</v>
      </c>
      <c r="BG8" s="2">
        <f>AL8</f>
        <v>2.5314743225125561E-2</v>
      </c>
      <c r="BH8" s="2">
        <f t="shared" si="13"/>
        <v>-1.1206786717965951</v>
      </c>
      <c r="BI8" s="2">
        <f t="shared" si="13"/>
        <v>0</v>
      </c>
      <c r="BJ8" s="7">
        <f t="shared" si="13"/>
        <v>0</v>
      </c>
      <c r="BK8" s="1">
        <f t="shared" si="14"/>
        <v>0.84040000000000004</v>
      </c>
      <c r="BL8" s="2">
        <f t="shared" si="14"/>
        <v>0.10910767482957094</v>
      </c>
      <c r="BM8" s="2">
        <f t="shared" si="15"/>
        <v>4.8356052964559986</v>
      </c>
      <c r="BN8" s="2">
        <f t="shared" ref="BN8:BN9" si="18">ABS(BI8)</f>
        <v>0</v>
      </c>
      <c r="BO8" s="7">
        <f t="shared" ref="BO8:BO9" si="19">BJ8</f>
        <v>0</v>
      </c>
      <c r="BP8" s="2"/>
      <c r="BQ8" s="1">
        <f t="shared" si="0"/>
        <v>0.84040000000000004</v>
      </c>
      <c r="BR8" s="4">
        <f t="shared" ref="BR8" si="20">IF(ISNUMBER(SEARCH("Appui",E8)),0,"0")</f>
        <v>0</v>
      </c>
      <c r="BS8" s="2">
        <f t="shared" si="2"/>
        <v>0.84040000000000004</v>
      </c>
      <c r="BT8" s="2">
        <f>BA8</f>
        <v>82.503444038551606</v>
      </c>
      <c r="BU8" s="21">
        <f t="shared" si="3"/>
        <v>98.171637361436936</v>
      </c>
      <c r="BV8" s="21" t="str">
        <f t="shared" si="4"/>
        <v/>
      </c>
      <c r="BW8" s="21" t="str">
        <f t="shared" si="5"/>
        <v/>
      </c>
      <c r="BX8" s="21" t="str">
        <f t="shared" si="6"/>
        <v/>
      </c>
      <c r="BY8" s="1">
        <f>AQ8</f>
        <v>1.16391</v>
      </c>
      <c r="BZ8" s="4" t="str">
        <f t="shared" ref="BZ8" si="21">IF(ISNUMBER(SEARCH("Appui",M8)),0,"0")</f>
        <v>0</v>
      </c>
      <c r="CA8" s="2">
        <f t="shared" si="8"/>
        <v>1.16391</v>
      </c>
      <c r="CB8" s="2">
        <f>AS8</f>
        <v>82.503444038551606</v>
      </c>
      <c r="CC8" s="21">
        <f t="shared" si="9"/>
        <v>70.884728233756562</v>
      </c>
      <c r="CD8" s="2" t="str">
        <f>IF(ISNUMBER(SEARCH("Travée",E8)),CA8+(IF(C7&lt;C8,0,CA7)+IF(C9&gt;C8,0,CA9))/2,"")</f>
        <v/>
      </c>
      <c r="CE8" s="2" t="str">
        <f t="shared" si="10"/>
        <v/>
      </c>
      <c r="CF8" s="21" t="str">
        <f t="shared" si="11"/>
        <v/>
      </c>
      <c r="CG8" s="10" t="str">
        <f>IF(C6&lt;C8,"Rive",IF(C10&gt;C8,"Rive","Inter"))</f>
        <v>Inter</v>
      </c>
      <c r="CH8" s="21" t="str">
        <f t="shared" si="12"/>
        <v/>
      </c>
    </row>
    <row r="9" spans="1:86" x14ac:dyDescent="0.25">
      <c r="A9" t="str">
        <f t="shared" si="16"/>
        <v>Travée</v>
      </c>
      <c r="B9" t="b">
        <f t="shared" si="17"/>
        <v>0</v>
      </c>
      <c r="C9">
        <f t="shared" ref="C9:C32" si="22">IF(D9=D8,C8,C8+1)</f>
        <v>1</v>
      </c>
      <c r="D9" s="5" t="s">
        <v>109</v>
      </c>
      <c r="E9" t="s">
        <v>48</v>
      </c>
      <c r="F9" s="5">
        <v>25</v>
      </c>
      <c r="G9" t="s">
        <v>46</v>
      </c>
      <c r="H9">
        <v>500</v>
      </c>
      <c r="I9">
        <v>220000</v>
      </c>
      <c r="J9">
        <v>1576</v>
      </c>
      <c r="K9" s="10">
        <v>1870</v>
      </c>
      <c r="L9" s="12">
        <v>1</v>
      </c>
      <c r="M9" s="5">
        <v>0.23499999999999999</v>
      </c>
      <c r="N9" s="10">
        <v>4</v>
      </c>
      <c r="O9" s="5">
        <v>2.052E-3</v>
      </c>
      <c r="P9">
        <v>0.04</v>
      </c>
      <c r="Q9" s="10">
        <v>1</v>
      </c>
      <c r="R9" s="8">
        <v>0</v>
      </c>
      <c r="S9">
        <v>0</v>
      </c>
      <c r="T9">
        <v>1</v>
      </c>
      <c r="U9" s="9">
        <v>0</v>
      </c>
      <c r="V9">
        <v>0</v>
      </c>
      <c r="W9" s="10">
        <v>0</v>
      </c>
      <c r="X9" s="5">
        <v>29.253119999999999</v>
      </c>
      <c r="Y9">
        <v>8.8857599999999994</v>
      </c>
      <c r="Z9" s="4">
        <v>0</v>
      </c>
      <c r="AA9" s="2">
        <v>29.253119999999999</v>
      </c>
      <c r="AB9" s="2">
        <v>8.8857599999999994</v>
      </c>
      <c r="AC9" s="13">
        <v>0</v>
      </c>
      <c r="AD9" s="2">
        <v>29.253119999999999</v>
      </c>
      <c r="AE9" s="2">
        <v>8.8857599999999994</v>
      </c>
      <c r="AF9" s="2">
        <v>52.820352</v>
      </c>
      <c r="AG9" s="2"/>
      <c r="AH9" s="7">
        <v>38.13888</v>
      </c>
      <c r="AI9" s="2">
        <v>29.253119999999999</v>
      </c>
      <c r="AJ9" s="2">
        <v>8.8857599999999994</v>
      </c>
      <c r="AK9" s="2">
        <v>2.448228708496333</v>
      </c>
      <c r="AL9" s="2">
        <v>0.74365829049858423</v>
      </c>
      <c r="AM9" s="2">
        <v>-77.430369329823975</v>
      </c>
      <c r="AN9" s="2">
        <v>-23.51981524288955</v>
      </c>
      <c r="AO9" s="2">
        <v>0</v>
      </c>
      <c r="AP9" s="2">
        <v>0</v>
      </c>
      <c r="AQ9" s="2">
        <v>52.820352</v>
      </c>
      <c r="AR9" s="2">
        <v>176.642758331491</v>
      </c>
      <c r="AS9" s="2">
        <v>176.642758331491</v>
      </c>
      <c r="AT9" s="2">
        <v>3.280592593206936</v>
      </c>
      <c r="AU9" s="2">
        <v>-142.88175049473909</v>
      </c>
      <c r="AV9" s="2">
        <v>0</v>
      </c>
      <c r="AW9" s="2">
        <v>0</v>
      </c>
      <c r="AX9" s="1">
        <v>38.13888</v>
      </c>
      <c r="AY9" s="2">
        <v>2.3907048232903518</v>
      </c>
      <c r="AZ9" s="2">
        <v>-103.1064273435679</v>
      </c>
      <c r="BA9" s="2">
        <v>176.642758331491</v>
      </c>
      <c r="BC9" s="1">
        <f>AI9</f>
        <v>29.253119999999999</v>
      </c>
      <c r="BD9" s="2">
        <f>AK9</f>
        <v>2.448228708496333</v>
      </c>
      <c r="BE9" s="7">
        <f>AM9</f>
        <v>-77.430369329823975</v>
      </c>
      <c r="BF9" s="1">
        <f>AJ9</f>
        <v>8.8857599999999994</v>
      </c>
      <c r="BG9" s="2">
        <f>AL9</f>
        <v>0.74365829049858423</v>
      </c>
      <c r="BH9" s="2">
        <f t="shared" si="13"/>
        <v>-23.51981524288955</v>
      </c>
      <c r="BI9" s="2">
        <f t="shared" si="13"/>
        <v>0</v>
      </c>
      <c r="BJ9" s="7">
        <f t="shared" si="13"/>
        <v>0</v>
      </c>
      <c r="BK9" s="1">
        <f t="shared" si="14"/>
        <v>38.13888</v>
      </c>
      <c r="BL9" s="2">
        <f t="shared" si="14"/>
        <v>3.1918869989949172</v>
      </c>
      <c r="BM9" s="2">
        <f t="shared" si="15"/>
        <v>100.95018457271352</v>
      </c>
      <c r="BN9" s="2">
        <f t="shared" si="18"/>
        <v>0</v>
      </c>
      <c r="BO9" s="7">
        <f t="shared" si="19"/>
        <v>0</v>
      </c>
      <c r="BP9" s="2"/>
      <c r="BQ9" s="1">
        <f t="shared" si="0"/>
        <v>38.13888</v>
      </c>
      <c r="BR9" s="4">
        <v>0</v>
      </c>
      <c r="BS9" s="2">
        <f t="shared" si="2"/>
        <v>38.13888</v>
      </c>
      <c r="BT9" s="2">
        <f t="shared" ref="BT9:BT45" si="23">BA9</f>
        <v>176.642758331491</v>
      </c>
      <c r="BU9" s="21">
        <f t="shared" si="3"/>
        <v>4.6315664836379833</v>
      </c>
      <c r="BV9" s="21">
        <f t="shared" si="4"/>
        <v>58.308480000000003</v>
      </c>
      <c r="BW9" s="21">
        <f t="shared" si="5"/>
        <v>259.1462023700426</v>
      </c>
      <c r="BX9" s="21">
        <f t="shared" si="6"/>
        <v>4.4443998946644223</v>
      </c>
      <c r="BY9" s="1">
        <f t="shared" ref="BY9:BY45" si="24">AQ9</f>
        <v>52.820352</v>
      </c>
      <c r="BZ9" s="4">
        <v>0</v>
      </c>
      <c r="CA9" s="2">
        <f t="shared" si="8"/>
        <v>52.820352</v>
      </c>
      <c r="CB9" s="2">
        <f t="shared" ref="CB9:CB45" si="25">AS9</f>
        <v>176.642758331491</v>
      </c>
      <c r="CC9" s="21">
        <f t="shared" si="9"/>
        <v>3.3442177426513742</v>
      </c>
      <c r="CD9" s="2">
        <f t="shared" ref="CD9:CD45" si="26">IF(ISNUMBER(SEARCH("Travée",E9)),CA9+(IF(C8&lt;C9,0,CA8)+IF(C10&gt;C9,0,CA10))/2,"")</f>
        <v>80.754192000000003</v>
      </c>
      <c r="CE9" s="2">
        <f t="shared" si="10"/>
        <v>259.1462023700426</v>
      </c>
      <c r="CF9" s="21">
        <f t="shared" si="11"/>
        <v>3.2090743025457131</v>
      </c>
      <c r="CG9" s="15"/>
      <c r="CH9" s="21">
        <f t="shared" si="12"/>
        <v>3.2090743025457131</v>
      </c>
    </row>
    <row r="10" spans="1:86" x14ac:dyDescent="0.25">
      <c r="A10" t="str">
        <f t="shared" si="16"/>
        <v>Appui</v>
      </c>
      <c r="B10" t="b">
        <f t="shared" si="17"/>
        <v>0</v>
      </c>
      <c r="C10">
        <f t="shared" si="22"/>
        <v>1</v>
      </c>
      <c r="D10" s="5" t="s">
        <v>109</v>
      </c>
      <c r="E10" t="s">
        <v>49</v>
      </c>
      <c r="F10" s="5">
        <v>25</v>
      </c>
      <c r="G10" t="s">
        <v>46</v>
      </c>
      <c r="H10">
        <v>500</v>
      </c>
      <c r="I10">
        <v>220000</v>
      </c>
      <c r="J10">
        <v>1576</v>
      </c>
      <c r="K10" s="10">
        <v>1870</v>
      </c>
      <c r="L10" s="12">
        <v>1</v>
      </c>
      <c r="M10" s="5">
        <v>0.23499999999999999</v>
      </c>
      <c r="N10" s="10">
        <v>4</v>
      </c>
      <c r="O10" s="5">
        <v>1.0059999999999999E-3</v>
      </c>
      <c r="P10">
        <v>5.5E-2</v>
      </c>
      <c r="Q10" s="10">
        <v>1</v>
      </c>
      <c r="R10" s="8">
        <v>0</v>
      </c>
      <c r="S10">
        <v>0</v>
      </c>
      <c r="T10">
        <v>1</v>
      </c>
      <c r="U10" s="9">
        <v>0</v>
      </c>
      <c r="V10">
        <v>0</v>
      </c>
      <c r="W10" s="10">
        <v>0</v>
      </c>
      <c r="X10" s="5">
        <v>30.296199999999999</v>
      </c>
      <c r="Y10">
        <v>9.2026000000000003</v>
      </c>
      <c r="Z10" s="4">
        <v>0</v>
      </c>
      <c r="AA10" s="2">
        <v>30.296199999999999</v>
      </c>
      <c r="AB10" s="2">
        <v>9.2026000000000003</v>
      </c>
      <c r="AC10" s="13">
        <v>0</v>
      </c>
      <c r="AD10" s="2">
        <v>30.296199999999999</v>
      </c>
      <c r="AE10" s="2">
        <v>9.2026000000000003</v>
      </c>
      <c r="AF10" s="2">
        <v>54.703769999999999</v>
      </c>
      <c r="AG10" s="2"/>
      <c r="AH10" s="7">
        <v>39.498800000000003</v>
      </c>
      <c r="AI10" s="2">
        <v>30.296199999999999</v>
      </c>
      <c r="AJ10" s="2">
        <v>9.2026000000000003</v>
      </c>
      <c r="AK10" s="2">
        <v>3.9385124038690251</v>
      </c>
      <c r="AL10" s="2">
        <v>1.1963399452025321</v>
      </c>
      <c r="AM10" s="2">
        <v>-174.61466697340339</v>
      </c>
      <c r="AN10" s="2">
        <v>-53.039950036289831</v>
      </c>
      <c r="AO10" s="2">
        <v>0</v>
      </c>
      <c r="AP10" s="2">
        <v>0</v>
      </c>
      <c r="AQ10" s="2">
        <v>54.703769999999999</v>
      </c>
      <c r="AR10" s="2">
        <v>82.503444038551606</v>
      </c>
      <c r="AS10" s="2">
        <v>82.503444038551606</v>
      </c>
      <c r="AT10" s="2">
        <v>5.077207258844818</v>
      </c>
      <c r="AU10" s="2">
        <v>-320.91469951152919</v>
      </c>
      <c r="AV10" s="2">
        <v>0</v>
      </c>
      <c r="AW10" s="2">
        <v>0</v>
      </c>
      <c r="AX10" s="1">
        <v>39.498800000000003</v>
      </c>
      <c r="AY10" s="2">
        <v>3.723650282526429</v>
      </c>
      <c r="AZ10" s="2">
        <v>-231.56128225238871</v>
      </c>
      <c r="BA10" s="2">
        <v>82.503444038551606</v>
      </c>
      <c r="BC10" s="1"/>
      <c r="BD10" s="2"/>
      <c r="BE10" s="7"/>
      <c r="BF10" s="1"/>
      <c r="BG10" s="2"/>
      <c r="BH10" s="2"/>
      <c r="BI10" s="2"/>
      <c r="BJ10" s="7"/>
      <c r="BK10" s="1"/>
      <c r="BL10" s="2"/>
      <c r="BM10" s="2"/>
      <c r="BN10" s="2"/>
      <c r="BO10" s="7"/>
      <c r="BP10" s="7"/>
      <c r="BQ10" s="1">
        <f t="shared" si="0"/>
        <v>39.498800000000003</v>
      </c>
      <c r="BR10" s="4">
        <f t="shared" ref="BR10" si="27">IF(ISNUMBER(SEARCH("Appui",E10)),0,"0")</f>
        <v>0</v>
      </c>
      <c r="BS10" s="2">
        <f t="shared" si="2"/>
        <v>39.498800000000003</v>
      </c>
      <c r="BT10" s="2">
        <f t="shared" si="23"/>
        <v>82.503444038551606</v>
      </c>
      <c r="BU10" s="21">
        <f t="shared" si="3"/>
        <v>2.0887582417327009</v>
      </c>
      <c r="BV10" s="21" t="str">
        <f t="shared" si="4"/>
        <v/>
      </c>
      <c r="BW10" s="21" t="str">
        <f t="shared" si="5"/>
        <v/>
      </c>
      <c r="BX10" s="21" t="str">
        <f t="shared" si="6"/>
        <v/>
      </c>
      <c r="BY10" s="1">
        <f t="shared" si="24"/>
        <v>54.703769999999999</v>
      </c>
      <c r="BZ10" s="4" t="str">
        <f t="shared" ref="BZ10" si="28">IF(ISNUMBER(SEARCH("Appui",M10)),0,"0")</f>
        <v>0</v>
      </c>
      <c r="CA10" s="2">
        <f t="shared" si="8"/>
        <v>54.703769999999999</v>
      </c>
      <c r="CB10" s="2">
        <f t="shared" si="25"/>
        <v>82.503444038551606</v>
      </c>
      <c r="CC10" s="21">
        <f t="shared" si="9"/>
        <v>1.5081857071012037</v>
      </c>
      <c r="CD10" s="2" t="str">
        <f t="shared" si="26"/>
        <v/>
      </c>
      <c r="CE10" s="2" t="str">
        <f t="shared" si="10"/>
        <v/>
      </c>
      <c r="CF10" s="21" t="str">
        <f t="shared" si="11"/>
        <v/>
      </c>
      <c r="CG10" s="10" t="str">
        <f t="shared" ref="CG10" si="29">IF(C8&lt;C10,"Rive",IF(C12&gt;C10,"Rive","Inter"))</f>
        <v>Inter</v>
      </c>
      <c r="CH10" s="21" t="str">
        <f t="shared" si="12"/>
        <v/>
      </c>
    </row>
    <row r="11" spans="1:86" x14ac:dyDescent="0.25">
      <c r="A11" t="str">
        <f t="shared" si="16"/>
        <v>Travée</v>
      </c>
      <c r="B11" t="b">
        <f t="shared" si="17"/>
        <v>0</v>
      </c>
      <c r="C11">
        <f>IF(D11=D10,C10,C10+1)</f>
        <v>1</v>
      </c>
      <c r="D11" s="5" t="s">
        <v>109</v>
      </c>
      <c r="E11" t="s">
        <v>51</v>
      </c>
      <c r="F11" s="5">
        <v>25</v>
      </c>
      <c r="G11" t="s">
        <v>46</v>
      </c>
      <c r="H11">
        <v>500</v>
      </c>
      <c r="I11">
        <v>220000</v>
      </c>
      <c r="J11">
        <v>1576</v>
      </c>
      <c r="K11" s="10">
        <v>1870</v>
      </c>
      <c r="L11" s="12">
        <v>1</v>
      </c>
      <c r="M11" s="5">
        <v>0.23499999999999999</v>
      </c>
      <c r="N11" s="10">
        <v>4.4000000000000004</v>
      </c>
      <c r="O11" s="5">
        <v>2.2572E-3</v>
      </c>
      <c r="P11">
        <v>0.04</v>
      </c>
      <c r="Q11" s="10">
        <v>1</v>
      </c>
      <c r="R11" s="8">
        <v>0</v>
      </c>
      <c r="S11">
        <v>0</v>
      </c>
      <c r="T11">
        <v>1</v>
      </c>
      <c r="U11" s="9">
        <v>0</v>
      </c>
      <c r="V11">
        <v>0</v>
      </c>
      <c r="W11" s="10">
        <v>0</v>
      </c>
      <c r="X11" s="5">
        <v>78.758399999999995</v>
      </c>
      <c r="Y11">
        <v>23.923200000000001</v>
      </c>
      <c r="Z11" s="4">
        <v>0</v>
      </c>
      <c r="AA11" s="2">
        <v>78.758399999999995</v>
      </c>
      <c r="AB11" s="2">
        <v>23.923200000000001</v>
      </c>
      <c r="AC11" s="13">
        <v>0</v>
      </c>
      <c r="AD11" s="2">
        <v>78.758399999999995</v>
      </c>
      <c r="AE11" s="2">
        <v>23.923200000000001</v>
      </c>
      <c r="AF11" s="2">
        <v>142.20864</v>
      </c>
      <c r="AG11" s="2"/>
      <c r="AH11" s="7">
        <v>102.6816</v>
      </c>
      <c r="AI11" s="2">
        <v>78.758399999999995</v>
      </c>
      <c r="AJ11" s="2">
        <v>23.923200000000001</v>
      </c>
      <c r="AK11" s="2">
        <v>5.9921681676483676</v>
      </c>
      <c r="AL11" s="2">
        <v>1.8201453447021361</v>
      </c>
      <c r="AM11" s="2">
        <v>-189.51488996810059</v>
      </c>
      <c r="AN11" s="2">
        <v>-57.56596452179722</v>
      </c>
      <c r="AO11" s="2">
        <v>0</v>
      </c>
      <c r="AP11" s="2">
        <v>0</v>
      </c>
      <c r="AQ11" s="2">
        <v>142.20864</v>
      </c>
      <c r="AR11" s="2">
        <v>194.3070341646405</v>
      </c>
      <c r="AS11" s="2">
        <v>194.3070341646405</v>
      </c>
      <c r="AT11" s="2">
        <v>7.6155012989096944</v>
      </c>
      <c r="AU11" s="2">
        <v>-350.88272992943803</v>
      </c>
      <c r="AV11" s="2">
        <v>0</v>
      </c>
      <c r="AW11" s="2">
        <v>0</v>
      </c>
      <c r="AX11" s="1">
        <v>102.6816</v>
      </c>
      <c r="AY11" s="2">
        <v>5.6434857595797627</v>
      </c>
      <c r="AZ11" s="2">
        <v>-252.9418596122153</v>
      </c>
      <c r="BA11" s="2">
        <v>194.3070341646405</v>
      </c>
      <c r="BC11" s="1">
        <f t="shared" ref="BC11:BC16" si="30">AI11</f>
        <v>78.758399999999995</v>
      </c>
      <c r="BD11" s="2">
        <f t="shared" ref="BD11:BD16" si="31">AK11</f>
        <v>5.9921681676483676</v>
      </c>
      <c r="BE11" s="7">
        <f t="shared" ref="BE11:BE16" si="32">AM11</f>
        <v>-189.51488996810059</v>
      </c>
      <c r="BF11" s="1">
        <f t="shared" ref="BF11:BF16" si="33">AJ11</f>
        <v>23.923200000000001</v>
      </c>
      <c r="BG11" s="2">
        <f t="shared" ref="BG11:BG16" si="34">AL11</f>
        <v>1.8201453447021361</v>
      </c>
      <c r="BH11" s="2">
        <f t="shared" ref="BH11:BJ16" si="35">AN11</f>
        <v>-57.56596452179722</v>
      </c>
      <c r="BI11" s="2">
        <f t="shared" si="35"/>
        <v>0</v>
      </c>
      <c r="BJ11" s="7">
        <f t="shared" si="35"/>
        <v>0</v>
      </c>
      <c r="BK11" s="1">
        <f t="shared" ref="BK11:BL16" si="36">BC11+BF11</f>
        <v>102.6816</v>
      </c>
      <c r="BL11" s="2">
        <f t="shared" si="36"/>
        <v>7.8123135123505039</v>
      </c>
      <c r="BM11" s="2">
        <f t="shared" ref="BM11:BM16" si="37">ABS(BE11+BH11)</f>
        <v>247.0808544898978</v>
      </c>
      <c r="BN11" s="2">
        <f t="shared" ref="BN11:BN16" si="38">ABS(BI11)</f>
        <v>0</v>
      </c>
      <c r="BO11" s="7">
        <f t="shared" ref="BO11:BO16" si="39">BJ11</f>
        <v>0</v>
      </c>
      <c r="BP11" s="2"/>
      <c r="BQ11" s="1">
        <f t="shared" si="0"/>
        <v>102.6816</v>
      </c>
      <c r="BR11" s="4">
        <v>0</v>
      </c>
      <c r="BS11" s="2">
        <f t="shared" si="2"/>
        <v>102.6816</v>
      </c>
      <c r="BT11" s="2">
        <f t="shared" si="23"/>
        <v>194.3070341646405</v>
      </c>
      <c r="BU11" s="21">
        <f t="shared" si="3"/>
        <v>1.8923257347435227</v>
      </c>
      <c r="BV11" s="21">
        <f t="shared" si="4"/>
        <v>155.6268</v>
      </c>
      <c r="BW11" s="21">
        <f t="shared" si="5"/>
        <v>276.8750367816213</v>
      </c>
      <c r="BX11" s="21">
        <f t="shared" si="6"/>
        <v>1.779096124713875</v>
      </c>
      <c r="BY11" s="1">
        <f t="shared" si="24"/>
        <v>142.20864</v>
      </c>
      <c r="BZ11" s="4">
        <v>0</v>
      </c>
      <c r="CA11" s="2">
        <f t="shared" si="8"/>
        <v>142.20864</v>
      </c>
      <c r="CB11" s="2">
        <f t="shared" si="25"/>
        <v>194.3070341646405</v>
      </c>
      <c r="CC11" s="21">
        <f t="shared" si="9"/>
        <v>1.3663518205689928</v>
      </c>
      <c r="CD11" s="2">
        <f t="shared" si="26"/>
        <v>215.53496999999999</v>
      </c>
      <c r="CE11" s="2">
        <f t="shared" si="10"/>
        <v>276.8750367816213</v>
      </c>
      <c r="CF11" s="21">
        <f t="shared" si="11"/>
        <v>1.2845944988955682</v>
      </c>
      <c r="CG11" s="15"/>
      <c r="CH11" s="21">
        <f t="shared" si="12"/>
        <v>1.2845944988955682</v>
      </c>
    </row>
    <row r="12" spans="1:86" x14ac:dyDescent="0.25">
      <c r="A12" t="str">
        <f t="shared" si="16"/>
        <v>Appui</v>
      </c>
      <c r="B12" t="b">
        <f t="shared" si="17"/>
        <v>0</v>
      </c>
      <c r="C12">
        <f t="shared" si="22"/>
        <v>1</v>
      </c>
      <c r="D12" s="5" t="s">
        <v>109</v>
      </c>
      <c r="E12" t="s">
        <v>52</v>
      </c>
      <c r="F12" s="5">
        <v>25</v>
      </c>
      <c r="G12" t="s">
        <v>46</v>
      </c>
      <c r="H12">
        <v>500</v>
      </c>
      <c r="I12">
        <v>220000</v>
      </c>
      <c r="J12">
        <v>1576</v>
      </c>
      <c r="K12" s="10">
        <v>1870</v>
      </c>
      <c r="L12" s="12">
        <v>1</v>
      </c>
      <c r="M12" s="5">
        <v>0.23499999999999999</v>
      </c>
      <c r="N12" s="10">
        <v>4.4000000000000004</v>
      </c>
      <c r="O12" s="5">
        <v>1.0059999999999999E-3</v>
      </c>
      <c r="P12">
        <v>5.5E-2</v>
      </c>
      <c r="Q12" s="10">
        <v>1</v>
      </c>
      <c r="R12" s="8">
        <v>0</v>
      </c>
      <c r="S12">
        <v>0</v>
      </c>
      <c r="T12">
        <v>1</v>
      </c>
      <c r="U12" s="9">
        <v>0</v>
      </c>
      <c r="V12">
        <v>0</v>
      </c>
      <c r="W12" s="10">
        <v>0</v>
      </c>
      <c r="X12" s="5">
        <v>50.923400000000001</v>
      </c>
      <c r="Y12">
        <v>15.4682</v>
      </c>
      <c r="Z12" s="4">
        <v>0</v>
      </c>
      <c r="AA12" s="2">
        <v>50.923400000000001</v>
      </c>
      <c r="AB12" s="2">
        <v>15.4682</v>
      </c>
      <c r="AC12" s="13">
        <v>0</v>
      </c>
      <c r="AD12" s="2">
        <v>50.923400000000001</v>
      </c>
      <c r="AE12" s="2">
        <v>15.4682</v>
      </c>
      <c r="AF12" s="2">
        <v>91.948890000000006</v>
      </c>
      <c r="AG12" s="2"/>
      <c r="AH12" s="7">
        <v>66.391599999999997</v>
      </c>
      <c r="AI12" s="2">
        <v>50.923400000000001</v>
      </c>
      <c r="AJ12" s="2">
        <v>15.4682</v>
      </c>
      <c r="AK12" s="2">
        <v>6.2608010029365841</v>
      </c>
      <c r="AL12" s="2">
        <v>1.9017450145438779</v>
      </c>
      <c r="AM12" s="2">
        <v>-293.08302826750332</v>
      </c>
      <c r="AN12" s="2">
        <v>-89.025220190470236</v>
      </c>
      <c r="AO12" s="2">
        <v>0</v>
      </c>
      <c r="AP12" s="2">
        <v>0</v>
      </c>
      <c r="AQ12" s="2">
        <v>91.948890000000006</v>
      </c>
      <c r="AR12" s="2">
        <v>82.632561195409977</v>
      </c>
      <c r="AS12" s="2">
        <v>82.632561195409977</v>
      </c>
      <c r="AT12" s="2">
        <v>0</v>
      </c>
      <c r="AU12" s="2">
        <v>0</v>
      </c>
      <c r="AV12" s="2">
        <v>0</v>
      </c>
      <c r="AW12" s="2">
        <v>0</v>
      </c>
      <c r="AX12" s="1">
        <v>66.391599999999997</v>
      </c>
      <c r="AY12" s="2">
        <v>5.7814896454141067</v>
      </c>
      <c r="AZ12" s="2">
        <v>-388.66518679116558</v>
      </c>
      <c r="BA12" s="2">
        <v>82.632561195409977</v>
      </c>
      <c r="BC12" s="1">
        <f t="shared" si="30"/>
        <v>50.923400000000001</v>
      </c>
      <c r="BD12" s="2">
        <f t="shared" si="31"/>
        <v>6.2608010029365841</v>
      </c>
      <c r="BE12" s="7">
        <f t="shared" si="32"/>
        <v>-293.08302826750332</v>
      </c>
      <c r="BF12" s="1">
        <f t="shared" si="33"/>
        <v>15.4682</v>
      </c>
      <c r="BG12" s="2">
        <f t="shared" si="34"/>
        <v>1.9017450145438779</v>
      </c>
      <c r="BH12" s="2">
        <f t="shared" si="35"/>
        <v>-89.025220190470236</v>
      </c>
      <c r="BI12" s="2">
        <f t="shared" si="35"/>
        <v>0</v>
      </c>
      <c r="BJ12" s="7">
        <f t="shared" si="35"/>
        <v>0</v>
      </c>
      <c r="BK12" s="1">
        <f t="shared" si="36"/>
        <v>66.391599999999997</v>
      </c>
      <c r="BL12" s="2">
        <f t="shared" si="36"/>
        <v>8.1625460174804623</v>
      </c>
      <c r="BM12" s="2">
        <f t="shared" si="37"/>
        <v>382.10824845797356</v>
      </c>
      <c r="BN12" s="2">
        <f t="shared" si="38"/>
        <v>0</v>
      </c>
      <c r="BO12" s="7">
        <f t="shared" si="39"/>
        <v>0</v>
      </c>
      <c r="BP12" s="2"/>
      <c r="BQ12" s="1">
        <f t="shared" si="0"/>
        <v>66.391599999999997</v>
      </c>
      <c r="BR12" s="4">
        <f t="shared" ref="BR12" si="40">IF(ISNUMBER(SEARCH("Appui",E12)),0,"0")</f>
        <v>0</v>
      </c>
      <c r="BS12" s="2">
        <f t="shared" si="2"/>
        <v>66.391599999999997</v>
      </c>
      <c r="BT12" s="2">
        <f t="shared" si="23"/>
        <v>82.632561195409977</v>
      </c>
      <c r="BU12" s="21">
        <f t="shared" si="3"/>
        <v>1.2446237354636729</v>
      </c>
      <c r="BV12" s="21" t="str">
        <f t="shared" si="4"/>
        <v/>
      </c>
      <c r="BW12" s="21" t="str">
        <f t="shared" si="5"/>
        <v/>
      </c>
      <c r="BX12" s="21" t="str">
        <f t="shared" si="6"/>
        <v/>
      </c>
      <c r="BY12" s="1">
        <f t="shared" si="24"/>
        <v>91.948890000000006</v>
      </c>
      <c r="BZ12" s="4" t="str">
        <f t="shared" ref="BZ12" si="41">IF(ISNUMBER(SEARCH("Appui",M12)),0,"0")</f>
        <v>0</v>
      </c>
      <c r="CA12" s="2">
        <f t="shared" si="8"/>
        <v>91.948890000000006</v>
      </c>
      <c r="CB12" s="2">
        <f t="shared" si="25"/>
        <v>82.632561195409977</v>
      </c>
      <c r="CC12" s="21">
        <f t="shared" si="9"/>
        <v>0.89867926840019463</v>
      </c>
      <c r="CD12" s="2" t="str">
        <f t="shared" si="26"/>
        <v/>
      </c>
      <c r="CE12" s="2" t="str">
        <f t="shared" si="10"/>
        <v/>
      </c>
      <c r="CF12" s="21" t="str">
        <f t="shared" si="11"/>
        <v/>
      </c>
      <c r="CG12" s="10" t="str">
        <f t="shared" ref="CG12" si="42">IF(C10&lt;C12,"Rive",IF(C14&gt;C12,"Rive","Inter"))</f>
        <v>Inter</v>
      </c>
      <c r="CH12" s="21" t="str">
        <f t="shared" si="12"/>
        <v/>
      </c>
    </row>
    <row r="13" spans="1:86" x14ac:dyDescent="0.25">
      <c r="A13" t="str">
        <f t="shared" si="16"/>
        <v>Travée</v>
      </c>
      <c r="B13" t="b">
        <f t="shared" si="17"/>
        <v>0</v>
      </c>
      <c r="C13">
        <f t="shared" si="22"/>
        <v>1</v>
      </c>
      <c r="D13" s="5" t="s">
        <v>109</v>
      </c>
      <c r="E13" t="s">
        <v>53</v>
      </c>
      <c r="F13" s="5">
        <v>25</v>
      </c>
      <c r="G13" t="s">
        <v>46</v>
      </c>
      <c r="H13">
        <v>500</v>
      </c>
      <c r="I13">
        <v>220000</v>
      </c>
      <c r="J13">
        <v>1576</v>
      </c>
      <c r="K13" s="10">
        <v>1870</v>
      </c>
      <c r="L13" s="12">
        <v>1</v>
      </c>
      <c r="M13" s="5">
        <v>0.23499999999999999</v>
      </c>
      <c r="N13" s="10">
        <v>4.4000000000000004</v>
      </c>
      <c r="O13" s="5">
        <v>2.2572E-3</v>
      </c>
      <c r="P13">
        <v>0.04</v>
      </c>
      <c r="Q13" s="10">
        <v>1</v>
      </c>
      <c r="R13" s="8">
        <v>0</v>
      </c>
      <c r="S13">
        <v>0</v>
      </c>
      <c r="T13">
        <v>1</v>
      </c>
      <c r="U13" s="9">
        <v>0</v>
      </c>
      <c r="V13">
        <v>0</v>
      </c>
      <c r="W13" s="10">
        <v>0</v>
      </c>
      <c r="X13" s="5">
        <v>76.508160000000004</v>
      </c>
      <c r="Y13">
        <v>23.23968</v>
      </c>
      <c r="Z13" s="4">
        <v>0</v>
      </c>
      <c r="AA13" s="2">
        <v>76.508160000000004</v>
      </c>
      <c r="AB13" s="2">
        <v>23.23968</v>
      </c>
      <c r="AC13" s="13">
        <v>0</v>
      </c>
      <c r="AD13" s="2">
        <v>76.508160000000004</v>
      </c>
      <c r="AE13" s="2">
        <v>23.23968</v>
      </c>
      <c r="AF13" s="2">
        <v>138.14553599999999</v>
      </c>
      <c r="AG13" s="2"/>
      <c r="AH13" s="7">
        <v>99.747839999999997</v>
      </c>
      <c r="AI13" s="2">
        <v>76.508160000000004</v>
      </c>
      <c r="AJ13" s="2">
        <v>23.23968</v>
      </c>
      <c r="AK13" s="2">
        <v>5.8209633628584108</v>
      </c>
      <c r="AL13" s="2">
        <v>1.768141298602941</v>
      </c>
      <c r="AM13" s="2">
        <v>-184.10017882615489</v>
      </c>
      <c r="AN13" s="2">
        <v>-55.921222007280527</v>
      </c>
      <c r="AO13" s="2">
        <v>0</v>
      </c>
      <c r="AP13" s="2">
        <v>0</v>
      </c>
      <c r="AQ13" s="2">
        <v>138.14553599999999</v>
      </c>
      <c r="AR13" s="2">
        <v>194.3070341646405</v>
      </c>
      <c r="AS13" s="2">
        <v>194.3070341646405</v>
      </c>
      <c r="AT13" s="2">
        <v>7.4184475351140424</v>
      </c>
      <c r="AU13" s="2">
        <v>-340.79863098405718</v>
      </c>
      <c r="AV13" s="2">
        <v>0</v>
      </c>
      <c r="AW13" s="2">
        <v>0</v>
      </c>
      <c r="AX13" s="1">
        <v>99.747839999999997</v>
      </c>
      <c r="AY13" s="2">
        <v>5.4923702324794528</v>
      </c>
      <c r="AZ13" s="2">
        <v>-245.6862722809332</v>
      </c>
      <c r="BA13" s="2">
        <v>194.3070341646405</v>
      </c>
      <c r="BC13" s="1">
        <f t="shared" si="30"/>
        <v>76.508160000000004</v>
      </c>
      <c r="BD13" s="2">
        <f t="shared" si="31"/>
        <v>5.8209633628584108</v>
      </c>
      <c r="BE13" s="7">
        <f t="shared" si="32"/>
        <v>-184.10017882615489</v>
      </c>
      <c r="BF13" s="1">
        <f t="shared" si="33"/>
        <v>23.23968</v>
      </c>
      <c r="BG13" s="2">
        <f t="shared" si="34"/>
        <v>1.768141298602941</v>
      </c>
      <c r="BH13" s="2">
        <f t="shared" si="35"/>
        <v>-55.921222007280527</v>
      </c>
      <c r="BI13" s="2">
        <f t="shared" si="35"/>
        <v>0</v>
      </c>
      <c r="BJ13" s="7">
        <f t="shared" si="35"/>
        <v>0</v>
      </c>
      <c r="BK13" s="1">
        <f t="shared" si="36"/>
        <v>99.747839999999997</v>
      </c>
      <c r="BL13" s="2">
        <f t="shared" si="36"/>
        <v>7.5891046614613522</v>
      </c>
      <c r="BM13" s="2">
        <f t="shared" si="37"/>
        <v>240.02140083343542</v>
      </c>
      <c r="BN13" s="2">
        <f t="shared" si="38"/>
        <v>0</v>
      </c>
      <c r="BO13" s="7">
        <f t="shared" si="39"/>
        <v>0</v>
      </c>
      <c r="BP13" s="2"/>
      <c r="BQ13" s="1">
        <f t="shared" si="0"/>
        <v>99.747839999999997</v>
      </c>
      <c r="BR13" s="4">
        <v>0</v>
      </c>
      <c r="BS13" s="2">
        <f t="shared" si="2"/>
        <v>99.747839999999997</v>
      </c>
      <c r="BT13" s="2">
        <f t="shared" si="23"/>
        <v>194.3070341646405</v>
      </c>
      <c r="BU13" s="21">
        <f t="shared" si="3"/>
        <v>1.9479823740006852</v>
      </c>
      <c r="BV13" s="21">
        <f t="shared" si="4"/>
        <v>154.79404</v>
      </c>
      <c r="BW13" s="21">
        <f t="shared" si="5"/>
        <v>277.02881533024288</v>
      </c>
      <c r="BX13" s="21">
        <f t="shared" si="6"/>
        <v>1.7896607345492299</v>
      </c>
      <c r="BY13" s="1">
        <f t="shared" si="24"/>
        <v>138.14553599999999</v>
      </c>
      <c r="BZ13" s="4">
        <v>0</v>
      </c>
      <c r="CA13" s="2">
        <f t="shared" si="8"/>
        <v>138.14553599999999</v>
      </c>
      <c r="CB13" s="2">
        <f t="shared" si="25"/>
        <v>194.3070341646405</v>
      </c>
      <c r="CC13" s="21">
        <f t="shared" si="9"/>
        <v>1.4065386388210221</v>
      </c>
      <c r="CD13" s="2">
        <f t="shared" si="26"/>
        <v>214.381641</v>
      </c>
      <c r="CE13" s="2">
        <f t="shared" si="10"/>
        <v>277.02881533024288</v>
      </c>
      <c r="CF13" s="21">
        <f t="shared" si="11"/>
        <v>1.2922226643943027</v>
      </c>
      <c r="CG13" s="15"/>
      <c r="CH13" s="21">
        <f t="shared" si="12"/>
        <v>1.2922226643943027</v>
      </c>
    </row>
    <row r="14" spans="1:86" x14ac:dyDescent="0.25">
      <c r="A14" t="str">
        <f t="shared" si="16"/>
        <v>Appui</v>
      </c>
      <c r="B14" t="b">
        <f t="shared" si="17"/>
        <v>0</v>
      </c>
      <c r="C14">
        <f t="shared" si="22"/>
        <v>1</v>
      </c>
      <c r="D14" s="5" t="s">
        <v>109</v>
      </c>
      <c r="E14" t="s">
        <v>54</v>
      </c>
      <c r="F14" s="5">
        <v>25</v>
      </c>
      <c r="G14" t="s">
        <v>46</v>
      </c>
      <c r="H14">
        <v>500</v>
      </c>
      <c r="I14">
        <v>220000</v>
      </c>
      <c r="J14">
        <v>1576</v>
      </c>
      <c r="K14" s="10">
        <v>1870</v>
      </c>
      <c r="L14" s="12">
        <v>1</v>
      </c>
      <c r="M14" s="5">
        <v>0.23499999999999999</v>
      </c>
      <c r="N14" s="10">
        <v>5</v>
      </c>
      <c r="O14" s="5">
        <v>1.0059999999999999E-3</v>
      </c>
      <c r="P14">
        <v>5.5E-2</v>
      </c>
      <c r="Q14" s="10">
        <v>1</v>
      </c>
      <c r="R14" s="8">
        <v>0</v>
      </c>
      <c r="S14">
        <v>0</v>
      </c>
      <c r="T14">
        <v>1</v>
      </c>
      <c r="U14" s="9">
        <v>0</v>
      </c>
      <c r="V14">
        <v>0</v>
      </c>
      <c r="W14" s="10">
        <v>0</v>
      </c>
      <c r="X14" s="5">
        <v>33.519199999999998</v>
      </c>
      <c r="Y14">
        <v>10.1816</v>
      </c>
      <c r="Z14" s="4">
        <v>0</v>
      </c>
      <c r="AA14" s="2">
        <v>33.519199999999998</v>
      </c>
      <c r="AB14" s="2">
        <v>10.1816</v>
      </c>
      <c r="AC14" s="13">
        <v>0</v>
      </c>
      <c r="AD14" s="2">
        <v>33.519199999999998</v>
      </c>
      <c r="AE14" s="2">
        <v>10.1816</v>
      </c>
      <c r="AF14" s="2">
        <v>60.523319999999998</v>
      </c>
      <c r="AG14" s="2"/>
      <c r="AH14" s="7">
        <v>43.700800000000001</v>
      </c>
      <c r="AI14" s="2">
        <v>33.519199999999998</v>
      </c>
      <c r="AJ14" s="2">
        <v>10.1816</v>
      </c>
      <c r="AK14" s="2">
        <v>3.8331625755766101</v>
      </c>
      <c r="AL14" s="2">
        <v>1.164339485414053</v>
      </c>
      <c r="AM14" s="2">
        <v>-192.53072840936289</v>
      </c>
      <c r="AN14" s="2">
        <v>-58.482030131171634</v>
      </c>
      <c r="AO14" s="2">
        <v>0</v>
      </c>
      <c r="AP14" s="2">
        <v>0</v>
      </c>
      <c r="AQ14" s="2">
        <v>60.523319999999998</v>
      </c>
      <c r="AR14" s="2">
        <v>82.811001135794811</v>
      </c>
      <c r="AS14" s="2">
        <v>82.811001135794811</v>
      </c>
      <c r="AT14" s="2">
        <v>4.9638050857770466</v>
      </c>
      <c r="AU14" s="2">
        <v>-352.83542203796429</v>
      </c>
      <c r="AV14" s="2">
        <v>0</v>
      </c>
      <c r="AW14" s="2">
        <v>0</v>
      </c>
      <c r="AX14" s="1">
        <v>43.700800000000001</v>
      </c>
      <c r="AY14" s="2">
        <v>3.6418405019692521</v>
      </c>
      <c r="AZ14" s="2">
        <v>-254.5814149686021</v>
      </c>
      <c r="BA14" s="2">
        <v>82.811001135794811</v>
      </c>
      <c r="BC14" s="1">
        <f t="shared" si="30"/>
        <v>33.519199999999998</v>
      </c>
      <c r="BD14" s="2">
        <f t="shared" si="31"/>
        <v>3.8331625755766101</v>
      </c>
      <c r="BE14" s="7">
        <f t="shared" si="32"/>
        <v>-192.53072840936289</v>
      </c>
      <c r="BF14" s="1">
        <f t="shared" si="33"/>
        <v>10.1816</v>
      </c>
      <c r="BG14" s="2">
        <f t="shared" si="34"/>
        <v>1.164339485414053</v>
      </c>
      <c r="BH14" s="2">
        <f t="shared" si="35"/>
        <v>-58.482030131171634</v>
      </c>
      <c r="BI14" s="2">
        <f t="shared" si="35"/>
        <v>0</v>
      </c>
      <c r="BJ14" s="7">
        <f t="shared" si="35"/>
        <v>0</v>
      </c>
      <c r="BK14" s="1">
        <f t="shared" si="36"/>
        <v>43.700800000000001</v>
      </c>
      <c r="BL14" s="2">
        <f t="shared" si="36"/>
        <v>4.9975020609906631</v>
      </c>
      <c r="BM14" s="2">
        <f t="shared" si="37"/>
        <v>251.01275854053452</v>
      </c>
      <c r="BN14" s="2">
        <f t="shared" si="38"/>
        <v>0</v>
      </c>
      <c r="BO14" s="7">
        <f t="shared" si="39"/>
        <v>0</v>
      </c>
      <c r="BP14" s="2"/>
      <c r="BQ14" s="1">
        <f t="shared" si="0"/>
        <v>43.700800000000001</v>
      </c>
      <c r="BR14" s="4">
        <f t="shared" ref="BR14" si="43">IF(ISNUMBER(SEARCH("Appui",E14)),0,"0")</f>
        <v>0</v>
      </c>
      <c r="BS14" s="2">
        <f t="shared" si="2"/>
        <v>43.700800000000001</v>
      </c>
      <c r="BT14" s="2">
        <f t="shared" si="23"/>
        <v>82.811001135794811</v>
      </c>
      <c r="BU14" s="21">
        <f t="shared" si="3"/>
        <v>1.8949538941116595</v>
      </c>
      <c r="BV14" s="21" t="str">
        <f t="shared" si="4"/>
        <v/>
      </c>
      <c r="BW14" s="21" t="str">
        <f t="shared" si="5"/>
        <v/>
      </c>
      <c r="BX14" s="21" t="str">
        <f t="shared" si="6"/>
        <v/>
      </c>
      <c r="BY14" s="1">
        <f t="shared" si="24"/>
        <v>60.523319999999998</v>
      </c>
      <c r="BZ14" s="4" t="str">
        <f t="shared" ref="BZ14" si="44">IF(ISNUMBER(SEARCH("Appui",M14)),0,"0")</f>
        <v>0</v>
      </c>
      <c r="CA14" s="2">
        <f t="shared" si="8"/>
        <v>60.523319999999998</v>
      </c>
      <c r="CB14" s="2">
        <f t="shared" si="25"/>
        <v>82.811001135794811</v>
      </c>
      <c r="CC14" s="21">
        <f t="shared" si="9"/>
        <v>1.3682494802961043</v>
      </c>
      <c r="CD14" s="2" t="str">
        <f t="shared" si="26"/>
        <v/>
      </c>
      <c r="CE14" s="2" t="str">
        <f t="shared" si="10"/>
        <v/>
      </c>
      <c r="CF14" s="21" t="str">
        <f t="shared" si="11"/>
        <v/>
      </c>
      <c r="CG14" s="10" t="str">
        <f t="shared" ref="CG14" si="45">IF(C12&lt;C14,"Rive",IF(C16&gt;C14,"Rive","Inter"))</f>
        <v>Inter</v>
      </c>
      <c r="CH14" s="21" t="str">
        <f t="shared" si="12"/>
        <v/>
      </c>
    </row>
    <row r="15" spans="1:86" x14ac:dyDescent="0.25">
      <c r="A15" t="str">
        <f t="shared" si="16"/>
        <v>Travée</v>
      </c>
      <c r="B15" t="b">
        <f t="shared" si="17"/>
        <v>0</v>
      </c>
      <c r="C15">
        <f t="shared" si="22"/>
        <v>1</v>
      </c>
      <c r="D15" s="5" t="s">
        <v>109</v>
      </c>
      <c r="E15" t="s">
        <v>55</v>
      </c>
      <c r="F15" s="5">
        <v>25</v>
      </c>
      <c r="G15" t="s">
        <v>46</v>
      </c>
      <c r="H15">
        <v>500</v>
      </c>
      <c r="I15">
        <v>220000</v>
      </c>
      <c r="J15">
        <v>1576</v>
      </c>
      <c r="K15" s="10">
        <v>1870</v>
      </c>
      <c r="L15" s="12">
        <v>1</v>
      </c>
      <c r="M15" s="5">
        <v>0.23499999999999999</v>
      </c>
      <c r="N15" s="10">
        <v>5</v>
      </c>
      <c r="O15" s="5">
        <v>2.565E-3</v>
      </c>
      <c r="P15">
        <v>0.04</v>
      </c>
      <c r="Q15" s="10">
        <v>1</v>
      </c>
      <c r="R15" s="8">
        <v>0</v>
      </c>
      <c r="S15">
        <v>0</v>
      </c>
      <c r="T15">
        <v>1</v>
      </c>
      <c r="U15" s="9">
        <v>0</v>
      </c>
      <c r="V15">
        <v>0</v>
      </c>
      <c r="W15" s="10">
        <v>0</v>
      </c>
      <c r="X15" s="5">
        <v>82.508800000000008</v>
      </c>
      <c r="Y15">
        <v>25.0624</v>
      </c>
      <c r="Z15" s="4">
        <v>0</v>
      </c>
      <c r="AA15" s="2">
        <v>82.508800000000008</v>
      </c>
      <c r="AB15" s="2">
        <v>25.0624</v>
      </c>
      <c r="AC15" s="13">
        <v>0</v>
      </c>
      <c r="AD15" s="2">
        <v>82.508800000000008</v>
      </c>
      <c r="AE15" s="2">
        <v>25.0624</v>
      </c>
      <c r="AF15" s="2">
        <v>148.98048</v>
      </c>
      <c r="AG15" s="2"/>
      <c r="AH15" s="7">
        <v>107.5712</v>
      </c>
      <c r="AI15" s="2">
        <v>82.508800000000008</v>
      </c>
      <c r="AJ15" s="2">
        <v>25.0624</v>
      </c>
      <c r="AK15" s="2">
        <v>5.5242083678891678</v>
      </c>
      <c r="AL15" s="2">
        <v>1.678000710160334</v>
      </c>
      <c r="AM15" s="2">
        <v>-174.714679513449</v>
      </c>
      <c r="AN15" s="2">
        <v>-53.070336504576922</v>
      </c>
      <c r="AO15" s="2">
        <v>0</v>
      </c>
      <c r="AP15" s="2">
        <v>0</v>
      </c>
      <c r="AQ15" s="2">
        <v>148.98048</v>
      </c>
      <c r="AR15" s="2">
        <v>220.8034479143638</v>
      </c>
      <c r="AS15" s="2">
        <v>220.8034479143638</v>
      </c>
      <c r="AT15" s="2">
        <v>7.0737499124519472</v>
      </c>
      <c r="AU15" s="2">
        <v>-323.3286985438441</v>
      </c>
      <c r="AV15" s="2">
        <v>0</v>
      </c>
      <c r="AW15" s="2">
        <v>0</v>
      </c>
      <c r="AX15" s="1">
        <v>107.5712</v>
      </c>
      <c r="AY15" s="2">
        <v>5.2289355304859146</v>
      </c>
      <c r="AZ15" s="2">
        <v>-233.11423133880501</v>
      </c>
      <c r="BA15" s="2">
        <v>220.8034479143638</v>
      </c>
      <c r="BC15" s="1">
        <f t="shared" si="30"/>
        <v>82.508800000000008</v>
      </c>
      <c r="BD15" s="2">
        <f t="shared" si="31"/>
        <v>5.5242083678891678</v>
      </c>
      <c r="BE15" s="7">
        <f t="shared" si="32"/>
        <v>-174.714679513449</v>
      </c>
      <c r="BF15" s="1">
        <f t="shared" si="33"/>
        <v>25.0624</v>
      </c>
      <c r="BG15" s="2">
        <f t="shared" si="34"/>
        <v>1.678000710160334</v>
      </c>
      <c r="BH15" s="2">
        <f t="shared" si="35"/>
        <v>-53.070336504576922</v>
      </c>
      <c r="BI15" s="2">
        <f t="shared" si="35"/>
        <v>0</v>
      </c>
      <c r="BJ15" s="7">
        <f t="shared" si="35"/>
        <v>0</v>
      </c>
      <c r="BK15" s="1">
        <f t="shared" si="36"/>
        <v>107.5712</v>
      </c>
      <c r="BL15" s="2">
        <f t="shared" si="36"/>
        <v>7.2022090780495018</v>
      </c>
      <c r="BM15" s="2">
        <f t="shared" si="37"/>
        <v>227.78501601802591</v>
      </c>
      <c r="BN15" s="2">
        <f t="shared" si="38"/>
        <v>0</v>
      </c>
      <c r="BO15" s="7">
        <f t="shared" si="39"/>
        <v>0</v>
      </c>
      <c r="BP15" s="2"/>
      <c r="BQ15" s="1">
        <f t="shared" si="0"/>
        <v>107.5712</v>
      </c>
      <c r="BR15" s="4">
        <v>0</v>
      </c>
      <c r="BS15" s="2">
        <f t="shared" si="2"/>
        <v>107.5712</v>
      </c>
      <c r="BT15" s="2">
        <f t="shared" si="23"/>
        <v>220.8034479143638</v>
      </c>
      <c r="BU15" s="21">
        <f t="shared" si="3"/>
        <v>2.0526260552486519</v>
      </c>
      <c r="BV15" s="21">
        <f t="shared" si="4"/>
        <v>129.42160000000001</v>
      </c>
      <c r="BW15" s="21">
        <f t="shared" si="5"/>
        <v>262.5991638971804</v>
      </c>
      <c r="BX15" s="21">
        <f t="shared" si="6"/>
        <v>2.0290211517797676</v>
      </c>
      <c r="BY15" s="1">
        <f t="shared" si="24"/>
        <v>148.98048</v>
      </c>
      <c r="BZ15" s="4">
        <v>0</v>
      </c>
      <c r="CA15" s="2">
        <f t="shared" si="8"/>
        <v>148.98048</v>
      </c>
      <c r="CB15" s="2">
        <f t="shared" si="25"/>
        <v>220.8034479143638</v>
      </c>
      <c r="CC15" s="21">
        <f t="shared" si="9"/>
        <v>1.4820964995841321</v>
      </c>
      <c r="CD15" s="2">
        <f t="shared" si="26"/>
        <v>179.24214000000001</v>
      </c>
      <c r="CE15" s="2">
        <f t="shared" si="10"/>
        <v>262.5991638971804</v>
      </c>
      <c r="CF15" s="21">
        <f t="shared" si="11"/>
        <v>1.4650526036856086</v>
      </c>
      <c r="CG15" s="15"/>
      <c r="CH15" s="21">
        <f t="shared" si="12"/>
        <v>1.4650526036856086</v>
      </c>
    </row>
    <row r="16" spans="1:86" x14ac:dyDescent="0.25">
      <c r="A16" t="str">
        <f t="shared" si="16"/>
        <v/>
      </c>
      <c r="B16" t="b">
        <f t="shared" si="17"/>
        <v>0</v>
      </c>
      <c r="C16">
        <f t="shared" si="22"/>
        <v>1</v>
      </c>
      <c r="D16" s="5" t="s">
        <v>109</v>
      </c>
      <c r="F16" s="5">
        <v>25</v>
      </c>
      <c r="G16" t="s">
        <v>46</v>
      </c>
      <c r="H16">
        <v>500</v>
      </c>
      <c r="I16">
        <v>220000</v>
      </c>
      <c r="J16">
        <v>1576</v>
      </c>
      <c r="K16" s="10">
        <v>1870</v>
      </c>
      <c r="L16" s="12">
        <v>1</v>
      </c>
      <c r="M16" s="5">
        <v>0.2</v>
      </c>
      <c r="N16" s="10">
        <v>2.2000000000000002</v>
      </c>
      <c r="O16" s="5">
        <v>1.0000000000000001E-5</v>
      </c>
      <c r="P16">
        <v>0.03</v>
      </c>
      <c r="Q16" s="10">
        <v>1</v>
      </c>
      <c r="R16" s="8">
        <v>0</v>
      </c>
      <c r="S16">
        <v>0</v>
      </c>
      <c r="T16">
        <v>1</v>
      </c>
      <c r="U16" s="9">
        <v>0</v>
      </c>
      <c r="V16">
        <v>0</v>
      </c>
      <c r="W16" s="10">
        <v>0</v>
      </c>
      <c r="X16" s="5">
        <v>0</v>
      </c>
      <c r="Y16">
        <v>0</v>
      </c>
      <c r="Z16" s="4">
        <v>0</v>
      </c>
      <c r="AA16" s="2">
        <v>0</v>
      </c>
      <c r="AB16" s="2">
        <v>0</v>
      </c>
      <c r="AC16" s="13"/>
      <c r="AD16" s="2">
        <v>0</v>
      </c>
      <c r="AE16" s="2">
        <v>0</v>
      </c>
      <c r="AF16" s="2"/>
      <c r="AG16" s="2"/>
      <c r="AH16" s="7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/>
      <c r="AR16" s="2">
        <v>0.78043082983844214</v>
      </c>
      <c r="AS16" s="2">
        <v>0.78043082983844214</v>
      </c>
      <c r="AT16" s="2">
        <v>0</v>
      </c>
      <c r="AU16" s="2">
        <v>0</v>
      </c>
      <c r="AV16" s="2">
        <v>0</v>
      </c>
      <c r="AW16" s="2">
        <v>0</v>
      </c>
      <c r="AX16" s="1">
        <v>0</v>
      </c>
      <c r="AY16" s="2">
        <v>0</v>
      </c>
      <c r="AZ16" s="2">
        <v>0</v>
      </c>
      <c r="BA16" s="2">
        <v>0.78043082983844214</v>
      </c>
      <c r="BC16" s="1">
        <f t="shared" si="30"/>
        <v>0</v>
      </c>
      <c r="BD16" s="2">
        <f t="shared" si="31"/>
        <v>0</v>
      </c>
      <c r="BE16" s="7">
        <f t="shared" si="32"/>
        <v>0</v>
      </c>
      <c r="BF16" s="1">
        <f t="shared" si="33"/>
        <v>0</v>
      </c>
      <c r="BG16" s="2">
        <f t="shared" si="34"/>
        <v>0</v>
      </c>
      <c r="BH16" s="2">
        <f t="shared" si="35"/>
        <v>0</v>
      </c>
      <c r="BI16" s="2">
        <f t="shared" si="35"/>
        <v>0</v>
      </c>
      <c r="BJ16" s="7">
        <f t="shared" si="35"/>
        <v>0</v>
      </c>
      <c r="BK16" s="1">
        <f t="shared" si="36"/>
        <v>0</v>
      </c>
      <c r="BL16" s="2">
        <f t="shared" si="36"/>
        <v>0</v>
      </c>
      <c r="BM16" s="2">
        <f t="shared" si="37"/>
        <v>0</v>
      </c>
      <c r="BN16" s="2">
        <f t="shared" si="38"/>
        <v>0</v>
      </c>
      <c r="BO16" s="7">
        <f t="shared" si="39"/>
        <v>0</v>
      </c>
      <c r="BP16" s="2"/>
      <c r="BQ16" s="1">
        <f t="shared" si="0"/>
        <v>0</v>
      </c>
      <c r="BR16" s="4" t="str">
        <f t="shared" ref="BR16" si="46">IF(ISNUMBER(SEARCH("Appui",E16)),0,"0")</f>
        <v>0</v>
      </c>
      <c r="BS16" s="2">
        <f t="shared" si="2"/>
        <v>0</v>
      </c>
      <c r="BT16" s="2">
        <f t="shared" si="23"/>
        <v>0.78043082983844214</v>
      </c>
      <c r="BU16" s="21">
        <f t="shared" si="3"/>
        <v>1</v>
      </c>
      <c r="BV16" s="21" t="str">
        <f t="shared" si="4"/>
        <v/>
      </c>
      <c r="BW16" s="21" t="str">
        <f t="shared" si="5"/>
        <v/>
      </c>
      <c r="BX16" s="21" t="str">
        <f t="shared" si="6"/>
        <v/>
      </c>
      <c r="BY16" s="1">
        <f t="shared" si="24"/>
        <v>0</v>
      </c>
      <c r="BZ16" s="4" t="str">
        <f t="shared" ref="BZ16" si="47">IF(ISNUMBER(SEARCH("Appui",M16)),0,"0")</f>
        <v>0</v>
      </c>
      <c r="CA16" s="2">
        <f t="shared" si="8"/>
        <v>0</v>
      </c>
      <c r="CB16" s="2">
        <f t="shared" si="25"/>
        <v>0.78043082983844214</v>
      </c>
      <c r="CC16" s="21">
        <f t="shared" si="9"/>
        <v>1</v>
      </c>
      <c r="CD16" s="2" t="str">
        <f t="shared" si="26"/>
        <v/>
      </c>
      <c r="CE16" s="2" t="str">
        <f t="shared" si="10"/>
        <v/>
      </c>
      <c r="CF16" s="21" t="str">
        <f t="shared" si="11"/>
        <v/>
      </c>
      <c r="CG16" s="10" t="str">
        <f t="shared" ref="CG16" si="48">IF(C14&lt;C16,"Rive",IF(C18&gt;C16,"Rive","Inter"))</f>
        <v>Rive</v>
      </c>
      <c r="CH16" s="21" t="str">
        <f t="shared" si="12"/>
        <v/>
      </c>
    </row>
    <row r="17" spans="1:86" x14ac:dyDescent="0.25">
      <c r="A17" t="str">
        <f t="shared" si="16"/>
        <v>Travée</v>
      </c>
      <c r="B17" t="b">
        <f t="shared" si="17"/>
        <v>1</v>
      </c>
      <c r="C17">
        <f>IF(D17=D15,C15,C15+1)</f>
        <v>2</v>
      </c>
      <c r="D17" s="5" t="s">
        <v>110</v>
      </c>
      <c r="E17" t="s">
        <v>45</v>
      </c>
      <c r="F17" s="5">
        <v>25</v>
      </c>
      <c r="G17" t="s">
        <v>46</v>
      </c>
      <c r="H17">
        <v>500</v>
      </c>
      <c r="I17">
        <v>220000</v>
      </c>
      <c r="J17">
        <v>1576</v>
      </c>
      <c r="K17" s="10">
        <v>1870</v>
      </c>
      <c r="L17" s="12">
        <v>1</v>
      </c>
      <c r="M17" s="5">
        <v>0.23499999999999999</v>
      </c>
      <c r="N17" s="10">
        <v>2</v>
      </c>
      <c r="O17" s="5">
        <v>5.1400000000000003E-4</v>
      </c>
      <c r="P17">
        <v>0.04</v>
      </c>
      <c r="Q17" s="10">
        <v>1</v>
      </c>
      <c r="R17" s="8">
        <v>0</v>
      </c>
      <c r="S17">
        <v>0</v>
      </c>
      <c r="T17">
        <v>1</v>
      </c>
      <c r="U17" s="9">
        <v>2.9099999999999999E-5</v>
      </c>
      <c r="V17">
        <v>0</v>
      </c>
      <c r="W17" s="10">
        <v>5</v>
      </c>
      <c r="X17" s="5">
        <v>0</v>
      </c>
      <c r="Y17">
        <v>0</v>
      </c>
      <c r="Z17" s="4">
        <v>0</v>
      </c>
      <c r="AA17" s="2">
        <v>0</v>
      </c>
      <c r="AB17" s="2">
        <v>0</v>
      </c>
      <c r="AC17" s="13">
        <v>0</v>
      </c>
      <c r="AD17" s="2">
        <v>0</v>
      </c>
      <c r="AE17" s="2">
        <v>0</v>
      </c>
      <c r="AF17" s="2">
        <v>0</v>
      </c>
      <c r="AG17" s="2"/>
      <c r="AH17" s="7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45.722759787208261</v>
      </c>
      <c r="AS17" s="2">
        <v>102.47555461092141</v>
      </c>
      <c r="AT17" s="2">
        <v>0</v>
      </c>
      <c r="AU17" s="2">
        <v>0</v>
      </c>
      <c r="AV17" s="2">
        <v>0</v>
      </c>
      <c r="AW17" s="2">
        <v>0</v>
      </c>
      <c r="AX17" s="1">
        <v>0</v>
      </c>
      <c r="AY17" s="2">
        <v>0</v>
      </c>
      <c r="AZ17" s="2">
        <v>0</v>
      </c>
      <c r="BA17" s="2">
        <v>45.722759787208261</v>
      </c>
      <c r="BC17" s="1"/>
      <c r="BD17" s="2"/>
      <c r="BE17" s="7"/>
      <c r="BF17" s="1"/>
      <c r="BG17" s="2"/>
      <c r="BH17" s="2"/>
      <c r="BI17" s="2"/>
      <c r="BJ17" s="7"/>
      <c r="BK17" s="1"/>
      <c r="BL17" s="2"/>
      <c r="BM17" s="2"/>
      <c r="BN17" s="2"/>
      <c r="BO17" s="7"/>
      <c r="BP17" s="2"/>
      <c r="BQ17" s="1">
        <f t="shared" si="0"/>
        <v>0</v>
      </c>
      <c r="BR17" s="4">
        <v>0</v>
      </c>
      <c r="BS17" s="2">
        <f t="shared" si="2"/>
        <v>0</v>
      </c>
      <c r="BT17" s="2">
        <f t="shared" si="23"/>
        <v>45.722759787208261</v>
      </c>
      <c r="BU17" s="21">
        <f t="shared" si="3"/>
        <v>1</v>
      </c>
      <c r="BV17" s="21">
        <f t="shared" si="4"/>
        <v>27.870719999999999</v>
      </c>
      <c r="BW17" s="21">
        <f t="shared" si="5"/>
        <v>85.456913877155074</v>
      </c>
      <c r="BX17" s="21">
        <f t="shared" si="6"/>
        <v>3.0661896742228074</v>
      </c>
      <c r="BY17" s="1">
        <f t="shared" si="24"/>
        <v>0</v>
      </c>
      <c r="BZ17" s="4">
        <v>0</v>
      </c>
      <c r="CA17" s="2">
        <f t="shared" si="8"/>
        <v>0</v>
      </c>
      <c r="CB17" s="2">
        <f t="shared" si="25"/>
        <v>102.47555461092141</v>
      </c>
      <c r="CC17" s="21">
        <f t="shared" si="9"/>
        <v>1</v>
      </c>
      <c r="CD17" s="2">
        <f t="shared" si="26"/>
        <v>38.599488000000008</v>
      </c>
      <c r="CE17" s="2">
        <f t="shared" si="10"/>
        <v>142.20970870086822</v>
      </c>
      <c r="CF17" s="21">
        <f t="shared" si="11"/>
        <v>3.6842382132340252</v>
      </c>
      <c r="CG17" s="15"/>
      <c r="CH17" s="21">
        <f t="shared" si="12"/>
        <v>2.2139390521748643</v>
      </c>
    </row>
    <row r="18" spans="1:86" x14ac:dyDescent="0.25">
      <c r="A18" t="str">
        <f t="shared" si="16"/>
        <v>Appui</v>
      </c>
      <c r="B18" t="b">
        <f t="shared" si="17"/>
        <v>1</v>
      </c>
      <c r="C18">
        <f t="shared" si="22"/>
        <v>2</v>
      </c>
      <c r="D18" s="5" t="s">
        <v>110</v>
      </c>
      <c r="E18" t="s">
        <v>47</v>
      </c>
      <c r="F18" s="5">
        <v>25</v>
      </c>
      <c r="G18" t="s">
        <v>46</v>
      </c>
      <c r="H18">
        <v>500</v>
      </c>
      <c r="I18">
        <v>220000</v>
      </c>
      <c r="J18">
        <v>1576</v>
      </c>
      <c r="K18" s="10">
        <v>1870</v>
      </c>
      <c r="L18" s="12">
        <v>1</v>
      </c>
      <c r="M18" s="5">
        <v>0.23499999999999999</v>
      </c>
      <c r="N18" s="10">
        <v>2</v>
      </c>
      <c r="O18" s="5">
        <v>1.0059999999999999E-3</v>
      </c>
      <c r="P18">
        <v>5.5E-2</v>
      </c>
      <c r="Q18" s="10">
        <v>1</v>
      </c>
      <c r="R18" s="8">
        <v>0</v>
      </c>
      <c r="S18">
        <v>0</v>
      </c>
      <c r="T18">
        <v>1</v>
      </c>
      <c r="U18" s="9">
        <v>0</v>
      </c>
      <c r="V18">
        <v>0</v>
      </c>
      <c r="W18" s="10">
        <v>0</v>
      </c>
      <c r="X18" s="5">
        <v>42.754560000000012</v>
      </c>
      <c r="Y18">
        <v>12.986879999999999</v>
      </c>
      <c r="Z18" s="4">
        <v>0</v>
      </c>
      <c r="AA18" s="2">
        <v>42.754560000000012</v>
      </c>
      <c r="AB18" s="2">
        <v>12.986879999999999</v>
      </c>
      <c r="AC18" s="13">
        <v>0</v>
      </c>
      <c r="AD18" s="2">
        <v>42.754560000000012</v>
      </c>
      <c r="AE18" s="2">
        <v>12.986879999999999</v>
      </c>
      <c r="AF18" s="2">
        <v>77.198976000000016</v>
      </c>
      <c r="AG18" s="2"/>
      <c r="AH18" s="7">
        <v>55.741439999999997</v>
      </c>
      <c r="AI18" s="2">
        <v>42.754560000000012</v>
      </c>
      <c r="AJ18" s="2">
        <v>12.986879999999999</v>
      </c>
      <c r="AK18" s="2">
        <v>8.1691435483900605</v>
      </c>
      <c r="AL18" s="2">
        <v>2.4814122041184832</v>
      </c>
      <c r="AM18" s="2">
        <v>-250.60187922627361</v>
      </c>
      <c r="AN18" s="2">
        <v>-76.121389935625785</v>
      </c>
      <c r="AO18" s="2">
        <v>0</v>
      </c>
      <c r="AP18" s="2">
        <v>0</v>
      </c>
      <c r="AQ18" s="2">
        <v>77.198976000000016</v>
      </c>
      <c r="AR18" s="2">
        <v>79.468308179893626</v>
      </c>
      <c r="AS18" s="2">
        <v>79.468308179893626</v>
      </c>
      <c r="AT18" s="2">
        <v>16.666666666666671</v>
      </c>
      <c r="AU18" s="2">
        <v>-445.1918791764918</v>
      </c>
      <c r="AV18" s="2">
        <v>0</v>
      </c>
      <c r="AW18" s="2">
        <v>0</v>
      </c>
      <c r="AX18" s="1">
        <v>55.741439999999997</v>
      </c>
      <c r="AY18" s="2">
        <v>7.5438578535949921</v>
      </c>
      <c r="AZ18" s="2">
        <v>-334.9286814682776</v>
      </c>
      <c r="BA18" s="2">
        <v>79.468308179893626</v>
      </c>
      <c r="BC18" s="1">
        <f t="shared" ref="BC18:BC21" si="49">AI18</f>
        <v>42.754560000000012</v>
      </c>
      <c r="BD18" s="2">
        <f t="shared" ref="BD18:BD21" si="50">AK18</f>
        <v>8.1691435483900605</v>
      </c>
      <c r="BE18" s="7">
        <f t="shared" ref="BE18:BE21" si="51">AM18</f>
        <v>-250.60187922627361</v>
      </c>
      <c r="BF18" s="1">
        <f t="shared" ref="BF18:BF21" si="52">AJ18</f>
        <v>12.986879999999999</v>
      </c>
      <c r="BG18" s="2">
        <f t="shared" ref="BG18:BG21" si="53">AL18</f>
        <v>2.4814122041184832</v>
      </c>
      <c r="BH18" s="2">
        <f t="shared" ref="BH18:BJ21" si="54">AN18</f>
        <v>-76.121389935625785</v>
      </c>
      <c r="BI18" s="2">
        <f t="shared" si="54"/>
        <v>0</v>
      </c>
      <c r="BJ18" s="7">
        <f t="shared" si="54"/>
        <v>0</v>
      </c>
      <c r="BK18" s="1">
        <f t="shared" ref="BK18:BL21" si="55">BC18+BF18</f>
        <v>55.741440000000011</v>
      </c>
      <c r="BL18" s="2">
        <f t="shared" si="55"/>
        <v>10.650555752508543</v>
      </c>
      <c r="BM18" s="2">
        <f t="shared" ref="BM18:BM19" si="56">ABS(BE18+BH18)</f>
        <v>326.7232691618994</v>
      </c>
      <c r="BN18" s="2">
        <f t="shared" ref="BN18:BN21" si="57">ABS(BI18)</f>
        <v>0</v>
      </c>
      <c r="BO18" s="7">
        <f t="shared" ref="BO18:BO21" si="58">BJ18</f>
        <v>0</v>
      </c>
      <c r="BP18" s="2"/>
      <c r="BQ18" s="1">
        <f t="shared" si="0"/>
        <v>55.741439999999997</v>
      </c>
      <c r="BR18" s="4">
        <f t="shared" ref="BR18" si="59">IF(ISNUMBER(SEARCH("Appui",E18)),0,"0")</f>
        <v>0</v>
      </c>
      <c r="BS18" s="2">
        <f t="shared" si="2"/>
        <v>55.741439999999997</v>
      </c>
      <c r="BT18" s="2">
        <f t="shared" si="23"/>
        <v>79.468308179893626</v>
      </c>
      <c r="BU18" s="21">
        <f t="shared" si="3"/>
        <v>1.4256594049219689</v>
      </c>
      <c r="BV18" s="21" t="str">
        <f t="shared" si="4"/>
        <v/>
      </c>
      <c r="BW18" s="21" t="str">
        <f t="shared" si="5"/>
        <v/>
      </c>
      <c r="BX18" s="21" t="str">
        <f t="shared" si="6"/>
        <v/>
      </c>
      <c r="BY18" s="1">
        <f t="shared" si="24"/>
        <v>77.198976000000016</v>
      </c>
      <c r="BZ18" s="4" t="str">
        <f t="shared" ref="BZ18" si="60">IF(ISNUMBER(SEARCH("Appui",M18)),0,"0")</f>
        <v>0</v>
      </c>
      <c r="CA18" s="2">
        <f t="shared" si="8"/>
        <v>77.198976000000016</v>
      </c>
      <c r="CB18" s="2">
        <f t="shared" si="25"/>
        <v>79.468308179893626</v>
      </c>
      <c r="CC18" s="21">
        <f t="shared" si="9"/>
        <v>1.0293958844725299</v>
      </c>
      <c r="CD18" s="2" t="str">
        <f t="shared" si="26"/>
        <v/>
      </c>
      <c r="CE18" s="2" t="str">
        <f t="shared" si="10"/>
        <v/>
      </c>
      <c r="CF18" s="21" t="str">
        <f t="shared" si="11"/>
        <v/>
      </c>
      <c r="CG18" s="10" t="str">
        <f t="shared" ref="CG18" si="61">IF(C16&lt;C18,"Rive",IF(C20&gt;C18,"Rive","Inter"))</f>
        <v>Rive</v>
      </c>
      <c r="CH18" s="21" t="str">
        <f t="shared" si="12"/>
        <v/>
      </c>
    </row>
    <row r="19" spans="1:86" x14ac:dyDescent="0.25">
      <c r="A19" t="str">
        <f t="shared" si="16"/>
        <v>Travée</v>
      </c>
      <c r="B19" t="b">
        <f t="shared" si="17"/>
        <v>1</v>
      </c>
      <c r="C19">
        <f t="shared" si="22"/>
        <v>2</v>
      </c>
      <c r="D19" s="5" t="s">
        <v>110</v>
      </c>
      <c r="E19" t="s">
        <v>48</v>
      </c>
      <c r="F19" s="5">
        <v>25</v>
      </c>
      <c r="G19" t="s">
        <v>46</v>
      </c>
      <c r="H19">
        <v>500</v>
      </c>
      <c r="I19">
        <v>220000</v>
      </c>
      <c r="J19">
        <v>1576</v>
      </c>
      <c r="K19" s="10">
        <v>1870</v>
      </c>
      <c r="L19" s="12">
        <v>1</v>
      </c>
      <c r="M19" s="5">
        <v>0.23499999999999999</v>
      </c>
      <c r="N19" s="10">
        <v>2</v>
      </c>
      <c r="O19" s="5">
        <v>1.0280000000000001E-3</v>
      </c>
      <c r="P19">
        <v>0.04</v>
      </c>
      <c r="Q19" s="10">
        <v>1</v>
      </c>
      <c r="R19" s="8">
        <v>0</v>
      </c>
      <c r="S19">
        <v>0</v>
      </c>
      <c r="T19">
        <v>1</v>
      </c>
      <c r="U19" s="9">
        <v>0</v>
      </c>
      <c r="V19">
        <v>0</v>
      </c>
      <c r="W19" s="10">
        <v>0</v>
      </c>
      <c r="X19" s="5">
        <v>30.296199999999999</v>
      </c>
      <c r="Y19">
        <v>9.2026000000000003</v>
      </c>
      <c r="Z19" s="4">
        <v>0</v>
      </c>
      <c r="AA19" s="2">
        <v>30.296199999999999</v>
      </c>
      <c r="AB19" s="2">
        <v>9.2026000000000003</v>
      </c>
      <c r="AC19" s="13">
        <v>0</v>
      </c>
      <c r="AD19" s="2">
        <v>30.296199999999999</v>
      </c>
      <c r="AE19" s="2">
        <v>9.2026000000000003</v>
      </c>
      <c r="AF19" s="2">
        <v>54.703769999999999</v>
      </c>
      <c r="AG19" s="2"/>
      <c r="AH19" s="7">
        <v>39.498800000000003</v>
      </c>
      <c r="AI19" s="2">
        <v>30.296199999999999</v>
      </c>
      <c r="AJ19" s="2">
        <v>9.2026000000000003</v>
      </c>
      <c r="AK19" s="2">
        <v>5.0665330059065434</v>
      </c>
      <c r="AL19" s="2">
        <v>1.538979772602038</v>
      </c>
      <c r="AM19" s="2">
        <v>-160.0808202621497</v>
      </c>
      <c r="AN19" s="2">
        <v>-48.625239900276661</v>
      </c>
      <c r="AO19" s="2">
        <v>0</v>
      </c>
      <c r="AP19" s="2">
        <v>0</v>
      </c>
      <c r="AQ19" s="2">
        <v>54.703769999999999</v>
      </c>
      <c r="AR19" s="2">
        <v>88.479361717184901</v>
      </c>
      <c r="AS19" s="2">
        <v>88.479361717184901</v>
      </c>
      <c r="AT19" s="2">
        <v>6.5351251220030901</v>
      </c>
      <c r="AU19" s="2">
        <v>-296.11642453865869</v>
      </c>
      <c r="AV19" s="2">
        <v>0</v>
      </c>
      <c r="AW19" s="2">
        <v>0</v>
      </c>
      <c r="AX19" s="1">
        <v>39.498800000000003</v>
      </c>
      <c r="AY19" s="2">
        <v>4.8194114011361311</v>
      </c>
      <c r="AZ19" s="2">
        <v>-213.5255026419683</v>
      </c>
      <c r="BA19" s="2">
        <v>88.479361717184901</v>
      </c>
      <c r="BC19" s="1">
        <f t="shared" si="49"/>
        <v>30.296199999999999</v>
      </c>
      <c r="BD19" s="2">
        <f t="shared" si="50"/>
        <v>5.0665330059065434</v>
      </c>
      <c r="BE19" s="7">
        <f t="shared" si="51"/>
        <v>-160.0808202621497</v>
      </c>
      <c r="BF19" s="1">
        <f t="shared" si="52"/>
        <v>9.2026000000000003</v>
      </c>
      <c r="BG19" s="2">
        <f t="shared" si="53"/>
        <v>1.538979772602038</v>
      </c>
      <c r="BH19" s="2">
        <f t="shared" si="54"/>
        <v>-48.625239900276661</v>
      </c>
      <c r="BI19" s="2">
        <f t="shared" si="54"/>
        <v>0</v>
      </c>
      <c r="BJ19" s="7">
        <f t="shared" si="54"/>
        <v>0</v>
      </c>
      <c r="BK19" s="1">
        <f t="shared" si="55"/>
        <v>39.498800000000003</v>
      </c>
      <c r="BL19" s="2">
        <f t="shared" si="55"/>
        <v>6.6055127785085812</v>
      </c>
      <c r="BM19" s="2">
        <f t="shared" si="56"/>
        <v>208.70606016242635</v>
      </c>
      <c r="BN19" s="2">
        <f t="shared" si="57"/>
        <v>0</v>
      </c>
      <c r="BO19" s="7">
        <f t="shared" si="58"/>
        <v>0</v>
      </c>
      <c r="BP19" s="2"/>
      <c r="BQ19" s="1">
        <f t="shared" si="0"/>
        <v>39.498800000000003</v>
      </c>
      <c r="BR19" s="4">
        <v>0</v>
      </c>
      <c r="BS19" s="2">
        <f t="shared" si="2"/>
        <v>39.498800000000003</v>
      </c>
      <c r="BT19" s="2">
        <f t="shared" si="23"/>
        <v>88.479361717184901</v>
      </c>
      <c r="BU19" s="21">
        <f t="shared" si="3"/>
        <v>2.240051893150802</v>
      </c>
      <c r="BV19" s="21">
        <f t="shared" si="4"/>
        <v>67.85848</v>
      </c>
      <c r="BW19" s="21">
        <f t="shared" si="5"/>
        <v>168.09246790839862</v>
      </c>
      <c r="BX19" s="21">
        <f t="shared" si="6"/>
        <v>2.4771033466767691</v>
      </c>
      <c r="BY19" s="1">
        <f t="shared" si="24"/>
        <v>54.703769999999999</v>
      </c>
      <c r="BZ19" s="4">
        <v>0</v>
      </c>
      <c r="CA19" s="2">
        <f t="shared" si="8"/>
        <v>54.703769999999999</v>
      </c>
      <c r="CB19" s="2">
        <f t="shared" si="25"/>
        <v>88.479361717184901</v>
      </c>
      <c r="CC19" s="21">
        <f t="shared" si="9"/>
        <v>1.6174271301079415</v>
      </c>
      <c r="CD19" s="2">
        <f t="shared" si="26"/>
        <v>93.980442000000011</v>
      </c>
      <c r="CE19" s="2">
        <f t="shared" si="10"/>
        <v>168.09246790839862</v>
      </c>
      <c r="CF19" s="21">
        <f t="shared" si="11"/>
        <v>1.78858988456767</v>
      </c>
      <c r="CG19" s="15"/>
      <c r="CH19" s="21">
        <f t="shared" si="12"/>
        <v>1.78858988456767</v>
      </c>
    </row>
    <row r="20" spans="1:86" x14ac:dyDescent="0.25">
      <c r="A20" t="str">
        <f t="shared" si="16"/>
        <v>Appui</v>
      </c>
      <c r="B20" t="b">
        <f t="shared" si="17"/>
        <v>1</v>
      </c>
      <c r="C20">
        <f t="shared" si="22"/>
        <v>2</v>
      </c>
      <c r="D20" s="5" t="s">
        <v>110</v>
      </c>
      <c r="E20" t="s">
        <v>49</v>
      </c>
      <c r="F20" s="5">
        <v>25</v>
      </c>
      <c r="G20" t="s">
        <v>46</v>
      </c>
      <c r="H20">
        <v>500</v>
      </c>
      <c r="I20">
        <v>220000</v>
      </c>
      <c r="J20">
        <v>1576</v>
      </c>
      <c r="K20" s="10">
        <v>1870</v>
      </c>
      <c r="L20" s="12">
        <v>1</v>
      </c>
      <c r="M20" s="5">
        <v>0.23499999999999999</v>
      </c>
      <c r="N20" s="10">
        <v>2</v>
      </c>
      <c r="O20" s="5">
        <v>1.01E-3</v>
      </c>
      <c r="P20">
        <v>5.5E-2</v>
      </c>
      <c r="Q20" s="10">
        <v>1</v>
      </c>
      <c r="R20" s="8">
        <v>0</v>
      </c>
      <c r="S20">
        <v>0</v>
      </c>
      <c r="T20">
        <v>1</v>
      </c>
      <c r="U20" s="9">
        <v>0</v>
      </c>
      <c r="V20">
        <v>0</v>
      </c>
      <c r="W20" s="10">
        <v>0</v>
      </c>
      <c r="X20" s="5">
        <v>0.75007999999999997</v>
      </c>
      <c r="Y20">
        <v>0.22783999999999999</v>
      </c>
      <c r="Z20" s="4">
        <v>0</v>
      </c>
      <c r="AA20" s="2">
        <v>0.75007999999999997</v>
      </c>
      <c r="AB20" s="2">
        <v>0.22783999999999999</v>
      </c>
      <c r="AC20" s="13">
        <v>0</v>
      </c>
      <c r="AD20" s="2">
        <v>0.75007999999999997</v>
      </c>
      <c r="AE20" s="2">
        <v>0.22783999999999999</v>
      </c>
      <c r="AF20" s="2">
        <v>1.354368</v>
      </c>
      <c r="AG20" s="2"/>
      <c r="AH20" s="7">
        <v>0.9779199999999999</v>
      </c>
      <c r="AI20" s="2">
        <v>0.75007999999999997</v>
      </c>
      <c r="AJ20" s="2">
        <v>0.22783999999999999</v>
      </c>
      <c r="AK20" s="2">
        <v>0.1430878882009563</v>
      </c>
      <c r="AL20" s="2">
        <v>4.3393884551919532E-2</v>
      </c>
      <c r="AM20" s="2">
        <v>-4.379480746740505</v>
      </c>
      <c r="AN20" s="2">
        <v>-1.328202053706129</v>
      </c>
      <c r="AO20" s="2">
        <v>0</v>
      </c>
      <c r="AP20" s="2">
        <v>0</v>
      </c>
      <c r="AQ20" s="2">
        <v>1.354368</v>
      </c>
      <c r="AR20" s="2">
        <v>79.757904202533823</v>
      </c>
      <c r="AS20" s="2">
        <v>79.757904202533823</v>
      </c>
      <c r="AT20" s="2">
        <v>0.19825471859844701</v>
      </c>
      <c r="AU20" s="2">
        <v>-8.0674927047642235</v>
      </c>
      <c r="AV20" s="2">
        <v>0</v>
      </c>
      <c r="AW20" s="2">
        <v>0</v>
      </c>
      <c r="AX20" s="1">
        <v>0.9779199999999999</v>
      </c>
      <c r="AY20" s="2">
        <v>0.14322124404216691</v>
      </c>
      <c r="AZ20" s="2">
        <v>-5.8249182122196226</v>
      </c>
      <c r="BA20" s="2">
        <v>79.757904202533823</v>
      </c>
      <c r="BC20" s="1">
        <f t="shared" si="49"/>
        <v>0.75007999999999997</v>
      </c>
      <c r="BD20" s="2">
        <f t="shared" si="50"/>
        <v>0.1430878882009563</v>
      </c>
      <c r="BE20" s="7">
        <f t="shared" si="51"/>
        <v>-4.379480746740505</v>
      </c>
      <c r="BF20" s="1">
        <f t="shared" si="52"/>
        <v>0.22783999999999999</v>
      </c>
      <c r="BG20" s="2">
        <f t="shared" si="53"/>
        <v>4.3393884551919532E-2</v>
      </c>
      <c r="BH20" s="2">
        <f t="shared" si="54"/>
        <v>-1.328202053706129</v>
      </c>
      <c r="BI20" s="2">
        <f t="shared" si="54"/>
        <v>0</v>
      </c>
      <c r="BJ20" s="7">
        <f t="shared" si="54"/>
        <v>0</v>
      </c>
      <c r="BK20" s="1">
        <f t="shared" si="55"/>
        <v>0.9779199999999999</v>
      </c>
      <c r="BL20" s="2">
        <f t="shared" si="55"/>
        <v>0.18648177275287584</v>
      </c>
      <c r="BM20" s="2">
        <f>ABS(BE20+BH20)</f>
        <v>5.7076828004466336</v>
      </c>
      <c r="BN20" s="2">
        <f t="shared" si="57"/>
        <v>0</v>
      </c>
      <c r="BO20" s="7">
        <f t="shared" si="58"/>
        <v>0</v>
      </c>
      <c r="BP20" s="2"/>
      <c r="BQ20" s="1">
        <f t="shared" si="0"/>
        <v>0.9779199999999999</v>
      </c>
      <c r="BR20" s="4">
        <f t="shared" ref="BR20" si="62">IF(ISNUMBER(SEARCH("Appui",E20)),0,"0")</f>
        <v>0</v>
      </c>
      <c r="BS20" s="2">
        <f t="shared" si="2"/>
        <v>0.9779199999999999</v>
      </c>
      <c r="BT20" s="2">
        <f t="shared" si="23"/>
        <v>79.757904202533823</v>
      </c>
      <c r="BU20" s="21">
        <f t="shared" si="3"/>
        <v>81.558720756844963</v>
      </c>
      <c r="BV20" s="21" t="str">
        <f t="shared" si="4"/>
        <v/>
      </c>
      <c r="BW20" s="21" t="str">
        <f t="shared" si="5"/>
        <v/>
      </c>
      <c r="BX20" s="21" t="str">
        <f t="shared" si="6"/>
        <v/>
      </c>
      <c r="BY20" s="1">
        <f t="shared" si="24"/>
        <v>1.354368</v>
      </c>
      <c r="BZ20" s="4" t="str">
        <f t="shared" ref="BZ20" si="63">IF(ISNUMBER(SEARCH("Appui",M20)),0,"0")</f>
        <v>0</v>
      </c>
      <c r="CA20" s="2">
        <f t="shared" si="8"/>
        <v>1.354368</v>
      </c>
      <c r="CB20" s="2">
        <f t="shared" si="25"/>
        <v>79.757904202533823</v>
      </c>
      <c r="CC20" s="21">
        <f t="shared" si="9"/>
        <v>58.889389148690626</v>
      </c>
      <c r="CD20" s="2" t="str">
        <f t="shared" si="26"/>
        <v/>
      </c>
      <c r="CE20" s="2" t="str">
        <f t="shared" si="10"/>
        <v/>
      </c>
      <c r="CF20" s="21" t="str">
        <f t="shared" si="11"/>
        <v/>
      </c>
      <c r="CG20" s="10" t="str">
        <f t="shared" ref="CG20" si="64">IF(C18&lt;C20,"Rive",IF(C22&gt;C20,"Rive","Inter"))</f>
        <v>Inter</v>
      </c>
      <c r="CH20" s="21" t="str">
        <f t="shared" si="12"/>
        <v/>
      </c>
    </row>
    <row r="21" spans="1:86" x14ac:dyDescent="0.25">
      <c r="A21" t="str">
        <f t="shared" si="16"/>
        <v>Travée</v>
      </c>
      <c r="B21" t="b">
        <f t="shared" si="17"/>
        <v>1</v>
      </c>
      <c r="C21">
        <f t="shared" si="22"/>
        <v>2</v>
      </c>
      <c r="D21" s="5" t="s">
        <v>110</v>
      </c>
      <c r="E21" t="s">
        <v>51</v>
      </c>
      <c r="F21" s="5">
        <v>25</v>
      </c>
      <c r="G21" t="s">
        <v>46</v>
      </c>
      <c r="H21">
        <v>500</v>
      </c>
      <c r="I21">
        <v>220000</v>
      </c>
      <c r="J21">
        <v>1576</v>
      </c>
      <c r="K21" s="10">
        <v>1870</v>
      </c>
      <c r="L21" s="12">
        <v>1</v>
      </c>
      <c r="M21" s="5">
        <v>0.23499999999999999</v>
      </c>
      <c r="N21" s="10">
        <v>2</v>
      </c>
      <c r="O21" s="5">
        <v>7.7000000000000007E-4</v>
      </c>
      <c r="P21">
        <v>0.04</v>
      </c>
      <c r="Q21" s="10">
        <v>1</v>
      </c>
      <c r="R21" s="8">
        <v>0</v>
      </c>
      <c r="S21">
        <v>0</v>
      </c>
      <c r="T21">
        <v>1</v>
      </c>
      <c r="U21" s="9">
        <v>0</v>
      </c>
      <c r="V21">
        <v>0</v>
      </c>
      <c r="W21" s="10">
        <v>0</v>
      </c>
      <c r="X21" s="5">
        <v>36.742199999999997</v>
      </c>
      <c r="Y21">
        <v>11.160600000000001</v>
      </c>
      <c r="Z21" s="4">
        <v>0</v>
      </c>
      <c r="AA21" s="2">
        <v>36.742199999999997</v>
      </c>
      <c r="AB21" s="2">
        <v>11.160600000000001</v>
      </c>
      <c r="AC21" s="13">
        <v>0</v>
      </c>
      <c r="AD21" s="2">
        <v>36.742199999999997</v>
      </c>
      <c r="AE21" s="2">
        <v>11.160600000000001</v>
      </c>
      <c r="AF21" s="2">
        <v>66.342870000000005</v>
      </c>
      <c r="AG21" s="2"/>
      <c r="AH21" s="7">
        <v>47.902799999999999</v>
      </c>
      <c r="AI21" s="2">
        <v>36.742199999999997</v>
      </c>
      <c r="AJ21" s="2">
        <v>11.160600000000001</v>
      </c>
      <c r="AK21" s="2">
        <v>6.9546711094144564</v>
      </c>
      <c r="AL21" s="2">
        <v>2.1125110195832302</v>
      </c>
      <c r="AM21" s="2">
        <v>-257.41169209165031</v>
      </c>
      <c r="AN21" s="2">
        <v>-78.189899645586578</v>
      </c>
      <c r="AO21" s="2">
        <v>0</v>
      </c>
      <c r="AP21" s="2">
        <v>0</v>
      </c>
      <c r="AQ21" s="2">
        <v>66.342870000000005</v>
      </c>
      <c r="AR21" s="2">
        <v>67.917174797849086</v>
      </c>
      <c r="AS21" s="2">
        <v>67.917174797849086</v>
      </c>
      <c r="AT21" s="2">
        <v>16.666666666666671</v>
      </c>
      <c r="AU21" s="2">
        <v>-455.38409881406881</v>
      </c>
      <c r="AV21" s="2">
        <v>0</v>
      </c>
      <c r="AW21" s="2">
        <v>0</v>
      </c>
      <c r="AX21" s="1">
        <v>47.902799999999999</v>
      </c>
      <c r="AY21" s="2">
        <v>6.4417609769709792</v>
      </c>
      <c r="AZ21" s="2">
        <v>-342.7191504679173</v>
      </c>
      <c r="BA21" s="2">
        <v>67.917174797849086</v>
      </c>
      <c r="BC21" s="1">
        <f t="shared" si="49"/>
        <v>36.742199999999997</v>
      </c>
      <c r="BD21" s="2">
        <f t="shared" si="50"/>
        <v>6.9546711094144564</v>
      </c>
      <c r="BE21" s="7">
        <f t="shared" si="51"/>
        <v>-257.41169209165031</v>
      </c>
      <c r="BF21" s="1">
        <f t="shared" si="52"/>
        <v>11.160600000000001</v>
      </c>
      <c r="BG21" s="2">
        <f t="shared" si="53"/>
        <v>2.1125110195832302</v>
      </c>
      <c r="BH21" s="2">
        <f t="shared" si="54"/>
        <v>-78.189899645586578</v>
      </c>
      <c r="BI21" s="2">
        <f t="shared" si="54"/>
        <v>0</v>
      </c>
      <c r="BJ21" s="7">
        <f t="shared" si="54"/>
        <v>0</v>
      </c>
      <c r="BK21" s="1">
        <f t="shared" si="55"/>
        <v>47.902799999999999</v>
      </c>
      <c r="BL21" s="2">
        <f t="shared" si="55"/>
        <v>9.0671821289976862</v>
      </c>
      <c r="BM21" s="2">
        <f t="shared" ref="BM21" si="65">ABS(BE21+BH21)</f>
        <v>335.6015917372369</v>
      </c>
      <c r="BN21" s="2">
        <f t="shared" si="57"/>
        <v>0</v>
      </c>
      <c r="BO21" s="7">
        <f t="shared" si="58"/>
        <v>0</v>
      </c>
      <c r="BP21" s="2"/>
      <c r="BQ21" s="1">
        <f t="shared" si="0"/>
        <v>47.902799999999999</v>
      </c>
      <c r="BR21" s="4">
        <v>0</v>
      </c>
      <c r="BS21" s="2">
        <f t="shared" si="2"/>
        <v>47.902799999999999</v>
      </c>
      <c r="BT21" s="2">
        <f t="shared" si="23"/>
        <v>67.917174797849086</v>
      </c>
      <c r="BU21" s="21">
        <f t="shared" si="3"/>
        <v>1.4178122113498395</v>
      </c>
      <c r="BV21" s="21">
        <f t="shared" si="4"/>
        <v>75.284559999999999</v>
      </c>
      <c r="BW21" s="21">
        <f t="shared" si="5"/>
        <v>147.67507900038291</v>
      </c>
      <c r="BX21" s="21">
        <f t="shared" si="6"/>
        <v>1.9615586383234878</v>
      </c>
      <c r="BY21" s="1">
        <f t="shared" si="24"/>
        <v>66.342870000000005</v>
      </c>
      <c r="BZ21" s="4">
        <v>0</v>
      </c>
      <c r="CA21" s="2">
        <f t="shared" si="8"/>
        <v>66.342870000000005</v>
      </c>
      <c r="CB21" s="2">
        <f t="shared" si="25"/>
        <v>67.917174797849086</v>
      </c>
      <c r="CC21" s="21">
        <f t="shared" si="9"/>
        <v>1.0237298265487924</v>
      </c>
      <c r="CD21" s="2">
        <f t="shared" si="26"/>
        <v>104.265174</v>
      </c>
      <c r="CE21" s="2">
        <f t="shared" si="10"/>
        <v>174.76465459415164</v>
      </c>
      <c r="CF21" s="21">
        <f t="shared" si="11"/>
        <v>1.676155593373408</v>
      </c>
      <c r="CG21" s="15"/>
      <c r="CH21" s="21">
        <f t="shared" si="12"/>
        <v>1.416341366297273</v>
      </c>
    </row>
    <row r="22" spans="1:86" x14ac:dyDescent="0.25">
      <c r="A22" t="str">
        <f t="shared" si="16"/>
        <v>Appui</v>
      </c>
      <c r="B22" t="b">
        <f t="shared" si="17"/>
        <v>1</v>
      </c>
      <c r="C22">
        <f>IF(D22=D20,C20,C20+1)</f>
        <v>2</v>
      </c>
      <c r="D22" s="5" t="s">
        <v>110</v>
      </c>
      <c r="E22" t="s">
        <v>52</v>
      </c>
      <c r="F22" s="5">
        <v>25</v>
      </c>
      <c r="G22" t="s">
        <v>46</v>
      </c>
      <c r="H22">
        <v>500</v>
      </c>
      <c r="I22">
        <v>220000</v>
      </c>
      <c r="J22">
        <v>1576</v>
      </c>
      <c r="K22" s="10">
        <v>1870</v>
      </c>
      <c r="L22" s="12">
        <v>1</v>
      </c>
      <c r="M22" s="5">
        <v>0.23499999999999999</v>
      </c>
      <c r="N22" s="10">
        <v>2</v>
      </c>
      <c r="O22" s="5">
        <v>1.01E-3</v>
      </c>
      <c r="P22">
        <v>5.5E-2</v>
      </c>
      <c r="Q22" s="10">
        <v>1</v>
      </c>
      <c r="R22" s="8">
        <v>0</v>
      </c>
      <c r="S22">
        <v>0</v>
      </c>
      <c r="T22">
        <v>1</v>
      </c>
      <c r="U22" s="9">
        <v>2.9099999999999999E-5</v>
      </c>
      <c r="V22">
        <v>0</v>
      </c>
      <c r="W22" s="10">
        <v>5</v>
      </c>
      <c r="X22" s="5">
        <v>41.254399999999997</v>
      </c>
      <c r="Y22">
        <v>12.5312</v>
      </c>
      <c r="Z22" s="4">
        <v>0</v>
      </c>
      <c r="AA22" s="2">
        <v>41.254399999999997</v>
      </c>
      <c r="AB22" s="2">
        <v>12.5312</v>
      </c>
      <c r="AC22" s="13">
        <v>0</v>
      </c>
      <c r="AD22" s="2">
        <v>41.254399999999997</v>
      </c>
      <c r="AE22" s="2">
        <v>12.5312</v>
      </c>
      <c r="AF22" s="2">
        <v>74.490240000000014</v>
      </c>
      <c r="AG22" s="2"/>
      <c r="AH22" s="7">
        <v>53.785600000000002</v>
      </c>
      <c r="AI22" s="2">
        <v>41.254399999999997</v>
      </c>
      <c r="AJ22" s="2">
        <v>12.5312</v>
      </c>
      <c r="AK22" s="2">
        <v>7.8695678436093184</v>
      </c>
      <c r="AL22" s="2">
        <v>2.078344792542997</v>
      </c>
      <c r="AM22" s="2">
        <v>-240.874505189579</v>
      </c>
      <c r="AN22" s="2">
        <v>-57.071475934418118</v>
      </c>
      <c r="AO22" s="2">
        <v>0</v>
      </c>
      <c r="AP22" s="2">
        <v>-86.399658302071444</v>
      </c>
      <c r="AQ22" s="2">
        <v>74.490240000000014</v>
      </c>
      <c r="AR22" s="2">
        <v>79.757904202533823</v>
      </c>
      <c r="AS22" s="2">
        <v>133.93705539007129</v>
      </c>
      <c r="AT22" s="2">
        <v>8.6232753614166313</v>
      </c>
      <c r="AU22" s="2">
        <v>-346.39900699570501</v>
      </c>
      <c r="AV22" s="2">
        <v>0</v>
      </c>
      <c r="AW22" s="2">
        <v>-538.51379796123126</v>
      </c>
      <c r="AX22" s="1">
        <v>53.785600000000002</v>
      </c>
      <c r="AY22" s="2">
        <v>7.2930469534861544</v>
      </c>
      <c r="AZ22" s="2">
        <v>-321.87401844494008</v>
      </c>
      <c r="BA22" s="2">
        <v>79.757904202533823</v>
      </c>
      <c r="BC22" s="1"/>
      <c r="BD22" s="2"/>
      <c r="BE22" s="7"/>
      <c r="BF22" s="1"/>
      <c r="BG22" s="2"/>
      <c r="BH22" s="2"/>
      <c r="BI22" s="2"/>
      <c r="BJ22" s="7"/>
      <c r="BK22" s="1"/>
      <c r="BL22" s="2"/>
      <c r="BM22" s="2"/>
      <c r="BN22" s="2"/>
      <c r="BO22" s="7"/>
      <c r="BP22" s="2"/>
      <c r="BQ22" s="1">
        <f t="shared" si="0"/>
        <v>53.785600000000002</v>
      </c>
      <c r="BR22" s="4">
        <f t="shared" ref="BR22" si="66">IF(ISNUMBER(SEARCH("Appui",E22)),0,"0")</f>
        <v>0</v>
      </c>
      <c r="BS22" s="2">
        <f t="shared" si="2"/>
        <v>53.785600000000002</v>
      </c>
      <c r="BT22" s="2">
        <f t="shared" si="23"/>
        <v>79.757904202533823</v>
      </c>
      <c r="BU22" s="21">
        <f t="shared" si="3"/>
        <v>1.4828858319426355</v>
      </c>
      <c r="BV22" s="21" t="str">
        <f t="shared" si="4"/>
        <v/>
      </c>
      <c r="BW22" s="21" t="str">
        <f t="shared" si="5"/>
        <v/>
      </c>
      <c r="BX22" s="21" t="str">
        <f t="shared" si="6"/>
        <v/>
      </c>
      <c r="BY22" s="1">
        <f t="shared" si="24"/>
        <v>74.490240000000014</v>
      </c>
      <c r="BZ22" s="4" t="str">
        <f t="shared" ref="BZ22" si="67">IF(ISNUMBER(SEARCH("Appui",M22)),0,"0")</f>
        <v>0</v>
      </c>
      <c r="CA22" s="2">
        <f t="shared" si="8"/>
        <v>74.490240000000014</v>
      </c>
      <c r="CB22" s="2">
        <f t="shared" si="25"/>
        <v>133.93705539007129</v>
      </c>
      <c r="CC22" s="21">
        <f t="shared" si="9"/>
        <v>1.7980483804330778</v>
      </c>
      <c r="CD22" s="2" t="str">
        <f t="shared" si="26"/>
        <v/>
      </c>
      <c r="CE22" s="2" t="str">
        <f t="shared" si="10"/>
        <v/>
      </c>
      <c r="CF22" s="21" t="str">
        <f t="shared" si="11"/>
        <v/>
      </c>
      <c r="CG22" s="10" t="str">
        <f t="shared" ref="CG22" si="68">IF(C20&lt;C22,"Rive",IF(C24&gt;C22,"Rive","Inter"))</f>
        <v>Inter</v>
      </c>
      <c r="CH22" s="21" t="str">
        <f t="shared" si="12"/>
        <v/>
      </c>
    </row>
    <row r="23" spans="1:86" x14ac:dyDescent="0.25">
      <c r="A23" t="str">
        <f t="shared" si="16"/>
        <v>Travée</v>
      </c>
      <c r="B23" t="b">
        <f t="shared" si="17"/>
        <v>1</v>
      </c>
      <c r="C23">
        <f t="shared" si="22"/>
        <v>2</v>
      </c>
      <c r="D23" s="5" t="s">
        <v>110</v>
      </c>
      <c r="E23" t="s">
        <v>53</v>
      </c>
      <c r="F23" s="5">
        <v>25</v>
      </c>
      <c r="G23" t="s">
        <v>46</v>
      </c>
      <c r="H23">
        <v>500</v>
      </c>
      <c r="I23">
        <v>220000</v>
      </c>
      <c r="J23">
        <v>1576</v>
      </c>
      <c r="K23" s="10">
        <v>1870</v>
      </c>
      <c r="L23" s="12">
        <v>1</v>
      </c>
      <c r="M23" s="5">
        <v>0.23499999999999999</v>
      </c>
      <c r="N23" s="10">
        <v>1.5</v>
      </c>
      <c r="O23" s="5">
        <v>3.86E-4</v>
      </c>
      <c r="P23">
        <v>0.04</v>
      </c>
      <c r="Q23" s="10">
        <v>1</v>
      </c>
      <c r="R23" s="8">
        <v>0</v>
      </c>
      <c r="S23">
        <v>0</v>
      </c>
      <c r="T23">
        <v>1</v>
      </c>
      <c r="U23" s="9">
        <v>2.9099999999999999E-5</v>
      </c>
      <c r="V23">
        <v>0</v>
      </c>
      <c r="W23" s="10">
        <v>5</v>
      </c>
      <c r="X23" s="5">
        <v>52.212600000000002</v>
      </c>
      <c r="Y23">
        <v>15.8598</v>
      </c>
      <c r="Z23" s="4">
        <v>0</v>
      </c>
      <c r="AA23" s="2">
        <v>52.212600000000002</v>
      </c>
      <c r="AB23" s="2">
        <v>15.8598</v>
      </c>
      <c r="AC23" s="13">
        <v>0</v>
      </c>
      <c r="AD23" s="2">
        <v>52.212600000000002</v>
      </c>
      <c r="AE23" s="2">
        <v>15.8598</v>
      </c>
      <c r="AF23" s="2">
        <v>94.276710000000008</v>
      </c>
      <c r="AG23" s="2"/>
      <c r="AH23" s="7">
        <v>68.072400000000002</v>
      </c>
      <c r="AI23" s="2">
        <v>52.212600000000002</v>
      </c>
      <c r="AJ23" s="2">
        <v>15.8598</v>
      </c>
      <c r="AK23" s="2">
        <v>15.75598410875376</v>
      </c>
      <c r="AL23" s="2">
        <v>3.7085947062997602</v>
      </c>
      <c r="AM23" s="2">
        <v>-723.49025970141133</v>
      </c>
      <c r="AN23" s="2">
        <v>-136.40820408007451</v>
      </c>
      <c r="AO23" s="2">
        <v>0</v>
      </c>
      <c r="AP23" s="2">
        <v>-186.14548188463439</v>
      </c>
      <c r="AQ23" s="2">
        <v>94.276710000000008</v>
      </c>
      <c r="AR23" s="2">
        <v>34.335930429741062</v>
      </c>
      <c r="AS23" s="2">
        <v>91.673898280680902</v>
      </c>
      <c r="AT23" s="2">
        <v>0</v>
      </c>
      <c r="AU23" s="2">
        <v>0</v>
      </c>
      <c r="AV23" s="2">
        <v>0</v>
      </c>
      <c r="AW23" s="2">
        <v>0</v>
      </c>
      <c r="AX23" s="1">
        <v>68.072400000000002</v>
      </c>
      <c r="AY23" s="2">
        <v>0</v>
      </c>
      <c r="AZ23" s="2">
        <v>0</v>
      </c>
      <c r="BA23" s="2">
        <v>34.335930429741062</v>
      </c>
      <c r="BC23" s="1">
        <f t="shared" ref="BC23:BC33" si="69">AI23</f>
        <v>52.212600000000002</v>
      </c>
      <c r="BD23" s="2">
        <f t="shared" ref="BD23:BD33" si="70">AK23</f>
        <v>15.75598410875376</v>
      </c>
      <c r="BE23" s="7">
        <f t="shared" ref="BE23:BE33" si="71">AM23</f>
        <v>-723.49025970141133</v>
      </c>
      <c r="BF23" s="1">
        <f t="shared" ref="BF23:BF33" si="72">AJ23</f>
        <v>15.8598</v>
      </c>
      <c r="BG23" s="2">
        <f t="shared" ref="BG23:BG33" si="73">AL23</f>
        <v>3.7085947062997602</v>
      </c>
      <c r="BH23" s="2">
        <f t="shared" ref="BH23:BJ33" si="74">AN23</f>
        <v>-136.40820408007451</v>
      </c>
      <c r="BI23" s="2">
        <f t="shared" si="74"/>
        <v>0</v>
      </c>
      <c r="BJ23" s="7">
        <f t="shared" si="74"/>
        <v>-186.14548188463439</v>
      </c>
      <c r="BK23" s="1">
        <f t="shared" ref="BK23:BL33" si="75">BC23+BF23</f>
        <v>68.072400000000002</v>
      </c>
      <c r="BL23" s="2">
        <f t="shared" si="75"/>
        <v>19.464578815053521</v>
      </c>
      <c r="BM23" s="2">
        <f t="shared" ref="BM23:BM33" si="76">ABS(BE23+BH23)</f>
        <v>859.89846378148582</v>
      </c>
      <c r="BN23" s="2">
        <f t="shared" ref="BN23:BN33" si="77">ABS(BI23)</f>
        <v>0</v>
      </c>
      <c r="BO23" s="7">
        <f t="shared" ref="BO23:BO33" si="78">BJ23</f>
        <v>-186.14548188463439</v>
      </c>
      <c r="BP23" s="2"/>
      <c r="BQ23" s="1">
        <f t="shared" si="0"/>
        <v>68.072400000000002</v>
      </c>
      <c r="BR23" s="4">
        <v>0</v>
      </c>
      <c r="BS23" s="2">
        <f t="shared" si="2"/>
        <v>68.072400000000002</v>
      </c>
      <c r="BT23" s="2">
        <f t="shared" si="23"/>
        <v>34.335930429741062</v>
      </c>
      <c r="BU23" s="21">
        <f t="shared" si="3"/>
        <v>0.50440311241767677</v>
      </c>
      <c r="BV23" s="21">
        <f t="shared" si="4"/>
        <v>115.99048000000001</v>
      </c>
      <c r="BW23" s="21">
        <f t="shared" si="5"/>
        <v>104.01549809846816</v>
      </c>
      <c r="BX23" s="21">
        <f t="shared" si="6"/>
        <v>0.89675892451232331</v>
      </c>
      <c r="BY23" s="1">
        <f t="shared" si="24"/>
        <v>94.276710000000008</v>
      </c>
      <c r="BZ23" s="4">
        <v>0</v>
      </c>
      <c r="CA23" s="2">
        <f t="shared" si="8"/>
        <v>94.276710000000008</v>
      </c>
      <c r="CB23" s="2">
        <f t="shared" si="25"/>
        <v>91.673898280680902</v>
      </c>
      <c r="CC23" s="21">
        <f t="shared" si="9"/>
        <v>0.97239178457416353</v>
      </c>
      <c r="CD23" s="2">
        <f t="shared" si="26"/>
        <v>160.64074200000002</v>
      </c>
      <c r="CE23" s="2">
        <f t="shared" si="10"/>
        <v>188.44304154317672</v>
      </c>
      <c r="CF23" s="21">
        <f t="shared" si="11"/>
        <v>1.1730712843892162</v>
      </c>
      <c r="CG23" s="15"/>
      <c r="CH23" s="21">
        <f t="shared" si="12"/>
        <v>0.64750384493659863</v>
      </c>
    </row>
    <row r="24" spans="1:86" x14ac:dyDescent="0.25">
      <c r="A24" t="str">
        <f t="shared" si="16"/>
        <v>Appui</v>
      </c>
      <c r="B24" t="b">
        <f t="shared" si="17"/>
        <v>1</v>
      </c>
      <c r="C24">
        <f t="shared" si="22"/>
        <v>2</v>
      </c>
      <c r="D24" s="5" t="s">
        <v>110</v>
      </c>
      <c r="E24" t="s">
        <v>54</v>
      </c>
      <c r="F24" s="5">
        <v>25</v>
      </c>
      <c r="G24" t="s">
        <v>46</v>
      </c>
      <c r="H24">
        <v>500</v>
      </c>
      <c r="I24">
        <v>220000</v>
      </c>
      <c r="J24">
        <v>1576</v>
      </c>
      <c r="K24" s="10">
        <v>1870</v>
      </c>
      <c r="L24" s="12">
        <v>1</v>
      </c>
      <c r="M24" s="5">
        <v>0.23499999999999999</v>
      </c>
      <c r="N24" s="10">
        <v>1.5</v>
      </c>
      <c r="O24" s="5">
        <v>7.5450000000000007E-4</v>
      </c>
      <c r="P24">
        <v>5.5E-2</v>
      </c>
      <c r="Q24" s="10">
        <v>1</v>
      </c>
      <c r="R24" s="8">
        <v>0</v>
      </c>
      <c r="S24">
        <v>0</v>
      </c>
      <c r="T24">
        <v>1</v>
      </c>
      <c r="U24" s="9">
        <v>0</v>
      </c>
      <c r="V24">
        <v>0</v>
      </c>
      <c r="W24" s="10">
        <v>0</v>
      </c>
      <c r="X24" s="5">
        <v>32.253439999999998</v>
      </c>
      <c r="Y24">
        <v>9.7971199999999996</v>
      </c>
      <c r="Z24" s="4">
        <v>0</v>
      </c>
      <c r="AA24" s="2">
        <v>32.253439999999998</v>
      </c>
      <c r="AB24" s="2">
        <v>9.7971199999999996</v>
      </c>
      <c r="AC24" s="13">
        <v>0</v>
      </c>
      <c r="AD24" s="2">
        <v>32.253439999999998</v>
      </c>
      <c r="AE24" s="2">
        <v>9.7971199999999996</v>
      </c>
      <c r="AF24" s="2">
        <v>58.237824000000003</v>
      </c>
      <c r="AG24" s="2"/>
      <c r="AH24" s="7">
        <v>42.050559999999997</v>
      </c>
      <c r="AI24" s="2">
        <v>32.253439999999998</v>
      </c>
      <c r="AJ24" s="2">
        <v>9.7971199999999996</v>
      </c>
      <c r="AK24" s="2">
        <v>8.2169163176788871</v>
      </c>
      <c r="AL24" s="2">
        <v>2.495923386598708</v>
      </c>
      <c r="AM24" s="2">
        <v>-252.06738729192429</v>
      </c>
      <c r="AN24" s="2">
        <v>-76.566544262734709</v>
      </c>
      <c r="AO24" s="2">
        <v>0</v>
      </c>
      <c r="AP24" s="2">
        <v>0</v>
      </c>
      <c r="AQ24" s="2">
        <v>58.237824000000003</v>
      </c>
      <c r="AR24" s="2">
        <v>59.601231134920347</v>
      </c>
      <c r="AS24" s="2">
        <v>59.601231134920347</v>
      </c>
      <c r="AT24" s="2">
        <v>16.666666666666671</v>
      </c>
      <c r="AU24" s="2">
        <v>-447.29491681593862</v>
      </c>
      <c r="AV24" s="2">
        <v>0</v>
      </c>
      <c r="AW24" s="2">
        <v>0</v>
      </c>
      <c r="AX24" s="1">
        <v>42.050559999999997</v>
      </c>
      <c r="AY24" s="2">
        <v>7.5836375520243102</v>
      </c>
      <c r="AZ24" s="2">
        <v>-336.90079434891919</v>
      </c>
      <c r="BA24" s="2">
        <v>59.601231134920347</v>
      </c>
      <c r="BC24" s="1">
        <f t="shared" si="69"/>
        <v>32.253439999999998</v>
      </c>
      <c r="BD24" s="2">
        <f t="shared" si="70"/>
        <v>8.2169163176788871</v>
      </c>
      <c r="BE24" s="7">
        <f t="shared" si="71"/>
        <v>-252.06738729192429</v>
      </c>
      <c r="BF24" s="1">
        <f t="shared" si="72"/>
        <v>9.7971199999999996</v>
      </c>
      <c r="BG24" s="2">
        <f t="shared" si="73"/>
        <v>2.495923386598708</v>
      </c>
      <c r="BH24" s="2">
        <f t="shared" si="74"/>
        <v>-76.566544262734709</v>
      </c>
      <c r="BI24" s="2">
        <f t="shared" si="74"/>
        <v>0</v>
      </c>
      <c r="BJ24" s="7">
        <f t="shared" si="74"/>
        <v>0</v>
      </c>
      <c r="BK24" s="1">
        <f t="shared" si="75"/>
        <v>42.050559999999997</v>
      </c>
      <c r="BL24" s="2">
        <f t="shared" si="75"/>
        <v>10.712839704277595</v>
      </c>
      <c r="BM24" s="2">
        <f t="shared" si="76"/>
        <v>328.633931554659</v>
      </c>
      <c r="BN24" s="2">
        <f t="shared" si="77"/>
        <v>0</v>
      </c>
      <c r="BO24" s="7">
        <f t="shared" si="78"/>
        <v>0</v>
      </c>
      <c r="BP24" s="2"/>
      <c r="BQ24" s="1">
        <f t="shared" si="0"/>
        <v>42.050559999999997</v>
      </c>
      <c r="BR24" s="4">
        <f t="shared" ref="BR24" si="79">IF(ISNUMBER(SEARCH("Appui",E24)),0,"0")</f>
        <v>0</v>
      </c>
      <c r="BS24" s="2">
        <f t="shared" si="2"/>
        <v>42.050559999999997</v>
      </c>
      <c r="BT24" s="2">
        <f t="shared" si="23"/>
        <v>59.601231134920347</v>
      </c>
      <c r="BU24" s="21">
        <f t="shared" si="3"/>
        <v>1.4173706874514953</v>
      </c>
      <c r="BV24" s="21" t="str">
        <f t="shared" si="4"/>
        <v/>
      </c>
      <c r="BW24" s="21" t="str">
        <f t="shared" si="5"/>
        <v/>
      </c>
      <c r="BX24" s="21" t="str">
        <f t="shared" si="6"/>
        <v/>
      </c>
      <c r="BY24" s="1">
        <f t="shared" si="24"/>
        <v>58.237824000000003</v>
      </c>
      <c r="BZ24" s="4" t="str">
        <f t="shared" ref="BZ24" si="80">IF(ISNUMBER(SEARCH("Appui",M24)),0,"0")</f>
        <v>0</v>
      </c>
      <c r="CA24" s="2">
        <f t="shared" si="8"/>
        <v>58.237824000000003</v>
      </c>
      <c r="CB24" s="2">
        <f t="shared" si="25"/>
        <v>59.601231134920347</v>
      </c>
      <c r="CC24" s="21">
        <f t="shared" si="9"/>
        <v>1.0234110246790873</v>
      </c>
      <c r="CD24" s="2" t="str">
        <f t="shared" si="26"/>
        <v/>
      </c>
      <c r="CE24" s="2" t="str">
        <f t="shared" si="10"/>
        <v/>
      </c>
      <c r="CF24" s="21" t="str">
        <f t="shared" si="11"/>
        <v/>
      </c>
      <c r="CG24" s="10" t="str">
        <f t="shared" ref="CG24" si="81">IF(C22&lt;C24,"Rive",IF(C26&gt;C24,"Rive","Inter"))</f>
        <v>Inter</v>
      </c>
      <c r="CH24" s="21" t="str">
        <f t="shared" si="12"/>
        <v/>
      </c>
    </row>
    <row r="25" spans="1:86" x14ac:dyDescent="0.25">
      <c r="A25" t="str">
        <f t="shared" si="16"/>
        <v>Travée</v>
      </c>
      <c r="B25" t="b">
        <f t="shared" si="17"/>
        <v>1</v>
      </c>
      <c r="C25">
        <f t="shared" si="22"/>
        <v>2</v>
      </c>
      <c r="D25" s="5" t="s">
        <v>110</v>
      </c>
      <c r="E25" t="s">
        <v>55</v>
      </c>
      <c r="F25" s="5">
        <v>25</v>
      </c>
      <c r="G25" t="s">
        <v>46</v>
      </c>
      <c r="H25">
        <v>500</v>
      </c>
      <c r="I25">
        <v>220000</v>
      </c>
      <c r="J25">
        <v>1576</v>
      </c>
      <c r="K25" s="10">
        <v>1870</v>
      </c>
      <c r="L25" s="12">
        <v>1</v>
      </c>
      <c r="M25" s="5">
        <v>0.23499999999999999</v>
      </c>
      <c r="N25" s="10">
        <v>1.5</v>
      </c>
      <c r="O25" s="5">
        <v>5.7750000000000011E-4</v>
      </c>
      <c r="P25">
        <v>0.04</v>
      </c>
      <c r="Q25" s="10">
        <v>1</v>
      </c>
      <c r="R25" s="8">
        <v>0</v>
      </c>
      <c r="S25">
        <v>0</v>
      </c>
      <c r="T25">
        <v>1</v>
      </c>
      <c r="U25" s="9">
        <v>0</v>
      </c>
      <c r="V25">
        <v>0</v>
      </c>
      <c r="W25" s="10">
        <v>0</v>
      </c>
      <c r="X25" s="5">
        <v>38.675999999999988</v>
      </c>
      <c r="Y25">
        <v>11.747999999999999</v>
      </c>
      <c r="Z25" s="4">
        <v>0</v>
      </c>
      <c r="AA25" s="2">
        <v>38.675999999999988</v>
      </c>
      <c r="AB25" s="2">
        <v>11.747999999999999</v>
      </c>
      <c r="AC25" s="13">
        <v>0</v>
      </c>
      <c r="AD25" s="2">
        <v>38.675999999999988</v>
      </c>
      <c r="AE25" s="2">
        <v>11.747999999999999</v>
      </c>
      <c r="AF25" s="2">
        <v>69.834599999999995</v>
      </c>
      <c r="AG25" s="2"/>
      <c r="AH25" s="7">
        <v>50.423999999999992</v>
      </c>
      <c r="AI25" s="2">
        <v>38.675999999999988</v>
      </c>
      <c r="AJ25" s="2">
        <v>11.747999999999999</v>
      </c>
      <c r="AK25" s="2">
        <v>9.760941907950107</v>
      </c>
      <c r="AL25" s="2">
        <v>2.9649277467834789</v>
      </c>
      <c r="AM25" s="2">
        <v>-361.27956784793002</v>
      </c>
      <c r="AN25" s="2">
        <v>-109.7402100288935</v>
      </c>
      <c r="AO25" s="2">
        <v>0</v>
      </c>
      <c r="AP25" s="2">
        <v>0</v>
      </c>
      <c r="AQ25" s="2">
        <v>69.834599999999995</v>
      </c>
      <c r="AR25" s="2">
        <v>50.937881098386818</v>
      </c>
      <c r="AS25" s="2">
        <v>50.937881098386818</v>
      </c>
      <c r="AT25" s="2">
        <v>0</v>
      </c>
      <c r="AU25" s="2">
        <v>0</v>
      </c>
      <c r="AV25" s="2">
        <v>0</v>
      </c>
      <c r="AW25" s="2">
        <v>0</v>
      </c>
      <c r="AX25" s="1">
        <v>50.423999999999992</v>
      </c>
      <c r="AY25" s="2">
        <v>16.666666666666671</v>
      </c>
      <c r="AZ25" s="2">
        <v>-461.31432074521729</v>
      </c>
      <c r="BA25" s="2">
        <v>50.937881098386818</v>
      </c>
      <c r="BC25" s="1">
        <f t="shared" si="69"/>
        <v>38.675999999999988</v>
      </c>
      <c r="BD25" s="2">
        <f t="shared" si="70"/>
        <v>9.760941907950107</v>
      </c>
      <c r="BE25" s="7">
        <f t="shared" si="71"/>
        <v>-361.27956784793002</v>
      </c>
      <c r="BF25" s="1">
        <f t="shared" si="72"/>
        <v>11.747999999999999</v>
      </c>
      <c r="BG25" s="2">
        <f t="shared" si="73"/>
        <v>2.9649277467834789</v>
      </c>
      <c r="BH25" s="2">
        <f t="shared" si="74"/>
        <v>-109.7402100288935</v>
      </c>
      <c r="BI25" s="2">
        <f t="shared" si="74"/>
        <v>0</v>
      </c>
      <c r="BJ25" s="7">
        <f t="shared" si="74"/>
        <v>0</v>
      </c>
      <c r="BK25" s="1">
        <f t="shared" si="75"/>
        <v>50.423999999999985</v>
      </c>
      <c r="BL25" s="2">
        <f t="shared" si="75"/>
        <v>12.725869654733586</v>
      </c>
      <c r="BM25" s="2">
        <f t="shared" si="76"/>
        <v>471.01977787682353</v>
      </c>
      <c r="BN25" s="2">
        <f t="shared" si="77"/>
        <v>0</v>
      </c>
      <c r="BO25" s="7">
        <f t="shared" si="78"/>
        <v>0</v>
      </c>
      <c r="BP25" s="2"/>
      <c r="BQ25" s="1">
        <f t="shared" si="0"/>
        <v>50.423999999999992</v>
      </c>
      <c r="BR25" s="4">
        <v>0</v>
      </c>
      <c r="BS25" s="2">
        <f t="shared" si="2"/>
        <v>50.423999999999992</v>
      </c>
      <c r="BT25" s="2">
        <f t="shared" si="23"/>
        <v>50.937881098386818</v>
      </c>
      <c r="BU25" s="21">
        <f t="shared" si="3"/>
        <v>1.0101912005867608</v>
      </c>
      <c r="BV25" s="21">
        <f t="shared" si="4"/>
        <v>71.449279999999987</v>
      </c>
      <c r="BW25" s="21">
        <f t="shared" si="5"/>
        <v>81.128712080766206</v>
      </c>
      <c r="BX25" s="21">
        <f t="shared" si="6"/>
        <v>1.1354727728644183</v>
      </c>
      <c r="BY25" s="1">
        <f t="shared" si="24"/>
        <v>69.834599999999995</v>
      </c>
      <c r="BZ25" s="4">
        <v>0</v>
      </c>
      <c r="CA25" s="2">
        <f t="shared" si="8"/>
        <v>69.834599999999995</v>
      </c>
      <c r="CB25" s="2">
        <f t="shared" si="25"/>
        <v>50.937881098386818</v>
      </c>
      <c r="CC25" s="21">
        <f t="shared" si="9"/>
        <v>0.72940750141601474</v>
      </c>
      <c r="CD25" s="2">
        <f t="shared" si="26"/>
        <v>98.953511999999989</v>
      </c>
      <c r="CE25" s="2">
        <f t="shared" si="10"/>
        <v>81.128712080766206</v>
      </c>
      <c r="CF25" s="21">
        <f t="shared" si="11"/>
        <v>0.81986692984445275</v>
      </c>
      <c r="CG25" s="15"/>
      <c r="CH25" s="21">
        <f t="shared" si="12"/>
        <v>0.81986692984445275</v>
      </c>
    </row>
    <row r="26" spans="1:86" x14ac:dyDescent="0.25">
      <c r="A26" t="str">
        <f t="shared" si="16"/>
        <v/>
      </c>
      <c r="B26" t="b">
        <f t="shared" si="17"/>
        <v>1</v>
      </c>
      <c r="C26">
        <f t="shared" si="22"/>
        <v>2</v>
      </c>
      <c r="D26" s="5" t="s">
        <v>110</v>
      </c>
      <c r="F26" s="5">
        <v>25</v>
      </c>
      <c r="G26" t="s">
        <v>46</v>
      </c>
      <c r="H26">
        <v>500</v>
      </c>
      <c r="I26">
        <v>220000</v>
      </c>
      <c r="J26">
        <v>1576</v>
      </c>
      <c r="K26" s="10">
        <v>1870</v>
      </c>
      <c r="L26" s="12">
        <v>1</v>
      </c>
      <c r="M26" s="5">
        <v>0.2</v>
      </c>
      <c r="N26" s="10">
        <v>2.2000000000000002</v>
      </c>
      <c r="O26" s="5">
        <v>1.0000000000000001E-5</v>
      </c>
      <c r="P26">
        <v>0.03</v>
      </c>
      <c r="Q26" s="10">
        <v>1</v>
      </c>
      <c r="R26" s="8">
        <v>0</v>
      </c>
      <c r="S26">
        <v>0</v>
      </c>
      <c r="T26">
        <v>1</v>
      </c>
      <c r="U26" s="9">
        <v>0</v>
      </c>
      <c r="V26">
        <v>0</v>
      </c>
      <c r="W26" s="10">
        <v>0</v>
      </c>
      <c r="X26" s="5">
        <v>0</v>
      </c>
      <c r="Y26">
        <v>0</v>
      </c>
      <c r="Z26" s="4">
        <v>0</v>
      </c>
      <c r="AA26" s="2">
        <v>0</v>
      </c>
      <c r="AB26" s="2">
        <v>0</v>
      </c>
      <c r="AC26" s="13"/>
      <c r="AD26" s="2">
        <v>0</v>
      </c>
      <c r="AE26" s="2">
        <v>0</v>
      </c>
      <c r="AF26" s="2"/>
      <c r="AG26" s="2"/>
      <c r="AH26" s="7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/>
      <c r="AR26" s="2">
        <v>0.78043082983844214</v>
      </c>
      <c r="AS26" s="2">
        <v>0.78043082983844214</v>
      </c>
      <c r="AT26" s="2">
        <v>0</v>
      </c>
      <c r="AU26" s="2">
        <v>0</v>
      </c>
      <c r="AV26" s="2">
        <v>0</v>
      </c>
      <c r="AW26" s="2">
        <v>0</v>
      </c>
      <c r="AX26" s="1">
        <v>0</v>
      </c>
      <c r="AY26" s="2">
        <v>0</v>
      </c>
      <c r="AZ26" s="2">
        <v>0</v>
      </c>
      <c r="BA26" s="2">
        <v>0.78043082983844214</v>
      </c>
      <c r="BC26" s="1">
        <f t="shared" si="69"/>
        <v>0</v>
      </c>
      <c r="BD26" s="2">
        <f t="shared" si="70"/>
        <v>0</v>
      </c>
      <c r="BE26" s="7">
        <f t="shared" si="71"/>
        <v>0</v>
      </c>
      <c r="BF26" s="1">
        <f t="shared" si="72"/>
        <v>0</v>
      </c>
      <c r="BG26" s="2">
        <f t="shared" si="73"/>
        <v>0</v>
      </c>
      <c r="BH26" s="2">
        <f t="shared" si="74"/>
        <v>0</v>
      </c>
      <c r="BI26" s="2">
        <f t="shared" si="74"/>
        <v>0</v>
      </c>
      <c r="BJ26" s="7">
        <f t="shared" si="74"/>
        <v>0</v>
      </c>
      <c r="BK26" s="1">
        <f t="shared" si="75"/>
        <v>0</v>
      </c>
      <c r="BL26" s="2">
        <f t="shared" si="75"/>
        <v>0</v>
      </c>
      <c r="BM26" s="2">
        <f t="shared" si="76"/>
        <v>0</v>
      </c>
      <c r="BN26" s="2">
        <f t="shared" si="77"/>
        <v>0</v>
      </c>
      <c r="BO26" s="7">
        <f t="shared" si="78"/>
        <v>0</v>
      </c>
      <c r="BP26" s="2"/>
      <c r="BQ26" s="1">
        <f t="shared" si="0"/>
        <v>0</v>
      </c>
      <c r="BR26" s="4" t="str">
        <f t="shared" ref="BR26" si="82">IF(ISNUMBER(SEARCH("Appui",E26)),0,"0")</f>
        <v>0</v>
      </c>
      <c r="BS26" s="2">
        <f t="shared" si="2"/>
        <v>0</v>
      </c>
      <c r="BT26" s="2">
        <f t="shared" si="23"/>
        <v>0.78043082983844214</v>
      </c>
      <c r="BU26" s="21">
        <f t="shared" si="3"/>
        <v>1</v>
      </c>
      <c r="BV26" s="21" t="str">
        <f t="shared" si="4"/>
        <v/>
      </c>
      <c r="BW26" s="21" t="str">
        <f t="shared" si="5"/>
        <v/>
      </c>
      <c r="BX26" s="21" t="str">
        <f t="shared" si="6"/>
        <v/>
      </c>
      <c r="BY26" s="1">
        <f t="shared" si="24"/>
        <v>0</v>
      </c>
      <c r="BZ26" s="4" t="str">
        <f t="shared" ref="BZ26" si="83">IF(ISNUMBER(SEARCH("Appui",M26)),0,"0")</f>
        <v>0</v>
      </c>
      <c r="CA26" s="2">
        <f t="shared" si="8"/>
        <v>0</v>
      </c>
      <c r="CB26" s="2">
        <f t="shared" si="25"/>
        <v>0.78043082983844214</v>
      </c>
      <c r="CC26" s="21">
        <f t="shared" si="9"/>
        <v>1</v>
      </c>
      <c r="CD26" s="2" t="str">
        <f t="shared" si="26"/>
        <v/>
      </c>
      <c r="CE26" s="2" t="str">
        <f t="shared" si="10"/>
        <v/>
      </c>
      <c r="CF26" s="21" t="str">
        <f t="shared" si="11"/>
        <v/>
      </c>
      <c r="CG26" s="10" t="str">
        <f t="shared" ref="CG26" si="84">IF(C24&lt;C26,"Rive",IF(C28&gt;C26,"Rive","Inter"))</f>
        <v>Rive</v>
      </c>
      <c r="CH26" s="21" t="str">
        <f t="shared" si="12"/>
        <v/>
      </c>
    </row>
    <row r="27" spans="1:86" x14ac:dyDescent="0.25">
      <c r="A27" t="str">
        <f t="shared" si="16"/>
        <v>Travée</v>
      </c>
      <c r="B27" t="b">
        <f t="shared" si="17"/>
        <v>0</v>
      </c>
      <c r="C27">
        <f t="shared" si="22"/>
        <v>3</v>
      </c>
      <c r="D27" s="5" t="s">
        <v>111</v>
      </c>
      <c r="E27" t="s">
        <v>45</v>
      </c>
      <c r="F27" s="5">
        <v>25</v>
      </c>
      <c r="G27" t="s">
        <v>46</v>
      </c>
      <c r="H27">
        <v>500</v>
      </c>
      <c r="I27">
        <v>220000</v>
      </c>
      <c r="J27">
        <v>1576</v>
      </c>
      <c r="K27" s="10">
        <v>1870</v>
      </c>
      <c r="L27" s="12">
        <v>1</v>
      </c>
      <c r="M27" s="5">
        <v>0.23499999999999999</v>
      </c>
      <c r="N27" s="10">
        <v>2.5</v>
      </c>
      <c r="O27" s="5">
        <v>6.4250000000000006E-4</v>
      </c>
      <c r="P27">
        <v>0.04</v>
      </c>
      <c r="Q27" s="10">
        <v>1</v>
      </c>
      <c r="R27" s="8">
        <v>0</v>
      </c>
      <c r="S27">
        <v>0</v>
      </c>
      <c r="T27">
        <v>1</v>
      </c>
      <c r="U27" s="9">
        <v>0</v>
      </c>
      <c r="V27">
        <v>0</v>
      </c>
      <c r="W27" s="10">
        <v>0</v>
      </c>
      <c r="X27" s="5">
        <v>21.752320000000001</v>
      </c>
      <c r="Y27">
        <v>6.607359999999999</v>
      </c>
      <c r="Z27" s="4">
        <v>0</v>
      </c>
      <c r="AA27" s="2">
        <v>21.752320000000001</v>
      </c>
      <c r="AB27" s="2">
        <v>6.607359999999999</v>
      </c>
      <c r="AC27" s="13">
        <v>0</v>
      </c>
      <c r="AD27" s="2">
        <v>21.752320000000001</v>
      </c>
      <c r="AE27" s="2">
        <v>6.607359999999999</v>
      </c>
      <c r="AF27" s="2">
        <v>39.276671999999998</v>
      </c>
      <c r="AG27" s="2"/>
      <c r="AH27" s="7">
        <v>28.359680000000001</v>
      </c>
      <c r="AI27" s="2">
        <v>21.752320000000001</v>
      </c>
      <c r="AJ27" s="2">
        <v>6.607359999999999</v>
      </c>
      <c r="AK27" s="2">
        <v>3.940879449544588</v>
      </c>
      <c r="AL27" s="2">
        <v>1.197058945424806</v>
      </c>
      <c r="AM27" s="2">
        <v>-181.07750613184979</v>
      </c>
      <c r="AN27" s="2">
        <v>-55.003065002507249</v>
      </c>
      <c r="AO27" s="2">
        <v>0</v>
      </c>
      <c r="AP27" s="2">
        <v>0</v>
      </c>
      <c r="AQ27" s="2">
        <v>39.276671999999998</v>
      </c>
      <c r="AR27" s="2">
        <v>57.153449734010323</v>
      </c>
      <c r="AS27" s="2">
        <v>57.153449734010323</v>
      </c>
      <c r="AT27" s="2">
        <v>5.1039456053848467</v>
      </c>
      <c r="AU27" s="2">
        <v>-332.32687779503738</v>
      </c>
      <c r="AV27" s="2">
        <v>0</v>
      </c>
      <c r="AW27" s="2">
        <v>0</v>
      </c>
      <c r="AX27" s="1">
        <v>28.359680000000001</v>
      </c>
      <c r="AY27" s="2">
        <v>3.7447903798667732</v>
      </c>
      <c r="AZ27" s="2">
        <v>-239.78149757060669</v>
      </c>
      <c r="BA27" s="2">
        <v>57.153449734010323</v>
      </c>
      <c r="BC27" s="1">
        <f t="shared" si="69"/>
        <v>21.752320000000001</v>
      </c>
      <c r="BD27" s="2">
        <f t="shared" si="70"/>
        <v>3.940879449544588</v>
      </c>
      <c r="BE27" s="7">
        <f t="shared" si="71"/>
        <v>-181.07750613184979</v>
      </c>
      <c r="BF27" s="1">
        <f t="shared" si="72"/>
        <v>6.607359999999999</v>
      </c>
      <c r="BG27" s="2">
        <f t="shared" si="73"/>
        <v>1.197058945424806</v>
      </c>
      <c r="BH27" s="2">
        <f t="shared" si="74"/>
        <v>-55.003065002507249</v>
      </c>
      <c r="BI27" s="2">
        <f t="shared" si="74"/>
        <v>0</v>
      </c>
      <c r="BJ27" s="7">
        <f t="shared" si="74"/>
        <v>0</v>
      </c>
      <c r="BK27" s="1">
        <f t="shared" si="75"/>
        <v>28.359680000000001</v>
      </c>
      <c r="BL27" s="2">
        <f t="shared" si="75"/>
        <v>5.1379383949693942</v>
      </c>
      <c r="BM27" s="2">
        <f t="shared" si="76"/>
        <v>236.08057113435703</v>
      </c>
      <c r="BN27" s="2">
        <f t="shared" si="77"/>
        <v>0</v>
      </c>
      <c r="BO27" s="7">
        <f t="shared" si="78"/>
        <v>0</v>
      </c>
      <c r="BP27" s="2"/>
      <c r="BQ27" s="1">
        <f t="shared" si="0"/>
        <v>28.359680000000001</v>
      </c>
      <c r="BR27" s="4">
        <v>0</v>
      </c>
      <c r="BS27" s="2">
        <f t="shared" si="2"/>
        <v>28.359680000000001</v>
      </c>
      <c r="BT27" s="2">
        <f t="shared" si="23"/>
        <v>57.153449734010323</v>
      </c>
      <c r="BU27" s="21">
        <f t="shared" si="3"/>
        <v>2.0153065808221502</v>
      </c>
      <c r="BV27" s="21">
        <f t="shared" si="4"/>
        <v>28.359680000000001</v>
      </c>
      <c r="BW27" s="21">
        <f t="shared" si="5"/>
        <v>96.887603823957136</v>
      </c>
      <c r="BX27" s="21">
        <f t="shared" si="6"/>
        <v>3.4163856511764989</v>
      </c>
      <c r="BY27" s="1">
        <f t="shared" si="24"/>
        <v>39.276671999999998</v>
      </c>
      <c r="BZ27" s="4">
        <v>0</v>
      </c>
      <c r="CA27" s="2">
        <f t="shared" si="8"/>
        <v>39.276671999999998</v>
      </c>
      <c r="CB27" s="2">
        <f t="shared" si="25"/>
        <v>57.153449734010323</v>
      </c>
      <c r="CC27" s="21">
        <f t="shared" si="9"/>
        <v>1.4551500120481269</v>
      </c>
      <c r="CD27" s="2">
        <f t="shared" si="26"/>
        <v>39.276671999999998</v>
      </c>
      <c r="CE27" s="2">
        <f t="shared" si="10"/>
        <v>96.887603823957136</v>
      </c>
      <c r="CF27" s="21">
        <f t="shared" si="11"/>
        <v>2.4667976916159584</v>
      </c>
      <c r="CG27" s="15"/>
      <c r="CH27" s="21">
        <f t="shared" si="12"/>
        <v>2.4667976916159584</v>
      </c>
    </row>
    <row r="28" spans="1:86" x14ac:dyDescent="0.25">
      <c r="A28" t="str">
        <f t="shared" si="16"/>
        <v>Appui</v>
      </c>
      <c r="B28" t="b">
        <f t="shared" si="17"/>
        <v>0</v>
      </c>
      <c r="C28">
        <f t="shared" si="22"/>
        <v>3</v>
      </c>
      <c r="D28" s="5" t="s">
        <v>111</v>
      </c>
      <c r="E28" t="s">
        <v>47</v>
      </c>
      <c r="F28" s="5">
        <v>25</v>
      </c>
      <c r="G28" t="s">
        <v>46</v>
      </c>
      <c r="H28">
        <v>500</v>
      </c>
      <c r="I28">
        <v>220000</v>
      </c>
      <c r="J28">
        <v>1576</v>
      </c>
      <c r="K28" s="10">
        <v>1870</v>
      </c>
      <c r="L28" s="12">
        <v>1</v>
      </c>
      <c r="M28" s="5">
        <v>0.23499999999999999</v>
      </c>
      <c r="N28" s="10">
        <v>2</v>
      </c>
      <c r="O28" s="5">
        <v>1.0059999999999999E-3</v>
      </c>
      <c r="P28">
        <v>5.5E-2</v>
      </c>
      <c r="Q28" s="10">
        <v>1</v>
      </c>
      <c r="R28" s="8">
        <v>0</v>
      </c>
      <c r="S28">
        <v>0</v>
      </c>
      <c r="T28">
        <v>1</v>
      </c>
      <c r="U28" s="9">
        <v>0</v>
      </c>
      <c r="V28">
        <v>0</v>
      </c>
      <c r="W28" s="10">
        <v>0</v>
      </c>
      <c r="X28" s="5">
        <v>0</v>
      </c>
      <c r="Y28">
        <v>0</v>
      </c>
      <c r="Z28" s="4">
        <v>0</v>
      </c>
      <c r="AA28" s="2">
        <v>0</v>
      </c>
      <c r="AB28" s="2">
        <v>0</v>
      </c>
      <c r="AC28" s="13">
        <v>0</v>
      </c>
      <c r="AD28" s="2">
        <v>0</v>
      </c>
      <c r="AE28" s="2">
        <v>0</v>
      </c>
      <c r="AF28" s="2">
        <v>0</v>
      </c>
      <c r="AG28" s="2"/>
      <c r="AH28" s="7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79.468308179893626</v>
      </c>
      <c r="AS28" s="2">
        <v>79.468308179893626</v>
      </c>
      <c r="AT28" s="2">
        <v>0</v>
      </c>
      <c r="AU28" s="2">
        <v>0</v>
      </c>
      <c r="AV28" s="2">
        <v>0</v>
      </c>
      <c r="AW28" s="2">
        <v>0</v>
      </c>
      <c r="AX28" s="1">
        <v>0</v>
      </c>
      <c r="AY28" s="2">
        <v>0</v>
      </c>
      <c r="AZ28" s="2">
        <v>0</v>
      </c>
      <c r="BA28" s="2">
        <v>79.468308179893626</v>
      </c>
      <c r="BC28" s="1">
        <f t="shared" si="69"/>
        <v>0</v>
      </c>
      <c r="BD28" s="2">
        <f t="shared" si="70"/>
        <v>0</v>
      </c>
      <c r="BE28" s="7">
        <f t="shared" si="71"/>
        <v>0</v>
      </c>
      <c r="BF28" s="1">
        <f t="shared" si="72"/>
        <v>0</v>
      </c>
      <c r="BG28" s="2">
        <f t="shared" si="73"/>
        <v>0</v>
      </c>
      <c r="BH28" s="2">
        <f t="shared" si="74"/>
        <v>0</v>
      </c>
      <c r="BI28" s="2">
        <f t="shared" si="74"/>
        <v>0</v>
      </c>
      <c r="BJ28" s="7">
        <f t="shared" si="74"/>
        <v>0</v>
      </c>
      <c r="BK28" s="1">
        <f t="shared" si="75"/>
        <v>0</v>
      </c>
      <c r="BL28" s="2">
        <f t="shared" si="75"/>
        <v>0</v>
      </c>
      <c r="BM28" s="2">
        <f t="shared" si="76"/>
        <v>0</v>
      </c>
      <c r="BN28" s="2">
        <f t="shared" si="77"/>
        <v>0</v>
      </c>
      <c r="BO28" s="7">
        <f t="shared" si="78"/>
        <v>0</v>
      </c>
      <c r="BP28" s="2"/>
      <c r="BQ28" s="1">
        <f t="shared" si="0"/>
        <v>0</v>
      </c>
      <c r="BR28" s="4">
        <f t="shared" ref="BR28" si="85">IF(ISNUMBER(SEARCH("Appui",E28)),0,"0")</f>
        <v>0</v>
      </c>
      <c r="BS28" s="2">
        <f t="shared" si="2"/>
        <v>0</v>
      </c>
      <c r="BT28" s="2">
        <f t="shared" si="23"/>
        <v>79.468308179893626</v>
      </c>
      <c r="BU28" s="21">
        <f t="shared" si="3"/>
        <v>1</v>
      </c>
      <c r="BV28" s="21" t="str">
        <f t="shared" si="4"/>
        <v/>
      </c>
      <c r="BW28" s="21" t="str">
        <f t="shared" si="5"/>
        <v/>
      </c>
      <c r="BX28" s="21" t="str">
        <f t="shared" si="6"/>
        <v/>
      </c>
      <c r="BY28" s="1">
        <f t="shared" si="24"/>
        <v>0</v>
      </c>
      <c r="BZ28" s="4" t="str">
        <f t="shared" ref="BZ28" si="86">IF(ISNUMBER(SEARCH("Appui",M28)),0,"0")</f>
        <v>0</v>
      </c>
      <c r="CA28" s="2">
        <f t="shared" si="8"/>
        <v>0</v>
      </c>
      <c r="CB28" s="2">
        <f t="shared" si="25"/>
        <v>79.468308179893626</v>
      </c>
      <c r="CC28" s="21">
        <f t="shared" si="9"/>
        <v>1</v>
      </c>
      <c r="CD28" s="2" t="str">
        <f t="shared" si="26"/>
        <v/>
      </c>
      <c r="CE28" s="2" t="str">
        <f t="shared" si="10"/>
        <v/>
      </c>
      <c r="CF28" s="21" t="str">
        <f t="shared" si="11"/>
        <v/>
      </c>
      <c r="CG28" s="10" t="str">
        <f t="shared" ref="CG28" si="87">IF(C26&lt;C28,"Rive",IF(C30&gt;C28,"Rive","Inter"))</f>
        <v>Rive</v>
      </c>
      <c r="CH28" s="21" t="str">
        <f t="shared" si="12"/>
        <v/>
      </c>
    </row>
    <row r="29" spans="1:86" x14ac:dyDescent="0.25">
      <c r="A29" t="str">
        <f t="shared" si="16"/>
        <v>Travée</v>
      </c>
      <c r="B29" t="b">
        <f t="shared" si="17"/>
        <v>0</v>
      </c>
      <c r="C29">
        <f t="shared" si="22"/>
        <v>3</v>
      </c>
      <c r="D29" s="5" t="s">
        <v>111</v>
      </c>
      <c r="E29" t="s">
        <v>48</v>
      </c>
      <c r="F29" s="5">
        <v>25</v>
      </c>
      <c r="G29" t="s">
        <v>46</v>
      </c>
      <c r="H29">
        <v>500</v>
      </c>
      <c r="I29">
        <v>220000</v>
      </c>
      <c r="J29">
        <v>1576</v>
      </c>
      <c r="K29" s="10">
        <v>1870</v>
      </c>
      <c r="L29" s="12">
        <v>1</v>
      </c>
      <c r="M29" s="5">
        <v>0.23499999999999999</v>
      </c>
      <c r="N29" s="10">
        <v>2</v>
      </c>
      <c r="O29" s="5">
        <v>1.0300000000000001E-3</v>
      </c>
      <c r="P29">
        <v>0.04</v>
      </c>
      <c r="Q29" s="10">
        <v>1</v>
      </c>
      <c r="R29" s="8">
        <v>0</v>
      </c>
      <c r="S29">
        <v>0</v>
      </c>
      <c r="T29">
        <v>1</v>
      </c>
      <c r="U29" s="9">
        <v>0</v>
      </c>
      <c r="V29">
        <v>0</v>
      </c>
      <c r="W29" s="10">
        <v>0</v>
      </c>
      <c r="X29" s="5">
        <v>34.503680000000003</v>
      </c>
      <c r="Y29">
        <v>10.480639999999999</v>
      </c>
      <c r="Z29" s="4">
        <v>0</v>
      </c>
      <c r="AA29" s="2">
        <v>34.503680000000003</v>
      </c>
      <c r="AB29" s="2">
        <v>10.480639999999999</v>
      </c>
      <c r="AC29" s="13">
        <v>0</v>
      </c>
      <c r="AD29" s="2">
        <v>34.503680000000003</v>
      </c>
      <c r="AE29" s="2">
        <v>10.480639999999999</v>
      </c>
      <c r="AF29" s="2">
        <v>62.300928000000013</v>
      </c>
      <c r="AG29" s="2"/>
      <c r="AH29" s="7">
        <v>44.984319999999997</v>
      </c>
      <c r="AI29" s="2">
        <v>34.503680000000003</v>
      </c>
      <c r="AJ29" s="2">
        <v>10.480639999999999</v>
      </c>
      <c r="AK29" s="2">
        <v>5.7650379822738591</v>
      </c>
      <c r="AL29" s="2">
        <v>1.751154082718771</v>
      </c>
      <c r="AM29" s="2">
        <v>-181.97012990705699</v>
      </c>
      <c r="AN29" s="2">
        <v>-55.274208292686893</v>
      </c>
      <c r="AO29" s="2">
        <v>0</v>
      </c>
      <c r="AP29" s="2">
        <v>0</v>
      </c>
      <c r="AQ29" s="2">
        <v>62.300928000000013</v>
      </c>
      <c r="AR29" s="2">
        <v>88.637307478916199</v>
      </c>
      <c r="AS29" s="2">
        <v>88.637307478916199</v>
      </c>
      <c r="AT29" s="2">
        <v>7.3553218008739032</v>
      </c>
      <c r="AU29" s="2">
        <v>-336.84232456587188</v>
      </c>
      <c r="AV29" s="2">
        <v>0</v>
      </c>
      <c r="AW29" s="2">
        <v>0</v>
      </c>
      <c r="AX29" s="1">
        <v>44.984319999999997</v>
      </c>
      <c r="AY29" s="2">
        <v>5.4439193837366986</v>
      </c>
      <c r="AZ29" s="2">
        <v>-242.83906168510001</v>
      </c>
      <c r="BA29" s="2">
        <v>88.637307478916199</v>
      </c>
      <c r="BC29" s="1">
        <f t="shared" si="69"/>
        <v>34.503680000000003</v>
      </c>
      <c r="BD29" s="2">
        <f t="shared" si="70"/>
        <v>5.7650379822738591</v>
      </c>
      <c r="BE29" s="7">
        <f t="shared" si="71"/>
        <v>-181.97012990705699</v>
      </c>
      <c r="BF29" s="1">
        <f t="shared" si="72"/>
        <v>10.480639999999999</v>
      </c>
      <c r="BG29" s="2">
        <f t="shared" si="73"/>
        <v>1.751154082718771</v>
      </c>
      <c r="BH29" s="2">
        <f t="shared" si="74"/>
        <v>-55.274208292686893</v>
      </c>
      <c r="BI29" s="2">
        <f t="shared" si="74"/>
        <v>0</v>
      </c>
      <c r="BJ29" s="7">
        <f t="shared" si="74"/>
        <v>0</v>
      </c>
      <c r="BK29" s="1">
        <f t="shared" si="75"/>
        <v>44.984320000000004</v>
      </c>
      <c r="BL29" s="2">
        <f t="shared" si="75"/>
        <v>7.5161920649926302</v>
      </c>
      <c r="BM29" s="2">
        <f t="shared" si="76"/>
        <v>237.24433819974388</v>
      </c>
      <c r="BN29" s="2">
        <f t="shared" si="77"/>
        <v>0</v>
      </c>
      <c r="BO29" s="7">
        <f t="shared" si="78"/>
        <v>0</v>
      </c>
      <c r="BP29" s="2"/>
      <c r="BQ29" s="1">
        <f t="shared" si="0"/>
        <v>44.984319999999997</v>
      </c>
      <c r="BR29" s="4">
        <v>0</v>
      </c>
      <c r="BS29" s="2">
        <f t="shared" si="2"/>
        <v>44.984319999999997</v>
      </c>
      <c r="BT29" s="2">
        <f t="shared" si="23"/>
        <v>88.637307478916199</v>
      </c>
      <c r="BU29" s="21">
        <f t="shared" si="3"/>
        <v>1.9704045204843867</v>
      </c>
      <c r="BV29" s="21">
        <f t="shared" si="4"/>
        <v>59.691319999999997</v>
      </c>
      <c r="BW29" s="21">
        <f t="shared" si="5"/>
        <v>168.10561565880982</v>
      </c>
      <c r="BX29" s="21">
        <f t="shared" si="6"/>
        <v>2.8162489229390442</v>
      </c>
      <c r="BY29" s="1">
        <f t="shared" si="24"/>
        <v>62.300928000000013</v>
      </c>
      <c r="BZ29" s="4">
        <v>0</v>
      </c>
      <c r="CA29" s="2">
        <f t="shared" si="8"/>
        <v>62.300928000000013</v>
      </c>
      <c r="CB29" s="2">
        <f t="shared" si="25"/>
        <v>88.637307478916199</v>
      </c>
      <c r="CC29" s="21">
        <f t="shared" si="9"/>
        <v>1.4227285262735763</v>
      </c>
      <c r="CD29" s="2">
        <f t="shared" si="26"/>
        <v>82.669353000000015</v>
      </c>
      <c r="CE29" s="2">
        <f t="shared" si="10"/>
        <v>168.10561565880982</v>
      </c>
      <c r="CF29" s="21">
        <f t="shared" si="11"/>
        <v>2.0334695937297318</v>
      </c>
      <c r="CG29" s="15"/>
      <c r="CH29" s="21">
        <f t="shared" si="12"/>
        <v>2.0334695937297318</v>
      </c>
    </row>
    <row r="30" spans="1:86" x14ac:dyDescent="0.25">
      <c r="A30" t="str">
        <f t="shared" si="16"/>
        <v>Appui</v>
      </c>
      <c r="B30" t="b">
        <f t="shared" si="17"/>
        <v>0</v>
      </c>
      <c r="C30">
        <f t="shared" si="22"/>
        <v>3</v>
      </c>
      <c r="D30" s="5" t="s">
        <v>111</v>
      </c>
      <c r="E30" t="s">
        <v>49</v>
      </c>
      <c r="F30" s="5">
        <v>25</v>
      </c>
      <c r="G30" t="s">
        <v>46</v>
      </c>
      <c r="H30">
        <v>500</v>
      </c>
      <c r="I30">
        <v>220000</v>
      </c>
      <c r="J30">
        <v>1576</v>
      </c>
      <c r="K30" s="10">
        <v>1870</v>
      </c>
      <c r="L30" s="12">
        <v>1</v>
      </c>
      <c r="M30" s="5">
        <v>0.23499999999999999</v>
      </c>
      <c r="N30" s="10">
        <v>2</v>
      </c>
      <c r="O30" s="5">
        <v>1.0059999999999999E-3</v>
      </c>
      <c r="P30">
        <v>5.5E-2</v>
      </c>
      <c r="Q30" s="10">
        <v>1</v>
      </c>
      <c r="R30" s="8">
        <v>0</v>
      </c>
      <c r="S30">
        <v>0</v>
      </c>
      <c r="T30">
        <v>1</v>
      </c>
      <c r="U30" s="9">
        <v>0</v>
      </c>
      <c r="V30">
        <v>0</v>
      </c>
      <c r="W30" s="10">
        <v>0</v>
      </c>
      <c r="X30" s="5">
        <v>22.561</v>
      </c>
      <c r="Y30">
        <v>6.8529999999999998</v>
      </c>
      <c r="Z30" s="4">
        <v>0</v>
      </c>
      <c r="AA30" s="2">
        <v>22.561</v>
      </c>
      <c r="AB30" s="2">
        <v>6.8529999999999998</v>
      </c>
      <c r="AC30" s="13">
        <v>0</v>
      </c>
      <c r="AD30" s="2">
        <v>22.561</v>
      </c>
      <c r="AE30" s="2">
        <v>6.8529999999999998</v>
      </c>
      <c r="AF30" s="2">
        <v>40.736849999999997</v>
      </c>
      <c r="AG30" s="2"/>
      <c r="AH30" s="7">
        <v>29.414000000000001</v>
      </c>
      <c r="AI30" s="2">
        <v>22.561</v>
      </c>
      <c r="AJ30" s="2">
        <v>6.8529999999999998</v>
      </c>
      <c r="AK30" s="2">
        <v>4.3107459787968319</v>
      </c>
      <c r="AL30" s="2">
        <v>1.309407481614056</v>
      </c>
      <c r="AM30" s="2">
        <v>-132.23920436145201</v>
      </c>
      <c r="AN30" s="2">
        <v>-40.168222485219196</v>
      </c>
      <c r="AO30" s="2">
        <v>0</v>
      </c>
      <c r="AP30" s="2">
        <v>0</v>
      </c>
      <c r="AQ30" s="2">
        <v>40.736849999999997</v>
      </c>
      <c r="AR30" s="2">
        <v>79.468308179893626</v>
      </c>
      <c r="AS30" s="2">
        <v>79.468308179893626</v>
      </c>
      <c r="AT30" s="2">
        <v>5.6501036677748813</v>
      </c>
      <c r="AU30" s="2">
        <v>-244.39484593196559</v>
      </c>
      <c r="AV30" s="2">
        <v>0</v>
      </c>
      <c r="AW30" s="2">
        <v>0</v>
      </c>
      <c r="AX30" s="1">
        <v>29.414000000000001</v>
      </c>
      <c r="AY30" s="2">
        <v>4.1495945087641886</v>
      </c>
      <c r="AZ30" s="2">
        <v>-176.28836268259249</v>
      </c>
      <c r="BA30" s="2">
        <v>79.468308179893626</v>
      </c>
      <c r="BC30" s="1">
        <f t="shared" si="69"/>
        <v>22.561</v>
      </c>
      <c r="BD30" s="2">
        <f t="shared" si="70"/>
        <v>4.3107459787968319</v>
      </c>
      <c r="BE30" s="7">
        <f t="shared" si="71"/>
        <v>-132.23920436145201</v>
      </c>
      <c r="BF30" s="1">
        <f t="shared" si="72"/>
        <v>6.8529999999999998</v>
      </c>
      <c r="BG30" s="2">
        <f t="shared" si="73"/>
        <v>1.309407481614056</v>
      </c>
      <c r="BH30" s="2">
        <f t="shared" si="74"/>
        <v>-40.168222485219196</v>
      </c>
      <c r="BI30" s="2">
        <f t="shared" si="74"/>
        <v>0</v>
      </c>
      <c r="BJ30" s="7">
        <f t="shared" si="74"/>
        <v>0</v>
      </c>
      <c r="BK30" s="1">
        <f t="shared" si="75"/>
        <v>29.414000000000001</v>
      </c>
      <c r="BL30" s="2">
        <f t="shared" si="75"/>
        <v>5.6201534604108883</v>
      </c>
      <c r="BM30" s="2">
        <f t="shared" si="76"/>
        <v>172.4074268466712</v>
      </c>
      <c r="BN30" s="2">
        <f t="shared" si="77"/>
        <v>0</v>
      </c>
      <c r="BO30" s="7">
        <f t="shared" si="78"/>
        <v>0</v>
      </c>
      <c r="BP30" s="2"/>
      <c r="BQ30" s="1">
        <f t="shared" si="0"/>
        <v>29.414000000000001</v>
      </c>
      <c r="BR30" s="4">
        <f t="shared" ref="BR30" si="88">IF(ISNUMBER(SEARCH("Appui",E30)),0,"0")</f>
        <v>0</v>
      </c>
      <c r="BS30" s="2">
        <f t="shared" si="2"/>
        <v>29.414000000000001</v>
      </c>
      <c r="BT30" s="2">
        <f t="shared" si="23"/>
        <v>79.468308179893626</v>
      </c>
      <c r="BU30" s="21">
        <f t="shared" si="3"/>
        <v>2.7017171476131647</v>
      </c>
      <c r="BV30" s="21" t="str">
        <f t="shared" si="4"/>
        <v/>
      </c>
      <c r="BW30" s="21" t="str">
        <f t="shared" si="5"/>
        <v/>
      </c>
      <c r="BX30" s="21" t="str">
        <f t="shared" si="6"/>
        <v/>
      </c>
      <c r="BY30" s="1">
        <f t="shared" si="24"/>
        <v>40.736849999999997</v>
      </c>
      <c r="BZ30" s="4" t="str">
        <f t="shared" ref="BZ30" si="89">IF(ISNUMBER(SEARCH("Appui",M30)),0,"0")</f>
        <v>0</v>
      </c>
      <c r="CA30" s="2">
        <f t="shared" si="8"/>
        <v>40.736849999999997</v>
      </c>
      <c r="CB30" s="2">
        <f t="shared" si="25"/>
        <v>79.468308179893626</v>
      </c>
      <c r="CC30" s="21">
        <f t="shared" si="9"/>
        <v>1.9507720449640469</v>
      </c>
      <c r="CD30" s="2" t="str">
        <f t="shared" si="26"/>
        <v/>
      </c>
      <c r="CE30" s="2" t="str">
        <f t="shared" si="10"/>
        <v/>
      </c>
      <c r="CF30" s="21" t="str">
        <f t="shared" si="11"/>
        <v/>
      </c>
      <c r="CG30" s="10" t="str">
        <f t="shared" ref="CG30" si="90">IF(C28&lt;C30,"Rive",IF(C32&gt;C30,"Rive","Inter"))</f>
        <v>Inter</v>
      </c>
      <c r="CH30" s="21" t="str">
        <f t="shared" si="12"/>
        <v/>
      </c>
    </row>
    <row r="31" spans="1:86" x14ac:dyDescent="0.25">
      <c r="A31" t="str">
        <f t="shared" si="16"/>
        <v>Travée</v>
      </c>
      <c r="B31" t="b">
        <f t="shared" si="17"/>
        <v>0</v>
      </c>
      <c r="C31">
        <f t="shared" si="22"/>
        <v>3</v>
      </c>
      <c r="D31" s="5" t="s">
        <v>111</v>
      </c>
      <c r="E31" t="s">
        <v>51</v>
      </c>
      <c r="F31" s="5">
        <v>25</v>
      </c>
      <c r="G31" t="s">
        <v>46</v>
      </c>
      <c r="H31">
        <v>500</v>
      </c>
      <c r="I31">
        <v>220000</v>
      </c>
      <c r="J31">
        <v>1576</v>
      </c>
      <c r="K31" s="10">
        <v>1870</v>
      </c>
      <c r="L31" s="12">
        <v>1</v>
      </c>
      <c r="M31" s="5">
        <v>0.23499999999999999</v>
      </c>
      <c r="N31" s="10">
        <v>2</v>
      </c>
      <c r="O31" s="5">
        <v>7.7000000000000007E-4</v>
      </c>
      <c r="P31">
        <v>0.04</v>
      </c>
      <c r="Q31" s="10">
        <v>1</v>
      </c>
      <c r="R31" s="8">
        <v>0</v>
      </c>
      <c r="S31">
        <v>0</v>
      </c>
      <c r="T31">
        <v>1</v>
      </c>
      <c r="U31" s="9">
        <v>2.9099999999999999E-5</v>
      </c>
      <c r="V31">
        <v>0</v>
      </c>
      <c r="W31" s="10">
        <v>5</v>
      </c>
      <c r="X31" s="5">
        <v>0.75007999999999997</v>
      </c>
      <c r="Y31">
        <v>0.22783999999999999</v>
      </c>
      <c r="Z31" s="4">
        <v>0</v>
      </c>
      <c r="AA31" s="2">
        <v>0.75007999999999997</v>
      </c>
      <c r="AB31" s="2">
        <v>0.22783999999999999</v>
      </c>
      <c r="AC31" s="13">
        <v>0</v>
      </c>
      <c r="AD31" s="2">
        <v>0.75007999999999997</v>
      </c>
      <c r="AE31" s="2">
        <v>0.22783999999999999</v>
      </c>
      <c r="AF31" s="2">
        <v>1.354368</v>
      </c>
      <c r="AG31" s="2"/>
      <c r="AH31" s="7">
        <v>0.9779199999999999</v>
      </c>
      <c r="AI31" s="2">
        <v>0.75007999999999997</v>
      </c>
      <c r="AJ31" s="2">
        <v>0.22783999999999999</v>
      </c>
      <c r="AK31" s="2">
        <v>0.1419748972447499</v>
      </c>
      <c r="AL31" s="2">
        <v>3.7305591238366367E-2</v>
      </c>
      <c r="AM31" s="2">
        <v>-5.2549760921056441</v>
      </c>
      <c r="AN31" s="2">
        <v>-1.2178414790902059</v>
      </c>
      <c r="AO31" s="2">
        <v>0</v>
      </c>
      <c r="AP31" s="2">
        <v>-1.667907243847383</v>
      </c>
      <c r="AQ31" s="2">
        <v>1.354368</v>
      </c>
      <c r="AR31" s="2">
        <v>67.917174797849086</v>
      </c>
      <c r="AS31" s="2">
        <v>122.3050291610995</v>
      </c>
      <c r="AT31" s="2">
        <v>0.1695911330434878</v>
      </c>
      <c r="AU31" s="2">
        <v>-7.3651111499380963</v>
      </c>
      <c r="AV31" s="2">
        <v>0</v>
      </c>
      <c r="AW31" s="2">
        <v>-10.22386823170628</v>
      </c>
      <c r="AX31" s="1">
        <v>0.9779199999999999</v>
      </c>
      <c r="AY31" s="2">
        <v>0.14092864450500811</v>
      </c>
      <c r="AZ31" s="2">
        <v>-6.9693459665788327</v>
      </c>
      <c r="BA31" s="2">
        <v>67.917174797849086</v>
      </c>
      <c r="BC31" s="1">
        <f t="shared" si="69"/>
        <v>0.75007999999999997</v>
      </c>
      <c r="BD31" s="2">
        <f t="shared" si="70"/>
        <v>0.1419748972447499</v>
      </c>
      <c r="BE31" s="7">
        <f t="shared" si="71"/>
        <v>-5.2549760921056441</v>
      </c>
      <c r="BF31" s="1">
        <f t="shared" si="72"/>
        <v>0.22783999999999999</v>
      </c>
      <c r="BG31" s="2">
        <f t="shared" si="73"/>
        <v>3.7305591238366367E-2</v>
      </c>
      <c r="BH31" s="2">
        <f t="shared" si="74"/>
        <v>-1.2178414790902059</v>
      </c>
      <c r="BI31" s="2">
        <f t="shared" si="74"/>
        <v>0</v>
      </c>
      <c r="BJ31" s="7">
        <f t="shared" si="74"/>
        <v>-1.667907243847383</v>
      </c>
      <c r="BK31" s="1">
        <f t="shared" si="75"/>
        <v>0.9779199999999999</v>
      </c>
      <c r="BL31" s="2">
        <f t="shared" si="75"/>
        <v>0.17928048848311628</v>
      </c>
      <c r="BM31" s="2">
        <f t="shared" si="76"/>
        <v>6.4728175711958498</v>
      </c>
      <c r="BN31" s="2">
        <f t="shared" si="77"/>
        <v>0</v>
      </c>
      <c r="BO31" s="7">
        <f t="shared" si="78"/>
        <v>-1.667907243847383</v>
      </c>
      <c r="BP31" s="2"/>
      <c r="BQ31" s="1">
        <f t="shared" si="0"/>
        <v>0.9779199999999999</v>
      </c>
      <c r="BR31" s="4">
        <v>0</v>
      </c>
      <c r="BS31" s="2">
        <f t="shared" si="2"/>
        <v>0.9779199999999999</v>
      </c>
      <c r="BT31" s="2">
        <f t="shared" si="23"/>
        <v>67.917174797849086</v>
      </c>
      <c r="BU31" s="21">
        <f t="shared" si="3"/>
        <v>69.450645040339793</v>
      </c>
      <c r="BV31" s="21">
        <f t="shared" si="4"/>
        <v>37.115119999999997</v>
      </c>
      <c r="BW31" s="21">
        <f t="shared" si="5"/>
        <v>147.53028098906282</v>
      </c>
      <c r="BX31" s="21">
        <f t="shared" si="6"/>
        <v>3.9749374645444453</v>
      </c>
      <c r="BY31" s="1">
        <f t="shared" si="24"/>
        <v>1.354368</v>
      </c>
      <c r="BZ31" s="4">
        <v>0</v>
      </c>
      <c r="CA31" s="2">
        <f t="shared" si="8"/>
        <v>1.354368</v>
      </c>
      <c r="CB31" s="2">
        <f t="shared" si="25"/>
        <v>122.3050291610995</v>
      </c>
      <c r="CC31" s="21">
        <f t="shared" si="9"/>
        <v>90.304133855126153</v>
      </c>
      <c r="CD31" s="2">
        <f t="shared" si="26"/>
        <v>51.402498000000001</v>
      </c>
      <c r="CE31" s="2">
        <f t="shared" si="10"/>
        <v>201.91813535231321</v>
      </c>
      <c r="CF31" s="21">
        <f t="shared" si="11"/>
        <v>3.9281774856994929</v>
      </c>
      <c r="CG31" s="15"/>
      <c r="CH31" s="21">
        <f t="shared" si="12"/>
        <v>2.87009944514881</v>
      </c>
    </row>
    <row r="32" spans="1:86" x14ac:dyDescent="0.25">
      <c r="A32" t="str">
        <f t="shared" si="16"/>
        <v>Appui</v>
      </c>
      <c r="B32" t="b">
        <f t="shared" si="17"/>
        <v>0</v>
      </c>
      <c r="C32">
        <f t="shared" si="22"/>
        <v>3</v>
      </c>
      <c r="D32" s="5" t="s">
        <v>111</v>
      </c>
      <c r="E32" t="s">
        <v>52</v>
      </c>
      <c r="F32" s="5">
        <v>25</v>
      </c>
      <c r="G32" t="s">
        <v>46</v>
      </c>
      <c r="H32">
        <v>500</v>
      </c>
      <c r="I32">
        <v>220000</v>
      </c>
      <c r="J32">
        <v>1576</v>
      </c>
      <c r="K32" s="10">
        <v>1870</v>
      </c>
      <c r="L32" s="12">
        <v>1</v>
      </c>
      <c r="M32" s="5">
        <v>0.23499999999999999</v>
      </c>
      <c r="N32" s="10">
        <v>2</v>
      </c>
      <c r="O32" s="5">
        <v>1.01E-3</v>
      </c>
      <c r="P32">
        <v>5.5E-2</v>
      </c>
      <c r="Q32" s="10">
        <v>1</v>
      </c>
      <c r="R32" s="8">
        <v>0</v>
      </c>
      <c r="S32">
        <v>0</v>
      </c>
      <c r="T32">
        <v>1</v>
      </c>
      <c r="U32" s="9">
        <v>0</v>
      </c>
      <c r="V32">
        <v>0</v>
      </c>
      <c r="W32" s="10">
        <v>0</v>
      </c>
      <c r="X32" s="5">
        <v>32.874600000000001</v>
      </c>
      <c r="Y32">
        <v>9.9857999999999993</v>
      </c>
      <c r="Z32" s="4">
        <v>0</v>
      </c>
      <c r="AA32" s="2">
        <v>32.874600000000001</v>
      </c>
      <c r="AB32" s="2">
        <v>9.9857999999999993</v>
      </c>
      <c r="AC32" s="13">
        <v>0</v>
      </c>
      <c r="AD32" s="2">
        <v>32.874600000000001</v>
      </c>
      <c r="AE32" s="2">
        <v>9.9857999999999993</v>
      </c>
      <c r="AF32" s="2">
        <v>59.359410000000011</v>
      </c>
      <c r="AG32" s="2"/>
      <c r="AH32" s="7">
        <v>42.860399999999998</v>
      </c>
      <c r="AI32" s="2">
        <v>32.874600000000001</v>
      </c>
      <c r="AJ32" s="2">
        <v>9.9857999999999993</v>
      </c>
      <c r="AK32" s="2">
        <v>6.2710618753761729</v>
      </c>
      <c r="AL32" s="2">
        <v>1.9048617983224549</v>
      </c>
      <c r="AM32" s="2">
        <v>-191.94687132294581</v>
      </c>
      <c r="AN32" s="2">
        <v>-58.304681050314578</v>
      </c>
      <c r="AO32" s="2">
        <v>0</v>
      </c>
      <c r="AP32" s="2">
        <v>0</v>
      </c>
      <c r="AQ32" s="2">
        <v>59.359410000000011</v>
      </c>
      <c r="AR32" s="2">
        <v>79.757904202533823</v>
      </c>
      <c r="AS32" s="2">
        <v>79.757904202533823</v>
      </c>
      <c r="AT32" s="2">
        <v>7.970472904804268</v>
      </c>
      <c r="AU32" s="2">
        <v>-355.47258994740639</v>
      </c>
      <c r="AV32" s="2">
        <v>0</v>
      </c>
      <c r="AW32" s="2">
        <v>0</v>
      </c>
      <c r="AX32" s="1">
        <v>42.860399999999998</v>
      </c>
      <c r="AY32" s="2">
        <v>5.9168654655681872</v>
      </c>
      <c r="AZ32" s="2">
        <v>-256.1958614403747</v>
      </c>
      <c r="BA32" s="2">
        <v>79.757904202533823</v>
      </c>
      <c r="BC32" s="1">
        <f t="shared" si="69"/>
        <v>32.874600000000001</v>
      </c>
      <c r="BD32" s="2">
        <f t="shared" si="70"/>
        <v>6.2710618753761729</v>
      </c>
      <c r="BE32" s="7">
        <f t="shared" si="71"/>
        <v>-191.94687132294581</v>
      </c>
      <c r="BF32" s="1">
        <f t="shared" si="72"/>
        <v>9.9857999999999993</v>
      </c>
      <c r="BG32" s="2">
        <f t="shared" si="73"/>
        <v>1.9048617983224549</v>
      </c>
      <c r="BH32" s="2">
        <f t="shared" si="74"/>
        <v>-58.304681050314578</v>
      </c>
      <c r="BI32" s="2">
        <f t="shared" si="74"/>
        <v>0</v>
      </c>
      <c r="BJ32" s="7">
        <f t="shared" si="74"/>
        <v>0</v>
      </c>
      <c r="BK32" s="1">
        <f t="shared" si="75"/>
        <v>42.860399999999998</v>
      </c>
      <c r="BL32" s="2">
        <f t="shared" si="75"/>
        <v>8.1759236736986285</v>
      </c>
      <c r="BM32" s="2">
        <f t="shared" si="76"/>
        <v>250.25155237326038</v>
      </c>
      <c r="BN32" s="2">
        <f t="shared" si="77"/>
        <v>0</v>
      </c>
      <c r="BO32" s="7">
        <f t="shared" si="78"/>
        <v>0</v>
      </c>
      <c r="BP32" s="2"/>
      <c r="BQ32" s="1">
        <f t="shared" si="0"/>
        <v>42.860399999999998</v>
      </c>
      <c r="BR32" s="4">
        <f t="shared" ref="BR32" si="91">IF(ISNUMBER(SEARCH("Appui",E32)),0,"0")</f>
        <v>0</v>
      </c>
      <c r="BS32" s="2">
        <f t="shared" si="2"/>
        <v>42.860399999999998</v>
      </c>
      <c r="BT32" s="2">
        <f t="shared" si="23"/>
        <v>79.757904202533823</v>
      </c>
      <c r="BU32" s="21">
        <f t="shared" si="3"/>
        <v>1.8608763381240918</v>
      </c>
      <c r="BV32" s="21" t="str">
        <f t="shared" si="4"/>
        <v/>
      </c>
      <c r="BW32" s="21" t="str">
        <f t="shared" si="5"/>
        <v/>
      </c>
      <c r="BX32" s="21" t="str">
        <f t="shared" si="6"/>
        <v/>
      </c>
      <c r="BY32" s="1">
        <f t="shared" si="24"/>
        <v>59.359410000000011</v>
      </c>
      <c r="BZ32" s="4" t="str">
        <f t="shared" ref="BZ32" si="92">IF(ISNUMBER(SEARCH("Appui",M32)),0,"0")</f>
        <v>0</v>
      </c>
      <c r="CA32" s="2">
        <f t="shared" si="8"/>
        <v>59.359410000000011</v>
      </c>
      <c r="CB32" s="2">
        <f t="shared" si="25"/>
        <v>79.757904202533823</v>
      </c>
      <c r="CC32" s="21">
        <f t="shared" si="9"/>
        <v>1.3436438165833153</v>
      </c>
      <c r="CD32" s="2" t="str">
        <f t="shared" si="26"/>
        <v/>
      </c>
      <c r="CE32" s="2" t="str">
        <f t="shared" si="10"/>
        <v/>
      </c>
      <c r="CF32" s="21" t="str">
        <f t="shared" si="11"/>
        <v/>
      </c>
      <c r="CG32" s="10" t="str">
        <f t="shared" ref="CG32" si="93">IF(C30&lt;C32,"Rive",IF(C34&gt;C32,"Rive","Inter"))</f>
        <v>Inter</v>
      </c>
      <c r="CH32" s="21" t="str">
        <f t="shared" si="12"/>
        <v/>
      </c>
    </row>
    <row r="33" spans="1:86" x14ac:dyDescent="0.25">
      <c r="A33" t="str">
        <f t="shared" si="16"/>
        <v>Travée</v>
      </c>
      <c r="B33" t="b">
        <f t="shared" si="17"/>
        <v>0</v>
      </c>
      <c r="C33">
        <f>IF(D33=D31,C31,C31+1)</f>
        <v>3</v>
      </c>
      <c r="D33" s="5" t="s">
        <v>111</v>
      </c>
      <c r="E33" t="s">
        <v>53</v>
      </c>
      <c r="F33" s="5">
        <v>25</v>
      </c>
      <c r="G33" t="s">
        <v>46</v>
      </c>
      <c r="H33">
        <v>500</v>
      </c>
      <c r="I33">
        <v>220000</v>
      </c>
      <c r="J33">
        <v>1576</v>
      </c>
      <c r="K33" s="10">
        <v>1870</v>
      </c>
      <c r="L33" s="12">
        <v>1</v>
      </c>
      <c r="M33" s="5">
        <v>0.23499999999999999</v>
      </c>
      <c r="N33" s="10">
        <v>2</v>
      </c>
      <c r="O33" s="5">
        <v>5.1400000000000003E-4</v>
      </c>
      <c r="P33">
        <v>0.04</v>
      </c>
      <c r="Q33" s="10">
        <v>1</v>
      </c>
      <c r="R33" s="8">
        <v>0</v>
      </c>
      <c r="S33">
        <v>0</v>
      </c>
      <c r="T33">
        <v>1</v>
      </c>
      <c r="U33" s="9">
        <v>2.9099999999999999E-5</v>
      </c>
      <c r="V33">
        <v>0</v>
      </c>
      <c r="W33" s="10">
        <v>5</v>
      </c>
      <c r="X33" s="5">
        <v>42.004480000000001</v>
      </c>
      <c r="Y33">
        <v>12.759040000000001</v>
      </c>
      <c r="Z33" s="4">
        <v>0</v>
      </c>
      <c r="AA33" s="2">
        <v>42.004480000000001</v>
      </c>
      <c r="AB33" s="2">
        <v>12.759040000000001</v>
      </c>
      <c r="AC33" s="13">
        <v>0</v>
      </c>
      <c r="AD33" s="2">
        <v>42.004480000000001</v>
      </c>
      <c r="AE33" s="2">
        <v>12.759040000000001</v>
      </c>
      <c r="AF33" s="2">
        <v>75.844608000000008</v>
      </c>
      <c r="AG33" s="2"/>
      <c r="AH33" s="7">
        <v>54.76352</v>
      </c>
      <c r="AI33" s="2">
        <v>42.004480000000001</v>
      </c>
      <c r="AJ33" s="2">
        <v>12.759040000000001</v>
      </c>
      <c r="AK33" s="2">
        <v>9.5124676368317633</v>
      </c>
      <c r="AL33" s="2">
        <v>2.3629558756176769</v>
      </c>
      <c r="AM33" s="2">
        <v>-437.08363549067172</v>
      </c>
      <c r="AN33" s="2">
        <v>-90.967293903331367</v>
      </c>
      <c r="AO33" s="2">
        <v>0</v>
      </c>
      <c r="AP33" s="2">
        <v>-123.9778473578255</v>
      </c>
      <c r="AQ33" s="2">
        <v>75.844608000000008</v>
      </c>
      <c r="AR33" s="2">
        <v>45.722759787208261</v>
      </c>
      <c r="AS33" s="2">
        <v>102.47555461092141</v>
      </c>
      <c r="AT33" s="2">
        <v>10.62060782253762</v>
      </c>
      <c r="AU33" s="2">
        <v>-436.03158164583613</v>
      </c>
      <c r="AV33" s="2">
        <v>0</v>
      </c>
      <c r="AW33" s="2">
        <v>-1067.5754597402711</v>
      </c>
      <c r="AX33" s="1">
        <v>54.76352</v>
      </c>
      <c r="AY33" s="2">
        <v>0</v>
      </c>
      <c r="AZ33" s="2">
        <v>0</v>
      </c>
      <c r="BA33" s="2">
        <v>45.722759787208261</v>
      </c>
      <c r="BC33" s="1">
        <f t="shared" si="69"/>
        <v>42.004480000000001</v>
      </c>
      <c r="BD33" s="2">
        <f t="shared" si="70"/>
        <v>9.5124676368317633</v>
      </c>
      <c r="BE33" s="7">
        <f t="shared" si="71"/>
        <v>-437.08363549067172</v>
      </c>
      <c r="BF33" s="1">
        <f t="shared" si="72"/>
        <v>12.759040000000001</v>
      </c>
      <c r="BG33" s="2">
        <f t="shared" si="73"/>
        <v>2.3629558756176769</v>
      </c>
      <c r="BH33" s="2">
        <f t="shared" si="74"/>
        <v>-90.967293903331367</v>
      </c>
      <c r="BI33" s="2">
        <f t="shared" si="74"/>
        <v>0</v>
      </c>
      <c r="BJ33" s="7">
        <f t="shared" si="74"/>
        <v>-123.9778473578255</v>
      </c>
      <c r="BK33" s="1">
        <f t="shared" si="75"/>
        <v>54.76352</v>
      </c>
      <c r="BL33" s="2">
        <f t="shared" si="75"/>
        <v>11.875423512449441</v>
      </c>
      <c r="BM33" s="2">
        <f t="shared" si="76"/>
        <v>528.05092939400311</v>
      </c>
      <c r="BN33" s="2">
        <f t="shared" si="77"/>
        <v>0</v>
      </c>
      <c r="BO33" s="7">
        <f t="shared" si="78"/>
        <v>-123.9778473578255</v>
      </c>
      <c r="BP33" s="2"/>
      <c r="BQ33" s="1">
        <f t="shared" si="0"/>
        <v>54.76352</v>
      </c>
      <c r="BR33" s="4">
        <v>0</v>
      </c>
      <c r="BS33" s="2">
        <f t="shared" si="2"/>
        <v>54.76352</v>
      </c>
      <c r="BT33" s="2">
        <f t="shared" si="23"/>
        <v>45.722759787208261</v>
      </c>
      <c r="BU33" s="21">
        <f t="shared" si="3"/>
        <v>0.8349127263406052</v>
      </c>
      <c r="BV33" s="21">
        <f t="shared" si="4"/>
        <v>109.38952</v>
      </c>
      <c r="BW33" s="21">
        <f t="shared" si="5"/>
        <v>125.48066398974208</v>
      </c>
      <c r="BX33" s="21">
        <f t="shared" si="6"/>
        <v>1.1470995026739497</v>
      </c>
      <c r="BY33" s="1">
        <f t="shared" si="24"/>
        <v>75.844608000000008</v>
      </c>
      <c r="BZ33" s="4">
        <v>0</v>
      </c>
      <c r="CA33" s="2">
        <f t="shared" si="8"/>
        <v>75.844608000000008</v>
      </c>
      <c r="CB33" s="2">
        <f t="shared" si="25"/>
        <v>102.47555461092141</v>
      </c>
      <c r="CC33" s="21">
        <f t="shared" si="9"/>
        <v>1.3511251137446896</v>
      </c>
      <c r="CD33" s="2">
        <f t="shared" si="26"/>
        <v>151.49875800000001</v>
      </c>
      <c r="CE33" s="2">
        <f t="shared" si="10"/>
        <v>182.23345881345523</v>
      </c>
      <c r="CF33" s="21">
        <f t="shared" si="11"/>
        <v>1.2028709754403084</v>
      </c>
      <c r="CG33" s="15"/>
      <c r="CH33" s="21">
        <f t="shared" si="12"/>
        <v>0.82826199796134348</v>
      </c>
    </row>
    <row r="34" spans="1:86" x14ac:dyDescent="0.25">
      <c r="A34" t="str">
        <f t="shared" si="16"/>
        <v>Appui</v>
      </c>
      <c r="B34" t="b">
        <f t="shared" si="17"/>
        <v>0</v>
      </c>
      <c r="C34">
        <f>IF(D34=D32,C32,C32+1)</f>
        <v>3</v>
      </c>
      <c r="D34" s="5" t="s">
        <v>111</v>
      </c>
      <c r="E34" t="s">
        <v>54</v>
      </c>
      <c r="F34" s="5">
        <v>25</v>
      </c>
      <c r="G34" t="s">
        <v>46</v>
      </c>
      <c r="H34">
        <v>500</v>
      </c>
      <c r="I34">
        <v>220000</v>
      </c>
      <c r="J34">
        <v>1576</v>
      </c>
      <c r="K34" s="10">
        <v>1870</v>
      </c>
      <c r="L34" s="12">
        <v>1</v>
      </c>
      <c r="M34" s="5">
        <v>0.23499999999999999</v>
      </c>
      <c r="N34" s="10">
        <v>2</v>
      </c>
      <c r="O34" s="5">
        <v>1.01E-3</v>
      </c>
      <c r="P34">
        <v>5.5E-2</v>
      </c>
      <c r="Q34" s="10">
        <v>1</v>
      </c>
      <c r="R34" s="8">
        <v>0</v>
      </c>
      <c r="S34">
        <v>0</v>
      </c>
      <c r="T34">
        <v>1</v>
      </c>
      <c r="U34" s="9">
        <v>0</v>
      </c>
      <c r="V34">
        <v>0</v>
      </c>
      <c r="W34" s="10">
        <v>0</v>
      </c>
      <c r="X34" s="5">
        <v>50.923400000000001</v>
      </c>
      <c r="Y34">
        <v>15.4682</v>
      </c>
      <c r="Z34" s="4">
        <v>0</v>
      </c>
      <c r="AA34" s="2">
        <v>50.923400000000001</v>
      </c>
      <c r="AB34" s="2">
        <v>15.4682</v>
      </c>
      <c r="AC34" s="13">
        <v>0</v>
      </c>
      <c r="AD34" s="2">
        <v>50.923400000000001</v>
      </c>
      <c r="AE34" s="2">
        <v>15.4682</v>
      </c>
      <c r="AF34" s="2">
        <v>91.948890000000006</v>
      </c>
      <c r="AG34" s="2"/>
      <c r="AH34" s="7">
        <v>66.391599999999997</v>
      </c>
      <c r="AI34" s="2">
        <v>50.923400000000001</v>
      </c>
      <c r="AJ34" s="2">
        <v>15.4682</v>
      </c>
      <c r="AK34" s="2">
        <v>9.7139978069552395</v>
      </c>
      <c r="AL34" s="2">
        <v>2.95066827583282</v>
      </c>
      <c r="AM34" s="2">
        <v>-297.32946734338663</v>
      </c>
      <c r="AN34" s="2">
        <v>-90.315094175977507</v>
      </c>
      <c r="AO34" s="2">
        <v>0</v>
      </c>
      <c r="AP34" s="2">
        <v>0</v>
      </c>
      <c r="AQ34" s="2">
        <v>91.948890000000006</v>
      </c>
      <c r="AR34" s="2">
        <v>79.757904202533823</v>
      </c>
      <c r="AS34" s="2">
        <v>79.757904202533823</v>
      </c>
      <c r="AT34" s="2">
        <v>0</v>
      </c>
      <c r="AU34" s="2">
        <v>0</v>
      </c>
      <c r="AV34" s="2">
        <v>0</v>
      </c>
      <c r="AW34" s="2">
        <v>0</v>
      </c>
      <c r="AX34" s="1">
        <v>66.391599999999997</v>
      </c>
      <c r="AY34" s="2">
        <v>8.8014539447512874</v>
      </c>
      <c r="AZ34" s="2">
        <v>-397.93759451472681</v>
      </c>
      <c r="BA34" s="2">
        <v>79.757904202533823</v>
      </c>
      <c r="BC34" s="1"/>
      <c r="BD34" s="2"/>
      <c r="BE34" s="7"/>
      <c r="BF34" s="1"/>
      <c r="BG34" s="2"/>
      <c r="BH34" s="2"/>
      <c r="BI34" s="2"/>
      <c r="BJ34" s="7"/>
      <c r="BK34" s="1"/>
      <c r="BL34" s="2"/>
      <c r="BM34" s="2"/>
      <c r="BN34" s="2"/>
      <c r="BO34" s="7"/>
      <c r="BP34" s="2"/>
      <c r="BQ34" s="1">
        <f t="shared" si="0"/>
        <v>66.391599999999997</v>
      </c>
      <c r="BR34" s="4">
        <f t="shared" ref="BR34" si="94">IF(ISNUMBER(SEARCH("Appui",E34)),0,"0")</f>
        <v>0</v>
      </c>
      <c r="BS34" s="2">
        <f t="shared" si="2"/>
        <v>66.391599999999997</v>
      </c>
      <c r="BT34" s="2">
        <f t="shared" si="23"/>
        <v>79.757904202533823</v>
      </c>
      <c r="BU34" s="21">
        <f t="shared" si="3"/>
        <v>1.2013252309408695</v>
      </c>
      <c r="BV34" s="21" t="str">
        <f t="shared" si="4"/>
        <v/>
      </c>
      <c r="BW34" s="21" t="str">
        <f t="shared" si="5"/>
        <v/>
      </c>
      <c r="BX34" s="21" t="str">
        <f t="shared" si="6"/>
        <v/>
      </c>
      <c r="BY34" s="1">
        <f t="shared" si="24"/>
        <v>91.948890000000006</v>
      </c>
      <c r="BZ34" s="4" t="str">
        <f t="shared" ref="BZ34" si="95">IF(ISNUMBER(SEARCH("Appui",M34)),0,"0")</f>
        <v>0</v>
      </c>
      <c r="CA34" s="2">
        <f t="shared" si="8"/>
        <v>91.948890000000006</v>
      </c>
      <c r="CB34" s="2">
        <f t="shared" si="25"/>
        <v>79.757904202533823</v>
      </c>
      <c r="CC34" s="21">
        <f t="shared" si="9"/>
        <v>0.86741562842720366</v>
      </c>
      <c r="CD34" s="2" t="str">
        <f t="shared" si="26"/>
        <v/>
      </c>
      <c r="CE34" s="2" t="str">
        <f t="shared" si="10"/>
        <v/>
      </c>
      <c r="CF34" s="21" t="str">
        <f t="shared" si="11"/>
        <v/>
      </c>
      <c r="CG34" s="10" t="str">
        <f t="shared" ref="CG34" si="96">IF(C32&lt;C34,"Rive",IF(C36&gt;C34,"Rive","Inter"))</f>
        <v>Inter</v>
      </c>
      <c r="CH34" s="21" t="str">
        <f t="shared" si="12"/>
        <v/>
      </c>
    </row>
    <row r="35" spans="1:86" x14ac:dyDescent="0.25">
      <c r="A35" t="str">
        <f t="shared" si="16"/>
        <v>Travée</v>
      </c>
      <c r="B35" t="b">
        <f t="shared" si="17"/>
        <v>0</v>
      </c>
      <c r="C35">
        <f>IF(D35="",100000,IF(D35=D34,C34,C34+1))</f>
        <v>3</v>
      </c>
      <c r="D35" s="5" t="s">
        <v>111</v>
      </c>
      <c r="E35" t="s">
        <v>55</v>
      </c>
      <c r="F35" s="5">
        <v>25</v>
      </c>
      <c r="G35" t="s">
        <v>46</v>
      </c>
      <c r="H35">
        <v>500</v>
      </c>
      <c r="I35">
        <v>220000</v>
      </c>
      <c r="J35">
        <v>1576</v>
      </c>
      <c r="K35" s="10">
        <v>1870</v>
      </c>
      <c r="L35" s="12">
        <v>1</v>
      </c>
      <c r="M35" s="5">
        <v>0.23499999999999999</v>
      </c>
      <c r="N35" s="10">
        <v>2</v>
      </c>
      <c r="O35" s="5">
        <v>7.7000000000000007E-4</v>
      </c>
      <c r="P35">
        <v>0.04</v>
      </c>
      <c r="Q35" s="10">
        <v>1</v>
      </c>
      <c r="R35" s="8">
        <v>0</v>
      </c>
      <c r="S35">
        <v>0</v>
      </c>
      <c r="T35">
        <v>1</v>
      </c>
      <c r="U35" s="9">
        <v>0</v>
      </c>
      <c r="V35">
        <v>0</v>
      </c>
      <c r="W35" s="10">
        <v>0</v>
      </c>
      <c r="X35" s="5">
        <v>36.003839999999997</v>
      </c>
      <c r="Y35">
        <v>10.93632</v>
      </c>
      <c r="Z35" s="4">
        <v>0</v>
      </c>
      <c r="AA35" s="2">
        <v>36.003839999999997</v>
      </c>
      <c r="AB35" s="2">
        <v>10.93632</v>
      </c>
      <c r="AC35" s="13">
        <v>0</v>
      </c>
      <c r="AD35" s="2">
        <v>36.003839999999997</v>
      </c>
      <c r="AE35" s="2">
        <v>10.93632</v>
      </c>
      <c r="AF35" s="2">
        <v>65.009664000000001</v>
      </c>
      <c r="AG35" s="2"/>
      <c r="AH35" s="7">
        <v>46.940159999999992</v>
      </c>
      <c r="AI35" s="2">
        <v>36.003839999999997</v>
      </c>
      <c r="AJ35" s="2">
        <v>10.93632</v>
      </c>
      <c r="AK35" s="2">
        <v>6.8149121684597107</v>
      </c>
      <c r="AL35" s="2">
        <v>2.070058645027014</v>
      </c>
      <c r="AM35" s="2">
        <v>-252.23882555200939</v>
      </c>
      <c r="AN35" s="2">
        <v>-76.61861936562741</v>
      </c>
      <c r="AO35" s="2">
        <v>0</v>
      </c>
      <c r="AP35" s="2">
        <v>0</v>
      </c>
      <c r="AQ35" s="2">
        <v>65.009664000000001</v>
      </c>
      <c r="AR35" s="2">
        <v>67.917174797849086</v>
      </c>
      <c r="AS35" s="2">
        <v>67.917174797849086</v>
      </c>
      <c r="AT35" s="2">
        <v>16.45929728467965</v>
      </c>
      <c r="AU35" s="2">
        <v>-447.10752350124079</v>
      </c>
      <c r="AV35" s="2">
        <v>0</v>
      </c>
      <c r="AW35" s="2">
        <v>0</v>
      </c>
      <c r="AX35" s="1">
        <v>46.940159999999992</v>
      </c>
      <c r="AY35" s="2">
        <v>6.3222623150074639</v>
      </c>
      <c r="AZ35" s="2">
        <v>-335.80278590656718</v>
      </c>
      <c r="BA35" s="2">
        <v>67.917174797849086</v>
      </c>
      <c r="BC35" s="1">
        <f t="shared" ref="BC35:BC45" si="97">AI35</f>
        <v>36.003839999999997</v>
      </c>
      <c r="BD35" s="2">
        <f t="shared" ref="BD35:BD45" si="98">AK35</f>
        <v>6.8149121684597107</v>
      </c>
      <c r="BE35" s="7">
        <f t="shared" ref="BE35:BE45" si="99">AM35</f>
        <v>-252.23882555200939</v>
      </c>
      <c r="BF35" s="1">
        <f t="shared" ref="BF35:BF45" si="100">AJ35</f>
        <v>10.93632</v>
      </c>
      <c r="BG35" s="2">
        <f t="shared" ref="BG35:BG45" si="101">AL35</f>
        <v>2.070058645027014</v>
      </c>
      <c r="BH35" s="2">
        <f t="shared" ref="BH35:BJ45" si="102">AN35</f>
        <v>-76.61861936562741</v>
      </c>
      <c r="BI35" s="2">
        <f t="shared" si="102"/>
        <v>0</v>
      </c>
      <c r="BJ35" s="7">
        <f t="shared" si="102"/>
        <v>0</v>
      </c>
      <c r="BK35" s="1">
        <f t="shared" ref="BK35:BL45" si="103">BC35+BF35</f>
        <v>46.940159999999999</v>
      </c>
      <c r="BL35" s="2">
        <f t="shared" si="103"/>
        <v>8.8849708134867242</v>
      </c>
      <c r="BM35" s="2">
        <f t="shared" ref="BM35:BM45" si="104">ABS(BE35+BH35)</f>
        <v>328.85744491763683</v>
      </c>
      <c r="BN35" s="2">
        <f t="shared" ref="BN35:BN45" si="105">ABS(BI35)</f>
        <v>0</v>
      </c>
      <c r="BO35" s="7">
        <f t="shared" ref="BO35:BO45" si="106">BJ35</f>
        <v>0</v>
      </c>
      <c r="BP35" s="2"/>
      <c r="BQ35" s="1">
        <f t="shared" si="0"/>
        <v>46.940159999999992</v>
      </c>
      <c r="BR35" s="4">
        <v>0</v>
      </c>
      <c r="BS35" s="2">
        <f t="shared" si="2"/>
        <v>46.940159999999992</v>
      </c>
      <c r="BT35" s="2">
        <f t="shared" si="23"/>
        <v>67.917174797849086</v>
      </c>
      <c r="BU35" s="21">
        <f t="shared" si="3"/>
        <v>1.4468884383404126</v>
      </c>
      <c r="BV35" s="21">
        <f t="shared" si="4"/>
        <v>80.135959999999983</v>
      </c>
      <c r="BW35" s="21">
        <f t="shared" si="5"/>
        <v>108.18634231403522</v>
      </c>
      <c r="BX35" s="21">
        <f t="shared" si="6"/>
        <v>1.3500348946220304</v>
      </c>
      <c r="BY35" s="1">
        <f t="shared" si="24"/>
        <v>65.009664000000001</v>
      </c>
      <c r="BZ35" s="4">
        <v>0</v>
      </c>
      <c r="CA35" s="2">
        <f t="shared" si="8"/>
        <v>65.009664000000001</v>
      </c>
      <c r="CB35" s="2">
        <f t="shared" si="25"/>
        <v>67.917174797849086</v>
      </c>
      <c r="CC35" s="21">
        <f t="shared" si="9"/>
        <v>1.0447242858823127</v>
      </c>
      <c r="CD35" s="2">
        <f t="shared" si="26"/>
        <v>110.984109</v>
      </c>
      <c r="CE35" s="2">
        <f t="shared" si="10"/>
        <v>108.18634231403522</v>
      </c>
      <c r="CF35" s="21">
        <f t="shared" si="11"/>
        <v>0.97479128578700591</v>
      </c>
      <c r="CG35" s="15"/>
      <c r="CH35" s="21">
        <f t="shared" si="12"/>
        <v>0.97479128578700591</v>
      </c>
    </row>
    <row r="36" spans="1:86" x14ac:dyDescent="0.25">
      <c r="A36" t="str">
        <f t="shared" si="16"/>
        <v/>
      </c>
      <c r="B36" t="b">
        <f t="shared" si="17"/>
        <v>0</v>
      </c>
      <c r="C36">
        <f>IF(D36="",100000,IF(D36=D35,C35,C35+1))</f>
        <v>3</v>
      </c>
      <c r="D36" s="5" t="s">
        <v>111</v>
      </c>
      <c r="F36" s="5">
        <v>25</v>
      </c>
      <c r="G36" t="s">
        <v>46</v>
      </c>
      <c r="H36">
        <v>500</v>
      </c>
      <c r="I36">
        <v>220000</v>
      </c>
      <c r="J36">
        <v>1576</v>
      </c>
      <c r="K36" s="10">
        <v>1870</v>
      </c>
      <c r="L36" s="12">
        <v>1</v>
      </c>
      <c r="M36" s="5">
        <v>0.2</v>
      </c>
      <c r="N36" s="10">
        <v>2.2000000000000002</v>
      </c>
      <c r="O36" s="5">
        <v>1.0000000000000001E-5</v>
      </c>
      <c r="P36">
        <v>0.03</v>
      </c>
      <c r="Q36" s="10">
        <v>1</v>
      </c>
      <c r="R36" s="8">
        <v>0</v>
      </c>
      <c r="S36">
        <v>0</v>
      </c>
      <c r="T36">
        <v>1</v>
      </c>
      <c r="U36" s="9">
        <v>0</v>
      </c>
      <c r="V36">
        <v>0</v>
      </c>
      <c r="W36" s="10">
        <v>0</v>
      </c>
      <c r="X36" s="5">
        <v>0</v>
      </c>
      <c r="Y36">
        <v>0</v>
      </c>
      <c r="Z36" s="4">
        <v>0</v>
      </c>
      <c r="AA36" s="2">
        <v>0</v>
      </c>
      <c r="AB36" s="2">
        <v>0</v>
      </c>
      <c r="AC36" s="13"/>
      <c r="AD36" s="2">
        <v>0</v>
      </c>
      <c r="AE36" s="2">
        <v>0</v>
      </c>
      <c r="AF36" s="2"/>
      <c r="AG36" s="2"/>
      <c r="AH36" s="7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/>
      <c r="AR36" s="2">
        <v>0.78043082983844214</v>
      </c>
      <c r="AS36" s="2">
        <v>0.78043082983844214</v>
      </c>
      <c r="AT36" s="2">
        <v>0</v>
      </c>
      <c r="AU36" s="2">
        <v>0</v>
      </c>
      <c r="AV36" s="2">
        <v>0</v>
      </c>
      <c r="AW36" s="2">
        <v>0</v>
      </c>
      <c r="AX36" s="1">
        <v>0</v>
      </c>
      <c r="AY36" s="2">
        <v>0</v>
      </c>
      <c r="AZ36" s="2">
        <v>0</v>
      </c>
      <c r="BA36" s="2">
        <v>0.78043082983844214</v>
      </c>
      <c r="BC36" s="1">
        <f t="shared" si="97"/>
        <v>0</v>
      </c>
      <c r="BD36" s="2">
        <f t="shared" si="98"/>
        <v>0</v>
      </c>
      <c r="BE36" s="7">
        <f t="shared" si="99"/>
        <v>0</v>
      </c>
      <c r="BF36" s="1">
        <f t="shared" si="100"/>
        <v>0</v>
      </c>
      <c r="BG36" s="2">
        <f t="shared" si="101"/>
        <v>0</v>
      </c>
      <c r="BH36" s="2">
        <f t="shared" si="102"/>
        <v>0</v>
      </c>
      <c r="BI36" s="2">
        <f t="shared" si="102"/>
        <v>0</v>
      </c>
      <c r="BJ36" s="7">
        <f t="shared" si="102"/>
        <v>0</v>
      </c>
      <c r="BK36" s="1">
        <f t="shared" si="103"/>
        <v>0</v>
      </c>
      <c r="BL36" s="2">
        <f t="shared" si="103"/>
        <v>0</v>
      </c>
      <c r="BM36" s="2">
        <f t="shared" si="104"/>
        <v>0</v>
      </c>
      <c r="BN36" s="2">
        <f t="shared" si="105"/>
        <v>0</v>
      </c>
      <c r="BO36" s="7">
        <f t="shared" si="106"/>
        <v>0</v>
      </c>
      <c r="BP36" s="2"/>
      <c r="BQ36" s="1">
        <f t="shared" si="0"/>
        <v>0</v>
      </c>
      <c r="BR36" s="4" t="str">
        <f t="shared" ref="BR36" si="107">IF(ISNUMBER(SEARCH("Appui",E36)),0,"0")</f>
        <v>0</v>
      </c>
      <c r="BS36" s="2">
        <f t="shared" si="2"/>
        <v>0</v>
      </c>
      <c r="BT36" s="2">
        <f t="shared" si="23"/>
        <v>0.78043082983844214</v>
      </c>
      <c r="BU36" s="21">
        <f t="shared" si="3"/>
        <v>1</v>
      </c>
      <c r="BV36" s="21" t="str">
        <f t="shared" si="4"/>
        <v/>
      </c>
      <c r="BW36" s="21" t="str">
        <f t="shared" si="5"/>
        <v/>
      </c>
      <c r="BX36" s="21" t="str">
        <f t="shared" si="6"/>
        <v/>
      </c>
      <c r="BY36" s="1">
        <f t="shared" si="24"/>
        <v>0</v>
      </c>
      <c r="BZ36" s="4" t="str">
        <f t="shared" ref="BZ36" si="108">IF(ISNUMBER(SEARCH("Appui",M36)),0,"0")</f>
        <v>0</v>
      </c>
      <c r="CA36" s="2">
        <f t="shared" si="8"/>
        <v>0</v>
      </c>
      <c r="CB36" s="2">
        <f t="shared" si="25"/>
        <v>0.78043082983844214</v>
      </c>
      <c r="CC36" s="21">
        <f t="shared" si="9"/>
        <v>1</v>
      </c>
      <c r="CD36" s="2" t="str">
        <f t="shared" si="26"/>
        <v/>
      </c>
      <c r="CE36" s="2" t="str">
        <f t="shared" si="10"/>
        <v/>
      </c>
      <c r="CF36" s="21" t="str">
        <f t="shared" si="11"/>
        <v/>
      </c>
      <c r="CG36" s="10" t="str">
        <f t="shared" ref="CG36" si="109">IF(C34&lt;C36,"Rive",IF(C38&gt;C36,"Rive","Inter"))</f>
        <v>Rive</v>
      </c>
      <c r="CH36" s="21" t="str">
        <f t="shared" si="12"/>
        <v/>
      </c>
    </row>
    <row r="37" spans="1:86" x14ac:dyDescent="0.25">
      <c r="A37" t="str">
        <f t="shared" si="16"/>
        <v>Travée</v>
      </c>
      <c r="B37" t="b">
        <f t="shared" si="17"/>
        <v>1</v>
      </c>
      <c r="C37">
        <f t="shared" ref="C37:C46" si="110">IF(D37="",100000,IF(D37=D36,C36,C36+1))</f>
        <v>4</v>
      </c>
      <c r="D37" s="5" t="s">
        <v>112</v>
      </c>
      <c r="E37" t="s">
        <v>45</v>
      </c>
      <c r="F37" s="5">
        <v>25</v>
      </c>
      <c r="G37" t="s">
        <v>46</v>
      </c>
      <c r="H37">
        <v>500</v>
      </c>
      <c r="I37">
        <v>220000</v>
      </c>
      <c r="J37">
        <v>1576</v>
      </c>
      <c r="K37" s="10">
        <v>1870</v>
      </c>
      <c r="L37" s="12">
        <v>1</v>
      </c>
      <c r="M37" s="5">
        <v>0.23499999999999999</v>
      </c>
      <c r="N37" s="10">
        <v>3.5</v>
      </c>
      <c r="O37" s="5">
        <v>4.4799999999999999E-4</v>
      </c>
      <c r="P37">
        <v>0.04</v>
      </c>
      <c r="Q37" s="10">
        <v>1</v>
      </c>
      <c r="R37" s="8">
        <v>0</v>
      </c>
      <c r="S37">
        <v>0</v>
      </c>
      <c r="T37">
        <v>1</v>
      </c>
      <c r="U37" s="9">
        <v>0</v>
      </c>
      <c r="V37">
        <v>0</v>
      </c>
      <c r="W37" s="10">
        <v>0</v>
      </c>
      <c r="X37" s="5">
        <v>38.031399999999998</v>
      </c>
      <c r="Y37">
        <v>11.552199999999999</v>
      </c>
      <c r="Z37" s="4">
        <v>0</v>
      </c>
      <c r="AA37" s="2">
        <v>38.031399999999998</v>
      </c>
      <c r="AB37" s="2">
        <v>11.552199999999999</v>
      </c>
      <c r="AC37" s="13">
        <v>0</v>
      </c>
      <c r="AD37" s="2">
        <v>38.031399999999998</v>
      </c>
      <c r="AE37" s="2">
        <v>11.552199999999999</v>
      </c>
      <c r="AF37" s="2">
        <v>68.670690000000008</v>
      </c>
      <c r="AG37" s="2"/>
      <c r="AH37" s="7">
        <v>49.583599999999997</v>
      </c>
      <c r="AI37" s="2">
        <v>38.031399999999998</v>
      </c>
      <c r="AJ37" s="2">
        <v>11.552199999999999</v>
      </c>
      <c r="AK37" s="2">
        <v>6.8054832772980971</v>
      </c>
      <c r="AL37" s="2">
        <v>2.0671945791110242</v>
      </c>
      <c r="AM37" s="2">
        <v>-448.61967573200491</v>
      </c>
      <c r="AN37" s="2">
        <v>-136.27014041006291</v>
      </c>
      <c r="AO37" s="2">
        <v>0</v>
      </c>
      <c r="AP37" s="2">
        <v>0</v>
      </c>
      <c r="AQ37" s="2">
        <v>68.670690000000008</v>
      </c>
      <c r="AR37" s="2">
        <v>40.181704347825907</v>
      </c>
      <c r="AS37" s="2">
        <v>40.181704347825907</v>
      </c>
      <c r="AT37" s="2">
        <v>0</v>
      </c>
      <c r="AU37" s="2">
        <v>0</v>
      </c>
      <c r="AV37" s="2">
        <v>0</v>
      </c>
      <c r="AW37" s="2">
        <v>0</v>
      </c>
      <c r="AX37" s="1">
        <v>49.583599999999997</v>
      </c>
      <c r="AY37" s="2">
        <v>0</v>
      </c>
      <c r="AZ37" s="2">
        <v>0</v>
      </c>
      <c r="BA37" s="2">
        <v>40.181704347825907</v>
      </c>
      <c r="BC37" s="1">
        <f t="shared" si="97"/>
        <v>38.031399999999998</v>
      </c>
      <c r="BD37" s="2">
        <f t="shared" si="98"/>
        <v>6.8054832772980971</v>
      </c>
      <c r="BE37" s="7">
        <f t="shared" si="99"/>
        <v>-448.61967573200491</v>
      </c>
      <c r="BF37" s="1">
        <f t="shared" si="100"/>
        <v>11.552199999999999</v>
      </c>
      <c r="BG37" s="2">
        <f t="shared" si="101"/>
        <v>2.0671945791110242</v>
      </c>
      <c r="BH37" s="2">
        <f t="shared" si="102"/>
        <v>-136.27014041006291</v>
      </c>
      <c r="BI37" s="2">
        <f t="shared" si="102"/>
        <v>0</v>
      </c>
      <c r="BJ37" s="7">
        <f t="shared" si="102"/>
        <v>0</v>
      </c>
      <c r="BK37" s="1">
        <f t="shared" si="103"/>
        <v>49.583599999999997</v>
      </c>
      <c r="BL37" s="2">
        <f t="shared" si="103"/>
        <v>8.8726778564091209</v>
      </c>
      <c r="BM37" s="2">
        <f t="shared" si="104"/>
        <v>584.88981614206784</v>
      </c>
      <c r="BN37" s="2">
        <f t="shared" si="105"/>
        <v>0</v>
      </c>
      <c r="BO37" s="7">
        <f t="shared" si="106"/>
        <v>0</v>
      </c>
      <c r="BQ37" s="1">
        <f t="shared" si="0"/>
        <v>49.583599999999997</v>
      </c>
      <c r="BR37" s="4">
        <v>0</v>
      </c>
      <c r="BS37" s="2">
        <f t="shared" si="2"/>
        <v>49.583599999999997</v>
      </c>
      <c r="BT37" s="2">
        <f t="shared" si="23"/>
        <v>40.181704347825907</v>
      </c>
      <c r="BU37" s="21">
        <f t="shared" si="3"/>
        <v>0.81038295621588408</v>
      </c>
      <c r="BV37" s="21">
        <f t="shared" si="4"/>
        <v>63.274479999999997</v>
      </c>
      <c r="BW37" s="21">
        <f t="shared" si="5"/>
        <v>61.394862648221306</v>
      </c>
      <c r="BX37" s="21">
        <f t="shared" si="6"/>
        <v>0.97029422680709998</v>
      </c>
      <c r="BY37" s="1">
        <f t="shared" si="24"/>
        <v>68.670690000000008</v>
      </c>
      <c r="BZ37" s="4">
        <v>0</v>
      </c>
      <c r="CA37" s="2">
        <f t="shared" si="8"/>
        <v>68.670690000000008</v>
      </c>
      <c r="CB37" s="2">
        <f t="shared" si="25"/>
        <v>40.181704347825907</v>
      </c>
      <c r="CC37" s="21">
        <f t="shared" si="9"/>
        <v>0.58513616723271455</v>
      </c>
      <c r="CD37" s="2">
        <f t="shared" si="26"/>
        <v>87.631842000000006</v>
      </c>
      <c r="CE37" s="2">
        <f t="shared" si="10"/>
        <v>90.529971083827007</v>
      </c>
      <c r="CF37" s="21">
        <f t="shared" si="11"/>
        <v>1.0330716440244061</v>
      </c>
      <c r="CG37" s="15"/>
      <c r="CH37" s="21">
        <f t="shared" si="12"/>
        <v>0.70059993316380709</v>
      </c>
    </row>
    <row r="38" spans="1:86" x14ac:dyDescent="0.25">
      <c r="A38" t="str">
        <f t="shared" si="16"/>
        <v>Appui</v>
      </c>
      <c r="B38" t="b">
        <f t="shared" si="17"/>
        <v>1</v>
      </c>
      <c r="C38">
        <f t="shared" si="110"/>
        <v>4</v>
      </c>
      <c r="D38" s="5" t="s">
        <v>112</v>
      </c>
      <c r="E38" t="s">
        <v>47</v>
      </c>
      <c r="F38" s="5">
        <v>25</v>
      </c>
      <c r="G38" t="s">
        <v>46</v>
      </c>
      <c r="H38">
        <v>500</v>
      </c>
      <c r="I38">
        <v>220000</v>
      </c>
      <c r="J38">
        <v>1576</v>
      </c>
      <c r="K38" s="10">
        <v>1870</v>
      </c>
      <c r="L38" s="12">
        <v>1</v>
      </c>
      <c r="M38" s="5">
        <v>0.23499999999999999</v>
      </c>
      <c r="N38" s="10">
        <v>4</v>
      </c>
      <c r="O38" s="5">
        <v>5.13E-4</v>
      </c>
      <c r="P38">
        <v>5.5E-2</v>
      </c>
      <c r="Q38" s="10">
        <v>1</v>
      </c>
      <c r="R38" s="8">
        <v>0</v>
      </c>
      <c r="S38">
        <v>0</v>
      </c>
      <c r="T38">
        <v>1</v>
      </c>
      <c r="U38" s="9">
        <v>2.9099999999999999E-5</v>
      </c>
      <c r="V38">
        <v>0</v>
      </c>
      <c r="W38" s="10">
        <v>5</v>
      </c>
      <c r="X38" s="5">
        <v>21.00224</v>
      </c>
      <c r="Y38">
        <v>6.3795200000000003</v>
      </c>
      <c r="Z38" s="4">
        <v>0</v>
      </c>
      <c r="AA38" s="2">
        <v>21.00224</v>
      </c>
      <c r="AB38" s="2">
        <v>6.3795200000000003</v>
      </c>
      <c r="AC38" s="13">
        <v>0</v>
      </c>
      <c r="AD38" s="2">
        <v>21.00224</v>
      </c>
      <c r="AE38" s="2">
        <v>6.3795200000000003</v>
      </c>
      <c r="AF38" s="2">
        <v>37.922303999999997</v>
      </c>
      <c r="AG38" s="2"/>
      <c r="AH38" s="7">
        <v>27.38176</v>
      </c>
      <c r="AI38" s="2">
        <v>21.00224</v>
      </c>
      <c r="AJ38" s="2">
        <v>6.3795200000000003</v>
      </c>
      <c r="AK38" s="2">
        <v>3.701167345741899</v>
      </c>
      <c r="AL38" s="2">
        <v>0.8733206069430951</v>
      </c>
      <c r="AM38" s="2">
        <v>-234.78150047872421</v>
      </c>
      <c r="AN38" s="2">
        <v>-46.230535244925193</v>
      </c>
      <c r="AO38" s="2">
        <v>0</v>
      </c>
      <c r="AP38" s="2">
        <v>-68.257317926336839</v>
      </c>
      <c r="AQ38" s="2">
        <v>37.922303999999997</v>
      </c>
      <c r="AR38" s="2">
        <v>42.426316600790798</v>
      </c>
      <c r="AS38" s="2">
        <v>100.6965334720022</v>
      </c>
      <c r="AT38" s="2">
        <v>3.749827062622817</v>
      </c>
      <c r="AU38" s="2">
        <v>-277.12473486732989</v>
      </c>
      <c r="AV38" s="2">
        <v>0</v>
      </c>
      <c r="AW38" s="2">
        <v>-414.06862746098682</v>
      </c>
      <c r="AX38" s="1">
        <v>27.38176</v>
      </c>
      <c r="AY38" s="2">
        <v>3.4925180781052321</v>
      </c>
      <c r="AZ38" s="2">
        <v>-309.59734872207667</v>
      </c>
      <c r="BA38" s="2">
        <v>42.426316600790798</v>
      </c>
      <c r="BC38" s="1">
        <f t="shared" si="97"/>
        <v>21.00224</v>
      </c>
      <c r="BD38" s="2">
        <f t="shared" si="98"/>
        <v>3.701167345741899</v>
      </c>
      <c r="BE38" s="7">
        <f t="shared" si="99"/>
        <v>-234.78150047872421</v>
      </c>
      <c r="BF38" s="1">
        <f t="shared" si="100"/>
        <v>6.3795200000000003</v>
      </c>
      <c r="BG38" s="2">
        <f t="shared" si="101"/>
        <v>0.8733206069430951</v>
      </c>
      <c r="BH38" s="2">
        <f t="shared" si="102"/>
        <v>-46.230535244925193</v>
      </c>
      <c r="BI38" s="2">
        <f t="shared" si="102"/>
        <v>0</v>
      </c>
      <c r="BJ38" s="7">
        <f t="shared" si="102"/>
        <v>-68.257317926336839</v>
      </c>
      <c r="BK38" s="1">
        <f t="shared" si="103"/>
        <v>27.38176</v>
      </c>
      <c r="BL38" s="2">
        <f t="shared" si="103"/>
        <v>4.5744879526849944</v>
      </c>
      <c r="BM38" s="2">
        <f t="shared" si="104"/>
        <v>281.01203572364943</v>
      </c>
      <c r="BN38" s="2">
        <f t="shared" si="105"/>
        <v>0</v>
      </c>
      <c r="BO38" s="7">
        <f t="shared" si="106"/>
        <v>-68.257317926336839</v>
      </c>
      <c r="BQ38" s="1">
        <f t="shared" si="0"/>
        <v>27.38176</v>
      </c>
      <c r="BR38" s="4">
        <f t="shared" ref="BR38" si="111">IF(ISNUMBER(SEARCH("Appui",E38)),0,"0")</f>
        <v>0</v>
      </c>
      <c r="BS38" s="2">
        <f t="shared" si="2"/>
        <v>27.38176</v>
      </c>
      <c r="BT38" s="2">
        <f t="shared" si="23"/>
        <v>42.426316600790798</v>
      </c>
      <c r="BU38" s="21">
        <f t="shared" si="3"/>
        <v>1.5494371654996173</v>
      </c>
      <c r="BV38" s="21" t="str">
        <f t="shared" si="4"/>
        <v/>
      </c>
      <c r="BW38" s="21" t="str">
        <f t="shared" si="5"/>
        <v/>
      </c>
      <c r="BX38" s="21" t="str">
        <f t="shared" si="6"/>
        <v/>
      </c>
      <c r="BY38" s="1">
        <f t="shared" si="24"/>
        <v>37.922303999999997</v>
      </c>
      <c r="BZ38" s="4" t="str">
        <f t="shared" ref="BZ38" si="112">IF(ISNUMBER(SEARCH("Appui",M38)),0,"0")</f>
        <v>0</v>
      </c>
      <c r="CA38" s="2">
        <f t="shared" si="8"/>
        <v>37.922303999999997</v>
      </c>
      <c r="CB38" s="2">
        <f t="shared" si="25"/>
        <v>100.6965334720022</v>
      </c>
      <c r="CC38" s="21">
        <f t="shared" si="9"/>
        <v>2.6553379634318159</v>
      </c>
      <c r="CD38" s="2" t="str">
        <f t="shared" si="26"/>
        <v/>
      </c>
      <c r="CE38" s="2" t="str">
        <f t="shared" si="10"/>
        <v/>
      </c>
      <c r="CF38" s="21" t="str">
        <f t="shared" si="11"/>
        <v/>
      </c>
      <c r="CG38" s="10" t="str">
        <f t="shared" ref="CG38" si="113">IF(C36&lt;C38,"Rive",IF(C40&gt;C38,"Rive","Inter"))</f>
        <v>Rive</v>
      </c>
      <c r="CH38" s="21" t="str">
        <f t="shared" si="12"/>
        <v/>
      </c>
    </row>
    <row r="39" spans="1:86" x14ac:dyDescent="0.25">
      <c r="A39" t="str">
        <f t="shared" si="16"/>
        <v>Travée</v>
      </c>
      <c r="B39" t="b">
        <f t="shared" si="17"/>
        <v>1</v>
      </c>
      <c r="C39">
        <f t="shared" si="110"/>
        <v>4</v>
      </c>
      <c r="D39" s="5" t="s">
        <v>112</v>
      </c>
      <c r="E39" t="s">
        <v>48</v>
      </c>
      <c r="F39" s="5">
        <v>25</v>
      </c>
      <c r="G39" t="s">
        <v>46</v>
      </c>
      <c r="H39">
        <v>500</v>
      </c>
      <c r="I39">
        <v>220000</v>
      </c>
      <c r="J39">
        <v>1576</v>
      </c>
      <c r="K39" s="10">
        <v>1870</v>
      </c>
      <c r="L39" s="12">
        <v>1</v>
      </c>
      <c r="M39" s="5">
        <v>0.23499999999999999</v>
      </c>
      <c r="N39" s="10">
        <v>4</v>
      </c>
      <c r="O39" s="5">
        <v>1.5399999999999999E-3</v>
      </c>
      <c r="P39">
        <v>0.04</v>
      </c>
      <c r="Q39" s="10">
        <v>1</v>
      </c>
      <c r="R39" s="8">
        <v>0</v>
      </c>
      <c r="S39">
        <v>0</v>
      </c>
      <c r="T39">
        <v>1</v>
      </c>
      <c r="U39" s="9">
        <v>0</v>
      </c>
      <c r="V39">
        <v>0</v>
      </c>
      <c r="W39" s="10">
        <v>0</v>
      </c>
      <c r="X39" s="5">
        <v>0</v>
      </c>
      <c r="Y39">
        <v>0</v>
      </c>
      <c r="Z39" s="4">
        <v>0</v>
      </c>
      <c r="AA39" s="2">
        <v>0</v>
      </c>
      <c r="AB39" s="2">
        <v>0</v>
      </c>
      <c r="AC39" s="13">
        <v>0</v>
      </c>
      <c r="AD39" s="2">
        <v>0</v>
      </c>
      <c r="AE39" s="2">
        <v>0</v>
      </c>
      <c r="AF39" s="2">
        <v>0</v>
      </c>
      <c r="AG39" s="2"/>
      <c r="AH39" s="7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135.8343495956982</v>
      </c>
      <c r="AS39" s="2">
        <v>135.8343495956982</v>
      </c>
      <c r="AT39" s="2">
        <v>0</v>
      </c>
      <c r="AU39" s="2">
        <v>0</v>
      </c>
      <c r="AV39" s="2">
        <v>0</v>
      </c>
      <c r="AW39" s="2">
        <v>0</v>
      </c>
      <c r="AX39" s="1">
        <v>0</v>
      </c>
      <c r="AY39" s="2">
        <v>0</v>
      </c>
      <c r="AZ39" s="2">
        <v>0</v>
      </c>
      <c r="BA39" s="2">
        <v>135.8343495956982</v>
      </c>
      <c r="BC39" s="1">
        <f t="shared" si="97"/>
        <v>0</v>
      </c>
      <c r="BD39" s="2">
        <f t="shared" si="98"/>
        <v>0</v>
      </c>
      <c r="BE39" s="7">
        <f t="shared" si="99"/>
        <v>0</v>
      </c>
      <c r="BF39" s="1">
        <f t="shared" si="100"/>
        <v>0</v>
      </c>
      <c r="BG39" s="2">
        <f t="shared" si="101"/>
        <v>0</v>
      </c>
      <c r="BH39" s="2">
        <f t="shared" si="102"/>
        <v>0</v>
      </c>
      <c r="BI39" s="2">
        <f t="shared" si="102"/>
        <v>0</v>
      </c>
      <c r="BJ39" s="7">
        <f t="shared" si="102"/>
        <v>0</v>
      </c>
      <c r="BK39" s="1">
        <f t="shared" si="103"/>
        <v>0</v>
      </c>
      <c r="BL39" s="2">
        <f t="shared" si="103"/>
        <v>0</v>
      </c>
      <c r="BM39" s="2">
        <f t="shared" si="104"/>
        <v>0</v>
      </c>
      <c r="BN39" s="2">
        <f t="shared" si="105"/>
        <v>0</v>
      </c>
      <c r="BO39" s="7">
        <f t="shared" si="106"/>
        <v>0</v>
      </c>
      <c r="BQ39" s="1">
        <f t="shared" si="0"/>
        <v>0</v>
      </c>
      <c r="BR39" s="4">
        <v>0</v>
      </c>
      <c r="BS39" s="2">
        <f t="shared" si="2"/>
        <v>0</v>
      </c>
      <c r="BT39" s="2">
        <f t="shared" si="23"/>
        <v>135.8343495956982</v>
      </c>
      <c r="BU39" s="21">
        <f t="shared" si="3"/>
        <v>1</v>
      </c>
      <c r="BV39" s="21">
        <f t="shared" si="4"/>
        <v>16.135680000000001</v>
      </c>
      <c r="BW39" s="21">
        <f t="shared" si="5"/>
        <v>178.26066619648901</v>
      </c>
      <c r="BX39" s="21">
        <f t="shared" si="6"/>
        <v>11.047607922101145</v>
      </c>
      <c r="BY39" s="1">
        <f t="shared" si="24"/>
        <v>0</v>
      </c>
      <c r="BZ39" s="4">
        <v>0</v>
      </c>
      <c r="CA39" s="2">
        <f t="shared" si="8"/>
        <v>0</v>
      </c>
      <c r="CB39" s="2">
        <f t="shared" si="25"/>
        <v>135.8343495956982</v>
      </c>
      <c r="CC39" s="21">
        <f t="shared" si="9"/>
        <v>1</v>
      </c>
      <c r="CD39" s="2">
        <f t="shared" si="26"/>
        <v>22.347071999999997</v>
      </c>
      <c r="CE39" s="2">
        <f t="shared" si="10"/>
        <v>236.53088306770042</v>
      </c>
      <c r="CF39" s="21">
        <f t="shared" si="11"/>
        <v>10.58442390429048</v>
      </c>
      <c r="CG39" s="15"/>
      <c r="CH39" s="21">
        <f t="shared" si="12"/>
        <v>7.9769137628629396</v>
      </c>
    </row>
    <row r="40" spans="1:86" x14ac:dyDescent="0.25">
      <c r="A40" t="str">
        <f t="shared" si="16"/>
        <v>Appui</v>
      </c>
      <c r="B40" t="b">
        <f t="shared" si="17"/>
        <v>1</v>
      </c>
      <c r="C40">
        <f t="shared" si="110"/>
        <v>4</v>
      </c>
      <c r="D40" s="5" t="s">
        <v>112</v>
      </c>
      <c r="E40" t="s">
        <v>49</v>
      </c>
      <c r="F40" s="5">
        <v>25</v>
      </c>
      <c r="G40" t="s">
        <v>46</v>
      </c>
      <c r="H40">
        <v>500</v>
      </c>
      <c r="I40">
        <v>220000</v>
      </c>
      <c r="J40">
        <v>1576</v>
      </c>
      <c r="K40" s="10">
        <v>1870</v>
      </c>
      <c r="L40" s="12">
        <v>1</v>
      </c>
      <c r="M40" s="5">
        <v>0.23499999999999999</v>
      </c>
      <c r="N40" s="10">
        <v>4</v>
      </c>
      <c r="O40" s="5">
        <v>5.13E-4</v>
      </c>
      <c r="P40">
        <v>5.5E-2</v>
      </c>
      <c r="Q40" s="10">
        <v>1</v>
      </c>
      <c r="R40" s="8">
        <v>0</v>
      </c>
      <c r="S40">
        <v>0</v>
      </c>
      <c r="T40">
        <v>1</v>
      </c>
      <c r="U40" s="9">
        <v>2.9099999999999999E-5</v>
      </c>
      <c r="V40">
        <v>0</v>
      </c>
      <c r="W40" s="10">
        <v>5</v>
      </c>
      <c r="X40" s="5">
        <v>3.7504</v>
      </c>
      <c r="Y40">
        <v>1.1392</v>
      </c>
      <c r="Z40" s="4">
        <v>0</v>
      </c>
      <c r="AA40" s="2">
        <v>3.7504</v>
      </c>
      <c r="AB40" s="2">
        <v>1.1392</v>
      </c>
      <c r="AC40" s="13">
        <v>0</v>
      </c>
      <c r="AD40" s="2">
        <v>3.7504</v>
      </c>
      <c r="AE40" s="2">
        <v>1.1392</v>
      </c>
      <c r="AF40" s="2">
        <v>6.7718400000000001</v>
      </c>
      <c r="AG40" s="2"/>
      <c r="AH40" s="7">
        <v>4.8895999999999997</v>
      </c>
      <c r="AI40" s="2">
        <v>3.7504</v>
      </c>
      <c r="AJ40" s="2">
        <v>1.1392</v>
      </c>
      <c r="AK40" s="2">
        <v>0.66092274031105236</v>
      </c>
      <c r="AL40" s="2">
        <v>0.1559466247928992</v>
      </c>
      <c r="AM40" s="2">
        <v>-41.925267942629297</v>
      </c>
      <c r="AN40" s="2">
        <v>-8.2554654560868528</v>
      </c>
      <c r="AO40" s="2">
        <v>0</v>
      </c>
      <c r="AP40" s="2">
        <v>-12.18881761985134</v>
      </c>
      <c r="AQ40" s="2">
        <v>6.7718400000000001</v>
      </c>
      <c r="AR40" s="2">
        <v>42.426316600790798</v>
      </c>
      <c r="AS40" s="2">
        <v>100.6965334720022</v>
      </c>
      <c r="AT40" s="2">
        <v>0.69098218305864534</v>
      </c>
      <c r="AU40" s="2">
        <v>-49.450719632929989</v>
      </c>
      <c r="AV40" s="2">
        <v>0</v>
      </c>
      <c r="AW40" s="2">
        <v>-73.833190274028027</v>
      </c>
      <c r="AX40" s="1">
        <v>4.8895999999999997</v>
      </c>
      <c r="AY40" s="2">
        <v>0.64198568364055575</v>
      </c>
      <c r="AZ40" s="2">
        <v>-55.239479800751823</v>
      </c>
      <c r="BA40" s="2">
        <v>42.426316600790798</v>
      </c>
      <c r="BC40" s="1">
        <f t="shared" si="97"/>
        <v>3.7504</v>
      </c>
      <c r="BD40" s="2">
        <f t="shared" si="98"/>
        <v>0.66092274031105236</v>
      </c>
      <c r="BE40" s="7">
        <f t="shared" si="99"/>
        <v>-41.925267942629297</v>
      </c>
      <c r="BF40" s="1">
        <f t="shared" si="100"/>
        <v>1.1392</v>
      </c>
      <c r="BG40" s="2">
        <f t="shared" si="101"/>
        <v>0.1559466247928992</v>
      </c>
      <c r="BH40" s="2">
        <f t="shared" si="102"/>
        <v>-8.2554654560868528</v>
      </c>
      <c r="BI40" s="2">
        <f t="shared" si="102"/>
        <v>0</v>
      </c>
      <c r="BJ40" s="7">
        <f t="shared" si="102"/>
        <v>-12.18881761985134</v>
      </c>
      <c r="BK40" s="1">
        <f t="shared" si="103"/>
        <v>4.8895999999999997</v>
      </c>
      <c r="BL40" s="2">
        <f t="shared" si="103"/>
        <v>0.81686936510395158</v>
      </c>
      <c r="BM40" s="2">
        <f t="shared" si="104"/>
        <v>50.18073339871615</v>
      </c>
      <c r="BN40" s="2">
        <f t="shared" si="105"/>
        <v>0</v>
      </c>
      <c r="BO40" s="7">
        <f t="shared" si="106"/>
        <v>-12.18881761985134</v>
      </c>
      <c r="BQ40" s="1">
        <f t="shared" si="0"/>
        <v>4.8895999999999997</v>
      </c>
      <c r="BR40" s="4">
        <f t="shared" ref="BR40" si="114">IF(ISNUMBER(SEARCH("Appui",E40)),0,"0")</f>
        <v>0</v>
      </c>
      <c r="BS40" s="2">
        <f t="shared" si="2"/>
        <v>4.8895999999999997</v>
      </c>
      <c r="BT40" s="2">
        <f t="shared" si="23"/>
        <v>42.426316600790798</v>
      </c>
      <c r="BU40" s="21">
        <f t="shared" si="3"/>
        <v>8.6768481267978572</v>
      </c>
      <c r="BV40" s="21" t="str">
        <f t="shared" si="4"/>
        <v/>
      </c>
      <c r="BW40" s="21" t="str">
        <f t="shared" si="5"/>
        <v/>
      </c>
      <c r="BX40" s="21" t="str">
        <f t="shared" si="6"/>
        <v/>
      </c>
      <c r="BY40" s="1">
        <f t="shared" si="24"/>
        <v>6.7718400000000001</v>
      </c>
      <c r="BZ40" s="4" t="str">
        <f t="shared" ref="BZ40" si="115">IF(ISNUMBER(SEARCH("Appui",M40)),0,"0")</f>
        <v>0</v>
      </c>
      <c r="CA40" s="2">
        <f t="shared" si="8"/>
        <v>6.7718400000000001</v>
      </c>
      <c r="CB40" s="2">
        <f t="shared" si="25"/>
        <v>100.6965334720022</v>
      </c>
      <c r="CC40" s="21">
        <f t="shared" si="9"/>
        <v>14.869892595218168</v>
      </c>
      <c r="CD40" s="2" t="str">
        <f t="shared" si="26"/>
        <v/>
      </c>
      <c r="CE40" s="2" t="str">
        <f t="shared" si="10"/>
        <v/>
      </c>
      <c r="CF40" s="21" t="str">
        <f t="shared" si="11"/>
        <v/>
      </c>
      <c r="CG40" s="10" t="str">
        <f t="shared" ref="CG40" si="116">IF(C38&lt;C40,"Rive",IF(C42&gt;C40,"Rive","Inter"))</f>
        <v>Inter</v>
      </c>
      <c r="CH40" s="21" t="str">
        <f t="shared" si="12"/>
        <v/>
      </c>
    </row>
    <row r="41" spans="1:86" x14ac:dyDescent="0.25">
      <c r="A41" t="str">
        <f t="shared" si="16"/>
        <v>Travée</v>
      </c>
      <c r="B41" t="b">
        <f t="shared" si="17"/>
        <v>1</v>
      </c>
      <c r="C41">
        <f t="shared" si="110"/>
        <v>4</v>
      </c>
      <c r="D41" s="5" t="s">
        <v>112</v>
      </c>
      <c r="E41" t="s">
        <v>51</v>
      </c>
      <c r="F41" s="5">
        <v>25</v>
      </c>
      <c r="G41" t="s">
        <v>46</v>
      </c>
      <c r="H41">
        <v>500</v>
      </c>
      <c r="I41">
        <v>220000</v>
      </c>
      <c r="J41">
        <v>1576</v>
      </c>
      <c r="K41" s="10">
        <v>1870</v>
      </c>
      <c r="L41" s="12">
        <v>1</v>
      </c>
      <c r="M41" s="5">
        <v>0.23499999999999999</v>
      </c>
      <c r="N41" s="10">
        <v>4</v>
      </c>
      <c r="O41" s="5">
        <v>2.052E-3</v>
      </c>
      <c r="P41">
        <v>0.04</v>
      </c>
      <c r="Q41" s="10">
        <v>1</v>
      </c>
      <c r="R41" s="8">
        <v>0</v>
      </c>
      <c r="S41">
        <v>0</v>
      </c>
      <c r="T41">
        <v>1</v>
      </c>
      <c r="U41" s="9">
        <v>0</v>
      </c>
      <c r="V41">
        <v>0</v>
      </c>
      <c r="W41" s="10">
        <v>0</v>
      </c>
      <c r="X41" s="5">
        <v>0.64460000000000006</v>
      </c>
      <c r="Y41">
        <v>0.1958</v>
      </c>
      <c r="Z41" s="4">
        <v>0</v>
      </c>
      <c r="AA41" s="2">
        <v>0.64460000000000006</v>
      </c>
      <c r="AB41" s="2">
        <v>0.1958</v>
      </c>
      <c r="AC41" s="13">
        <v>0</v>
      </c>
      <c r="AD41" s="2">
        <v>0.64460000000000006</v>
      </c>
      <c r="AE41" s="2">
        <v>0.1958</v>
      </c>
      <c r="AF41" s="2">
        <v>1.16391</v>
      </c>
      <c r="AG41" s="2"/>
      <c r="AH41" s="7">
        <v>0.84040000000000004</v>
      </c>
      <c r="AI41" s="2">
        <v>0.64460000000000006</v>
      </c>
      <c r="AJ41" s="2">
        <v>0.1958</v>
      </c>
      <c r="AK41" s="2">
        <v>5.3929893939374501E-2</v>
      </c>
      <c r="AL41" s="2">
        <v>1.6372517862745069E-2</v>
      </c>
      <c r="AM41" s="2">
        <v>-1.70562295078647</v>
      </c>
      <c r="AN41" s="2">
        <v>-0.51696249336931521</v>
      </c>
      <c r="AO41" s="2">
        <v>0</v>
      </c>
      <c r="AP41" s="2">
        <v>0</v>
      </c>
      <c r="AQ41" s="2">
        <v>1.16391</v>
      </c>
      <c r="AR41" s="2">
        <v>176.642758331491</v>
      </c>
      <c r="AS41" s="2">
        <v>176.642758331491</v>
      </c>
      <c r="AT41" s="2">
        <v>7.4591311233707103E-2</v>
      </c>
      <c r="AU41" s="2">
        <v>-3.1420546657420219</v>
      </c>
      <c r="AV41" s="2">
        <v>0</v>
      </c>
      <c r="AW41" s="2">
        <v>0</v>
      </c>
      <c r="AX41" s="1">
        <v>0.84040000000000004</v>
      </c>
      <c r="AY41" s="2">
        <v>5.3868477178555439E-2</v>
      </c>
      <c r="AZ41" s="2">
        <v>-2.2686835083504899</v>
      </c>
      <c r="BA41" s="2">
        <v>176.642758331491</v>
      </c>
      <c r="BC41" s="1">
        <f t="shared" si="97"/>
        <v>0.64460000000000006</v>
      </c>
      <c r="BD41" s="2">
        <f t="shared" si="98"/>
        <v>5.3929893939374501E-2</v>
      </c>
      <c r="BE41" s="7">
        <f t="shared" si="99"/>
        <v>-1.70562295078647</v>
      </c>
      <c r="BF41" s="1">
        <f t="shared" si="100"/>
        <v>0.1958</v>
      </c>
      <c r="BG41" s="2">
        <f t="shared" si="101"/>
        <v>1.6372517862745069E-2</v>
      </c>
      <c r="BH41" s="2">
        <f t="shared" si="102"/>
        <v>-0.51696249336931521</v>
      </c>
      <c r="BI41" s="2">
        <f t="shared" si="102"/>
        <v>0</v>
      </c>
      <c r="BJ41" s="7">
        <f t="shared" si="102"/>
        <v>0</v>
      </c>
      <c r="BK41" s="1">
        <f t="shared" si="103"/>
        <v>0.84040000000000004</v>
      </c>
      <c r="BL41" s="2">
        <f t="shared" si="103"/>
        <v>7.0302411802119574E-2</v>
      </c>
      <c r="BM41" s="2">
        <f t="shared" si="104"/>
        <v>2.2225854441557851</v>
      </c>
      <c r="BN41" s="2">
        <f t="shared" si="105"/>
        <v>0</v>
      </c>
      <c r="BO41" s="7">
        <f t="shared" si="106"/>
        <v>0</v>
      </c>
      <c r="BQ41" s="1">
        <f t="shared" si="0"/>
        <v>0.84040000000000004</v>
      </c>
      <c r="BR41" s="4">
        <v>0</v>
      </c>
      <c r="BS41" s="2">
        <f t="shared" si="2"/>
        <v>0.84040000000000004</v>
      </c>
      <c r="BT41" s="2">
        <f t="shared" si="23"/>
        <v>176.642758331491</v>
      </c>
      <c r="BU41" s="21">
        <f t="shared" si="3"/>
        <v>210.1889080574619</v>
      </c>
      <c r="BV41" s="21">
        <f t="shared" si="4"/>
        <v>27.7332</v>
      </c>
      <c r="BW41" s="21">
        <f t="shared" si="5"/>
        <v>219.06907493228181</v>
      </c>
      <c r="BX41" s="21">
        <f t="shared" si="6"/>
        <v>7.8991632747855212</v>
      </c>
      <c r="BY41" s="1">
        <f t="shared" si="24"/>
        <v>1.16391</v>
      </c>
      <c r="BZ41" s="4">
        <v>0</v>
      </c>
      <c r="CA41" s="2">
        <f t="shared" si="8"/>
        <v>1.16391</v>
      </c>
      <c r="CB41" s="2">
        <f t="shared" si="25"/>
        <v>176.642758331491</v>
      </c>
      <c r="CC41" s="21">
        <f t="shared" si="9"/>
        <v>151.7666815574151</v>
      </c>
      <c r="CD41" s="2">
        <f t="shared" si="26"/>
        <v>38.409030000000001</v>
      </c>
      <c r="CE41" s="2">
        <f t="shared" si="10"/>
        <v>277.33929180349321</v>
      </c>
      <c r="CF41" s="21">
        <f t="shared" si="11"/>
        <v>7.220679402825148</v>
      </c>
      <c r="CG41" s="15"/>
      <c r="CH41" s="21">
        <f t="shared" si="12"/>
        <v>5.7035825932673072</v>
      </c>
    </row>
    <row r="42" spans="1:86" x14ac:dyDescent="0.25">
      <c r="A42" t="str">
        <f t="shared" si="16"/>
        <v>Appui</v>
      </c>
      <c r="B42" t="b">
        <f t="shared" si="17"/>
        <v>1</v>
      </c>
      <c r="C42">
        <f t="shared" si="110"/>
        <v>4</v>
      </c>
      <c r="D42" s="5" t="s">
        <v>112</v>
      </c>
      <c r="E42" t="s">
        <v>52</v>
      </c>
      <c r="F42" s="5">
        <v>25</v>
      </c>
      <c r="G42" t="s">
        <v>46</v>
      </c>
      <c r="H42">
        <v>500</v>
      </c>
      <c r="I42">
        <v>220000</v>
      </c>
      <c r="J42">
        <v>1576</v>
      </c>
      <c r="K42" s="10">
        <v>1870</v>
      </c>
      <c r="L42" s="12">
        <v>1</v>
      </c>
      <c r="M42" s="5">
        <v>0.23499999999999999</v>
      </c>
      <c r="N42" s="10">
        <v>4</v>
      </c>
      <c r="O42" s="5">
        <v>5.13E-4</v>
      </c>
      <c r="P42">
        <v>5.5E-2</v>
      </c>
      <c r="Q42" s="10">
        <v>1</v>
      </c>
      <c r="R42" s="8">
        <v>0</v>
      </c>
      <c r="S42">
        <v>0</v>
      </c>
      <c r="T42">
        <v>1</v>
      </c>
      <c r="U42" s="9">
        <v>2.9099999999999999E-5</v>
      </c>
      <c r="V42">
        <v>0</v>
      </c>
      <c r="W42" s="10">
        <v>5</v>
      </c>
      <c r="X42" s="5">
        <v>37.503999999999998</v>
      </c>
      <c r="Y42">
        <v>11.391999999999999</v>
      </c>
      <c r="Z42" s="4">
        <v>0</v>
      </c>
      <c r="AA42" s="2">
        <v>37.503999999999998</v>
      </c>
      <c r="AB42" s="2">
        <v>11.391999999999999</v>
      </c>
      <c r="AC42" s="13">
        <v>0</v>
      </c>
      <c r="AD42" s="2">
        <v>37.503999999999998</v>
      </c>
      <c r="AE42" s="2">
        <v>11.391999999999999</v>
      </c>
      <c r="AF42" s="2">
        <v>67.718400000000003</v>
      </c>
      <c r="AG42" s="2"/>
      <c r="AH42" s="7">
        <v>48.896000000000001</v>
      </c>
      <c r="AI42" s="2">
        <v>37.503999999999998</v>
      </c>
      <c r="AJ42" s="2">
        <v>11.391999999999999</v>
      </c>
      <c r="AK42" s="2">
        <v>6.6092274031105269</v>
      </c>
      <c r="AL42" s="2">
        <v>1.559501083826953</v>
      </c>
      <c r="AM42" s="2">
        <v>-419.25267942629313</v>
      </c>
      <c r="AN42" s="2">
        <v>-82.554527223080726</v>
      </c>
      <c r="AO42" s="2">
        <v>0</v>
      </c>
      <c r="AP42" s="2">
        <v>-121.8880677256015</v>
      </c>
      <c r="AQ42" s="2">
        <v>67.718400000000003</v>
      </c>
      <c r="AR42" s="2">
        <v>42.426316600790798</v>
      </c>
      <c r="AS42" s="2">
        <v>100.6965334720022</v>
      </c>
      <c r="AT42" s="2">
        <v>6.9193005174073434</v>
      </c>
      <c r="AU42" s="2">
        <v>-435.38083422564063</v>
      </c>
      <c r="AV42" s="2">
        <v>0</v>
      </c>
      <c r="AW42" s="2">
        <v>-892.28178390019627</v>
      </c>
      <c r="AX42" s="1">
        <v>48.896000000000001</v>
      </c>
      <c r="AY42" s="2">
        <v>0</v>
      </c>
      <c r="AZ42" s="2">
        <v>0</v>
      </c>
      <c r="BA42" s="2">
        <v>42.426316600790798</v>
      </c>
      <c r="BC42" s="1">
        <f t="shared" si="97"/>
        <v>37.503999999999998</v>
      </c>
      <c r="BD42" s="2">
        <f t="shared" si="98"/>
        <v>6.6092274031105269</v>
      </c>
      <c r="BE42" s="7">
        <f t="shared" si="99"/>
        <v>-419.25267942629313</v>
      </c>
      <c r="BF42" s="1">
        <f t="shared" si="100"/>
        <v>11.391999999999999</v>
      </c>
      <c r="BG42" s="2">
        <f t="shared" si="101"/>
        <v>1.559501083826953</v>
      </c>
      <c r="BH42" s="2">
        <f t="shared" si="102"/>
        <v>-82.554527223080726</v>
      </c>
      <c r="BI42" s="2">
        <f t="shared" si="102"/>
        <v>0</v>
      </c>
      <c r="BJ42" s="7">
        <f t="shared" si="102"/>
        <v>-121.8880677256015</v>
      </c>
      <c r="BK42" s="1">
        <f t="shared" si="103"/>
        <v>48.896000000000001</v>
      </c>
      <c r="BL42" s="2">
        <f t="shared" si="103"/>
        <v>8.1687284869374803</v>
      </c>
      <c r="BM42" s="2">
        <f t="shared" si="104"/>
        <v>501.80720664937382</v>
      </c>
      <c r="BN42" s="2">
        <f t="shared" si="105"/>
        <v>0</v>
      </c>
      <c r="BO42" s="7">
        <f t="shared" si="106"/>
        <v>-121.8880677256015</v>
      </c>
      <c r="BQ42" s="1">
        <f t="shared" si="0"/>
        <v>48.896000000000001</v>
      </c>
      <c r="BR42" s="4">
        <f t="shared" ref="BR42" si="117">IF(ISNUMBER(SEARCH("Appui",E42)),0,"0")</f>
        <v>0</v>
      </c>
      <c r="BS42" s="2">
        <f t="shared" si="2"/>
        <v>48.896000000000001</v>
      </c>
      <c r="BT42" s="2">
        <f t="shared" si="23"/>
        <v>42.426316600790798</v>
      </c>
      <c r="BU42" s="21">
        <f t="shared" si="3"/>
        <v>0.86768481267978559</v>
      </c>
      <c r="BV42" s="21" t="str">
        <f t="shared" si="4"/>
        <v/>
      </c>
      <c r="BW42" s="21" t="str">
        <f t="shared" si="5"/>
        <v/>
      </c>
      <c r="BX42" s="21" t="str">
        <f t="shared" si="6"/>
        <v/>
      </c>
      <c r="BY42" s="1">
        <f t="shared" si="24"/>
        <v>67.718400000000003</v>
      </c>
      <c r="BZ42" s="4" t="str">
        <f t="shared" ref="BZ42" si="118">IF(ISNUMBER(SEARCH("Appui",M42)),0,"0")</f>
        <v>0</v>
      </c>
      <c r="CA42" s="2">
        <f t="shared" si="8"/>
        <v>67.718400000000003</v>
      </c>
      <c r="CB42" s="2">
        <f t="shared" si="25"/>
        <v>100.6965334720022</v>
      </c>
      <c r="CC42" s="21">
        <f t="shared" si="9"/>
        <v>1.4869892595218168</v>
      </c>
      <c r="CD42" s="2" t="str">
        <f t="shared" si="26"/>
        <v/>
      </c>
      <c r="CE42" s="2" t="str">
        <f t="shared" si="10"/>
        <v/>
      </c>
      <c r="CF42" s="21" t="str">
        <f t="shared" si="11"/>
        <v/>
      </c>
      <c r="CG42" s="10" t="str">
        <f t="shared" ref="CG42" si="119">IF(C40&lt;C42,"Rive",IF(C44&gt;C42,"Rive","Inter"))</f>
        <v>Inter</v>
      </c>
      <c r="CH42" s="21" t="str">
        <f t="shared" si="12"/>
        <v/>
      </c>
    </row>
    <row r="43" spans="1:86" x14ac:dyDescent="0.25">
      <c r="A43" t="str">
        <f t="shared" si="16"/>
        <v>Travée</v>
      </c>
      <c r="B43" t="b">
        <f t="shared" si="17"/>
        <v>1</v>
      </c>
      <c r="C43">
        <f t="shared" si="110"/>
        <v>4</v>
      </c>
      <c r="D43" s="5" t="s">
        <v>112</v>
      </c>
      <c r="E43" t="s">
        <v>53</v>
      </c>
      <c r="F43" s="5">
        <v>25</v>
      </c>
      <c r="G43" t="s">
        <v>46</v>
      </c>
      <c r="H43">
        <v>500</v>
      </c>
      <c r="I43">
        <v>220000</v>
      </c>
      <c r="J43">
        <v>1576</v>
      </c>
      <c r="K43" s="10">
        <v>1870</v>
      </c>
      <c r="L43" s="12">
        <v>1</v>
      </c>
      <c r="M43" s="5">
        <v>0.23499999999999999</v>
      </c>
      <c r="N43" s="10">
        <v>4</v>
      </c>
      <c r="O43" s="5">
        <v>1.5399999999999999E-3</v>
      </c>
      <c r="P43">
        <v>0.04</v>
      </c>
      <c r="Q43" s="10">
        <v>1</v>
      </c>
      <c r="R43" s="8">
        <v>0</v>
      </c>
      <c r="S43">
        <v>0</v>
      </c>
      <c r="T43">
        <v>1</v>
      </c>
      <c r="U43" s="9">
        <v>0</v>
      </c>
      <c r="V43">
        <v>0</v>
      </c>
      <c r="W43" s="10">
        <v>0</v>
      </c>
      <c r="X43" s="5">
        <v>36.0976</v>
      </c>
      <c r="Y43">
        <v>10.9648</v>
      </c>
      <c r="Z43" s="4">
        <v>0</v>
      </c>
      <c r="AA43" s="2">
        <v>36.0976</v>
      </c>
      <c r="AB43" s="2">
        <v>10.9648</v>
      </c>
      <c r="AC43" s="13">
        <v>0</v>
      </c>
      <c r="AD43" s="2">
        <v>36.0976</v>
      </c>
      <c r="AE43" s="2">
        <v>10.9648</v>
      </c>
      <c r="AF43" s="2">
        <v>65.178960000000004</v>
      </c>
      <c r="AG43" s="2"/>
      <c r="AH43" s="7">
        <v>47.062399999999997</v>
      </c>
      <c r="AI43" s="2">
        <v>36.0976</v>
      </c>
      <c r="AJ43" s="2">
        <v>10.9648</v>
      </c>
      <c r="AK43" s="2">
        <v>3.4163296677825392</v>
      </c>
      <c r="AL43" s="2">
        <v>1.037724711374219</v>
      </c>
      <c r="AM43" s="2">
        <v>-126.44784874677551</v>
      </c>
      <c r="AN43" s="2">
        <v>-38.409073510112698</v>
      </c>
      <c r="AO43" s="2">
        <v>0</v>
      </c>
      <c r="AP43" s="2">
        <v>0</v>
      </c>
      <c r="AQ43" s="2">
        <v>65.178960000000004</v>
      </c>
      <c r="AR43" s="2">
        <v>135.8343495956982</v>
      </c>
      <c r="AS43" s="2">
        <v>135.8343495956982</v>
      </c>
      <c r="AT43" s="2">
        <v>4.4898770580919294</v>
      </c>
      <c r="AU43" s="2">
        <v>-232.84737083521321</v>
      </c>
      <c r="AV43" s="2">
        <v>0</v>
      </c>
      <c r="AW43" s="2">
        <v>0</v>
      </c>
      <c r="AX43" s="1">
        <v>47.062399999999997</v>
      </c>
      <c r="AY43" s="2">
        <v>3.2860550877067101</v>
      </c>
      <c r="AZ43" s="2">
        <v>-167.9997408782985</v>
      </c>
      <c r="BA43" s="2">
        <v>135.8343495956982</v>
      </c>
      <c r="BC43" s="1">
        <f t="shared" si="97"/>
        <v>36.0976</v>
      </c>
      <c r="BD43" s="2">
        <f t="shared" si="98"/>
        <v>3.4163296677825392</v>
      </c>
      <c r="BE43" s="7">
        <f t="shared" si="99"/>
        <v>-126.44784874677551</v>
      </c>
      <c r="BF43" s="1">
        <f t="shared" si="100"/>
        <v>10.9648</v>
      </c>
      <c r="BG43" s="2">
        <f t="shared" si="101"/>
        <v>1.037724711374219</v>
      </c>
      <c r="BH43" s="2">
        <f t="shared" si="102"/>
        <v>-38.409073510112698</v>
      </c>
      <c r="BI43" s="2">
        <f t="shared" si="102"/>
        <v>0</v>
      </c>
      <c r="BJ43" s="7">
        <f t="shared" si="102"/>
        <v>0</v>
      </c>
      <c r="BK43" s="1">
        <f t="shared" si="103"/>
        <v>47.062399999999997</v>
      </c>
      <c r="BL43" s="2">
        <f t="shared" si="103"/>
        <v>4.4540543791567586</v>
      </c>
      <c r="BM43" s="2">
        <f t="shared" si="104"/>
        <v>164.8569222568882</v>
      </c>
      <c r="BN43" s="2">
        <f t="shared" si="105"/>
        <v>0</v>
      </c>
      <c r="BO43" s="7">
        <f t="shared" si="106"/>
        <v>0</v>
      </c>
      <c r="BQ43" s="1">
        <f t="shared" si="0"/>
        <v>47.062399999999997</v>
      </c>
      <c r="BR43" s="4">
        <v>0</v>
      </c>
      <c r="BS43" s="2">
        <f t="shared" si="2"/>
        <v>47.062399999999997</v>
      </c>
      <c r="BT43" s="2">
        <f t="shared" si="23"/>
        <v>135.8343495956982</v>
      </c>
      <c r="BU43" s="21">
        <f t="shared" si="3"/>
        <v>2.886260573105031</v>
      </c>
      <c r="BV43" s="21">
        <f t="shared" si="4"/>
        <v>121.87327999999999</v>
      </c>
      <c r="BW43" s="21">
        <f t="shared" si="5"/>
        <v>178.26066619648901</v>
      </c>
      <c r="BX43" s="21">
        <f t="shared" si="6"/>
        <v>1.4626722625048658</v>
      </c>
      <c r="BY43" s="1">
        <f t="shared" si="24"/>
        <v>65.178960000000004</v>
      </c>
      <c r="BZ43" s="4">
        <v>0</v>
      </c>
      <c r="CA43" s="2">
        <f t="shared" si="8"/>
        <v>65.178960000000004</v>
      </c>
      <c r="CB43" s="2">
        <f t="shared" si="25"/>
        <v>135.8343495956982</v>
      </c>
      <c r="CC43" s="21">
        <f t="shared" si="9"/>
        <v>2.0840214326171851</v>
      </c>
      <c r="CD43" s="2">
        <f t="shared" si="26"/>
        <v>168.78811200000001</v>
      </c>
      <c r="CE43" s="2">
        <f t="shared" si="10"/>
        <v>236.53088306770042</v>
      </c>
      <c r="CF43" s="21">
        <f t="shared" si="11"/>
        <v>1.4013479993644362</v>
      </c>
      <c r="CG43" s="15"/>
      <c r="CH43" s="21">
        <f t="shared" si="12"/>
        <v>1.0561209796368183</v>
      </c>
    </row>
    <row r="44" spans="1:86" x14ac:dyDescent="0.25">
      <c r="A44" t="str">
        <f t="shared" si="16"/>
        <v>Appui</v>
      </c>
      <c r="B44" t="b">
        <f t="shared" si="17"/>
        <v>1</v>
      </c>
      <c r="C44">
        <f t="shared" si="110"/>
        <v>4</v>
      </c>
      <c r="D44" s="5" t="s">
        <v>112</v>
      </c>
      <c r="E44" t="s">
        <v>54</v>
      </c>
      <c r="F44" s="5">
        <v>25</v>
      </c>
      <c r="G44" t="s">
        <v>46</v>
      </c>
      <c r="H44">
        <v>500</v>
      </c>
      <c r="I44">
        <v>220000</v>
      </c>
      <c r="J44">
        <v>1576</v>
      </c>
      <c r="K44" s="10">
        <v>1870</v>
      </c>
      <c r="L44" s="12">
        <v>1</v>
      </c>
      <c r="M44" s="5">
        <v>0.23499999999999999</v>
      </c>
      <c r="N44" s="10">
        <v>4</v>
      </c>
      <c r="O44" s="5">
        <v>5.13E-4</v>
      </c>
      <c r="P44">
        <v>5.5E-2</v>
      </c>
      <c r="Q44" s="10">
        <v>1</v>
      </c>
      <c r="R44" s="8">
        <v>0</v>
      </c>
      <c r="S44">
        <v>0</v>
      </c>
      <c r="T44">
        <v>1</v>
      </c>
      <c r="U44" s="9">
        <v>2.9099999999999999E-5</v>
      </c>
      <c r="V44">
        <v>0</v>
      </c>
      <c r="W44" s="10">
        <v>5</v>
      </c>
      <c r="X44" s="5">
        <v>77.258240000000001</v>
      </c>
      <c r="Y44">
        <v>23.46752</v>
      </c>
      <c r="Z44" s="4">
        <v>0</v>
      </c>
      <c r="AA44" s="2">
        <v>77.258240000000001</v>
      </c>
      <c r="AB44" s="2">
        <v>23.46752</v>
      </c>
      <c r="AC44" s="13">
        <v>0</v>
      </c>
      <c r="AD44" s="2">
        <v>77.258240000000001</v>
      </c>
      <c r="AE44" s="2">
        <v>23.46752</v>
      </c>
      <c r="AF44" s="2">
        <v>139.49990399999999</v>
      </c>
      <c r="AG44" s="2"/>
      <c r="AH44" s="7">
        <v>100.72575999999999</v>
      </c>
      <c r="AI44" s="2">
        <v>77.258240000000001</v>
      </c>
      <c r="AJ44" s="2">
        <v>23.46752</v>
      </c>
      <c r="AK44" s="2">
        <v>13.615008450407689</v>
      </c>
      <c r="AL44" s="2">
        <v>3.212572232683526</v>
      </c>
      <c r="AM44" s="2">
        <v>-863.66051961816356</v>
      </c>
      <c r="AN44" s="2">
        <v>-170.06232607954621</v>
      </c>
      <c r="AO44" s="2">
        <v>0</v>
      </c>
      <c r="AP44" s="2">
        <v>-251.08941951473901</v>
      </c>
      <c r="AQ44" s="2">
        <v>139.49990399999999</v>
      </c>
      <c r="AR44" s="2">
        <v>42.426316600790798</v>
      </c>
      <c r="AS44" s="2">
        <v>100.6965334720022</v>
      </c>
      <c r="AT44" s="2">
        <v>0</v>
      </c>
      <c r="AU44" s="2">
        <v>0</v>
      </c>
      <c r="AV44" s="2">
        <v>0</v>
      </c>
      <c r="AW44" s="2">
        <v>0</v>
      </c>
      <c r="AX44" s="1">
        <v>100.72575999999999</v>
      </c>
      <c r="AY44" s="2">
        <v>0</v>
      </c>
      <c r="AZ44" s="2">
        <v>0</v>
      </c>
      <c r="BA44" s="2">
        <v>42.426316600790798</v>
      </c>
      <c r="BC44" s="1">
        <f t="shared" si="97"/>
        <v>77.258240000000001</v>
      </c>
      <c r="BD44" s="2">
        <f t="shared" si="98"/>
        <v>13.615008450407689</v>
      </c>
      <c r="BE44" s="7">
        <f t="shared" si="99"/>
        <v>-863.66051961816356</v>
      </c>
      <c r="BF44" s="1">
        <f t="shared" si="100"/>
        <v>23.46752</v>
      </c>
      <c r="BG44" s="2">
        <f t="shared" si="101"/>
        <v>3.212572232683526</v>
      </c>
      <c r="BH44" s="2">
        <f t="shared" si="102"/>
        <v>-170.06232607954621</v>
      </c>
      <c r="BI44" s="2">
        <f t="shared" si="102"/>
        <v>0</v>
      </c>
      <c r="BJ44" s="7">
        <f t="shared" si="102"/>
        <v>-251.08941951473901</v>
      </c>
      <c r="BK44" s="1">
        <f t="shared" si="103"/>
        <v>100.72576000000001</v>
      </c>
      <c r="BL44" s="2">
        <f t="shared" si="103"/>
        <v>16.827580683091217</v>
      </c>
      <c r="BM44" s="2">
        <f t="shared" si="104"/>
        <v>1033.7228456977098</v>
      </c>
      <c r="BN44" s="2">
        <f t="shared" si="105"/>
        <v>0</v>
      </c>
      <c r="BO44" s="7">
        <f t="shared" si="106"/>
        <v>-251.08941951473901</v>
      </c>
      <c r="BQ44" s="1">
        <f t="shared" si="0"/>
        <v>100.72575999999999</v>
      </c>
      <c r="BR44" s="4">
        <f t="shared" ref="BR44" si="120">IF(ISNUMBER(SEARCH("Appui",E44)),0,"0")</f>
        <v>0</v>
      </c>
      <c r="BS44" s="2">
        <f t="shared" si="2"/>
        <v>100.72575999999999</v>
      </c>
      <c r="BT44" s="2">
        <f t="shared" si="23"/>
        <v>42.426316600790798</v>
      </c>
      <c r="BU44" s="21">
        <f t="shared" si="3"/>
        <v>0.4212062197474688</v>
      </c>
      <c r="BV44" s="21" t="str">
        <f t="shared" si="4"/>
        <v/>
      </c>
      <c r="BW44" s="21" t="str">
        <f t="shared" si="5"/>
        <v/>
      </c>
      <c r="BX44" s="21" t="str">
        <f t="shared" si="6"/>
        <v/>
      </c>
      <c r="BY44" s="1">
        <f t="shared" si="24"/>
        <v>139.49990399999999</v>
      </c>
      <c r="BZ44" s="4" t="str">
        <f t="shared" ref="BZ44" si="121">IF(ISNUMBER(SEARCH("Appui",M44)),0,"0")</f>
        <v>0</v>
      </c>
      <c r="CA44" s="2">
        <f t="shared" si="8"/>
        <v>139.49990399999999</v>
      </c>
      <c r="CB44" s="2">
        <f t="shared" si="25"/>
        <v>100.6965334720022</v>
      </c>
      <c r="CC44" s="21">
        <f t="shared" si="9"/>
        <v>0.72183944636981412</v>
      </c>
      <c r="CD44" s="2" t="str">
        <f t="shared" si="26"/>
        <v/>
      </c>
      <c r="CE44" s="2" t="str">
        <f t="shared" si="10"/>
        <v/>
      </c>
      <c r="CF44" s="21" t="str">
        <f t="shared" si="11"/>
        <v/>
      </c>
      <c r="CG44" s="10" t="str">
        <f t="shared" ref="CG44" si="122">IF(C42&lt;C44,"Rive",IF(C46&gt;C44,"Rive","Inter"))</f>
        <v>Rive</v>
      </c>
      <c r="CH44" s="21" t="str">
        <f t="shared" si="12"/>
        <v/>
      </c>
    </row>
    <row r="45" spans="1:86" x14ac:dyDescent="0.25">
      <c r="A45" t="str">
        <f t="shared" si="16"/>
        <v>Travée</v>
      </c>
      <c r="B45" t="b">
        <f t="shared" si="17"/>
        <v>1</v>
      </c>
      <c r="C45">
        <f t="shared" si="110"/>
        <v>4</v>
      </c>
      <c r="D45" s="5" t="s">
        <v>112</v>
      </c>
      <c r="E45" t="s">
        <v>55</v>
      </c>
      <c r="F45" s="5">
        <v>25</v>
      </c>
      <c r="G45" t="s">
        <v>46</v>
      </c>
      <c r="H45">
        <v>500</v>
      </c>
      <c r="I45">
        <v>220000</v>
      </c>
      <c r="J45">
        <v>1576</v>
      </c>
      <c r="K45" s="10">
        <v>1870</v>
      </c>
      <c r="L45" s="12">
        <v>1</v>
      </c>
      <c r="M45" s="5">
        <v>0.23499999999999999</v>
      </c>
      <c r="N45" s="10">
        <v>4</v>
      </c>
      <c r="O45" s="5">
        <v>2.052E-3</v>
      </c>
      <c r="P45">
        <v>0.04</v>
      </c>
      <c r="Q45" s="10">
        <v>1</v>
      </c>
      <c r="R45" s="8">
        <v>0</v>
      </c>
      <c r="S45">
        <v>0</v>
      </c>
      <c r="T45">
        <v>1</v>
      </c>
      <c r="U45" s="9">
        <v>0</v>
      </c>
      <c r="V45">
        <v>0</v>
      </c>
      <c r="W45" s="10">
        <v>0</v>
      </c>
      <c r="X45" s="5">
        <v>50.278799999999997</v>
      </c>
      <c r="Y45">
        <v>15.272399999999999</v>
      </c>
      <c r="Z45" s="4">
        <v>0</v>
      </c>
      <c r="AA45" s="2">
        <v>50.278799999999997</v>
      </c>
      <c r="AB45" s="2">
        <v>15.272399999999999</v>
      </c>
      <c r="AC45" s="13">
        <v>0</v>
      </c>
      <c r="AD45" s="2">
        <v>50.278799999999997</v>
      </c>
      <c r="AE45" s="2">
        <v>15.272399999999999</v>
      </c>
      <c r="AF45" s="2">
        <v>90.784980000000019</v>
      </c>
      <c r="AG45" s="2"/>
      <c r="AH45" s="7">
        <v>65.551200000000009</v>
      </c>
      <c r="AI45" s="2">
        <v>50.278799999999997</v>
      </c>
      <c r="AJ45" s="2">
        <v>15.272399999999999</v>
      </c>
      <c r="AK45" s="2">
        <v>4.2078930927280771</v>
      </c>
      <c r="AL45" s="2">
        <v>1.2781637487741411</v>
      </c>
      <c r="AM45" s="2">
        <v>-133.083447285635</v>
      </c>
      <c r="AN45" s="2">
        <v>-40.424675764068652</v>
      </c>
      <c r="AO45" s="2">
        <v>0</v>
      </c>
      <c r="AP45" s="2">
        <v>0</v>
      </c>
      <c r="AQ45" s="2">
        <v>90.784980000000019</v>
      </c>
      <c r="AR45" s="2">
        <v>176.642758331491</v>
      </c>
      <c r="AS45" s="2">
        <v>176.642758331491</v>
      </c>
      <c r="AT45" s="2">
        <v>5.4983386900302618</v>
      </c>
      <c r="AU45" s="2">
        <v>-245.97222617371671</v>
      </c>
      <c r="AV45" s="2">
        <v>0</v>
      </c>
      <c r="AW45" s="2">
        <v>0</v>
      </c>
      <c r="AX45" s="1">
        <v>65.551200000000009</v>
      </c>
      <c r="AY45" s="2">
        <v>4.0379487317738016</v>
      </c>
      <c r="AZ45" s="2">
        <v>-177.41268725438209</v>
      </c>
      <c r="BA45" s="2">
        <v>176.642758331491</v>
      </c>
      <c r="BC45" s="1">
        <f t="shared" si="97"/>
        <v>50.278799999999997</v>
      </c>
      <c r="BD45" s="2">
        <f t="shared" si="98"/>
        <v>4.2078930927280771</v>
      </c>
      <c r="BE45" s="7">
        <f t="shared" si="99"/>
        <v>-133.083447285635</v>
      </c>
      <c r="BF45" s="1">
        <f t="shared" si="100"/>
        <v>15.272399999999999</v>
      </c>
      <c r="BG45" s="2">
        <f t="shared" si="101"/>
        <v>1.2781637487741411</v>
      </c>
      <c r="BH45" s="2">
        <f t="shared" si="102"/>
        <v>-40.424675764068652</v>
      </c>
      <c r="BI45" s="2">
        <f t="shared" si="102"/>
        <v>0</v>
      </c>
      <c r="BJ45" s="7">
        <f t="shared" si="102"/>
        <v>0</v>
      </c>
      <c r="BK45" s="1">
        <f t="shared" si="103"/>
        <v>65.551199999999994</v>
      </c>
      <c r="BL45" s="2">
        <f t="shared" si="103"/>
        <v>5.4860568415022186</v>
      </c>
      <c r="BM45" s="2">
        <f t="shared" si="104"/>
        <v>173.50812304970367</v>
      </c>
      <c r="BN45" s="2">
        <f t="shared" si="105"/>
        <v>0</v>
      </c>
      <c r="BO45" s="7">
        <f t="shared" si="106"/>
        <v>0</v>
      </c>
      <c r="BQ45" s="1">
        <f t="shared" si="0"/>
        <v>65.551200000000009</v>
      </c>
      <c r="BR45" s="4">
        <v>0</v>
      </c>
      <c r="BS45" s="2">
        <f t="shared" si="2"/>
        <v>65.551200000000009</v>
      </c>
      <c r="BT45" s="2">
        <f t="shared" si="23"/>
        <v>176.642758331491</v>
      </c>
      <c r="BU45" s="21">
        <f t="shared" si="3"/>
        <v>2.6947295904802808</v>
      </c>
      <c r="BV45" s="21">
        <f t="shared" si="4"/>
        <v>115.91408000000001</v>
      </c>
      <c r="BW45" s="21">
        <f t="shared" si="5"/>
        <v>197.8559166318864</v>
      </c>
      <c r="BX45" s="21">
        <f t="shared" si="6"/>
        <v>1.7069187507840839</v>
      </c>
      <c r="BY45" s="1">
        <f t="shared" si="24"/>
        <v>90.784980000000019</v>
      </c>
      <c r="BZ45" s="4">
        <v>0</v>
      </c>
      <c r="CA45" s="2">
        <f t="shared" si="8"/>
        <v>90.784980000000019</v>
      </c>
      <c r="CB45" s="2">
        <f t="shared" si="25"/>
        <v>176.642758331491</v>
      </c>
      <c r="CC45" s="21">
        <f t="shared" si="9"/>
        <v>1.9457266866335263</v>
      </c>
      <c r="CD45" s="2">
        <f t="shared" si="26"/>
        <v>160.53493200000003</v>
      </c>
      <c r="CE45" s="2">
        <f t="shared" si="10"/>
        <v>226.9910250674921</v>
      </c>
      <c r="CF45" s="21">
        <f t="shared" si="11"/>
        <v>1.4139665569328679</v>
      </c>
      <c r="CG45" s="15"/>
      <c r="CH45" s="21">
        <f t="shared" si="12"/>
        <v>1.2324789014261792</v>
      </c>
    </row>
    <row r="46" spans="1:86" x14ac:dyDescent="0.25">
      <c r="A46" t="str">
        <f t="shared" si="16"/>
        <v/>
      </c>
      <c r="B46" t="b">
        <f t="shared" si="17"/>
        <v>1</v>
      </c>
      <c r="C46">
        <f t="shared" si="110"/>
        <v>100000</v>
      </c>
      <c r="D46" s="5"/>
      <c r="F46" s="5"/>
      <c r="K46" s="10"/>
      <c r="L46" s="12"/>
      <c r="M46" s="5"/>
      <c r="N46" s="10"/>
      <c r="O46" s="5"/>
      <c r="Q46" s="10"/>
      <c r="R46" s="8"/>
      <c r="U46" s="9"/>
      <c r="W46" s="10"/>
      <c r="X46" s="5"/>
      <c r="Z46" s="4"/>
      <c r="AA46" s="2"/>
      <c r="AB46" s="2"/>
      <c r="AC46" s="13"/>
      <c r="AD46" s="2"/>
      <c r="AE46" s="2"/>
      <c r="AF46" s="2"/>
      <c r="AG46" s="2"/>
      <c r="AH46" s="7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1"/>
      <c r="AY46" s="2"/>
      <c r="AZ46" s="2"/>
      <c r="BA46" s="2"/>
      <c r="BC46" s="1"/>
      <c r="BD46" s="2"/>
      <c r="BE46" s="7"/>
      <c r="BF46" s="1"/>
      <c r="BG46" s="2"/>
      <c r="BH46" s="2"/>
      <c r="BI46" s="2"/>
      <c r="BJ46" s="7"/>
      <c r="BK46" s="1"/>
      <c r="BL46" s="2"/>
      <c r="BM46" s="2"/>
      <c r="BN46" s="2"/>
      <c r="BO46" s="7"/>
      <c r="BQ46" s="1"/>
      <c r="BR46" s="4"/>
      <c r="BS46" s="2"/>
      <c r="BT46" s="2"/>
      <c r="BU46" s="21"/>
      <c r="BV46" s="21"/>
      <c r="BW46" s="21"/>
      <c r="BX46" s="21"/>
      <c r="BY46" s="1"/>
      <c r="BZ46" s="4"/>
      <c r="CA46" s="2"/>
      <c r="CB46" s="2"/>
      <c r="CC46" s="21" t="str">
        <f t="shared" si="9"/>
        <v/>
      </c>
      <c r="CD46" s="2"/>
      <c r="CE46" s="2"/>
      <c r="CF46" s="21"/>
      <c r="CG46" s="15"/>
      <c r="CH46" s="21"/>
    </row>
    <row r="47" spans="1:86" x14ac:dyDescent="0.25">
      <c r="A47" t="str">
        <f t="shared" si="16"/>
        <v/>
      </c>
      <c r="D47" s="5"/>
      <c r="F47" s="5"/>
      <c r="K47" s="10"/>
      <c r="L47" s="12"/>
      <c r="M47" s="5"/>
      <c r="N47" s="10"/>
      <c r="O47" s="5"/>
      <c r="Q47" s="10"/>
      <c r="R47" s="8"/>
      <c r="U47" s="9"/>
      <c r="W47" s="10"/>
      <c r="X47" s="5"/>
      <c r="Z47" s="4"/>
      <c r="AA47" s="2"/>
      <c r="AB47" s="2"/>
      <c r="AC47" s="13"/>
      <c r="AD47" s="2"/>
      <c r="AE47" s="2"/>
      <c r="AF47" s="2"/>
      <c r="AG47" s="2"/>
      <c r="AH47" s="7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1"/>
      <c r="AY47" s="2"/>
      <c r="AZ47" s="2"/>
      <c r="BA47" s="2"/>
      <c r="BC47" s="1"/>
      <c r="BD47" s="2"/>
      <c r="BE47" s="7"/>
      <c r="BF47" s="1"/>
      <c r="BG47" s="2"/>
      <c r="BH47" s="2"/>
      <c r="BI47" s="2"/>
      <c r="BJ47" s="7"/>
      <c r="BK47" s="1"/>
      <c r="BL47" s="2"/>
      <c r="BM47" s="2"/>
      <c r="BN47" s="2"/>
      <c r="BO47" s="7"/>
      <c r="BQ47" s="1"/>
      <c r="BR47" s="4"/>
      <c r="BS47" s="2"/>
      <c r="BT47" s="2"/>
      <c r="BU47" s="21"/>
      <c r="BV47" s="21"/>
      <c r="BW47" s="21"/>
      <c r="BX47" s="21"/>
      <c r="BY47" s="1"/>
      <c r="BZ47" s="4"/>
      <c r="CA47" s="2"/>
      <c r="CB47" s="2"/>
      <c r="CC47" s="21" t="str">
        <f t="shared" si="9"/>
        <v/>
      </c>
      <c r="CD47" s="2"/>
      <c r="CE47" s="2"/>
      <c r="CF47" s="21"/>
      <c r="CG47" s="10"/>
      <c r="CH47" s="21"/>
    </row>
    <row r="48" spans="1:86" x14ac:dyDescent="0.25">
      <c r="A48" t="str">
        <f t="shared" si="16"/>
        <v/>
      </c>
      <c r="D48" s="5"/>
      <c r="F48" s="5"/>
      <c r="K48" s="10"/>
      <c r="L48" s="12"/>
      <c r="M48" s="5"/>
      <c r="N48" s="10"/>
      <c r="O48" s="5"/>
      <c r="Q48" s="10"/>
      <c r="R48" s="8"/>
      <c r="U48" s="9"/>
      <c r="W48" s="10"/>
      <c r="X48" s="5"/>
      <c r="Z48" s="4"/>
      <c r="AA48" s="2"/>
      <c r="AB48" s="2"/>
      <c r="AC48" s="13"/>
      <c r="AD48" s="2"/>
      <c r="AE48" s="2"/>
      <c r="AF48" s="2"/>
      <c r="AG48" s="2"/>
      <c r="AH48" s="7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1"/>
      <c r="AY48" s="2"/>
      <c r="AZ48" s="2"/>
      <c r="BA48" s="2"/>
      <c r="BC48" s="1"/>
      <c r="BD48" s="2"/>
      <c r="BE48" s="7"/>
      <c r="BF48" s="1"/>
      <c r="BG48" s="2"/>
      <c r="BH48" s="2"/>
      <c r="BI48" s="2"/>
      <c r="BJ48" s="7"/>
      <c r="BK48" s="1"/>
      <c r="BL48" s="2"/>
      <c r="BM48" s="2"/>
      <c r="BN48" s="2"/>
      <c r="BO48" s="7"/>
      <c r="BQ48" s="1"/>
      <c r="BR48" s="4"/>
      <c r="BS48" s="2"/>
      <c r="BT48" s="2"/>
      <c r="BU48" s="21"/>
      <c r="BV48" s="21"/>
      <c r="BW48" s="21"/>
      <c r="BX48" s="21"/>
      <c r="BY48" s="1"/>
      <c r="BZ48" s="4"/>
      <c r="CA48" s="2"/>
      <c r="CB48" s="2"/>
      <c r="CC48" s="21" t="str">
        <f t="shared" si="9"/>
        <v/>
      </c>
      <c r="CD48" s="2"/>
      <c r="CE48" s="2"/>
      <c r="CF48" s="21"/>
      <c r="CG48" s="15"/>
      <c r="CH48" s="21"/>
    </row>
    <row r="49" spans="1:86" x14ac:dyDescent="0.25">
      <c r="A49" t="str">
        <f t="shared" si="16"/>
        <v/>
      </c>
      <c r="D49" s="5"/>
      <c r="F49" s="5"/>
      <c r="K49" s="10"/>
      <c r="L49" s="12"/>
      <c r="M49" s="5"/>
      <c r="N49" s="10"/>
      <c r="O49" s="5"/>
      <c r="Q49" s="10"/>
      <c r="R49" s="8"/>
      <c r="U49" s="9"/>
      <c r="W49" s="10"/>
      <c r="X49" s="5"/>
      <c r="Z49" s="4"/>
      <c r="AA49" s="2"/>
      <c r="AB49" s="2"/>
      <c r="AC49" s="13"/>
      <c r="AD49" s="2"/>
      <c r="AE49" s="2"/>
      <c r="AF49" s="2"/>
      <c r="AG49" s="2"/>
      <c r="AH49" s="7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1"/>
      <c r="AY49" s="2"/>
      <c r="AZ49" s="2"/>
      <c r="BA49" s="2"/>
      <c r="BC49" s="1"/>
      <c r="BD49" s="2"/>
      <c r="BE49" s="7"/>
      <c r="BF49" s="1"/>
      <c r="BG49" s="2"/>
      <c r="BH49" s="2"/>
      <c r="BI49" s="2"/>
      <c r="BJ49" s="7"/>
      <c r="BK49" s="1"/>
      <c r="BL49" s="2"/>
      <c r="BM49" s="2"/>
      <c r="BN49" s="2"/>
      <c r="BO49" s="7"/>
      <c r="BQ49" s="1"/>
      <c r="BR49" s="4"/>
      <c r="BS49" s="2"/>
      <c r="BT49" s="2"/>
      <c r="BU49" s="21"/>
      <c r="BV49" s="21"/>
      <c r="BW49" s="21"/>
      <c r="BX49" s="21"/>
      <c r="BY49" s="1"/>
      <c r="BZ49" s="4"/>
      <c r="CA49" s="2"/>
      <c r="CB49" s="2"/>
      <c r="CC49" s="21" t="str">
        <f t="shared" si="9"/>
        <v/>
      </c>
      <c r="CD49" s="2"/>
      <c r="CE49" s="2"/>
      <c r="CF49" s="21"/>
      <c r="CG49" s="10"/>
      <c r="CH49" s="21"/>
    </row>
    <row r="50" spans="1:86" x14ac:dyDescent="0.25">
      <c r="A50" t="str">
        <f t="shared" si="16"/>
        <v/>
      </c>
      <c r="D50" s="5"/>
      <c r="F50" s="5"/>
      <c r="K50" s="10"/>
      <c r="L50" s="12"/>
      <c r="M50" s="5"/>
      <c r="N50" s="10"/>
      <c r="O50" s="5"/>
      <c r="Q50" s="10"/>
      <c r="R50" s="8"/>
      <c r="U50" s="9"/>
      <c r="W50" s="10"/>
      <c r="X50" s="5"/>
      <c r="Z50" s="4"/>
      <c r="AA50" s="2"/>
      <c r="AB50" s="2"/>
      <c r="AC50" s="13"/>
      <c r="AD50" s="2"/>
      <c r="AE50" s="2"/>
      <c r="AF50" s="2"/>
      <c r="AG50" s="2"/>
      <c r="AH50" s="7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1"/>
      <c r="AY50" s="2"/>
      <c r="AZ50" s="2"/>
      <c r="BA50" s="2"/>
      <c r="BC50" s="1"/>
      <c r="BD50" s="2"/>
      <c r="BE50" s="7"/>
      <c r="BF50" s="1"/>
      <c r="BG50" s="2"/>
      <c r="BH50" s="2"/>
      <c r="BI50" s="2"/>
      <c r="BJ50" s="7"/>
      <c r="BK50" s="1"/>
      <c r="BL50" s="2"/>
      <c r="BM50" s="2"/>
      <c r="BN50" s="2"/>
      <c r="BO50" s="7"/>
      <c r="BQ50" s="1"/>
      <c r="BR50" s="4"/>
      <c r="BS50" s="2"/>
      <c r="BT50" s="2"/>
      <c r="BU50" s="21"/>
      <c r="BV50" s="21"/>
      <c r="BW50" s="21"/>
      <c r="BX50" s="21"/>
      <c r="BY50" s="1"/>
      <c r="BZ50" s="4"/>
      <c r="CA50" s="2"/>
      <c r="CB50" s="2"/>
      <c r="CC50" s="21" t="str">
        <f t="shared" si="9"/>
        <v/>
      </c>
      <c r="CD50" s="2"/>
      <c r="CE50" s="2"/>
      <c r="CF50" s="21"/>
      <c r="CG50" s="15"/>
      <c r="CH50" s="21"/>
    </row>
    <row r="51" spans="1:86" x14ac:dyDescent="0.25">
      <c r="A51" t="str">
        <f t="shared" si="16"/>
        <v/>
      </c>
      <c r="D51" s="5"/>
      <c r="F51" s="5"/>
      <c r="K51" s="10"/>
      <c r="L51" s="12"/>
      <c r="M51" s="5"/>
      <c r="N51" s="10"/>
      <c r="O51" s="5"/>
      <c r="Q51" s="10"/>
      <c r="R51" s="8"/>
      <c r="U51" s="9"/>
      <c r="W51" s="10"/>
      <c r="X51" s="5"/>
      <c r="Z51" s="4"/>
      <c r="AA51" s="2"/>
      <c r="AB51" s="2"/>
      <c r="AC51" s="13"/>
      <c r="AD51" s="2"/>
      <c r="AE51" s="2"/>
      <c r="AF51" s="2"/>
      <c r="AG51" s="2"/>
      <c r="AH51" s="7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1"/>
      <c r="AY51" s="2"/>
      <c r="AZ51" s="2"/>
      <c r="BA51" s="2"/>
      <c r="BC51" s="1"/>
      <c r="BD51" s="2"/>
      <c r="BE51" s="7"/>
      <c r="BF51" s="1"/>
      <c r="BG51" s="2"/>
      <c r="BH51" s="2"/>
      <c r="BI51" s="2"/>
      <c r="BJ51" s="7"/>
      <c r="BK51" s="1"/>
      <c r="BL51" s="2"/>
      <c r="BM51" s="2"/>
      <c r="BN51" s="2"/>
      <c r="BO51" s="7"/>
      <c r="BQ51" s="1"/>
      <c r="BR51" s="4"/>
      <c r="BS51" s="2"/>
      <c r="BT51" s="2"/>
      <c r="BU51" s="21"/>
      <c r="BV51" s="21"/>
      <c r="BW51" s="21"/>
      <c r="BX51" s="21"/>
      <c r="BY51" s="1"/>
      <c r="BZ51" s="4"/>
      <c r="CA51" s="2"/>
      <c r="CB51" s="2"/>
      <c r="CC51" s="21" t="str">
        <f t="shared" si="9"/>
        <v/>
      </c>
      <c r="CD51" s="2"/>
      <c r="CE51" s="2"/>
      <c r="CF51" s="21"/>
      <c r="CG51" s="10"/>
      <c r="CH51" s="21"/>
    </row>
    <row r="52" spans="1:86" x14ac:dyDescent="0.25">
      <c r="A52" t="str">
        <f t="shared" si="16"/>
        <v/>
      </c>
      <c r="D52" s="5"/>
      <c r="F52" s="5"/>
      <c r="K52" s="10"/>
      <c r="L52" s="12"/>
      <c r="M52" s="5"/>
      <c r="N52" s="10"/>
      <c r="O52" s="5"/>
      <c r="Q52" s="10"/>
      <c r="R52" s="8"/>
      <c r="U52" s="9"/>
      <c r="W52" s="10"/>
      <c r="X52" s="5"/>
      <c r="Z52" s="4"/>
      <c r="AA52" s="2"/>
      <c r="AB52" s="2"/>
      <c r="AC52" s="13"/>
      <c r="AD52" s="2"/>
      <c r="AE52" s="2"/>
      <c r="AF52" s="2"/>
      <c r="AG52" s="2"/>
      <c r="AH52" s="7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1"/>
      <c r="AY52" s="2"/>
      <c r="AZ52" s="2"/>
      <c r="BA52" s="2"/>
      <c r="BC52" s="1"/>
      <c r="BD52" s="2"/>
      <c r="BE52" s="7"/>
      <c r="BF52" s="1"/>
      <c r="BG52" s="2"/>
      <c r="BH52" s="2"/>
      <c r="BI52" s="2"/>
      <c r="BJ52" s="7"/>
      <c r="BK52" s="1"/>
      <c r="BL52" s="2"/>
      <c r="BM52" s="2"/>
      <c r="BN52" s="2"/>
      <c r="BO52" s="7"/>
      <c r="BQ52" s="1"/>
      <c r="BR52" s="4"/>
      <c r="BS52" s="2"/>
      <c r="BT52" s="2"/>
      <c r="BU52" s="21"/>
      <c r="BV52" s="21"/>
      <c r="BW52" s="21"/>
      <c r="BX52" s="21"/>
      <c r="BY52" s="1"/>
      <c r="BZ52" s="4"/>
      <c r="CA52" s="2"/>
      <c r="CB52" s="2"/>
      <c r="CC52" s="21" t="str">
        <f t="shared" si="9"/>
        <v/>
      </c>
      <c r="CD52" s="2"/>
      <c r="CE52" s="2"/>
      <c r="CF52" s="21"/>
      <c r="CG52" s="15"/>
      <c r="CH52" s="21"/>
    </row>
    <row r="53" spans="1:86" x14ac:dyDescent="0.25">
      <c r="A53" t="str">
        <f t="shared" si="16"/>
        <v/>
      </c>
      <c r="D53" s="5"/>
      <c r="F53" s="5"/>
      <c r="K53" s="10"/>
      <c r="L53" s="12"/>
      <c r="M53" s="5"/>
      <c r="N53" s="10"/>
      <c r="O53" s="5"/>
      <c r="Q53" s="10"/>
      <c r="R53" s="8"/>
      <c r="U53" s="9"/>
      <c r="W53" s="10"/>
      <c r="X53" s="5"/>
      <c r="Z53" s="4"/>
      <c r="AA53" s="2"/>
      <c r="AB53" s="2"/>
      <c r="AC53" s="13"/>
      <c r="AD53" s="2"/>
      <c r="AE53" s="2"/>
      <c r="AF53" s="2"/>
      <c r="AG53" s="2"/>
      <c r="AH53" s="7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1"/>
      <c r="AY53" s="2"/>
      <c r="AZ53" s="2"/>
      <c r="BA53" s="2"/>
      <c r="BC53" s="1"/>
      <c r="BD53" s="2"/>
      <c r="BE53" s="7"/>
      <c r="BF53" s="1"/>
      <c r="BG53" s="2"/>
      <c r="BH53" s="2"/>
      <c r="BI53" s="2"/>
      <c r="BJ53" s="7"/>
      <c r="BK53" s="1"/>
      <c r="BL53" s="2"/>
      <c r="BM53" s="2"/>
      <c r="BN53" s="2"/>
      <c r="BO53" s="7"/>
      <c r="BQ53" s="1"/>
      <c r="BR53" s="4"/>
      <c r="BS53" s="2"/>
      <c r="BT53" s="2"/>
      <c r="BU53" s="21"/>
      <c r="BV53" s="21"/>
      <c r="BW53" s="21"/>
      <c r="BX53" s="21"/>
      <c r="BY53" s="1"/>
      <c r="BZ53" s="4"/>
      <c r="CA53" s="2"/>
      <c r="CB53" s="2"/>
      <c r="CC53" s="21" t="str">
        <f t="shared" si="9"/>
        <v/>
      </c>
      <c r="CD53" s="2"/>
      <c r="CE53" s="2"/>
      <c r="CF53" s="21"/>
      <c r="CG53" s="10"/>
      <c r="CH53" s="21"/>
    </row>
    <row r="54" spans="1:86" x14ac:dyDescent="0.25">
      <c r="A54" t="str">
        <f t="shared" si="16"/>
        <v/>
      </c>
      <c r="D54" s="5"/>
      <c r="F54" s="5"/>
      <c r="K54" s="10"/>
      <c r="L54" s="12"/>
      <c r="M54" s="5"/>
      <c r="N54" s="10"/>
      <c r="O54" s="5"/>
      <c r="Q54" s="10"/>
      <c r="R54" s="8"/>
      <c r="U54" s="9"/>
      <c r="W54" s="10"/>
      <c r="X54" s="5"/>
      <c r="Z54" s="4"/>
      <c r="AA54" s="2"/>
      <c r="AB54" s="2"/>
      <c r="AC54" s="13"/>
      <c r="AD54" s="2"/>
      <c r="AE54" s="2"/>
      <c r="AF54" s="2"/>
      <c r="AG54" s="2"/>
      <c r="AH54" s="7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1"/>
      <c r="AY54" s="2"/>
      <c r="AZ54" s="2"/>
      <c r="BA54" s="2"/>
      <c r="BC54" s="1"/>
      <c r="BD54" s="2"/>
      <c r="BE54" s="7"/>
      <c r="BF54" s="1"/>
      <c r="BG54" s="2"/>
      <c r="BH54" s="2"/>
      <c r="BI54" s="2"/>
      <c r="BJ54" s="7"/>
      <c r="BK54" s="1"/>
      <c r="BL54" s="2"/>
      <c r="BM54" s="2"/>
      <c r="BN54" s="2"/>
      <c r="BO54" s="7"/>
      <c r="BQ54" s="1"/>
      <c r="BR54" s="4"/>
      <c r="BS54" s="2"/>
      <c r="BT54" s="2"/>
      <c r="BU54" s="21"/>
      <c r="BV54" s="21"/>
      <c r="BW54" s="21"/>
      <c r="BX54" s="21"/>
      <c r="BY54" s="1"/>
      <c r="BZ54" s="4"/>
      <c r="CA54" s="2"/>
      <c r="CB54" s="2"/>
      <c r="CC54" s="21" t="str">
        <f t="shared" si="9"/>
        <v/>
      </c>
      <c r="CD54" s="2"/>
      <c r="CE54" s="2"/>
      <c r="CF54" s="21"/>
      <c r="CG54" s="15"/>
      <c r="CH54" s="21"/>
    </row>
    <row r="55" spans="1:86" x14ac:dyDescent="0.25">
      <c r="A55" t="str">
        <f t="shared" si="16"/>
        <v/>
      </c>
      <c r="D55" s="5"/>
      <c r="F55" s="5"/>
      <c r="K55" s="10"/>
      <c r="L55" s="12"/>
      <c r="M55" s="5"/>
      <c r="N55" s="10"/>
      <c r="O55" s="5"/>
      <c r="Q55" s="10"/>
      <c r="R55" s="8"/>
      <c r="U55" s="9"/>
      <c r="W55" s="10"/>
      <c r="X55" s="5"/>
      <c r="Z55" s="4"/>
      <c r="AA55" s="2"/>
      <c r="AB55" s="2"/>
      <c r="AC55" s="13"/>
      <c r="AD55" s="2"/>
      <c r="AE55" s="2"/>
      <c r="AF55" s="2"/>
      <c r="AG55" s="2"/>
      <c r="AH55" s="7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1"/>
      <c r="AY55" s="2"/>
      <c r="AZ55" s="2"/>
      <c r="BA55" s="2"/>
      <c r="BC55" s="1"/>
      <c r="BD55" s="2"/>
      <c r="BE55" s="7"/>
      <c r="BF55" s="1"/>
      <c r="BG55" s="2"/>
      <c r="BH55" s="2"/>
      <c r="BI55" s="2"/>
      <c r="BJ55" s="7"/>
      <c r="BK55" s="1"/>
      <c r="BL55" s="2"/>
      <c r="BM55" s="2"/>
      <c r="BN55" s="2"/>
      <c r="BO55" s="7"/>
      <c r="BQ55" s="1"/>
      <c r="BR55" s="4"/>
      <c r="BS55" s="2"/>
      <c r="BT55" s="2"/>
      <c r="BU55" s="21"/>
      <c r="BV55" s="21"/>
      <c r="BW55" s="21"/>
      <c r="BX55" s="21"/>
      <c r="BY55" s="1"/>
      <c r="BZ55" s="4"/>
      <c r="CA55" s="2"/>
      <c r="CB55" s="2"/>
      <c r="CC55" s="21" t="str">
        <f t="shared" si="9"/>
        <v/>
      </c>
      <c r="CD55" s="2"/>
      <c r="CE55" s="2"/>
      <c r="CF55" s="21"/>
      <c r="CG55" s="10"/>
      <c r="CH55" s="21"/>
    </row>
    <row r="56" spans="1:86" x14ac:dyDescent="0.25">
      <c r="A56" t="str">
        <f t="shared" si="16"/>
        <v/>
      </c>
      <c r="D56" s="5"/>
      <c r="F56" s="5"/>
      <c r="K56" s="10"/>
      <c r="L56" s="12"/>
      <c r="M56" s="5"/>
      <c r="N56" s="10"/>
      <c r="O56" s="5"/>
      <c r="Q56" s="10"/>
      <c r="R56" s="8"/>
      <c r="U56" s="9"/>
      <c r="W56" s="10"/>
      <c r="X56" s="5"/>
      <c r="Z56" s="4"/>
      <c r="AA56" s="2"/>
      <c r="AB56" s="2"/>
      <c r="AC56" s="13"/>
      <c r="AD56" s="2"/>
      <c r="AE56" s="2"/>
      <c r="AF56" s="2"/>
      <c r="AG56" s="2"/>
      <c r="AH56" s="7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1"/>
      <c r="AY56" s="2"/>
      <c r="AZ56" s="2"/>
      <c r="BA56" s="2"/>
      <c r="BC56" s="1"/>
      <c r="BD56" s="2"/>
      <c r="BE56" s="7"/>
      <c r="BF56" s="1"/>
      <c r="BG56" s="2"/>
      <c r="BH56" s="2"/>
      <c r="BI56" s="2"/>
      <c r="BJ56" s="7"/>
      <c r="BK56" s="1"/>
      <c r="BL56" s="2"/>
      <c r="BM56" s="2"/>
      <c r="BN56" s="2"/>
      <c r="BO56" s="7"/>
      <c r="BQ56" s="1"/>
      <c r="BR56" s="4"/>
      <c r="BS56" s="2"/>
      <c r="BT56" s="2"/>
      <c r="BU56" s="21"/>
      <c r="BV56" s="21"/>
      <c r="BW56" s="21"/>
      <c r="BX56" s="21"/>
      <c r="BY56" s="1"/>
      <c r="BZ56" s="4"/>
      <c r="CA56" s="2"/>
      <c r="CB56" s="2"/>
      <c r="CC56" s="21" t="str">
        <f t="shared" si="9"/>
        <v/>
      </c>
      <c r="CD56" s="2"/>
      <c r="CE56" s="2"/>
      <c r="CF56" s="21"/>
      <c r="CG56" s="15"/>
      <c r="CH56" s="21"/>
    </row>
    <row r="57" spans="1:86" x14ac:dyDescent="0.25">
      <c r="A57" t="str">
        <f t="shared" si="16"/>
        <v/>
      </c>
      <c r="D57" s="5"/>
      <c r="F57" s="5"/>
      <c r="K57" s="10"/>
      <c r="L57" s="12"/>
      <c r="M57" s="5"/>
      <c r="N57" s="10"/>
      <c r="O57" s="5"/>
      <c r="Q57" s="10"/>
      <c r="R57" s="8"/>
      <c r="U57" s="9"/>
      <c r="W57" s="10"/>
      <c r="X57" s="5"/>
      <c r="Z57" s="4"/>
      <c r="AA57" s="2"/>
      <c r="AB57" s="2"/>
      <c r="AC57" s="13"/>
      <c r="AD57" s="2"/>
      <c r="AE57" s="2"/>
      <c r="AF57" s="2"/>
      <c r="AG57" s="2"/>
      <c r="AH57" s="7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1"/>
      <c r="AY57" s="2"/>
      <c r="AZ57" s="2"/>
      <c r="BA57" s="2"/>
      <c r="BC57" s="1"/>
      <c r="BD57" s="2"/>
      <c r="BE57" s="7"/>
      <c r="BF57" s="1"/>
      <c r="BG57" s="2"/>
      <c r="BH57" s="2"/>
      <c r="BI57" s="2"/>
      <c r="BJ57" s="7"/>
      <c r="BK57" s="1"/>
      <c r="BL57" s="2"/>
      <c r="BM57" s="2"/>
      <c r="BN57" s="2"/>
      <c r="BO57" s="7"/>
      <c r="BQ57" s="1"/>
      <c r="BR57" s="4"/>
      <c r="BS57" s="2"/>
      <c r="BT57" s="2"/>
      <c r="BU57" s="21"/>
      <c r="BV57" s="21"/>
      <c r="BW57" s="21"/>
      <c r="BX57" s="21"/>
      <c r="BY57" s="1"/>
      <c r="BZ57" s="4"/>
      <c r="CA57" s="2"/>
      <c r="CB57" s="2"/>
      <c r="CC57" s="21" t="str">
        <f t="shared" si="9"/>
        <v/>
      </c>
      <c r="CD57" s="2"/>
      <c r="CE57" s="2"/>
      <c r="CF57" s="21"/>
      <c r="CG57" s="10"/>
      <c r="CH57" s="21"/>
    </row>
    <row r="58" spans="1:86" x14ac:dyDescent="0.25">
      <c r="A58" t="str">
        <f t="shared" si="16"/>
        <v/>
      </c>
      <c r="D58" s="5"/>
      <c r="F58" s="5"/>
      <c r="K58" s="10"/>
      <c r="L58" s="12"/>
      <c r="M58" s="5"/>
      <c r="N58" s="10"/>
      <c r="O58" s="5"/>
      <c r="Q58" s="10"/>
      <c r="R58" s="8"/>
      <c r="U58" s="9"/>
      <c r="W58" s="10"/>
      <c r="X58" s="5"/>
      <c r="Z58" s="4"/>
      <c r="AA58" s="2"/>
      <c r="AB58" s="2"/>
      <c r="AC58" s="13"/>
      <c r="AD58" s="2"/>
      <c r="AE58" s="2"/>
      <c r="AF58" s="2"/>
      <c r="AG58" s="2"/>
      <c r="AH58" s="7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1"/>
      <c r="AY58" s="2"/>
      <c r="AZ58" s="2"/>
      <c r="BA58" s="2"/>
      <c r="BC58" s="1"/>
      <c r="BD58" s="2"/>
      <c r="BE58" s="7"/>
      <c r="BF58" s="1"/>
      <c r="BG58" s="2"/>
      <c r="BH58" s="2"/>
      <c r="BI58" s="2"/>
      <c r="BJ58" s="7"/>
      <c r="BK58" s="1"/>
      <c r="BL58" s="2"/>
      <c r="BM58" s="2"/>
      <c r="BN58" s="2"/>
      <c r="BO58" s="7"/>
      <c r="BQ58" s="1"/>
      <c r="BR58" s="4"/>
      <c r="BS58" s="2"/>
      <c r="BT58" s="2"/>
      <c r="BU58" s="21"/>
      <c r="BV58" s="21"/>
      <c r="BW58" s="21"/>
      <c r="BX58" s="21"/>
      <c r="BY58" s="1"/>
      <c r="BZ58" s="4"/>
      <c r="CA58" s="2"/>
      <c r="CB58" s="2"/>
      <c r="CC58" s="21" t="str">
        <f t="shared" si="9"/>
        <v/>
      </c>
      <c r="CD58" s="2"/>
      <c r="CE58" s="2"/>
      <c r="CF58" s="21"/>
      <c r="CG58" s="15"/>
      <c r="CH58" s="21"/>
    </row>
    <row r="59" spans="1:86" x14ac:dyDescent="0.25">
      <c r="A59" t="str">
        <f t="shared" si="16"/>
        <v/>
      </c>
      <c r="D59" s="5"/>
      <c r="F59" s="5"/>
      <c r="K59" s="10"/>
      <c r="L59" s="12"/>
      <c r="M59" s="5"/>
      <c r="N59" s="10"/>
      <c r="O59" s="5"/>
      <c r="Q59" s="10"/>
      <c r="R59" s="8"/>
      <c r="U59" s="9"/>
      <c r="W59" s="10"/>
      <c r="X59" s="5"/>
      <c r="Z59" s="4"/>
      <c r="AA59" s="2"/>
      <c r="AB59" s="2"/>
      <c r="AC59" s="13"/>
      <c r="AD59" s="2"/>
      <c r="AE59" s="2"/>
      <c r="AF59" s="2"/>
      <c r="AG59" s="2"/>
      <c r="AH59" s="7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1"/>
      <c r="AY59" s="2"/>
      <c r="AZ59" s="2"/>
      <c r="BA59" s="2"/>
      <c r="BC59" s="1"/>
      <c r="BD59" s="2"/>
      <c r="BE59" s="7"/>
      <c r="BF59" s="1"/>
      <c r="BG59" s="2"/>
      <c r="BH59" s="2"/>
      <c r="BI59" s="2"/>
      <c r="BJ59" s="7"/>
      <c r="BK59" s="1"/>
      <c r="BL59" s="2"/>
      <c r="BM59" s="2"/>
      <c r="BN59" s="2"/>
      <c r="BO59" s="7"/>
      <c r="BQ59" s="1"/>
      <c r="BR59" s="4"/>
      <c r="BS59" s="2"/>
      <c r="BT59" s="2"/>
      <c r="BU59" s="21"/>
      <c r="BV59" s="21"/>
      <c r="BW59" s="21"/>
      <c r="BX59" s="21"/>
      <c r="BY59" s="1"/>
      <c r="BZ59" s="4"/>
      <c r="CA59" s="2"/>
      <c r="CB59" s="2"/>
      <c r="CC59" s="21" t="str">
        <f t="shared" si="9"/>
        <v/>
      </c>
      <c r="CD59" s="2"/>
      <c r="CE59" s="2"/>
      <c r="CF59" s="21"/>
      <c r="CG59" s="10"/>
      <c r="CH59" s="21"/>
    </row>
    <row r="60" spans="1:86" x14ac:dyDescent="0.25">
      <c r="A60" t="str">
        <f t="shared" si="16"/>
        <v/>
      </c>
      <c r="D60" s="5"/>
      <c r="F60" s="5"/>
      <c r="K60" s="10"/>
      <c r="L60" s="12"/>
      <c r="M60" s="5"/>
      <c r="N60" s="10"/>
      <c r="O60" s="5"/>
      <c r="Q60" s="10"/>
      <c r="R60" s="8"/>
      <c r="U60" s="9"/>
      <c r="W60" s="10"/>
      <c r="X60" s="5"/>
      <c r="Z60" s="4"/>
      <c r="AA60" s="2"/>
      <c r="AB60" s="2"/>
      <c r="AC60" s="13"/>
      <c r="AD60" s="2"/>
      <c r="AE60" s="2"/>
      <c r="AF60" s="2"/>
      <c r="AG60" s="2"/>
      <c r="AH60" s="7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1"/>
      <c r="AY60" s="2"/>
      <c r="AZ60" s="2"/>
      <c r="BA60" s="2"/>
      <c r="BC60" s="1"/>
      <c r="BD60" s="2"/>
      <c r="BE60" s="7"/>
      <c r="BF60" s="1"/>
      <c r="BG60" s="2"/>
      <c r="BH60" s="2"/>
      <c r="BI60" s="2"/>
      <c r="BJ60" s="7"/>
      <c r="BK60" s="1"/>
      <c r="BL60" s="2"/>
      <c r="BM60" s="2"/>
      <c r="BN60" s="2"/>
      <c r="BO60" s="7"/>
      <c r="BQ60" s="1"/>
      <c r="BR60" s="4"/>
      <c r="BS60" s="2"/>
      <c r="BT60" s="2"/>
      <c r="BU60" s="21"/>
      <c r="BV60" s="21"/>
      <c r="BW60" s="21"/>
      <c r="BX60" s="21"/>
      <c r="BY60" s="1"/>
      <c r="BZ60" s="4"/>
      <c r="CA60" s="2"/>
      <c r="CB60" s="2"/>
      <c r="CC60" s="21" t="str">
        <f t="shared" si="9"/>
        <v/>
      </c>
      <c r="CD60" s="2"/>
      <c r="CE60" s="2"/>
      <c r="CF60" s="21"/>
      <c r="CG60" s="15"/>
      <c r="CH60" s="21"/>
    </row>
    <row r="61" spans="1:86" x14ac:dyDescent="0.25">
      <c r="A61" t="str">
        <f t="shared" si="16"/>
        <v/>
      </c>
      <c r="D61" s="5"/>
      <c r="F61" s="5"/>
      <c r="K61" s="10"/>
      <c r="L61" s="12"/>
      <c r="M61" s="5"/>
      <c r="N61" s="10"/>
      <c r="O61" s="5"/>
      <c r="Q61" s="10"/>
      <c r="R61" s="8"/>
      <c r="U61" s="9"/>
      <c r="W61" s="10"/>
      <c r="X61" s="5"/>
      <c r="Z61" s="4"/>
      <c r="AA61" s="2"/>
      <c r="AB61" s="2"/>
      <c r="AC61" s="13"/>
      <c r="AD61" s="2"/>
      <c r="AE61" s="2"/>
      <c r="AF61" s="2"/>
      <c r="AG61" s="2"/>
      <c r="AH61" s="7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1"/>
      <c r="AY61" s="2"/>
      <c r="AZ61" s="2"/>
      <c r="BA61" s="2"/>
      <c r="BC61" s="1"/>
      <c r="BD61" s="2"/>
      <c r="BE61" s="7"/>
      <c r="BF61" s="1"/>
      <c r="BG61" s="2"/>
      <c r="BH61" s="2"/>
      <c r="BI61" s="2"/>
      <c r="BJ61" s="7"/>
      <c r="BK61" s="1"/>
      <c r="BL61" s="2"/>
      <c r="BM61" s="2"/>
      <c r="BN61" s="2"/>
      <c r="BO61" s="7"/>
      <c r="BQ61" s="1"/>
      <c r="BR61" s="4"/>
      <c r="BS61" s="2"/>
      <c r="BT61" s="2"/>
      <c r="BU61" s="21"/>
      <c r="BV61" s="21"/>
      <c r="BW61" s="21"/>
      <c r="BX61" s="21"/>
      <c r="BY61" s="1"/>
      <c r="BZ61" s="4"/>
      <c r="CA61" s="2"/>
      <c r="CB61" s="2"/>
      <c r="CC61" s="21" t="str">
        <f t="shared" si="9"/>
        <v/>
      </c>
      <c r="CD61" s="2"/>
      <c r="CE61" s="2"/>
      <c r="CF61" s="21"/>
      <c r="CG61" s="10"/>
      <c r="CH61" s="21"/>
    </row>
    <row r="62" spans="1:86" x14ac:dyDescent="0.25">
      <c r="A62" t="str">
        <f t="shared" si="16"/>
        <v/>
      </c>
      <c r="D62" s="5"/>
      <c r="F62" s="5"/>
      <c r="K62" s="10"/>
      <c r="L62" s="12"/>
      <c r="M62" s="5"/>
      <c r="N62" s="10"/>
      <c r="O62" s="5"/>
      <c r="Q62" s="10"/>
      <c r="R62" s="8"/>
      <c r="U62" s="9"/>
      <c r="W62" s="10"/>
      <c r="X62" s="5"/>
      <c r="Z62" s="4"/>
      <c r="AA62" s="2"/>
      <c r="AB62" s="2"/>
      <c r="AC62" s="13"/>
      <c r="AD62" s="2"/>
      <c r="AE62" s="2"/>
      <c r="AF62" s="2"/>
      <c r="AG62" s="2"/>
      <c r="AH62" s="7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1"/>
      <c r="AY62" s="2"/>
      <c r="AZ62" s="2"/>
      <c r="BA62" s="2"/>
      <c r="BC62" s="1"/>
      <c r="BD62" s="2"/>
      <c r="BE62" s="7"/>
      <c r="BF62" s="1"/>
      <c r="BG62" s="2"/>
      <c r="BH62" s="2"/>
      <c r="BI62" s="2"/>
      <c r="BJ62" s="7"/>
      <c r="BK62" s="1"/>
      <c r="BL62" s="2"/>
      <c r="BM62" s="2"/>
      <c r="BN62" s="2"/>
      <c r="BO62" s="7"/>
      <c r="BQ62" s="1"/>
      <c r="BR62" s="4"/>
      <c r="BS62" s="2"/>
      <c r="BT62" s="2"/>
      <c r="BU62" s="21"/>
      <c r="BV62" s="21"/>
      <c r="BW62" s="21"/>
      <c r="BX62" s="21"/>
      <c r="BY62" s="1"/>
      <c r="BZ62" s="4"/>
      <c r="CA62" s="2"/>
      <c r="CB62" s="2"/>
      <c r="CC62" s="21" t="str">
        <f t="shared" si="9"/>
        <v/>
      </c>
      <c r="CD62" s="2"/>
      <c r="CE62" s="2"/>
      <c r="CF62" s="21"/>
      <c r="CG62" s="15"/>
      <c r="CH62" s="21"/>
    </row>
    <row r="63" spans="1:86" x14ac:dyDescent="0.25">
      <c r="A63" t="str">
        <f t="shared" si="16"/>
        <v/>
      </c>
      <c r="D63" s="5"/>
      <c r="F63" s="5"/>
      <c r="K63" s="10"/>
      <c r="L63" s="12"/>
      <c r="M63" s="5"/>
      <c r="N63" s="10"/>
      <c r="O63" s="5"/>
      <c r="Q63" s="10"/>
      <c r="R63" s="8"/>
      <c r="U63" s="9"/>
      <c r="W63" s="10"/>
      <c r="X63" s="5"/>
      <c r="Z63" s="4"/>
      <c r="AA63" s="2"/>
      <c r="AB63" s="2"/>
      <c r="AC63" s="13"/>
      <c r="AD63" s="2"/>
      <c r="AE63" s="2"/>
      <c r="AF63" s="2"/>
      <c r="AG63" s="2"/>
      <c r="AH63" s="7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1"/>
      <c r="AY63" s="2"/>
      <c r="AZ63" s="2"/>
      <c r="BA63" s="2"/>
      <c r="BC63" s="1"/>
      <c r="BD63" s="2"/>
      <c r="BE63" s="7"/>
      <c r="BF63" s="1"/>
      <c r="BG63" s="2"/>
      <c r="BH63" s="2"/>
      <c r="BI63" s="2"/>
      <c r="BJ63" s="7"/>
      <c r="BK63" s="1"/>
      <c r="BL63" s="2"/>
      <c r="BM63" s="2"/>
      <c r="BN63" s="2"/>
      <c r="BO63" s="7"/>
      <c r="BQ63" s="1"/>
      <c r="BR63" s="4"/>
      <c r="BS63" s="2"/>
      <c r="BT63" s="2"/>
      <c r="BU63" s="21"/>
      <c r="BV63" s="21"/>
      <c r="BW63" s="21"/>
      <c r="BX63" s="21"/>
      <c r="BY63" s="1"/>
      <c r="BZ63" s="4"/>
      <c r="CA63" s="2"/>
      <c r="CB63" s="2"/>
      <c r="CC63" s="21" t="str">
        <f t="shared" si="9"/>
        <v/>
      </c>
      <c r="CD63" s="2"/>
      <c r="CE63" s="2"/>
      <c r="CF63" s="21"/>
      <c r="CG63" s="10"/>
      <c r="CH63" s="21"/>
    </row>
    <row r="64" spans="1:86" x14ac:dyDescent="0.25">
      <c r="A64" t="str">
        <f t="shared" si="16"/>
        <v/>
      </c>
      <c r="D64" s="5"/>
      <c r="F64" s="5"/>
      <c r="K64" s="10"/>
      <c r="L64" s="12"/>
      <c r="M64" s="5"/>
      <c r="N64" s="10"/>
      <c r="O64" s="5"/>
      <c r="Q64" s="10"/>
      <c r="R64" s="8"/>
      <c r="U64" s="9"/>
      <c r="W64" s="10"/>
      <c r="X64" s="5"/>
      <c r="Z64" s="4"/>
      <c r="AA64" s="2"/>
      <c r="AB64" s="2"/>
      <c r="AC64" s="13"/>
      <c r="AD64" s="2"/>
      <c r="AE64" s="2"/>
      <c r="AF64" s="2"/>
      <c r="AG64" s="2"/>
      <c r="AH64" s="7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1"/>
      <c r="AY64" s="2"/>
      <c r="AZ64" s="2"/>
      <c r="BA64" s="2"/>
      <c r="BC64" s="1"/>
      <c r="BD64" s="2"/>
      <c r="BE64" s="7"/>
      <c r="BF64" s="1"/>
      <c r="BG64" s="2"/>
      <c r="BH64" s="2"/>
      <c r="BI64" s="2"/>
      <c r="BJ64" s="7"/>
      <c r="BK64" s="1"/>
      <c r="BL64" s="2"/>
      <c r="BM64" s="2"/>
      <c r="BN64" s="2"/>
      <c r="BO64" s="7"/>
      <c r="BQ64" s="1"/>
      <c r="BR64" s="4"/>
      <c r="BS64" s="2"/>
      <c r="BT64" s="2"/>
      <c r="BU64" s="21"/>
      <c r="BV64" s="21"/>
      <c r="BW64" s="21"/>
      <c r="BX64" s="21"/>
      <c r="BY64" s="1"/>
      <c r="BZ64" s="4"/>
      <c r="CA64" s="2"/>
      <c r="CB64" s="2"/>
      <c r="CC64" s="21" t="str">
        <f t="shared" si="9"/>
        <v/>
      </c>
      <c r="CD64" s="2"/>
      <c r="CE64" s="2"/>
      <c r="CF64" s="21"/>
      <c r="CG64" s="15"/>
      <c r="CH64" s="21"/>
    </row>
    <row r="65" spans="1:86" x14ac:dyDescent="0.25">
      <c r="A65" t="str">
        <f t="shared" si="16"/>
        <v/>
      </c>
      <c r="D65" s="5"/>
      <c r="F65" s="5"/>
      <c r="K65" s="10"/>
      <c r="L65" s="12"/>
      <c r="M65" s="5"/>
      <c r="N65" s="10"/>
      <c r="O65" s="5"/>
      <c r="Q65" s="10"/>
      <c r="R65" s="8"/>
      <c r="U65" s="9"/>
      <c r="W65" s="10"/>
      <c r="X65" s="5"/>
      <c r="Z65" s="4"/>
      <c r="AA65" s="2"/>
      <c r="AB65" s="2"/>
      <c r="AC65" s="13"/>
      <c r="AD65" s="2"/>
      <c r="AE65" s="2"/>
      <c r="AF65" s="2"/>
      <c r="AG65" s="2"/>
      <c r="AH65" s="7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1"/>
      <c r="AY65" s="2"/>
      <c r="AZ65" s="2"/>
      <c r="BA65" s="2"/>
      <c r="BC65" s="1"/>
      <c r="BD65" s="2"/>
      <c r="BE65" s="7"/>
      <c r="BF65" s="1"/>
      <c r="BG65" s="2"/>
      <c r="BH65" s="2"/>
      <c r="BI65" s="2"/>
      <c r="BJ65" s="7"/>
      <c r="BK65" s="1"/>
      <c r="BL65" s="2"/>
      <c r="BM65" s="2"/>
      <c r="BN65" s="2"/>
      <c r="BO65" s="7"/>
      <c r="BQ65" s="1"/>
      <c r="BR65" s="4"/>
      <c r="BS65" s="2"/>
      <c r="BT65" s="2"/>
      <c r="BU65" s="21"/>
      <c r="BV65" s="21"/>
      <c r="BW65" s="21"/>
      <c r="BX65" s="21"/>
      <c r="BY65" s="1"/>
      <c r="BZ65" s="4"/>
      <c r="CA65" s="2"/>
      <c r="CB65" s="2"/>
      <c r="CC65" s="21" t="str">
        <f t="shared" si="9"/>
        <v/>
      </c>
      <c r="CD65" s="2"/>
      <c r="CE65" s="2"/>
      <c r="CF65" s="21"/>
      <c r="CG65" s="10"/>
      <c r="CH65" s="21"/>
    </row>
    <row r="66" spans="1:86" x14ac:dyDescent="0.25">
      <c r="A66" t="str">
        <f t="shared" si="16"/>
        <v/>
      </c>
      <c r="D66" s="5"/>
      <c r="F66" s="5"/>
      <c r="K66" s="10"/>
      <c r="L66" s="12"/>
      <c r="M66" s="5"/>
      <c r="N66" s="10"/>
      <c r="O66" s="5"/>
      <c r="Q66" s="10"/>
      <c r="R66" s="8"/>
      <c r="U66" s="9"/>
      <c r="W66" s="10"/>
      <c r="X66" s="5"/>
      <c r="Z66" s="4"/>
      <c r="AA66" s="2"/>
      <c r="AB66" s="2"/>
      <c r="AC66" s="13"/>
      <c r="AD66" s="2"/>
      <c r="AE66" s="2"/>
      <c r="AF66" s="2"/>
      <c r="AG66" s="2"/>
      <c r="AH66" s="7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1"/>
      <c r="AY66" s="2"/>
      <c r="AZ66" s="2"/>
      <c r="BA66" s="2"/>
      <c r="BC66" s="1"/>
      <c r="BD66" s="2"/>
      <c r="BE66" s="7"/>
      <c r="BF66" s="1"/>
      <c r="BG66" s="2"/>
      <c r="BH66" s="2"/>
      <c r="BI66" s="2"/>
      <c r="BJ66" s="7"/>
      <c r="BK66" s="1"/>
      <c r="BL66" s="2"/>
      <c r="BM66" s="2"/>
      <c r="BN66" s="2"/>
      <c r="BO66" s="7"/>
      <c r="BQ66" s="1"/>
      <c r="BR66" s="4"/>
      <c r="BS66" s="2"/>
      <c r="BT66" s="2"/>
      <c r="BU66" s="21"/>
      <c r="BV66" s="21"/>
      <c r="BW66" s="21"/>
      <c r="BX66" s="21"/>
      <c r="BY66" s="1"/>
      <c r="BZ66" s="4"/>
      <c r="CA66" s="2"/>
      <c r="CB66" s="2"/>
      <c r="CC66" s="21" t="str">
        <f t="shared" si="9"/>
        <v/>
      </c>
      <c r="CD66" s="2"/>
      <c r="CE66" s="2"/>
      <c r="CF66" s="21"/>
      <c r="CG66" s="15"/>
      <c r="CH66" s="21"/>
    </row>
    <row r="67" spans="1:86" x14ac:dyDescent="0.25">
      <c r="D67" s="5"/>
      <c r="F67" s="5"/>
      <c r="K67" s="10"/>
      <c r="L67" s="12"/>
      <c r="M67" s="5"/>
      <c r="N67" s="10"/>
      <c r="O67" s="5"/>
      <c r="Q67" s="10"/>
      <c r="R67" s="8"/>
      <c r="U67" s="9"/>
      <c r="W67" s="10"/>
      <c r="X67" s="5"/>
      <c r="Z67" s="4"/>
      <c r="AA67" s="2"/>
      <c r="AB67" s="2"/>
      <c r="AC67" s="13"/>
      <c r="AD67" s="2"/>
      <c r="AE67" s="2"/>
      <c r="AF67" s="2"/>
      <c r="AG67" s="2"/>
      <c r="AH67" s="7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1"/>
      <c r="AY67" s="2"/>
      <c r="AZ67" s="2"/>
      <c r="BA67" s="2"/>
      <c r="BC67" s="1"/>
      <c r="BD67" s="2"/>
      <c r="BE67" s="7"/>
      <c r="BF67" s="1"/>
      <c r="BG67" s="2"/>
      <c r="BH67" s="2"/>
      <c r="BI67" s="2"/>
      <c r="BJ67" s="7"/>
      <c r="BK67" s="1"/>
      <c r="BL67" s="2"/>
      <c r="BM67" s="2"/>
      <c r="BN67" s="2"/>
      <c r="BO67" s="7"/>
      <c r="BQ67" s="1"/>
      <c r="BR67" s="4"/>
      <c r="BS67" s="2"/>
      <c r="BT67" s="2"/>
      <c r="BU67" s="21"/>
      <c r="BV67" s="21"/>
      <c r="BW67" s="21"/>
      <c r="BX67" s="21"/>
      <c r="BY67" s="1"/>
      <c r="BZ67" s="4"/>
      <c r="CA67" s="2"/>
      <c r="CB67" s="2"/>
      <c r="CC67" s="21" t="str">
        <f t="shared" si="9"/>
        <v/>
      </c>
      <c r="CD67" s="2"/>
      <c r="CE67" s="2"/>
      <c r="CF67" s="21"/>
      <c r="CG67" s="10"/>
      <c r="CH67" s="21"/>
    </row>
    <row r="68" spans="1:86" x14ac:dyDescent="0.25">
      <c r="Z68" s="4"/>
      <c r="BC68" s="1"/>
      <c r="BD68" s="2"/>
      <c r="BE68" s="7"/>
      <c r="BF68" s="1"/>
      <c r="BG68" s="2"/>
      <c r="BH68" s="2"/>
      <c r="BI68" s="2"/>
      <c r="BJ68" s="7"/>
      <c r="BK68" s="1"/>
      <c r="BL68" s="2"/>
      <c r="BM68" s="2"/>
      <c r="BN68" s="2"/>
      <c r="BO68" s="7"/>
      <c r="BQ68" s="1"/>
      <c r="BR68" s="4"/>
      <c r="BS68" s="2"/>
      <c r="BT68" s="2"/>
      <c r="BU68" s="21"/>
      <c r="BV68" s="21"/>
      <c r="BW68" s="21"/>
      <c r="BX68" s="21"/>
      <c r="BY68" s="1"/>
      <c r="BZ68" s="4"/>
      <c r="CA68" s="2"/>
      <c r="CB68" s="2"/>
      <c r="CC68" s="21" t="str">
        <f t="shared" si="9"/>
        <v/>
      </c>
      <c r="CD68" s="2"/>
      <c r="CE68" s="2"/>
      <c r="CF68" s="21"/>
      <c r="CG68" s="10"/>
      <c r="CH68" s="21"/>
    </row>
  </sheetData>
  <mergeCells count="19">
    <mergeCell ref="CF5:CG5"/>
    <mergeCell ref="BF3:BJ4"/>
    <mergeCell ref="BK3:BO3"/>
    <mergeCell ref="BQ3:BU4"/>
    <mergeCell ref="BY3:CG4"/>
    <mergeCell ref="G4:H4"/>
    <mergeCell ref="I4:K4"/>
    <mergeCell ref="R4:T4"/>
    <mergeCell ref="U4:W4"/>
    <mergeCell ref="BC1:CG1"/>
    <mergeCell ref="BC2:BO2"/>
    <mergeCell ref="BQ2:CG2"/>
    <mergeCell ref="F3:K3"/>
    <mergeCell ref="M3:N4"/>
    <mergeCell ref="O3:Q4"/>
    <mergeCell ref="R3:W3"/>
    <mergeCell ref="AA3:AH4"/>
    <mergeCell ref="AI3:BA4"/>
    <mergeCell ref="BC3:BE4"/>
  </mergeCells>
  <conditionalFormatting sqref="D6:D67">
    <cfRule type="expression" dxfId="16" priority="16">
      <formula>$B6=FALSE</formula>
    </cfRule>
  </conditionalFormatting>
  <conditionalFormatting sqref="BL6:BL68">
    <cfRule type="cellIs" dxfId="15" priority="13" operator="greaterThan">
      <formula>$BL$4</formula>
    </cfRule>
  </conditionalFormatting>
  <conditionalFormatting sqref="BM6:BN68">
    <cfRule type="cellIs" dxfId="14" priority="14" operator="greaterThan">
      <formula>$BM$4</formula>
    </cfRule>
  </conditionalFormatting>
  <conditionalFormatting sqref="BO6:BP8 BP9 BO9:BO68 BP11:BP36">
    <cfRule type="expression" dxfId="13" priority="15">
      <formula>ABS($BO6)&gt;$BO$4</formula>
    </cfRule>
  </conditionalFormatting>
  <conditionalFormatting sqref="BP10">
    <cfRule type="expression" dxfId="12" priority="17">
      <formula>ABS($BP10)&gt;$BO$4</formula>
    </cfRule>
  </conditionalFormatting>
  <conditionalFormatting sqref="BR6:BR68">
    <cfRule type="expression" dxfId="11" priority="12">
      <formula>$A6="Travée"</formula>
    </cfRule>
  </conditionalFormatting>
  <conditionalFormatting sqref="BU6:BU68">
    <cfRule type="cellIs" dxfId="10" priority="5" operator="equal">
      <formula>""</formula>
    </cfRule>
    <cfRule type="cellIs" dxfId="9" priority="6" operator="lessThan">
      <formula>1</formula>
    </cfRule>
  </conditionalFormatting>
  <conditionalFormatting sqref="BV6:BX7 BX8 BV9:BX9 BX10 BV11:BX11 BX12 BV13:BX13 BX14 BV15:BX15 BX16 BV17:BX17 BX18 BV19:BX19 BX20 BV21:BX21 BX22 BV23:BX23 BX24 BV25:BX25 BX26 BV27:BX27 BX28 BV29:BX29 BX30 BV31:BX31 BX32 BV33:BX33 BX34 BV35:BX35 BX36 BV37:BX37 BX38 BV39:BX39 BX40 BV41:BX41 BX42 BV43:BX43 BX44 BV45:BX45 BX46 BV47:BX47 BX48 BV49:BX49 BX50 BV51:BX51 BX52 BV53:BX53 BX54 BV55:BX55 BX56 BV57:BX57 BX58 BV59:BX68">
    <cfRule type="cellIs" dxfId="8" priority="10" operator="equal">
      <formula>""</formula>
    </cfRule>
  </conditionalFormatting>
  <conditionalFormatting sqref="BV6:BX59">
    <cfRule type="cellIs" dxfId="7" priority="4" operator="equal">
      <formula>""</formula>
    </cfRule>
  </conditionalFormatting>
  <conditionalFormatting sqref="BX61 BX63 BX65 BX67:BX68 BX6:BX59">
    <cfRule type="cellIs" dxfId="6" priority="9" operator="lessThan">
      <formula>1</formula>
    </cfRule>
  </conditionalFormatting>
  <conditionalFormatting sqref="BZ6:BZ68">
    <cfRule type="expression" dxfId="5" priority="3">
      <formula>$A6="Travée"</formula>
    </cfRule>
  </conditionalFormatting>
  <conditionalFormatting sqref="CC6:CC68">
    <cfRule type="cellIs" dxfId="4" priority="2" operator="lessThan">
      <formula>1</formula>
    </cfRule>
  </conditionalFormatting>
  <conditionalFormatting sqref="CC6:CF68">
    <cfRule type="cellIs" dxfId="3" priority="1" operator="equal">
      <formula>""</formula>
    </cfRule>
  </conditionalFormatting>
  <conditionalFormatting sqref="CF6:CF68">
    <cfRule type="cellIs" dxfId="2" priority="11" operator="lessThan">
      <formula>IF($CG6="Rive",1.15,IF($CG6="Inter",1.1,0))</formula>
    </cfRule>
  </conditionalFormatting>
  <conditionalFormatting sqref="CF6:CH67 CH68:CH69 BV61:BX61 BV63:BX63 BV65:BX65 BV67:BX68 CF68:CG68">
    <cfRule type="cellIs" dxfId="1" priority="8" operator="equal">
      <formula>""</formula>
    </cfRule>
  </conditionalFormatting>
  <conditionalFormatting sqref="CH6:CH68">
    <cfRule type="cellIs" dxfId="0" priority="7" operator="lessThan">
      <formula>0.63</formula>
    </cfRule>
  </conditionalFormatting>
  <pageMargins left="0.7" right="0.7" top="0.75" bottom="0.75" header="0.3" footer="0.3"/>
  <pageSetup paperSize="8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Files A</vt:lpstr>
      <vt:lpstr>Files A (TFC)</vt:lpstr>
      <vt:lpstr>Files A (TFC) V6</vt:lpstr>
      <vt:lpstr>Files B</vt:lpstr>
      <vt:lpstr>Files B (TFC)</vt:lpstr>
      <vt:lpstr>Files B (TFC) V6</vt:lpstr>
      <vt:lpstr>Files A MidStrip</vt:lpstr>
      <vt:lpstr>Files A MidStrip (TFC)</vt:lpstr>
      <vt:lpstr>Files A MidStrip (TFC) V6</vt:lpstr>
      <vt:lpstr>Files B MidStrip</vt:lpstr>
      <vt:lpstr>Files B MidStrip (TFC)</vt:lpstr>
      <vt:lpstr>Files B MidStrip (TFC) V6</vt:lpstr>
      <vt:lpstr>'Files A'!Zone_d_impression</vt:lpstr>
      <vt:lpstr>'Files A (TFC)'!Zone_d_impression</vt:lpstr>
      <vt:lpstr>'Files A (TFC) V6'!Zone_d_impression</vt:lpstr>
      <vt:lpstr>'Files A MidStrip'!Zone_d_impression</vt:lpstr>
      <vt:lpstr>'Files A MidStrip (TFC)'!Zone_d_impression</vt:lpstr>
      <vt:lpstr>'Files A MidStrip (TFC) V6'!Zone_d_impression</vt:lpstr>
      <vt:lpstr>'Files B'!Zone_d_impression</vt:lpstr>
      <vt:lpstr>'Files B (TFC)'!Zone_d_impression</vt:lpstr>
      <vt:lpstr>'Files B (TFC) V6'!Zone_d_impression</vt:lpstr>
      <vt:lpstr>'Files B MidStrip'!Zone_d_impression</vt:lpstr>
      <vt:lpstr>'Files B MidStrip (TFC)'!Zone_d_impression</vt:lpstr>
      <vt:lpstr>'Files B MidStrip (TFC) V6'!Zone_d_impression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j.moutet</dc:creator>
  <cp:lastModifiedBy>Julien MOUTET</cp:lastModifiedBy>
  <cp:lastPrinted>2025-11-06T14:28:24Z</cp:lastPrinted>
  <dcterms:created xsi:type="dcterms:W3CDTF">2015-06-05T18:17:20Z</dcterms:created>
  <dcterms:modified xsi:type="dcterms:W3CDTF">2025-12-08T17:00:27Z</dcterms:modified>
</cp:coreProperties>
</file>