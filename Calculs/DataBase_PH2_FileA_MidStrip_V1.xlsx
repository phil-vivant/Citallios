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"/>
    </mc:Choice>
  </mc:AlternateContent>
  <xr:revisionPtr revIDLastSave="19" documentId="13_ncr:1_{67FDEBD5-4EF1-4723-A295-0FDCCD9F52F5}" xr6:coauthVersionLast="47" xr6:coauthVersionMax="47" xr10:uidLastSave="{D3247B98-3C6A-4525-BA7E-3F2F5F288398}"/>
  <bookViews>
    <workbookView xWindow="39555" yWindow="195" windowWidth="28800" windowHeight="15345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AB23" i="1" s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AB35" i="1" s="1"/>
  <c r="Y35" i="1"/>
  <c r="X36" i="1"/>
  <c r="Y36" i="1"/>
  <c r="X37" i="1"/>
  <c r="Y37" i="1"/>
  <c r="X38" i="1"/>
  <c r="Y38" i="1"/>
  <c r="X39" i="1"/>
  <c r="Y39" i="1"/>
  <c r="X40" i="1"/>
  <c r="Y40" i="1"/>
  <c r="X41" i="1"/>
  <c r="AB41" i="1" s="1"/>
  <c r="Y41" i="1"/>
  <c r="X42" i="1"/>
  <c r="AB42" i="1" s="1"/>
  <c r="Y42" i="1"/>
  <c r="X43" i="1"/>
  <c r="Y43" i="1"/>
  <c r="AB43" i="1" s="1"/>
  <c r="X44" i="1"/>
  <c r="Y44" i="1"/>
  <c r="AB44" i="1" s="1"/>
  <c r="X45" i="1"/>
  <c r="Y45" i="1"/>
  <c r="X46" i="1"/>
  <c r="AB46" i="1" s="1"/>
  <c r="Y46" i="1"/>
  <c r="X47" i="1"/>
  <c r="AB47" i="1" s="1"/>
  <c r="Y47" i="1"/>
  <c r="X48" i="1"/>
  <c r="Y48" i="1"/>
  <c r="AB25" i="1" l="1"/>
  <c r="AB24" i="1"/>
  <c r="AB30" i="1"/>
  <c r="AB31" i="1"/>
  <c r="AB29" i="1"/>
  <c r="AB39" i="1"/>
  <c r="AB28" i="1"/>
  <c r="AB27" i="1"/>
  <c r="AB26" i="1"/>
  <c r="AB40" i="1"/>
  <c r="AB45" i="1"/>
  <c r="AB33" i="1"/>
  <c r="AB32" i="1"/>
  <c r="AB36" i="1"/>
  <c r="AB38" i="1"/>
  <c r="AB37" i="1"/>
  <c r="AB34" i="1"/>
  <c r="AB48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AB22" i="1" l="1"/>
  <c r="AB4" i="1"/>
  <c r="AB16" i="1"/>
  <c r="AB8" i="1"/>
  <c r="AB18" i="1"/>
  <c r="AB17" i="1"/>
  <c r="AB14" i="1"/>
  <c r="AB9" i="1"/>
  <c r="AB10" i="1"/>
  <c r="AB19" i="1"/>
  <c r="AB2" i="1"/>
  <c r="AB11" i="1"/>
  <c r="AB3" i="1"/>
  <c r="AB21" i="1"/>
  <c r="AB20" i="1"/>
  <c r="AB7" i="1"/>
  <c r="AB6" i="1"/>
</calcChain>
</file>

<file path=xl/sharedStrings.xml><?xml version="1.0" encoding="utf-8"?>
<sst xmlns="http://schemas.openxmlformats.org/spreadsheetml/2006/main" count="169" uniqueCount="45">
  <si>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</si>
  <si>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</si>
  <si>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</si>
  <si>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</si>
  <si>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</si>
  <si>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</si>
  <si>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</si>
  <si>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</si>
  <si>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</si>
  <si>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</si>
  <si>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</si>
  <si>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</si>
  <si>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</si>
  <si>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</si>
  <si>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</si>
  <si>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</si>
  <si>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</si>
  <si>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</si>
  <si>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</si>
  <si>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</si>
  <si>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</si>
  <si>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</si>
  <si>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</si>
  <si>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</si>
  <si>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</si>
  <si>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</si>
  <si>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</si>
  <si>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</si>
  <si>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</si>
  <si>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</si>
  <si>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</si>
  <si>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</si>
  <si>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</si>
  <si>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</si>
  <si>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</si>
  <si>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</si>
  <si>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</si>
  <si>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</si>
  <si>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</si>
  <si>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</si>
  <si>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A' - 2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</si>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</sst>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1"/>
  <sheetViews>
    <sheetView tabSelected="1" zoomScale="55" zoomScaleNormal="55" workbookViewId="0">
      <pane xSplit="2" topLeftCell="H1" activePane="topRight" state="frozen"/>
      <selection pane="topRight" activeCell="A49" activeCellId="3" sqref="A13:XFD13 A25:XFD25 A37:XFD37 A49:XFD49"/>
    </sheetView>
  </sheetViews>
  <sheetFormatPr baseColWidth="10" defaultRowHeight="15" x14ac:dyDescent="0.25"/>
  <sheetData>
    <row r="1" spans="1:39" x14ac:dyDescent="0.2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2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0.24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 s="2">
        <v>57.006079999999997</v>
      </c>
      <c r="V2" s="2">
        <v>17.315839999999998</v>
      </c>
      <c r="W2" s="3">
        <v>0</v>
      </c>
      <c r="X2" s="2">
        <f t="shared" ref="X2:X22" si="0">U2*(1-W2)</f>
        <v>57.006079999999997</v>
      </c>
      <c r="Y2" s="2">
        <f t="shared" ref="Y2:Y22" si="1">U2*W2 + V2</f>
        <v>17.315839999999998</v>
      </c>
      <c r="Z2" s="4">
        <v>97.28</v>
      </c>
      <c r="AA2" s="4"/>
      <c r="AB2">
        <f t="shared" ref="AB2:AB22" si="2">X2+Y2</f>
        <v>74.321919999999992</v>
      </c>
      <c r="AL2" s="2"/>
      <c r="AM2" s="2"/>
    </row>
    <row r="3" spans="1:39" x14ac:dyDescent="0.2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0.23</v>
      </c>
      <c r="K3">
        <v>5.35</v>
      </c>
      <c r="L3">
        <v>1.0240000000000001E-4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4.8000000000000001E-4</v>
      </c>
      <c r="S3">
        <v>0</v>
      </c>
      <c r="T3">
        <v>1</v>
      </c>
      <c r="U3" s="2">
        <v>34.163800000000002</v>
      </c>
      <c r="V3" s="2">
        <v>10.3774</v>
      </c>
      <c r="W3" s="3">
        <v>0</v>
      </c>
      <c r="X3" s="2">
        <f t="shared" si="0"/>
        <v>34.163800000000002</v>
      </c>
      <c r="Y3" s="2">
        <f t="shared" si="1"/>
        <v>10.3774</v>
      </c>
      <c r="Z3" s="4">
        <v>58.300000000000004</v>
      </c>
      <c r="AA3" s="4"/>
      <c r="AB3">
        <f t="shared" si="2"/>
        <v>44.541200000000003</v>
      </c>
      <c r="AL3" s="2"/>
      <c r="AM3" s="2"/>
    </row>
    <row r="4" spans="1:39" x14ac:dyDescent="0.2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0.215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2.8800000000000001E-4</v>
      </c>
      <c r="S4">
        <v>0</v>
      </c>
      <c r="T4">
        <v>1</v>
      </c>
      <c r="U4" s="2">
        <v>101.2608</v>
      </c>
      <c r="V4" s="2">
        <v>30.758400000000002</v>
      </c>
      <c r="W4" s="3">
        <v>0</v>
      </c>
      <c r="X4" s="2">
        <f t="shared" si="0"/>
        <v>101.2608</v>
      </c>
      <c r="Y4" s="2">
        <f t="shared" si="1"/>
        <v>30.758400000000002</v>
      </c>
      <c r="Z4" s="4">
        <v>172.8</v>
      </c>
      <c r="AA4" s="4"/>
      <c r="AB4">
        <f t="shared" si="2"/>
        <v>132.01920000000001</v>
      </c>
      <c r="AL4" s="2"/>
      <c r="AM4" s="2"/>
    </row>
    <row r="5" spans="1:39" x14ac:dyDescent="0.2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</v>
      </c>
      <c r="K5">
        <v>3</v>
      </c>
      <c r="L5">
        <v>1.3440000000000001E-4</v>
      </c>
      <c r="M5">
        <v>0.04</v>
      </c>
      <c r="N5">
        <v>1</v>
      </c>
      <c r="O5">
        <v>0</v>
      </c>
      <c r="P5">
        <v>0</v>
      </c>
      <c r="Q5">
        <v>1</v>
      </c>
      <c r="R5">
        <v>4.8000000000000001E-4</v>
      </c>
      <c r="S5">
        <v>0</v>
      </c>
      <c r="T5">
        <v>1</v>
      </c>
      <c r="U5" s="2">
        <v>35.453000000000003</v>
      </c>
      <c r="V5" s="2">
        <v>10.769</v>
      </c>
      <c r="W5" s="3">
        <v>0</v>
      </c>
      <c r="X5" s="2">
        <f t="shared" si="0"/>
        <v>35.453000000000003</v>
      </c>
      <c r="Y5" s="2">
        <f t="shared" si="1"/>
        <v>10.769</v>
      </c>
      <c r="Z5" s="4">
        <v>60.500000000000007</v>
      </c>
      <c r="AA5" s="4"/>
      <c r="AB5">
        <f t="shared" si="2"/>
        <v>46.222000000000001</v>
      </c>
      <c r="AL5" s="2"/>
      <c r="AM5" s="2"/>
    </row>
    <row r="6" spans="1:39" x14ac:dyDescent="0.2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0.215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 s="2">
        <v>0.75007999999999997</v>
      </c>
      <c r="V6" s="2">
        <v>0.22783999999999999</v>
      </c>
      <c r="W6" s="3">
        <v>0</v>
      </c>
      <c r="X6" s="2">
        <f t="shared" si="0"/>
        <v>0.75007999999999997</v>
      </c>
      <c r="Y6" s="2">
        <f t="shared" si="1"/>
        <v>0.22783999999999999</v>
      </c>
      <c r="Z6" s="4">
        <v>1.28</v>
      </c>
      <c r="AA6" s="4"/>
      <c r="AB6">
        <f t="shared" si="2"/>
        <v>0.9779199999999999</v>
      </c>
      <c r="AL6" s="2"/>
      <c r="AM6" s="2"/>
    </row>
    <row r="7" spans="1:39" x14ac:dyDescent="0.2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0.23</v>
      </c>
      <c r="K7">
        <v>3</v>
      </c>
      <c r="L7">
        <v>1.3440000000000001E-4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 s="2">
        <v>0.64460000000000006</v>
      </c>
      <c r="V7">
        <v>0.1958</v>
      </c>
      <c r="W7" s="3">
        <v>0</v>
      </c>
      <c r="X7" s="2">
        <f t="shared" si="0"/>
        <v>0.64460000000000006</v>
      </c>
      <c r="Y7" s="2">
        <f t="shared" si="1"/>
        <v>0.1958</v>
      </c>
      <c r="Z7" s="4">
        <v>1.1000000000000001</v>
      </c>
      <c r="AA7" s="4"/>
      <c r="AB7">
        <f t="shared" si="2"/>
        <v>0.84040000000000004</v>
      </c>
      <c r="AL7" s="2"/>
    </row>
    <row r="8" spans="1:39" x14ac:dyDescent="0.2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0.215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 s="2">
        <v>0.75007999999999997</v>
      </c>
      <c r="V8" s="2">
        <v>0.22783999999999999</v>
      </c>
      <c r="W8" s="3">
        <v>0</v>
      </c>
      <c r="X8" s="2">
        <f t="shared" si="0"/>
        <v>0.75007999999999997</v>
      </c>
      <c r="Y8" s="2">
        <f t="shared" si="1"/>
        <v>0.22783999999999999</v>
      </c>
      <c r="Z8" s="4">
        <v>1.28</v>
      </c>
      <c r="AA8" s="4"/>
      <c r="AB8">
        <f t="shared" si="2"/>
        <v>0.9779199999999999</v>
      </c>
      <c r="AL8" s="2"/>
      <c r="AM8" s="2"/>
    </row>
    <row r="9" spans="1:39" x14ac:dyDescent="0.2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</v>
      </c>
      <c r="K9">
        <v>3</v>
      </c>
      <c r="L9">
        <v>1.5090000000000001E-3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 s="2">
        <v>48.344999999999999</v>
      </c>
      <c r="V9">
        <v>14.684999999999999</v>
      </c>
      <c r="W9" s="3">
        <v>0</v>
      </c>
      <c r="X9" s="2">
        <f t="shared" si="0"/>
        <v>48.344999999999999</v>
      </c>
      <c r="Y9" s="2">
        <f t="shared" si="1"/>
        <v>14.684999999999999</v>
      </c>
      <c r="Z9" s="4">
        <v>82.5</v>
      </c>
      <c r="AA9" s="4"/>
      <c r="AB9">
        <f t="shared" si="2"/>
        <v>63.03</v>
      </c>
      <c r="AL9" s="2"/>
    </row>
    <row r="10" spans="1:39" x14ac:dyDescent="0.2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0.215</v>
      </c>
      <c r="K10">
        <v>4.1749999999999998</v>
      </c>
      <c r="L10">
        <v>1.0729749999999999E-3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2.8800000000000001E-4</v>
      </c>
      <c r="S10">
        <v>0</v>
      </c>
      <c r="T10">
        <v>1</v>
      </c>
      <c r="U10" s="2">
        <v>64.506879999999995</v>
      </c>
      <c r="V10" s="2">
        <v>19.594239999999999</v>
      </c>
      <c r="W10" s="3">
        <v>0</v>
      </c>
      <c r="X10" s="2">
        <f t="shared" si="0"/>
        <v>64.506879999999995</v>
      </c>
      <c r="Y10" s="2">
        <f t="shared" si="1"/>
        <v>19.594239999999999</v>
      </c>
      <c r="Z10" s="4">
        <v>110.08</v>
      </c>
      <c r="AA10" s="4"/>
      <c r="AB10">
        <f t="shared" si="2"/>
        <v>84.101119999999995</v>
      </c>
      <c r="AL10" s="2"/>
      <c r="AM10" s="2"/>
    </row>
    <row r="11" spans="1:39" x14ac:dyDescent="0.2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0.23</v>
      </c>
      <c r="K11">
        <v>5.35</v>
      </c>
      <c r="L11">
        <v>1.0240000000000001E-4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4.8000000000000001E-4</v>
      </c>
      <c r="S11">
        <v>0</v>
      </c>
      <c r="T11">
        <v>1</v>
      </c>
      <c r="U11" s="2">
        <v>16.115000000000002</v>
      </c>
      <c r="V11" s="2">
        <v>4.8950000000000005</v>
      </c>
      <c r="W11" s="3">
        <v>0</v>
      </c>
      <c r="X11" s="2">
        <f t="shared" si="0"/>
        <v>16.115000000000002</v>
      </c>
      <c r="Y11" s="2">
        <f t="shared" si="1"/>
        <v>4.8950000000000005</v>
      </c>
      <c r="Z11" s="4">
        <v>27.500000000000004</v>
      </c>
      <c r="AA11" s="4"/>
      <c r="AB11">
        <f t="shared" si="2"/>
        <v>21.01</v>
      </c>
      <c r="AL11" s="2"/>
      <c r="AM11" s="2"/>
    </row>
    <row r="12" spans="1:39" x14ac:dyDescent="0.2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0.24</v>
      </c>
      <c r="K12">
        <v>5.35</v>
      </c>
      <c r="L12">
        <v>1.3749499999999998E-3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43.504639999999995</v>
      </c>
      <c r="V12">
        <v>13.214719999999998</v>
      </c>
      <c r="W12" s="3">
        <v>0</v>
      </c>
      <c r="X12" s="2">
        <f t="shared" si="0"/>
        <v>43.504639999999995</v>
      </c>
      <c r="Y12" s="2">
        <f t="shared" si="1"/>
        <v>13.214719999999998</v>
      </c>
      <c r="Z12" s="4">
        <v>74.239999999999995</v>
      </c>
      <c r="AA12" s="4"/>
      <c r="AB12">
        <f t="shared" si="2"/>
        <v>56.719359999999995</v>
      </c>
      <c r="AL12" s="2"/>
    </row>
    <row r="13" spans="1:39" x14ac:dyDescent="0.25">
      <c r="A13" t="s">
        <v>41</v>
      </c>
      <c r="B13" t="s">
        <v>19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0.24</v>
      </c>
      <c r="K13">
        <v>5.3</v>
      </c>
      <c r="L13">
        <v>1.3621000000000002E-3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 s="2">
        <v>48.755200000000002</v>
      </c>
      <c r="V13" s="2">
        <v>14.8096</v>
      </c>
      <c r="W13" s="3">
        <v>0</v>
      </c>
      <c r="X13" s="2">
        <f t="shared" si="0"/>
        <v>48.755200000000002</v>
      </c>
      <c r="Y13" s="2">
        <f t="shared" si="1"/>
        <v>14.8096</v>
      </c>
      <c r="Z13" s="4">
        <v>83.2</v>
      </c>
      <c r="AA13" s="4"/>
      <c r="AB13">
        <f t="shared" si="2"/>
        <v>63.564800000000005</v>
      </c>
      <c r="AL13" s="2"/>
      <c r="AM13" s="2"/>
    </row>
    <row r="14" spans="1:39" x14ac:dyDescent="0.25">
      <c r="A14" t="s">
        <v>41</v>
      </c>
      <c r="B14" t="s">
        <v>20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</v>
      </c>
      <c r="K14">
        <v>5.3</v>
      </c>
      <c r="L14">
        <v>1.0240000000000001E-4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4.8000000000000001E-4</v>
      </c>
      <c r="S14">
        <v>0</v>
      </c>
      <c r="T14">
        <v>1</v>
      </c>
      <c r="U14" s="2">
        <v>48.344999999999999</v>
      </c>
      <c r="V14" s="2">
        <v>14.684999999999999</v>
      </c>
      <c r="W14" s="3">
        <v>0</v>
      </c>
      <c r="X14" s="2">
        <f t="shared" si="0"/>
        <v>48.344999999999999</v>
      </c>
      <c r="Y14" s="2">
        <f t="shared" si="1"/>
        <v>14.684999999999999</v>
      </c>
      <c r="Z14" s="4">
        <v>82.5</v>
      </c>
      <c r="AA14" s="4"/>
      <c r="AB14">
        <f t="shared" si="2"/>
        <v>63.03</v>
      </c>
      <c r="AL14" s="2"/>
      <c r="AM14" s="2"/>
    </row>
    <row r="15" spans="1:39" x14ac:dyDescent="0.25">
      <c r="A15" t="s">
        <v>41</v>
      </c>
      <c r="B15" t="s">
        <v>23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0.215</v>
      </c>
      <c r="K15">
        <v>5.3</v>
      </c>
      <c r="L15">
        <v>2.7189000000000002E-3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2.8800000000000001E-4</v>
      </c>
      <c r="S15">
        <v>0</v>
      </c>
      <c r="T15">
        <v>1</v>
      </c>
      <c r="U15" s="2">
        <v>111.01183999999999</v>
      </c>
      <c r="V15" s="2">
        <v>33.720320000000001</v>
      </c>
      <c r="W15" s="3">
        <v>0</v>
      </c>
      <c r="X15" s="2">
        <f t="shared" si="0"/>
        <v>111.01183999999999</v>
      </c>
      <c r="Y15" s="2">
        <f t="shared" si="1"/>
        <v>33.720320000000001</v>
      </c>
      <c r="Z15" s="4">
        <v>189.44</v>
      </c>
      <c r="AA15" s="4"/>
      <c r="AB15">
        <f t="shared" si="2"/>
        <v>144.73215999999999</v>
      </c>
      <c r="AL15" s="2"/>
    </row>
    <row r="16" spans="1:39" x14ac:dyDescent="0.25">
      <c r="A16" t="s">
        <v>41</v>
      </c>
      <c r="B16" t="s">
        <v>24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</v>
      </c>
      <c r="K16">
        <v>5.3</v>
      </c>
      <c r="L16">
        <v>1.3440000000000001E-4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4.8000000000000001E-4</v>
      </c>
      <c r="S16">
        <v>0</v>
      </c>
      <c r="T16">
        <v>1</v>
      </c>
      <c r="U16" s="2">
        <v>45.122</v>
      </c>
      <c r="V16" s="2">
        <v>13.706</v>
      </c>
      <c r="W16" s="3">
        <v>0</v>
      </c>
      <c r="X16" s="2">
        <f t="shared" si="0"/>
        <v>45.122</v>
      </c>
      <c r="Y16" s="2">
        <f t="shared" si="1"/>
        <v>13.706</v>
      </c>
      <c r="Z16" s="4">
        <v>77</v>
      </c>
      <c r="AA16" s="4"/>
      <c r="AB16">
        <f t="shared" si="2"/>
        <v>58.828000000000003</v>
      </c>
      <c r="AL16" s="2"/>
    </row>
    <row r="17" spans="1:38" x14ac:dyDescent="0.25">
      <c r="A17" t="s">
        <v>41</v>
      </c>
      <c r="B17" t="s">
        <v>25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0.215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 s="2">
        <v>0.75007999999999997</v>
      </c>
      <c r="V17">
        <v>0.22783999999999999</v>
      </c>
      <c r="W17" s="3">
        <v>0</v>
      </c>
      <c r="X17" s="2">
        <f t="shared" si="0"/>
        <v>0.75007999999999997</v>
      </c>
      <c r="Y17" s="2">
        <f t="shared" si="1"/>
        <v>0.22783999999999999</v>
      </c>
      <c r="Z17" s="4">
        <v>1.28</v>
      </c>
      <c r="AA17" s="4"/>
      <c r="AB17">
        <f t="shared" si="2"/>
        <v>0.9779199999999999</v>
      </c>
      <c r="AL17" s="2"/>
    </row>
    <row r="18" spans="1:38" x14ac:dyDescent="0.25">
      <c r="A18" t="s">
        <v>41</v>
      </c>
      <c r="B18" t="s">
        <v>26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0.23</v>
      </c>
      <c r="K18">
        <v>5.3</v>
      </c>
      <c r="L18">
        <v>1.3440000000000001E-4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0.64460000000000006</v>
      </c>
      <c r="V18">
        <v>0.1958</v>
      </c>
      <c r="W18" s="3">
        <v>0</v>
      </c>
      <c r="X18" s="2">
        <f t="shared" si="0"/>
        <v>0.64460000000000006</v>
      </c>
      <c r="Y18" s="2">
        <f t="shared" si="1"/>
        <v>0.1958</v>
      </c>
      <c r="Z18" s="4">
        <v>1.1000000000000001</v>
      </c>
      <c r="AA18" s="4"/>
      <c r="AB18">
        <f t="shared" si="2"/>
        <v>0.84040000000000004</v>
      </c>
      <c r="AL18" s="2"/>
    </row>
    <row r="19" spans="1:38" x14ac:dyDescent="0.25">
      <c r="A19" t="s">
        <v>41</v>
      </c>
      <c r="B19" t="s">
        <v>27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0.215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s="2">
        <v>0.75007999999999997</v>
      </c>
      <c r="V19">
        <v>0.22783999999999999</v>
      </c>
      <c r="W19" s="3">
        <v>0</v>
      </c>
      <c r="X19" s="2">
        <f t="shared" si="0"/>
        <v>0.75007999999999997</v>
      </c>
      <c r="Y19" s="2">
        <f t="shared" si="1"/>
        <v>0.22783999999999999</v>
      </c>
      <c r="Z19" s="4">
        <v>1.28</v>
      </c>
      <c r="AA19" s="4"/>
      <c r="AB19">
        <f t="shared" si="2"/>
        <v>0.9779199999999999</v>
      </c>
      <c r="AL19" s="2"/>
    </row>
    <row r="20" spans="1:38" x14ac:dyDescent="0.25">
      <c r="A20" t="s">
        <v>41</v>
      </c>
      <c r="B20" t="s">
        <v>28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</v>
      </c>
      <c r="K20">
        <v>5.3</v>
      </c>
      <c r="L20">
        <v>1.8559999999999998E-4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4.8000000000000001E-4</v>
      </c>
      <c r="S20">
        <v>0</v>
      </c>
      <c r="T20">
        <v>1</v>
      </c>
      <c r="U20" s="2">
        <v>41.899000000000001</v>
      </c>
      <c r="V20">
        <v>12.726999999999999</v>
      </c>
      <c r="W20" s="3">
        <v>0</v>
      </c>
      <c r="X20" s="2">
        <f t="shared" si="0"/>
        <v>41.899000000000001</v>
      </c>
      <c r="Y20" s="2">
        <f t="shared" si="1"/>
        <v>12.726999999999999</v>
      </c>
      <c r="Z20" s="4">
        <v>71.5</v>
      </c>
      <c r="AA20" s="4"/>
      <c r="AB20">
        <f t="shared" si="2"/>
        <v>54.625999999999998</v>
      </c>
      <c r="AL20" s="2"/>
    </row>
    <row r="21" spans="1:38" x14ac:dyDescent="0.25">
      <c r="A21" t="s">
        <v>41</v>
      </c>
      <c r="B21" t="s">
        <v>29</v>
      </c>
      <c r="C21">
        <v>25</v>
      </c>
      <c r="D21" t="s">
        <v>18</v>
      </c>
      <c r="E21">
        <v>500</v>
      </c>
      <c r="F21" s="1">
        <v>170000</v>
      </c>
      <c r="G21">
        <v>1300</v>
      </c>
      <c r="H21">
        <v>1445</v>
      </c>
      <c r="I21">
        <v>1</v>
      </c>
      <c r="J21">
        <v>0.215</v>
      </c>
      <c r="K21">
        <v>5.3</v>
      </c>
      <c r="L21">
        <v>1.3568E-3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2.8800000000000001E-4</v>
      </c>
      <c r="S21">
        <v>0</v>
      </c>
      <c r="T21">
        <v>1</v>
      </c>
      <c r="U21" s="2">
        <v>63.756799999999991</v>
      </c>
      <c r="V21">
        <v>19.366399999999999</v>
      </c>
      <c r="W21" s="3">
        <v>0</v>
      </c>
      <c r="X21" s="2">
        <f t="shared" si="0"/>
        <v>63.756799999999991</v>
      </c>
      <c r="Y21" s="2">
        <f t="shared" si="1"/>
        <v>19.366399999999999</v>
      </c>
      <c r="Z21" s="4">
        <v>108.8</v>
      </c>
      <c r="AA21" s="4"/>
      <c r="AB21">
        <f t="shared" si="2"/>
        <v>83.123199999999997</v>
      </c>
      <c r="AL21" s="2"/>
    </row>
    <row r="22" spans="1:38" x14ac:dyDescent="0.25">
      <c r="A22" t="s">
        <v>41</v>
      </c>
      <c r="B22" t="s">
        <v>30</v>
      </c>
      <c r="C22">
        <v>25</v>
      </c>
      <c r="D22" t="s">
        <v>18</v>
      </c>
      <c r="E22">
        <v>500</v>
      </c>
      <c r="F22" s="1">
        <v>170000</v>
      </c>
      <c r="G22">
        <v>1300</v>
      </c>
      <c r="H22">
        <v>1445</v>
      </c>
      <c r="I22">
        <v>1</v>
      </c>
      <c r="J22">
        <v>0.23</v>
      </c>
      <c r="K22">
        <v>5.3</v>
      </c>
      <c r="L22">
        <v>1.0240000000000001E-4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4.8000000000000001E-4</v>
      </c>
      <c r="S22">
        <v>0</v>
      </c>
      <c r="T22">
        <v>1</v>
      </c>
      <c r="U22" s="2">
        <v>41.254400000000004</v>
      </c>
      <c r="V22">
        <v>12.5312</v>
      </c>
      <c r="W22" s="3">
        <v>0</v>
      </c>
      <c r="X22" s="2">
        <f t="shared" si="0"/>
        <v>41.254400000000004</v>
      </c>
      <c r="Y22" s="2">
        <f t="shared" si="1"/>
        <v>12.5312</v>
      </c>
      <c r="Z22" s="4">
        <v>70.400000000000006</v>
      </c>
      <c r="AA22" s="4"/>
      <c r="AB22">
        <f t="shared" si="2"/>
        <v>53.785600000000002</v>
      </c>
      <c r="AL22" s="2"/>
    </row>
    <row r="23" spans="1:38" x14ac:dyDescent="0.25">
      <c r="A23" t="s">
        <v>41</v>
      </c>
      <c r="B23" t="s">
        <v>31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0.24</v>
      </c>
      <c r="K23">
        <v>5.3</v>
      </c>
      <c r="L23">
        <v>1.3621000000000002E-3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 s="2">
        <v>52.505600000000001</v>
      </c>
      <c r="V23">
        <v>15.9488</v>
      </c>
      <c r="W23" s="5">
        <v>0</v>
      </c>
      <c r="X23" s="2">
        <f t="shared" ref="X23:X48" si="3">U23*(1-W23)</f>
        <v>52.505600000000001</v>
      </c>
      <c r="Y23" s="2">
        <f t="shared" ref="Y23:Y48" si="4">U23*W23 + V23</f>
        <v>15.9488</v>
      </c>
      <c r="Z23" s="4">
        <v>89.600000000000009</v>
      </c>
      <c r="AA23" s="4"/>
      <c r="AB23">
        <f t="shared" ref="AB23:AB48" si="5">X23+Y23</f>
        <v>68.454400000000007</v>
      </c>
    </row>
    <row r="24" spans="1:38" x14ac:dyDescent="0.25">
      <c r="A24" t="s">
        <v>42</v>
      </c>
      <c r="B24" t="s">
        <v>19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0.24</v>
      </c>
      <c r="K24">
        <v>5.3</v>
      </c>
      <c r="L24">
        <v>1.3621000000000002E-3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45.754879999999993</v>
      </c>
      <c r="V24">
        <v>13.898239999999999</v>
      </c>
      <c r="W24" s="5">
        <v>0</v>
      </c>
      <c r="X24" s="2">
        <f t="shared" si="3"/>
        <v>45.754879999999993</v>
      </c>
      <c r="Y24" s="2">
        <f t="shared" si="4"/>
        <v>13.898239999999999</v>
      </c>
      <c r="Z24" s="4">
        <v>78.08</v>
      </c>
      <c r="AA24" s="4"/>
      <c r="AB24">
        <f t="shared" si="5"/>
        <v>59.653119999999994</v>
      </c>
    </row>
    <row r="25" spans="1:38" x14ac:dyDescent="0.25">
      <c r="A25" t="s">
        <v>42</v>
      </c>
      <c r="B25" t="s">
        <v>20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</v>
      </c>
      <c r="K25">
        <v>5.3</v>
      </c>
      <c r="L25">
        <v>1.0240000000000001E-4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4.8000000000000001E-4</v>
      </c>
      <c r="S25">
        <v>0</v>
      </c>
      <c r="T25">
        <v>1</v>
      </c>
      <c r="U25">
        <v>54.1464</v>
      </c>
      <c r="V25">
        <v>16.447199999999999</v>
      </c>
      <c r="W25" s="5">
        <v>0</v>
      </c>
      <c r="X25" s="2">
        <f t="shared" si="3"/>
        <v>54.1464</v>
      </c>
      <c r="Y25" s="2">
        <f t="shared" si="4"/>
        <v>16.447199999999999</v>
      </c>
      <c r="Z25" s="4">
        <v>92.4</v>
      </c>
      <c r="AA25" s="4"/>
      <c r="AB25">
        <f t="shared" si="5"/>
        <v>70.593599999999995</v>
      </c>
    </row>
    <row r="26" spans="1:38" x14ac:dyDescent="0.25">
      <c r="A26" t="s">
        <v>42</v>
      </c>
      <c r="B26" t="s">
        <v>23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0.215</v>
      </c>
      <c r="K26">
        <v>5.3</v>
      </c>
      <c r="L26">
        <v>2.0400000000000001E-3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3.8400000000000001E-4</v>
      </c>
      <c r="S26">
        <v>0</v>
      </c>
      <c r="T26">
        <v>1</v>
      </c>
      <c r="U26">
        <v>97.510400000000004</v>
      </c>
      <c r="V26">
        <v>29.619199999999999</v>
      </c>
      <c r="W26" s="5">
        <v>0</v>
      </c>
      <c r="X26" s="2">
        <f t="shared" si="3"/>
        <v>97.510400000000004</v>
      </c>
      <c r="Y26" s="2">
        <f t="shared" si="4"/>
        <v>29.619199999999999</v>
      </c>
      <c r="Z26" s="4">
        <v>166.4</v>
      </c>
      <c r="AA26" s="4"/>
      <c r="AB26">
        <f t="shared" si="5"/>
        <v>127.12960000000001</v>
      </c>
    </row>
    <row r="27" spans="1:38" x14ac:dyDescent="0.25">
      <c r="A27" t="s">
        <v>42</v>
      </c>
      <c r="B27" t="s">
        <v>24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</v>
      </c>
      <c r="K27">
        <v>5.3</v>
      </c>
      <c r="L27">
        <v>1.3440000000000001E-4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4.8000000000000001E-4</v>
      </c>
      <c r="S27">
        <v>0</v>
      </c>
      <c r="T27">
        <v>1</v>
      </c>
      <c r="U27">
        <v>52.857199999999999</v>
      </c>
      <c r="V27">
        <v>16.055599999999998</v>
      </c>
      <c r="W27" s="5">
        <v>0</v>
      </c>
      <c r="X27" s="2">
        <f t="shared" si="3"/>
        <v>52.857199999999999</v>
      </c>
      <c r="Y27" s="2">
        <f t="shared" si="4"/>
        <v>16.055599999999998</v>
      </c>
      <c r="Z27" s="4">
        <v>90.2</v>
      </c>
      <c r="AA27" s="4"/>
      <c r="AB27">
        <f t="shared" si="5"/>
        <v>68.912800000000004</v>
      </c>
    </row>
    <row r="28" spans="1:38" x14ac:dyDescent="0.25">
      <c r="A28" t="s">
        <v>42</v>
      </c>
      <c r="B28" t="s">
        <v>25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0.215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0.75007999999999997</v>
      </c>
      <c r="V28">
        <v>0.22783999999999999</v>
      </c>
      <c r="W28" s="5">
        <v>0</v>
      </c>
      <c r="X28" s="2">
        <f t="shared" si="3"/>
        <v>0.75007999999999997</v>
      </c>
      <c r="Y28" s="2">
        <f t="shared" si="4"/>
        <v>0.22783999999999999</v>
      </c>
      <c r="Z28" s="4">
        <v>1.28</v>
      </c>
      <c r="AA28" s="4"/>
      <c r="AB28">
        <f t="shared" si="5"/>
        <v>0.9779199999999999</v>
      </c>
    </row>
    <row r="29" spans="1:38" x14ac:dyDescent="0.25">
      <c r="A29" t="s">
        <v>42</v>
      </c>
      <c r="B29" t="s">
        <v>26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0.23</v>
      </c>
      <c r="K29">
        <v>5.3</v>
      </c>
      <c r="L29">
        <v>1.3440000000000001E-4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0.64460000000000006</v>
      </c>
      <c r="V29">
        <v>0.1958</v>
      </c>
      <c r="W29" s="5">
        <v>0</v>
      </c>
      <c r="X29" s="2">
        <f t="shared" si="3"/>
        <v>0.64460000000000006</v>
      </c>
      <c r="Y29" s="2">
        <f t="shared" si="4"/>
        <v>0.1958</v>
      </c>
      <c r="Z29" s="4">
        <v>1.1000000000000001</v>
      </c>
      <c r="AA29" s="4"/>
      <c r="AB29">
        <f t="shared" si="5"/>
        <v>0.84040000000000004</v>
      </c>
    </row>
    <row r="30" spans="1:38" x14ac:dyDescent="0.25">
      <c r="A30" t="s">
        <v>42</v>
      </c>
      <c r="B30" t="s">
        <v>27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0.215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0.75007999999999997</v>
      </c>
      <c r="V30">
        <v>0.22783999999999999</v>
      </c>
      <c r="W30" s="5">
        <v>0</v>
      </c>
      <c r="X30" s="2">
        <f t="shared" si="3"/>
        <v>0.75007999999999997</v>
      </c>
      <c r="Y30" s="2">
        <f t="shared" si="4"/>
        <v>0.22783999999999999</v>
      </c>
      <c r="Z30" s="4">
        <v>1.28</v>
      </c>
      <c r="AA30" s="4"/>
      <c r="AB30">
        <f t="shared" si="5"/>
        <v>0.9779199999999999</v>
      </c>
    </row>
    <row r="31" spans="1:38" x14ac:dyDescent="0.25">
      <c r="A31" t="s">
        <v>42</v>
      </c>
      <c r="B31" t="s">
        <v>28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</v>
      </c>
      <c r="K31">
        <v>5.3</v>
      </c>
      <c r="L31">
        <v>1.3440000000000001E-4</v>
      </c>
      <c r="M31">
        <v>0.04</v>
      </c>
      <c r="N31">
        <v>1</v>
      </c>
      <c r="O31">
        <v>0</v>
      </c>
      <c r="P31">
        <v>0</v>
      </c>
      <c r="Q31">
        <v>1</v>
      </c>
      <c r="R31">
        <v>4.8000000000000001E-4</v>
      </c>
      <c r="S31">
        <v>0</v>
      </c>
      <c r="T31">
        <v>1</v>
      </c>
      <c r="U31">
        <v>34.808399999999999</v>
      </c>
      <c r="V31">
        <v>10.5732</v>
      </c>
      <c r="W31" s="5">
        <v>0.25</v>
      </c>
      <c r="X31" s="2">
        <f t="shared" si="3"/>
        <v>26.106299999999997</v>
      </c>
      <c r="Y31" s="2">
        <f t="shared" si="4"/>
        <v>19.275300000000001</v>
      </c>
      <c r="Z31" s="4">
        <v>59.400000000000006</v>
      </c>
      <c r="AA31" s="4"/>
      <c r="AB31">
        <f t="shared" si="5"/>
        <v>45.381599999999999</v>
      </c>
    </row>
    <row r="32" spans="1:38" x14ac:dyDescent="0.25">
      <c r="A32" t="s">
        <v>42</v>
      </c>
      <c r="B32" t="s">
        <v>29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0.215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2.8800000000000001E-4</v>
      </c>
      <c r="S32">
        <v>0</v>
      </c>
      <c r="T32">
        <v>1</v>
      </c>
      <c r="U32">
        <v>99.760639999999995</v>
      </c>
      <c r="V32">
        <v>30.302720000000001</v>
      </c>
      <c r="W32" s="5">
        <v>0.5</v>
      </c>
      <c r="X32" s="2">
        <f t="shared" si="3"/>
        <v>49.880319999999998</v>
      </c>
      <c r="Y32" s="2">
        <f t="shared" si="4"/>
        <v>80.183040000000005</v>
      </c>
      <c r="Z32" s="4">
        <v>170.24</v>
      </c>
      <c r="AA32" s="4"/>
      <c r="AB32">
        <f t="shared" si="5"/>
        <v>130.06335999999999</v>
      </c>
    </row>
    <row r="33" spans="1:28" x14ac:dyDescent="0.25">
      <c r="A33" t="s">
        <v>42</v>
      </c>
      <c r="B33" t="s">
        <v>30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0.23</v>
      </c>
      <c r="K33">
        <v>5.3</v>
      </c>
      <c r="L33">
        <v>2.6659000000000001E-3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83.798000000000002</v>
      </c>
      <c r="V33">
        <v>25.453999999999997</v>
      </c>
      <c r="W33" s="5">
        <v>0.5</v>
      </c>
      <c r="X33" s="2">
        <f t="shared" si="3"/>
        <v>41.899000000000001</v>
      </c>
      <c r="Y33" s="2">
        <f t="shared" si="4"/>
        <v>67.352999999999994</v>
      </c>
      <c r="Z33" s="4">
        <v>143</v>
      </c>
      <c r="AA33" s="4"/>
      <c r="AB33">
        <f t="shared" si="5"/>
        <v>109.252</v>
      </c>
    </row>
    <row r="34" spans="1:28" x14ac:dyDescent="0.25">
      <c r="A34" t="s">
        <v>42</v>
      </c>
      <c r="B34" t="s">
        <v>31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0.24</v>
      </c>
      <c r="K34">
        <v>5.3</v>
      </c>
      <c r="L34">
        <v>1.3621000000000002E-3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51.00544</v>
      </c>
      <c r="V34">
        <v>15.493120000000001</v>
      </c>
      <c r="W34" s="5">
        <v>0.5</v>
      </c>
      <c r="X34" s="2">
        <f t="shared" si="3"/>
        <v>25.50272</v>
      </c>
      <c r="Y34" s="2">
        <f t="shared" si="4"/>
        <v>40.995840000000001</v>
      </c>
      <c r="Z34" s="4">
        <v>87.04</v>
      </c>
      <c r="AA34" s="4"/>
      <c r="AB34">
        <f t="shared" si="5"/>
        <v>66.498559999999998</v>
      </c>
    </row>
    <row r="35" spans="1:28" x14ac:dyDescent="0.25">
      <c r="A35" t="s">
        <v>43</v>
      </c>
      <c r="B35" t="s">
        <v>19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0.24</v>
      </c>
      <c r="K35">
        <v>5.3</v>
      </c>
      <c r="L35">
        <v>1.3621000000000002E-3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49.505279999999999</v>
      </c>
      <c r="V35">
        <v>15.03744</v>
      </c>
      <c r="W35" s="5">
        <v>0</v>
      </c>
      <c r="X35" s="2">
        <f t="shared" si="3"/>
        <v>49.505279999999999</v>
      </c>
      <c r="Y35" s="2">
        <f t="shared" si="4"/>
        <v>15.03744</v>
      </c>
      <c r="Z35" s="4">
        <v>84.48</v>
      </c>
      <c r="AA35" s="4"/>
      <c r="AB35">
        <f t="shared" si="5"/>
        <v>64.542720000000003</v>
      </c>
    </row>
    <row r="36" spans="1:28" x14ac:dyDescent="0.25">
      <c r="A36" t="s">
        <v>43</v>
      </c>
      <c r="B36" t="s">
        <v>20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0.23</v>
      </c>
      <c r="K36">
        <v>5.3</v>
      </c>
      <c r="L36">
        <v>1E-4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4.8000000000000001E-4</v>
      </c>
      <c r="S36">
        <v>0</v>
      </c>
      <c r="T36">
        <v>1</v>
      </c>
      <c r="U36">
        <v>47.055800000000005</v>
      </c>
      <c r="V36">
        <v>14.293400000000002</v>
      </c>
      <c r="W36" s="5">
        <v>0</v>
      </c>
      <c r="X36" s="2">
        <f t="shared" si="3"/>
        <v>47.055800000000005</v>
      </c>
      <c r="Y36" s="2">
        <f t="shared" si="4"/>
        <v>14.293400000000002</v>
      </c>
      <c r="Z36" s="4">
        <v>80.300000000000011</v>
      </c>
      <c r="AA36" s="4"/>
      <c r="AB36">
        <f t="shared" si="5"/>
        <v>61.34920000000001</v>
      </c>
    </row>
    <row r="37" spans="1:28" x14ac:dyDescent="0.25">
      <c r="A37" t="s">
        <v>43</v>
      </c>
      <c r="B37" t="s">
        <v>23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0.215</v>
      </c>
      <c r="K37">
        <v>5.3</v>
      </c>
      <c r="L37">
        <v>2.0400000000000001E-3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3.8400000000000001E-4</v>
      </c>
      <c r="S37">
        <v>0</v>
      </c>
      <c r="T37">
        <v>1</v>
      </c>
      <c r="U37">
        <v>93.009919999999994</v>
      </c>
      <c r="V37">
        <v>28.25216</v>
      </c>
      <c r="W37" s="5">
        <v>0</v>
      </c>
      <c r="X37" s="2">
        <f t="shared" si="3"/>
        <v>93.009919999999994</v>
      </c>
      <c r="Y37" s="2">
        <f t="shared" si="4"/>
        <v>28.25216</v>
      </c>
      <c r="Z37" s="4">
        <v>158.72</v>
      </c>
      <c r="AA37" s="4"/>
      <c r="AB37">
        <f t="shared" si="5"/>
        <v>121.26208</v>
      </c>
    </row>
    <row r="38" spans="1:28" x14ac:dyDescent="0.25">
      <c r="A38" t="s">
        <v>43</v>
      </c>
      <c r="B38" t="s">
        <v>24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</v>
      </c>
      <c r="K38">
        <v>5.3</v>
      </c>
      <c r="L38">
        <v>1E-4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4.8000000000000001E-4</v>
      </c>
      <c r="S38">
        <v>0</v>
      </c>
      <c r="T38">
        <v>1</v>
      </c>
      <c r="U38">
        <v>54.791000000000004</v>
      </c>
      <c r="V38">
        <v>16.643000000000001</v>
      </c>
      <c r="W38" s="5">
        <v>0</v>
      </c>
      <c r="X38" s="2">
        <f t="shared" si="3"/>
        <v>54.791000000000004</v>
      </c>
      <c r="Y38" s="2">
        <f t="shared" si="4"/>
        <v>16.643000000000001</v>
      </c>
      <c r="Z38" s="4">
        <v>93.500000000000014</v>
      </c>
      <c r="AA38" s="4"/>
      <c r="AB38">
        <f t="shared" si="5"/>
        <v>71.433999999999997</v>
      </c>
    </row>
    <row r="39" spans="1:28" x14ac:dyDescent="0.25">
      <c r="A39" t="s">
        <v>43</v>
      </c>
      <c r="B39" t="s">
        <v>25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0.215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0.75007999999999997</v>
      </c>
      <c r="V39">
        <v>0.22783999999999999</v>
      </c>
      <c r="W39" s="5">
        <v>0</v>
      </c>
      <c r="X39" s="2">
        <f t="shared" si="3"/>
        <v>0.75007999999999997</v>
      </c>
      <c r="Y39" s="2">
        <f t="shared" si="4"/>
        <v>0.22783999999999999</v>
      </c>
      <c r="Z39" s="4">
        <v>1.28</v>
      </c>
      <c r="AA39" s="4"/>
      <c r="AB39">
        <f t="shared" si="5"/>
        <v>0.9779199999999999</v>
      </c>
    </row>
    <row r="40" spans="1:28" x14ac:dyDescent="0.25">
      <c r="A40" t="s">
        <v>43</v>
      </c>
      <c r="B40" t="s">
        <v>26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0.23</v>
      </c>
      <c r="K40">
        <v>5.3</v>
      </c>
      <c r="L40">
        <v>1E-4</v>
      </c>
      <c r="M40">
        <v>6.9999999999999993E-2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0.64460000000000006</v>
      </c>
      <c r="V40">
        <v>0.1958</v>
      </c>
      <c r="W40" s="5">
        <v>0</v>
      </c>
      <c r="X40" s="2">
        <f t="shared" si="3"/>
        <v>0.64460000000000006</v>
      </c>
      <c r="Y40" s="2">
        <f t="shared" si="4"/>
        <v>0.1958</v>
      </c>
      <c r="Z40" s="4">
        <v>1.1000000000000001</v>
      </c>
      <c r="AA40" s="4"/>
      <c r="AB40">
        <f t="shared" si="5"/>
        <v>0.84040000000000004</v>
      </c>
    </row>
    <row r="41" spans="1:28" x14ac:dyDescent="0.25">
      <c r="A41" t="s">
        <v>43</v>
      </c>
      <c r="B41" t="s">
        <v>27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0.215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0.75007999999999997</v>
      </c>
      <c r="V41">
        <v>0.22783999999999999</v>
      </c>
      <c r="W41" s="5">
        <v>0</v>
      </c>
      <c r="X41" s="2">
        <f t="shared" si="3"/>
        <v>0.75007999999999997</v>
      </c>
      <c r="Y41" s="2">
        <f t="shared" si="4"/>
        <v>0.22783999999999999</v>
      </c>
      <c r="Z41" s="4">
        <v>1.28</v>
      </c>
      <c r="AA41" s="4"/>
      <c r="AB41">
        <f t="shared" si="5"/>
        <v>0.9779199999999999</v>
      </c>
    </row>
    <row r="42" spans="1:28" x14ac:dyDescent="0.25">
      <c r="A42" t="s">
        <v>43</v>
      </c>
      <c r="B42" t="s">
        <v>28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</v>
      </c>
      <c r="K42">
        <v>5.3</v>
      </c>
      <c r="L42">
        <v>1E-4</v>
      </c>
      <c r="M42">
        <v>0.04</v>
      </c>
      <c r="N42">
        <v>1</v>
      </c>
      <c r="O42">
        <v>0</v>
      </c>
      <c r="P42">
        <v>0</v>
      </c>
      <c r="Q42">
        <v>1</v>
      </c>
      <c r="R42">
        <v>4.8000000000000001E-4</v>
      </c>
      <c r="S42">
        <v>0</v>
      </c>
      <c r="T42">
        <v>1</v>
      </c>
      <c r="U42">
        <v>61.237000000000002</v>
      </c>
      <c r="V42">
        <v>18.601000000000003</v>
      </c>
      <c r="W42" s="5">
        <v>0</v>
      </c>
      <c r="X42" s="2">
        <f t="shared" si="3"/>
        <v>61.237000000000002</v>
      </c>
      <c r="Y42" s="2">
        <f t="shared" si="4"/>
        <v>18.601000000000003</v>
      </c>
      <c r="Z42" s="4">
        <v>104.50000000000001</v>
      </c>
      <c r="AA42" s="4"/>
      <c r="AB42">
        <f t="shared" si="5"/>
        <v>79.838000000000008</v>
      </c>
    </row>
    <row r="43" spans="1:28" x14ac:dyDescent="0.25">
      <c r="A43" t="s">
        <v>43</v>
      </c>
      <c r="B43" t="s">
        <v>29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0.215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2.8800000000000001E-4</v>
      </c>
      <c r="S43">
        <v>0</v>
      </c>
      <c r="T43">
        <v>1</v>
      </c>
      <c r="U43">
        <v>93.759999999999991</v>
      </c>
      <c r="V43">
        <v>28.479999999999997</v>
      </c>
      <c r="W43" s="5">
        <v>0</v>
      </c>
      <c r="X43" s="2">
        <f t="shared" si="3"/>
        <v>93.759999999999991</v>
      </c>
      <c r="Y43" s="2">
        <f t="shared" si="4"/>
        <v>28.479999999999997</v>
      </c>
      <c r="Z43" s="4">
        <v>160</v>
      </c>
      <c r="AA43" s="4"/>
      <c r="AB43">
        <f t="shared" si="5"/>
        <v>122.23999999999998</v>
      </c>
    </row>
    <row r="44" spans="1:28" x14ac:dyDescent="0.25">
      <c r="A44" t="s">
        <v>43</v>
      </c>
      <c r="B44" t="s">
        <v>30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0.23</v>
      </c>
      <c r="K44">
        <v>5.3</v>
      </c>
      <c r="L44">
        <v>2.6700000000000001E-3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90.244</v>
      </c>
      <c r="V44">
        <v>27.411999999999999</v>
      </c>
      <c r="W44" s="5">
        <v>0</v>
      </c>
      <c r="X44" s="2">
        <f t="shared" si="3"/>
        <v>90.244</v>
      </c>
      <c r="Y44" s="2">
        <f t="shared" si="4"/>
        <v>27.411999999999999</v>
      </c>
      <c r="Z44" s="4">
        <v>154</v>
      </c>
      <c r="AA44" s="4"/>
      <c r="AB44">
        <f t="shared" si="5"/>
        <v>117.65600000000001</v>
      </c>
    </row>
    <row r="45" spans="1:28" x14ac:dyDescent="0.25">
      <c r="A45" t="s">
        <v>43</v>
      </c>
      <c r="B45" t="s">
        <v>31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0.24</v>
      </c>
      <c r="K45">
        <v>5.3</v>
      </c>
      <c r="L45">
        <v>1.3621000000000002E-3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7.5007999999999999</v>
      </c>
      <c r="V45">
        <v>2.2784</v>
      </c>
      <c r="W45" s="5">
        <v>0</v>
      </c>
      <c r="X45" s="2">
        <f t="shared" si="3"/>
        <v>7.5007999999999999</v>
      </c>
      <c r="Y45" s="2">
        <f t="shared" si="4"/>
        <v>2.2784</v>
      </c>
      <c r="Z45" s="4">
        <v>12.8</v>
      </c>
      <c r="AA45" s="4"/>
      <c r="AB45">
        <f t="shared" si="5"/>
        <v>9.7791999999999994</v>
      </c>
    </row>
    <row r="46" spans="1:28" x14ac:dyDescent="0.25">
      <c r="A46" t="s">
        <v>44</v>
      </c>
      <c r="B46" t="s">
        <v>19</v>
      </c>
      <c r="C46">
        <v>25</v>
      </c>
      <c r="D46" t="s">
        <v>18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0.24</v>
      </c>
      <c r="K46">
        <v>5.25</v>
      </c>
      <c r="L46">
        <v>1.3490000000000002E-3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2.8800000000000001E-4</v>
      </c>
      <c r="S46">
        <v>0</v>
      </c>
      <c r="T46">
        <v>1</v>
      </c>
      <c r="U46">
        <v>60.006399999999999</v>
      </c>
      <c r="V46">
        <v>18.2272</v>
      </c>
      <c r="W46" s="5">
        <v>0</v>
      </c>
      <c r="X46" s="2">
        <f t="shared" si="3"/>
        <v>60.006399999999999</v>
      </c>
      <c r="Y46" s="2">
        <f t="shared" si="4"/>
        <v>18.2272</v>
      </c>
      <c r="Z46" s="4">
        <v>102.4</v>
      </c>
      <c r="AA46" s="4"/>
      <c r="AB46">
        <f t="shared" si="5"/>
        <v>78.233599999999996</v>
      </c>
    </row>
    <row r="47" spans="1:28" x14ac:dyDescent="0.25">
      <c r="A47" t="s">
        <v>44</v>
      </c>
      <c r="B47" t="s">
        <v>20</v>
      </c>
      <c r="C47">
        <v>25</v>
      </c>
      <c r="D47" t="s">
        <v>18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0.23</v>
      </c>
      <c r="K47">
        <v>5.25</v>
      </c>
      <c r="L47">
        <v>1.0240000000000001E-4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4.8000000000000001E-4</v>
      </c>
      <c r="S47">
        <v>0</v>
      </c>
      <c r="T47">
        <v>1</v>
      </c>
      <c r="U47">
        <v>29.007000000000001</v>
      </c>
      <c r="V47">
        <v>8.8110000000000017</v>
      </c>
      <c r="W47" s="5">
        <v>0</v>
      </c>
      <c r="X47" s="2">
        <f t="shared" si="3"/>
        <v>29.007000000000001</v>
      </c>
      <c r="Y47" s="2">
        <f t="shared" si="4"/>
        <v>8.8110000000000017</v>
      </c>
      <c r="Z47" s="4">
        <v>49.500000000000007</v>
      </c>
      <c r="AA47" s="4"/>
      <c r="AB47">
        <f t="shared" si="5"/>
        <v>37.818000000000005</v>
      </c>
    </row>
    <row r="48" spans="1:28" x14ac:dyDescent="0.25">
      <c r="A48" t="s">
        <v>44</v>
      </c>
      <c r="B48" t="s">
        <v>23</v>
      </c>
      <c r="C48">
        <v>25</v>
      </c>
      <c r="D48" t="s">
        <v>18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0.215</v>
      </c>
      <c r="K48">
        <v>5.25</v>
      </c>
      <c r="L48">
        <v>2.02125E-3</v>
      </c>
      <c r="M48">
        <v>0.05</v>
      </c>
      <c r="N48">
        <v>1</v>
      </c>
      <c r="O48">
        <v>0</v>
      </c>
      <c r="P48">
        <v>0</v>
      </c>
      <c r="Q48">
        <v>1</v>
      </c>
      <c r="R48">
        <v>2.8800000000000001E-4</v>
      </c>
      <c r="S48">
        <v>0</v>
      </c>
      <c r="T48">
        <v>1</v>
      </c>
      <c r="U48">
        <v>93.759999999999991</v>
      </c>
      <c r="V48">
        <v>28.479999999999997</v>
      </c>
      <c r="W48" s="5">
        <v>0</v>
      </c>
      <c r="X48" s="2">
        <f t="shared" si="3"/>
        <v>93.759999999999991</v>
      </c>
      <c r="Y48" s="2">
        <f t="shared" si="4"/>
        <v>28.479999999999997</v>
      </c>
      <c r="Z48" s="4">
        <v>160</v>
      </c>
      <c r="AA48" s="4"/>
      <c r="AB48">
        <f t="shared" si="5"/>
        <v>122.23999999999998</v>
      </c>
    </row>
    <row r="49" spans="23:27" x14ac:dyDescent="0.25">
      <c r="W49" s="5"/>
      <c r="X49" s="2"/>
      <c r="Y49" s="2"/>
      <c r="Z49" s="4"/>
      <c r="AA49" s="4"/>
    </row>
    <row r="50" spans="23:27" x14ac:dyDescent="0.25">
      <c r="W50" s="5"/>
      <c r="X50" s="2"/>
      <c r="Y50" s="2"/>
      <c r="Z50" s="4"/>
      <c r="AA50" s="4"/>
    </row>
    <row r="51" spans="23:27" x14ac:dyDescent="0.25">
      <c r="W51" s="5"/>
      <c r="X51" s="2"/>
      <c r="Y51" s="2"/>
      <c r="Z51" s="4"/>
      <c r="AA51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2025-11-09T21:36:50Z</dcterms:modified>
</cp:coreProperties>
</file>