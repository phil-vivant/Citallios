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thon\Citallios\Calculs\"/>
    </mc:Choice>
  </mc:AlternateContent>
  <xr:revisionPtr revIDLastSave="0" documentId="13_ncr:1_{5BEC9C7C-0380-4818-89A4-CA4C962F4EDF}" xr6:coauthVersionLast="47" xr6:coauthVersionMax="47" xr10:uidLastSave="{00000000-0000-0000-0000-000000000000}"/>
  <bookViews>
    <workbookView xWindow="38290" yWindow="-70" windowWidth="38620" windowHeight="21100" xr2:uid="{00000000-000D-0000-FFFF-FFFF00000000}"/>
  </bookViews>
  <sheets>
    <sheet name="calcu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" i="1" l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Q4" i="1"/>
  <c r="AR4" i="1"/>
  <c r="AQ5" i="1"/>
  <c r="AR5" i="1"/>
  <c r="AQ6" i="1"/>
  <c r="AR6" i="1"/>
  <c r="AQ7" i="1"/>
  <c r="AR7" i="1"/>
  <c r="AQ8" i="1"/>
  <c r="AR8" i="1"/>
  <c r="AQ9" i="1"/>
  <c r="AR9" i="1"/>
  <c r="AQ10" i="1"/>
  <c r="AR10" i="1"/>
  <c r="AQ11" i="1"/>
  <c r="AR11" i="1"/>
  <c r="AQ12" i="1"/>
  <c r="AR12" i="1"/>
  <c r="AQ13" i="1"/>
  <c r="AR13" i="1"/>
  <c r="AQ14" i="1"/>
  <c r="AR14" i="1"/>
  <c r="AQ15" i="1"/>
  <c r="AR15" i="1"/>
  <c r="AQ16" i="1"/>
  <c r="AR16" i="1"/>
  <c r="AQ17" i="1"/>
  <c r="AR17" i="1"/>
  <c r="AQ18" i="1"/>
  <c r="AR18" i="1"/>
  <c r="AQ19" i="1"/>
  <c r="AR19" i="1"/>
  <c r="AQ20" i="1"/>
  <c r="AR20" i="1"/>
  <c r="AQ21" i="1"/>
  <c r="AR21" i="1"/>
  <c r="AQ22" i="1"/>
  <c r="AR22" i="1"/>
  <c r="AQ23" i="1"/>
  <c r="AR23" i="1"/>
  <c r="AQ24" i="1"/>
  <c r="AR24" i="1"/>
  <c r="AQ25" i="1"/>
  <c r="AR25" i="1"/>
  <c r="AQ26" i="1"/>
  <c r="AR26" i="1"/>
  <c r="AQ27" i="1"/>
  <c r="AR27" i="1"/>
  <c r="AQ28" i="1"/>
  <c r="AR28" i="1"/>
  <c r="AR3" i="1"/>
  <c r="AQ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3" i="1"/>
</calcChain>
</file>

<file path=xl/sharedStrings.xml><?xml version="1.0" encoding="utf-8"?>
<sst xmlns="http://schemas.openxmlformats.org/spreadsheetml/2006/main" count="125" uniqueCount="62">
  <si>
    <t>File</t>
  </si>
  <si>
    <t>ID</t>
  </si>
  <si>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</si>
  <si>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</si>
  <si>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</si>
  <si>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</si>
  <si>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</si>
  <si>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</si>
  <si>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</si>
  <si>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</si>
  <si>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</si>
  <si>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</si>
  <si>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</si>
  <si>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</si>
  <si>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</si>
  <si>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</si>
  <si>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</si>
  <si>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</si>
  <si>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</si>
  <si>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</si>
  <si>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m_els_1</t>
  </si>
  <si>
    <t>m_els_2</t>
  </si>
  <si>
    <t>m_elu</t>
  </si>
  <si>
    <t>m_feu</t>
  </si>
  <si>
    <t>els_m1</t>
  </si>
  <si>
    <t>els_m2</t>
  </si>
  <si>
    <t>els_sigma_c1</t>
  </si>
  <si>
    <t>els_sigma_c2</t>
  </si>
  <si>
    <t>els_sigma_s1</t>
  </si>
  <si>
    <t>els_sigma_s2</t>
  </si>
  <si>
    <t>els_sigma_sr2</t>
  </si>
  <si>
    <t>els_sigma_f2</t>
  </si>
  <si>
    <t>elu_m_ed</t>
  </si>
  <si>
    <t>elu_m_rd1</t>
  </si>
  <si>
    <t>elu_m_rd2</t>
  </si>
  <si>
    <t>elu_sigma_c</t>
  </si>
  <si>
    <t>elu_sigma_s</t>
  </si>
  <si>
    <t>elu_sigma_sr</t>
  </si>
  <si>
    <t>elu_sigma_f</t>
  </si>
  <si>
    <t>File A - 1</t>
  </si>
  <si>
    <t>Travée 1</t>
  </si>
  <si>
    <t>B</t>
  </si>
  <si>
    <t>Appui 1</t>
  </si>
  <si>
    <t>Travée 2</t>
  </si>
  <si>
    <t>Appui 2</t>
  </si>
  <si>
    <t>File A - 2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</si>
  <si>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</si>
  <si>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</si>
  <si>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</si>
  <si>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</si>
  <si>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</si>
  <si>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</si>
  <si>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</si>
  <si>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- 3</t>
  </si>
  <si>
    <t>Sollicitations</t>
  </si>
  <si>
    <t>Sollicitations ELS</t>
  </si>
  <si>
    <t>Sollicitations ELU</t>
  </si>
  <si>
    <t>Contrâinte lim 0.8fyk</t>
  </si>
  <si>
    <t xml:space="preserve"> Contrôle els_sigma_c1</t>
  </si>
  <si>
    <t>Sous M1</t>
  </si>
  <si>
    <t>Contrâinte lim 0.45fck</t>
  </si>
  <si>
    <t>Contrôle els_sigma_c1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</si>
</sst>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8"/>
  <sheetViews>
    <sheetView tabSelected="1" zoomScale="70" zoomScaleNormal="70" workbookViewId="0">
      <selection activeCell="AP3" sqref="AP3"/>
    </sheetView>
  </sheetViews>
  <sheetFormatPr baseColWidth="10" defaultColWidth="8.7265625" defaultRowHeight="14.5" x14ac:dyDescent="0.35"/>
  <cols>
    <col min="21" max="22" width="8.81640625" bestFit="1" customWidth="1"/>
    <col min="23" max="23" width="6" bestFit="1" customWidth="1"/>
    <col min="24" max="26" width="8.81640625" bestFit="1" customWidth="1"/>
    <col min="27" max="28" width="11.81640625" bestFit="1" customWidth="1"/>
    <col min="29" max="32" width="12.453125" bestFit="1" customWidth="1"/>
    <col min="33" max="33" width="14.7265625" bestFit="1" customWidth="1"/>
    <col min="34" max="36" width="11.81640625" bestFit="1" customWidth="1"/>
    <col min="37" max="37" width="12.453125" bestFit="1" customWidth="1"/>
    <col min="38" max="38" width="11.7265625" bestFit="1" customWidth="1"/>
    <col min="39" max="39" width="12.453125" bestFit="1" customWidth="1"/>
    <col min="41" max="41" width="12" customWidth="1"/>
  </cols>
  <sheetData>
    <row r="1" spans="1:44" ht="15" thickBot="1" x14ac:dyDescent="0.4">
      <c r="U1" s="3" t="s">
        <v>54</v>
      </c>
      <c r="V1" s="4"/>
      <c r="W1" s="4"/>
      <c r="X1" s="5"/>
      <c r="Y1" s="3" t="s">
        <v>55</v>
      </c>
      <c r="Z1" s="5"/>
      <c r="AG1" t="s">
        <v>56</v>
      </c>
      <c r="AO1" t="s">
        <v>59</v>
      </c>
    </row>
    <row r="2" spans="1:44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O2" t="s">
        <v>57</v>
      </c>
      <c r="AP2" s="1" t="s">
        <v>58</v>
      </c>
      <c r="AQ2" t="s">
        <v>60</v>
      </c>
      <c r="AR2" t="s">
        <v>61</v>
      </c>
    </row>
    <row r="3" spans="1:44" x14ac:dyDescent="0.35">
      <c r="A3" t="s">
        <v>39</v>
      </c>
      <c r="B3" t="s">
        <v>40</v>
      </c>
      <c r="C3">
        <v>25</v>
      </c>
      <c r="D3" t="s">
        <v>41</v>
      </c>
      <c r="E3">
        <v>500</v>
      </c>
      <c r="F3">
        <v>170000</v>
      </c>
      <c r="G3">
        <v>1300</v>
      </c>
      <c r="H3">
        <v>1445</v>
      </c>
      <c r="I3">
        <v>1</v>
      </c>
      <c r="J3">
        <v>0.26</v>
      </c>
      <c r="K3">
        <v>2.2000000000000002</v>
      </c>
      <c r="L3">
        <v>5.6539999999999997E-4</v>
      </c>
      <c r="M3">
        <v>0.04</v>
      </c>
      <c r="N3">
        <v>1</v>
      </c>
      <c r="O3">
        <v>0</v>
      </c>
      <c r="P3">
        <v>0</v>
      </c>
      <c r="Q3">
        <v>1</v>
      </c>
      <c r="R3">
        <v>9.6000000000000002E-5</v>
      </c>
      <c r="S3">
        <v>0</v>
      </c>
      <c r="T3">
        <v>1</v>
      </c>
      <c r="U3">
        <v>29.253119999999999</v>
      </c>
      <c r="V3">
        <v>8.8857599999999994</v>
      </c>
      <c r="W3">
        <v>49.92</v>
      </c>
      <c r="X3">
        <v>38.13888</v>
      </c>
      <c r="Y3">
        <v>29.253119999999999</v>
      </c>
      <c r="Z3">
        <v>8.8857599999999994</v>
      </c>
      <c r="AA3">
        <v>4.9871547117052808</v>
      </c>
      <c r="AB3">
        <v>1.375235239075782</v>
      </c>
      <c r="AC3">
        <v>-244.708979170015</v>
      </c>
      <c r="AD3">
        <v>-61.726318758031468</v>
      </c>
      <c r="AE3">
        <v>0</v>
      </c>
      <c r="AF3">
        <v>-63.357367350724537</v>
      </c>
      <c r="AG3">
        <v>49.92</v>
      </c>
      <c r="AH3">
        <v>56.863742648834233</v>
      </c>
      <c r="AI3">
        <v>87.007089877328099</v>
      </c>
      <c r="AJ3">
        <v>5.4996908455352269</v>
      </c>
      <c r="AK3">
        <v>-352.07623631037438</v>
      </c>
      <c r="AL3">
        <v>0</v>
      </c>
      <c r="AM3">
        <v>-364.89370162480782</v>
      </c>
      <c r="AO3">
        <f>E3*0.8</f>
        <v>400</v>
      </c>
      <c r="AP3" s="6">
        <f>ABS(AC3+AD3)/AO3</f>
        <v>0.76608824482011617</v>
      </c>
      <c r="AQ3">
        <f>0.45*C3</f>
        <v>11.25</v>
      </c>
      <c r="AR3" s="6">
        <f>ABS(AA3)/AQ3</f>
        <v>0.4433026410404694</v>
      </c>
    </row>
    <row r="4" spans="1:44" x14ac:dyDescent="0.35">
      <c r="A4" t="s">
        <v>39</v>
      </c>
      <c r="B4" t="s">
        <v>42</v>
      </c>
      <c r="C4">
        <v>25</v>
      </c>
      <c r="D4" t="s">
        <v>41</v>
      </c>
      <c r="E4">
        <v>500</v>
      </c>
      <c r="F4">
        <v>170000</v>
      </c>
      <c r="G4">
        <v>1300</v>
      </c>
      <c r="H4">
        <v>1445</v>
      </c>
      <c r="I4">
        <v>1</v>
      </c>
      <c r="J4">
        <v>0.25</v>
      </c>
      <c r="K4">
        <v>2.2000000000000002</v>
      </c>
      <c r="L4">
        <v>1.1286E-3</v>
      </c>
      <c r="M4">
        <v>0.1</v>
      </c>
      <c r="N4">
        <v>1</v>
      </c>
      <c r="O4">
        <v>6.1578924137931036E-4</v>
      </c>
      <c r="P4">
        <v>0.04</v>
      </c>
      <c r="Q4">
        <v>1</v>
      </c>
      <c r="R4">
        <v>0</v>
      </c>
      <c r="S4">
        <v>0</v>
      </c>
      <c r="T4">
        <v>1</v>
      </c>
      <c r="U4">
        <v>80.574999999999989</v>
      </c>
      <c r="V4">
        <v>24.475000000000001</v>
      </c>
      <c r="W4">
        <v>137.5</v>
      </c>
      <c r="X4">
        <v>105.05</v>
      </c>
      <c r="Y4">
        <v>80.574999999999989</v>
      </c>
      <c r="Z4">
        <v>24.475000000000001</v>
      </c>
      <c r="AA4">
        <v>18.538836254653109</v>
      </c>
      <c r="AB4">
        <v>3.6703083130890941</v>
      </c>
      <c r="AC4">
        <v>-508.10042821042282</v>
      </c>
      <c r="AD4">
        <v>-71.639941520641855</v>
      </c>
      <c r="AE4">
        <v>-109.6245009486029</v>
      </c>
      <c r="AF4">
        <v>0</v>
      </c>
      <c r="AG4">
        <v>137.5</v>
      </c>
      <c r="AH4">
        <v>72.918075721685554</v>
      </c>
      <c r="AI4">
        <v>125.1339888675334</v>
      </c>
      <c r="AJ4">
        <v>0</v>
      </c>
      <c r="AK4">
        <v>0</v>
      </c>
      <c r="AL4">
        <v>0</v>
      </c>
      <c r="AM4">
        <v>0</v>
      </c>
      <c r="AO4">
        <f t="shared" ref="AO4:AO28" si="0">E4*0.8</f>
        <v>400</v>
      </c>
      <c r="AP4" s="6">
        <f t="shared" ref="AP4:AP28" si="1">ABS(AC4+AD4)/AO4</f>
        <v>1.4493509243276617</v>
      </c>
      <c r="AQ4">
        <f t="shared" ref="AQ4:AQ28" si="2">0.45*C4</f>
        <v>11.25</v>
      </c>
      <c r="AR4" s="6">
        <f t="shared" ref="AR4:AR28" si="3">ABS(AA4)/AQ4</f>
        <v>1.6478965559691652</v>
      </c>
    </row>
    <row r="5" spans="1:44" x14ac:dyDescent="0.35">
      <c r="A5" t="s">
        <v>39</v>
      </c>
      <c r="B5" t="s">
        <v>43</v>
      </c>
      <c r="C5">
        <v>25</v>
      </c>
      <c r="D5" t="s">
        <v>41</v>
      </c>
      <c r="E5">
        <v>500</v>
      </c>
      <c r="F5">
        <v>170000</v>
      </c>
      <c r="G5">
        <v>1300</v>
      </c>
      <c r="H5">
        <v>1445</v>
      </c>
      <c r="I5">
        <v>1</v>
      </c>
      <c r="J5">
        <v>0.23499999999999999</v>
      </c>
      <c r="K5">
        <v>2.2000000000000002</v>
      </c>
      <c r="L5">
        <v>8.470000000000001E-4</v>
      </c>
      <c r="M5">
        <v>0.04</v>
      </c>
      <c r="N5">
        <v>1</v>
      </c>
      <c r="O5">
        <v>0</v>
      </c>
      <c r="P5">
        <v>0</v>
      </c>
      <c r="Q5">
        <v>1</v>
      </c>
      <c r="R5">
        <v>9.6000000000000002E-5</v>
      </c>
      <c r="S5">
        <v>0</v>
      </c>
      <c r="T5">
        <v>1</v>
      </c>
      <c r="U5">
        <v>30.75328</v>
      </c>
      <c r="V5">
        <v>9.3414400000000004</v>
      </c>
      <c r="W5">
        <v>52.48</v>
      </c>
      <c r="X5">
        <v>40.094720000000002</v>
      </c>
      <c r="Y5">
        <v>30.75328</v>
      </c>
      <c r="Z5">
        <v>9.3414400000000004</v>
      </c>
      <c r="AA5">
        <v>5.2918825550539461</v>
      </c>
      <c r="AB5">
        <v>1.493834335406488</v>
      </c>
      <c r="AC5">
        <v>-195.8672698415225</v>
      </c>
      <c r="AD5">
        <v>-52.082804537688077</v>
      </c>
      <c r="AE5">
        <v>0</v>
      </c>
      <c r="AF5">
        <v>-55.006495393910697</v>
      </c>
      <c r="AG5">
        <v>52.48</v>
      </c>
      <c r="AH5">
        <v>74.708892277634163</v>
      </c>
      <c r="AI5">
        <v>99.676828491135922</v>
      </c>
      <c r="AJ5">
        <v>6.0139999328024336</v>
      </c>
      <c r="AK5">
        <v>-298.26536518567627</v>
      </c>
      <c r="AL5">
        <v>0</v>
      </c>
      <c r="AM5">
        <v>-319.51614874818881</v>
      </c>
      <c r="AO5">
        <f t="shared" si="0"/>
        <v>400</v>
      </c>
      <c r="AP5" s="6">
        <f t="shared" si="1"/>
        <v>0.61987518594802649</v>
      </c>
      <c r="AQ5">
        <f t="shared" si="2"/>
        <v>11.25</v>
      </c>
      <c r="AR5" s="6">
        <f t="shared" si="3"/>
        <v>0.47038956044923963</v>
      </c>
    </row>
    <row r="6" spans="1:44" x14ac:dyDescent="0.35">
      <c r="A6" t="s">
        <v>39</v>
      </c>
      <c r="B6" t="s">
        <v>44</v>
      </c>
      <c r="C6">
        <v>25</v>
      </c>
      <c r="D6" t="s">
        <v>41</v>
      </c>
      <c r="E6">
        <v>500</v>
      </c>
      <c r="F6">
        <v>170000</v>
      </c>
      <c r="G6">
        <v>1300</v>
      </c>
      <c r="H6">
        <v>1445</v>
      </c>
      <c r="I6">
        <v>1</v>
      </c>
      <c r="J6">
        <v>0.22</v>
      </c>
      <c r="K6">
        <v>2.2000000000000002</v>
      </c>
      <c r="L6">
        <v>1.1286E-3</v>
      </c>
      <c r="M6">
        <v>0.04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58.014000000000003</v>
      </c>
      <c r="V6">
        <v>17.622</v>
      </c>
      <c r="W6">
        <v>99.000000000000014</v>
      </c>
      <c r="X6">
        <v>75.63600000000001</v>
      </c>
      <c r="Y6">
        <v>58.014000000000003</v>
      </c>
      <c r="Z6">
        <v>17.622</v>
      </c>
      <c r="AA6">
        <v>9.995620111259429</v>
      </c>
      <c r="AB6">
        <v>3.0362122522255599</v>
      </c>
      <c r="AC6">
        <v>-303.24925549448528</v>
      </c>
      <c r="AD6">
        <v>-92.113255081942611</v>
      </c>
      <c r="AE6">
        <v>0</v>
      </c>
      <c r="AF6">
        <v>0</v>
      </c>
      <c r="AG6">
        <v>99.000000000000014</v>
      </c>
      <c r="AH6">
        <v>89.006595086179274</v>
      </c>
      <c r="AI6">
        <v>89.006595086179274</v>
      </c>
      <c r="AJ6">
        <v>0</v>
      </c>
      <c r="AK6">
        <v>0</v>
      </c>
      <c r="AL6">
        <v>0</v>
      </c>
      <c r="AM6">
        <v>0</v>
      </c>
      <c r="AO6">
        <f t="shared" si="0"/>
        <v>400</v>
      </c>
      <c r="AP6" s="6">
        <f t="shared" si="1"/>
        <v>0.98840627644106971</v>
      </c>
      <c r="AQ6">
        <f t="shared" si="2"/>
        <v>11.25</v>
      </c>
      <c r="AR6" s="6">
        <f t="shared" si="3"/>
        <v>0.88849956544528252</v>
      </c>
    </row>
    <row r="7" spans="1:44" x14ac:dyDescent="0.35">
      <c r="A7" t="s">
        <v>45</v>
      </c>
      <c r="B7" t="s">
        <v>40</v>
      </c>
      <c r="C7">
        <v>25</v>
      </c>
      <c r="D7" t="s">
        <v>41</v>
      </c>
      <c r="E7">
        <v>500</v>
      </c>
      <c r="F7">
        <v>170000</v>
      </c>
      <c r="G7">
        <v>1300</v>
      </c>
      <c r="H7">
        <v>1445</v>
      </c>
      <c r="I7">
        <v>1</v>
      </c>
      <c r="J7">
        <v>0.26</v>
      </c>
      <c r="K7">
        <v>2.2000000000000002</v>
      </c>
      <c r="L7">
        <v>5.6539999999999997E-4</v>
      </c>
      <c r="M7">
        <v>0.04</v>
      </c>
      <c r="N7">
        <v>1</v>
      </c>
      <c r="O7">
        <v>0</v>
      </c>
      <c r="P7">
        <v>0</v>
      </c>
      <c r="Q7">
        <v>1</v>
      </c>
      <c r="R7">
        <v>1.92E-4</v>
      </c>
      <c r="S7">
        <v>0</v>
      </c>
      <c r="T7">
        <v>1</v>
      </c>
      <c r="U7">
        <v>30.0032</v>
      </c>
      <c r="V7">
        <v>9.1135999999999999</v>
      </c>
      <c r="W7">
        <v>51.2</v>
      </c>
      <c r="X7">
        <v>39.116799999999998</v>
      </c>
      <c r="Y7">
        <v>30.0032</v>
      </c>
      <c r="Z7">
        <v>9.1135999999999999</v>
      </c>
      <c r="AA7">
        <v>5.1150304735438841</v>
      </c>
      <c r="AB7">
        <v>1.295735890584959</v>
      </c>
      <c r="AC7">
        <v>-250.98356837950249</v>
      </c>
      <c r="AD7">
        <v>-54.172947261172112</v>
      </c>
      <c r="AE7">
        <v>0</v>
      </c>
      <c r="AF7">
        <v>-55.691594367695757</v>
      </c>
      <c r="AG7">
        <v>51.2</v>
      </c>
      <c r="AH7">
        <v>56.863742648834233</v>
      </c>
      <c r="AI7">
        <v>120.87399501071729</v>
      </c>
      <c r="AJ7">
        <v>5.2145535026028762</v>
      </c>
      <c r="AK7">
        <v>-308.73815496290592</v>
      </c>
      <c r="AL7">
        <v>0</v>
      </c>
      <c r="AM7">
        <v>-320.71667778226782</v>
      </c>
      <c r="AO7">
        <f t="shared" si="0"/>
        <v>400</v>
      </c>
      <c r="AP7" s="6">
        <f t="shared" si="1"/>
        <v>0.76289128910168647</v>
      </c>
      <c r="AQ7">
        <f t="shared" si="2"/>
        <v>11.25</v>
      </c>
      <c r="AR7" s="6">
        <f t="shared" si="3"/>
        <v>0.45466937542612301</v>
      </c>
    </row>
    <row r="8" spans="1:44" x14ac:dyDescent="0.35">
      <c r="A8" t="s">
        <v>45</v>
      </c>
      <c r="B8" t="s">
        <v>42</v>
      </c>
      <c r="C8">
        <v>25</v>
      </c>
      <c r="D8" t="s">
        <v>41</v>
      </c>
      <c r="E8">
        <v>500</v>
      </c>
      <c r="F8">
        <v>170000</v>
      </c>
      <c r="G8">
        <v>1300</v>
      </c>
      <c r="H8">
        <v>1445</v>
      </c>
      <c r="I8">
        <v>1</v>
      </c>
      <c r="J8">
        <v>0.25</v>
      </c>
      <c r="K8">
        <v>2.2000000000000002</v>
      </c>
      <c r="L8">
        <v>1.1286E-3</v>
      </c>
      <c r="M8">
        <v>7.0000000000000007E-2</v>
      </c>
      <c r="N8">
        <v>1</v>
      </c>
      <c r="O8">
        <v>6.1578924137931036E-4</v>
      </c>
      <c r="P8">
        <v>0.04</v>
      </c>
      <c r="Q8">
        <v>1</v>
      </c>
      <c r="R8">
        <v>0</v>
      </c>
      <c r="S8">
        <v>0</v>
      </c>
      <c r="T8">
        <v>1</v>
      </c>
      <c r="U8">
        <v>96.69</v>
      </c>
      <c r="V8">
        <v>29.37</v>
      </c>
      <c r="W8">
        <v>165</v>
      </c>
      <c r="X8">
        <v>126.06</v>
      </c>
      <c r="Y8">
        <v>96.69</v>
      </c>
      <c r="Z8">
        <v>29.37</v>
      </c>
      <c r="AA8">
        <v>16.659366852099051</v>
      </c>
      <c r="AB8">
        <v>3.8223820831659499</v>
      </c>
      <c r="AC8">
        <v>-505.41542582414212</v>
      </c>
      <c r="AD8">
        <v>-87.571388269750429</v>
      </c>
      <c r="AE8">
        <v>-106.2145774749325</v>
      </c>
      <c r="AF8">
        <v>0</v>
      </c>
      <c r="AG8">
        <v>165</v>
      </c>
      <c r="AH8">
        <v>89.006595086179274</v>
      </c>
      <c r="AI8">
        <v>140.70313127378969</v>
      </c>
      <c r="AJ8">
        <v>0</v>
      </c>
      <c r="AK8">
        <v>0</v>
      </c>
      <c r="AL8">
        <v>0</v>
      </c>
      <c r="AM8">
        <v>0</v>
      </c>
      <c r="AO8">
        <f t="shared" si="0"/>
        <v>400</v>
      </c>
      <c r="AP8" s="6">
        <f t="shared" si="1"/>
        <v>1.4824670352347313</v>
      </c>
      <c r="AQ8">
        <f t="shared" si="2"/>
        <v>11.25</v>
      </c>
      <c r="AR8" s="6">
        <f t="shared" si="3"/>
        <v>1.4808326090754713</v>
      </c>
    </row>
    <row r="9" spans="1:44" x14ac:dyDescent="0.35">
      <c r="A9" t="s">
        <v>45</v>
      </c>
      <c r="B9" t="s">
        <v>43</v>
      </c>
      <c r="C9">
        <v>25</v>
      </c>
      <c r="D9" t="s">
        <v>41</v>
      </c>
      <c r="E9">
        <v>500</v>
      </c>
      <c r="F9">
        <v>170000</v>
      </c>
      <c r="G9">
        <v>1300</v>
      </c>
      <c r="H9">
        <v>1445</v>
      </c>
      <c r="I9">
        <v>1</v>
      </c>
      <c r="J9">
        <v>0.23499999999999999</v>
      </c>
      <c r="K9">
        <v>2.2000000000000002</v>
      </c>
      <c r="L9">
        <v>8.470000000000001E-4</v>
      </c>
      <c r="M9">
        <v>0.04</v>
      </c>
      <c r="N9">
        <v>1</v>
      </c>
      <c r="O9">
        <v>0</v>
      </c>
      <c r="P9">
        <v>0</v>
      </c>
      <c r="Q9">
        <v>1</v>
      </c>
      <c r="R9">
        <v>2.8800000000000001E-4</v>
      </c>
      <c r="S9">
        <v>0</v>
      </c>
      <c r="T9">
        <v>1</v>
      </c>
      <c r="U9">
        <v>52.505600000000001</v>
      </c>
      <c r="V9">
        <v>15.9488</v>
      </c>
      <c r="W9">
        <v>89.600000000000009</v>
      </c>
      <c r="X9">
        <v>68.454400000000007</v>
      </c>
      <c r="Y9">
        <v>52.505600000000001</v>
      </c>
      <c r="Z9">
        <v>15.9488</v>
      </c>
      <c r="AA9">
        <v>9.0349214354579566</v>
      </c>
      <c r="AB9">
        <v>2.2731668485520098</v>
      </c>
      <c r="AC9">
        <v>-334.40753387577013</v>
      </c>
      <c r="AD9">
        <v>-71.135763927904961</v>
      </c>
      <c r="AE9">
        <v>0</v>
      </c>
      <c r="AF9">
        <v>-75.386981614249351</v>
      </c>
      <c r="AG9">
        <v>89.600000000000009</v>
      </c>
      <c r="AH9">
        <v>74.708892277634163</v>
      </c>
      <c r="AI9">
        <v>159.59855307589541</v>
      </c>
      <c r="AJ9">
        <v>8.807618057789405</v>
      </c>
      <c r="AK9">
        <v>-407.59258835473912</v>
      </c>
      <c r="AL9">
        <v>0</v>
      </c>
      <c r="AM9">
        <v>-439.37250203176148</v>
      </c>
      <c r="AO9">
        <f t="shared" si="0"/>
        <v>400</v>
      </c>
      <c r="AP9" s="6">
        <f t="shared" si="1"/>
        <v>1.0138582445091877</v>
      </c>
      <c r="AQ9">
        <f t="shared" si="2"/>
        <v>11.25</v>
      </c>
      <c r="AR9" s="6">
        <f t="shared" si="3"/>
        <v>0.80310412759626282</v>
      </c>
    </row>
    <row r="10" spans="1:44" x14ac:dyDescent="0.35">
      <c r="A10" t="s">
        <v>45</v>
      </c>
      <c r="B10" t="s">
        <v>44</v>
      </c>
      <c r="C10">
        <v>25</v>
      </c>
      <c r="D10" t="s">
        <v>41</v>
      </c>
      <c r="E10">
        <v>500</v>
      </c>
      <c r="F10">
        <v>170000</v>
      </c>
      <c r="G10">
        <v>1300</v>
      </c>
      <c r="H10">
        <v>1445</v>
      </c>
      <c r="I10">
        <v>1</v>
      </c>
      <c r="J10">
        <v>0.22</v>
      </c>
      <c r="K10">
        <v>2.2000000000000002</v>
      </c>
      <c r="L10">
        <v>1.3297999999999999E-3</v>
      </c>
      <c r="M10">
        <v>0.04</v>
      </c>
      <c r="N10">
        <v>1</v>
      </c>
      <c r="O10">
        <v>0</v>
      </c>
      <c r="P10">
        <v>0</v>
      </c>
      <c r="Q10">
        <v>1</v>
      </c>
      <c r="R10">
        <v>1.92E-4</v>
      </c>
      <c r="S10">
        <v>0</v>
      </c>
      <c r="T10">
        <v>1</v>
      </c>
      <c r="U10">
        <v>70.906000000000006</v>
      </c>
      <c r="V10">
        <v>21.538</v>
      </c>
      <c r="W10">
        <v>121</v>
      </c>
      <c r="X10">
        <v>92.444000000000003</v>
      </c>
      <c r="Y10">
        <v>70.906000000000006</v>
      </c>
      <c r="Z10">
        <v>21.538</v>
      </c>
      <c r="AA10">
        <v>11.40171550776045</v>
      </c>
      <c r="AB10">
        <v>3.1556551071845438</v>
      </c>
      <c r="AC10">
        <v>-316.02519997087808</v>
      </c>
      <c r="AD10">
        <v>-80.753771262128495</v>
      </c>
      <c r="AE10">
        <v>0</v>
      </c>
      <c r="AF10">
        <v>-87.681664608349408</v>
      </c>
      <c r="AG10">
        <v>121</v>
      </c>
      <c r="AH10">
        <v>103.37982574480461</v>
      </c>
      <c r="AI10">
        <v>153.93972678428781</v>
      </c>
      <c r="AJ10">
        <v>12.66891043328229</v>
      </c>
      <c r="AK10">
        <v>-435.39568741745398</v>
      </c>
      <c r="AL10">
        <v>0</v>
      </c>
      <c r="AM10">
        <v>-665.39543291570078</v>
      </c>
      <c r="AO10">
        <f t="shared" si="0"/>
        <v>400</v>
      </c>
      <c r="AP10" s="6">
        <f t="shared" si="1"/>
        <v>0.99194742808251646</v>
      </c>
      <c r="AQ10">
        <f t="shared" si="2"/>
        <v>11.25</v>
      </c>
      <c r="AR10" s="6">
        <f t="shared" si="3"/>
        <v>1.01348582291204</v>
      </c>
    </row>
    <row r="11" spans="1:44" x14ac:dyDescent="0.35">
      <c r="A11" t="s">
        <v>45</v>
      </c>
      <c r="B11" t="s">
        <v>46</v>
      </c>
      <c r="C11">
        <v>25</v>
      </c>
      <c r="D11" t="s">
        <v>41</v>
      </c>
      <c r="E11">
        <v>500</v>
      </c>
      <c r="F11">
        <v>170000</v>
      </c>
      <c r="G11">
        <v>1300</v>
      </c>
      <c r="H11">
        <v>1445</v>
      </c>
      <c r="I11">
        <v>1</v>
      </c>
      <c r="J11">
        <v>0.23499999999999999</v>
      </c>
      <c r="K11">
        <v>2.2000000000000002</v>
      </c>
      <c r="L11">
        <v>2.8160000000000001E-4</v>
      </c>
      <c r="M11">
        <v>0.04</v>
      </c>
      <c r="N11">
        <v>1</v>
      </c>
      <c r="O11">
        <v>0</v>
      </c>
      <c r="P11">
        <v>0</v>
      </c>
      <c r="Q11">
        <v>1</v>
      </c>
      <c r="R11">
        <v>9.6000000000000002E-5</v>
      </c>
      <c r="S11">
        <v>0</v>
      </c>
      <c r="T11">
        <v>1</v>
      </c>
      <c r="U11">
        <v>5.8506239999999998</v>
      </c>
      <c r="V11">
        <v>1.7771520000000001</v>
      </c>
      <c r="W11">
        <v>9.984</v>
      </c>
      <c r="X11">
        <v>7.6277759999999999</v>
      </c>
      <c r="Y11">
        <v>5.8506239999999998</v>
      </c>
      <c r="Z11">
        <v>1.7771520000000001</v>
      </c>
      <c r="AA11">
        <v>1.6655750640279079</v>
      </c>
      <c r="AB11">
        <v>0.41346534172366739</v>
      </c>
      <c r="AC11">
        <v>-109.7952510770359</v>
      </c>
      <c r="AD11">
        <v>-23.420923148396131</v>
      </c>
      <c r="AE11">
        <v>0</v>
      </c>
      <c r="AF11">
        <v>-24.449507772053479</v>
      </c>
      <c r="AG11">
        <v>9.984</v>
      </c>
      <c r="AH11">
        <v>25.257071304347711</v>
      </c>
      <c r="AI11">
        <v>54.762740424349367</v>
      </c>
      <c r="AJ11">
        <v>1.715917820668678</v>
      </c>
      <c r="AK11">
        <v>-132.78450098253589</v>
      </c>
      <c r="AL11">
        <v>0</v>
      </c>
      <c r="AM11">
        <v>-139.70671828348401</v>
      </c>
      <c r="AO11">
        <f t="shared" si="0"/>
        <v>400</v>
      </c>
      <c r="AP11" s="6">
        <f t="shared" si="1"/>
        <v>0.3330404355635801</v>
      </c>
      <c r="AQ11">
        <f t="shared" si="2"/>
        <v>11.25</v>
      </c>
      <c r="AR11" s="6">
        <f t="shared" si="3"/>
        <v>0.1480511168024807</v>
      </c>
    </row>
    <row r="12" spans="1:44" x14ac:dyDescent="0.35">
      <c r="A12" t="s">
        <v>45</v>
      </c>
      <c r="B12" t="s">
        <v>47</v>
      </c>
      <c r="C12">
        <v>25</v>
      </c>
      <c r="D12" t="s">
        <v>41</v>
      </c>
      <c r="E12">
        <v>500</v>
      </c>
      <c r="F12">
        <v>170000</v>
      </c>
      <c r="G12">
        <v>1300</v>
      </c>
      <c r="H12">
        <v>1445</v>
      </c>
      <c r="I12">
        <v>1</v>
      </c>
      <c r="J12">
        <v>0.25</v>
      </c>
      <c r="K12">
        <v>2.2000000000000002</v>
      </c>
      <c r="L12">
        <v>1.3297999999999999E-3</v>
      </c>
      <c r="M12">
        <v>7.0000000000000007E-2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19.338000000000001</v>
      </c>
      <c r="V12">
        <v>5.8739999999999997</v>
      </c>
      <c r="W12">
        <v>33</v>
      </c>
      <c r="X12">
        <v>25.212</v>
      </c>
      <c r="Y12">
        <v>19.338000000000001</v>
      </c>
      <c r="Z12">
        <v>5.8739999999999997</v>
      </c>
      <c r="AA12">
        <v>3.1095587748437539</v>
      </c>
      <c r="AB12">
        <v>0.94454174389451928</v>
      </c>
      <c r="AC12">
        <v>-86.188690901148533</v>
      </c>
      <c r="AD12">
        <v>-26.180182560417141</v>
      </c>
      <c r="AE12">
        <v>0</v>
      </c>
      <c r="AF12">
        <v>0</v>
      </c>
      <c r="AG12">
        <v>33</v>
      </c>
      <c r="AH12">
        <v>103.37982574480461</v>
      </c>
      <c r="AI12">
        <v>103.37982574480461</v>
      </c>
      <c r="AJ12">
        <v>3.9427820985975401</v>
      </c>
      <c r="AK12">
        <v>-150.6876485289022</v>
      </c>
      <c r="AL12">
        <v>0</v>
      </c>
      <c r="AM12">
        <v>0</v>
      </c>
      <c r="AO12">
        <f t="shared" si="0"/>
        <v>400</v>
      </c>
      <c r="AP12" s="6">
        <f t="shared" si="1"/>
        <v>0.28092218365391419</v>
      </c>
      <c r="AQ12">
        <f t="shared" si="2"/>
        <v>11.25</v>
      </c>
      <c r="AR12" s="6">
        <f t="shared" si="3"/>
        <v>0.27640522443055587</v>
      </c>
    </row>
    <row r="13" spans="1:44" x14ac:dyDescent="0.35">
      <c r="A13" t="s">
        <v>45</v>
      </c>
      <c r="B13" t="s">
        <v>48</v>
      </c>
      <c r="C13">
        <v>25</v>
      </c>
      <c r="D13" t="s">
        <v>41</v>
      </c>
      <c r="E13">
        <v>500</v>
      </c>
      <c r="F13">
        <v>170000</v>
      </c>
      <c r="G13">
        <v>1300</v>
      </c>
      <c r="H13">
        <v>1445</v>
      </c>
      <c r="I13">
        <v>1</v>
      </c>
      <c r="J13">
        <v>0.23499999999999999</v>
      </c>
      <c r="K13">
        <v>2.2000000000000002</v>
      </c>
      <c r="L13">
        <v>2.8160000000000001E-4</v>
      </c>
      <c r="M13">
        <v>0.04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>
        <v>6.7507199999999994</v>
      </c>
      <c r="V13">
        <v>2.0505599999999999</v>
      </c>
      <c r="W13">
        <v>11.52</v>
      </c>
      <c r="X13">
        <v>8.8012799999999984</v>
      </c>
      <c r="Y13">
        <v>6.7507199999999994</v>
      </c>
      <c r="Z13">
        <v>2.0505599999999999</v>
      </c>
      <c r="AA13">
        <v>1.921817381570665</v>
      </c>
      <c r="AB13">
        <v>0.58375437742847403</v>
      </c>
      <c r="AC13">
        <v>-126.6868281658106</v>
      </c>
      <c r="AD13">
        <v>-38.481703204378512</v>
      </c>
      <c r="AE13">
        <v>0</v>
      </c>
      <c r="AF13">
        <v>0</v>
      </c>
      <c r="AG13">
        <v>11.52</v>
      </c>
      <c r="AH13">
        <v>25.257071304347711</v>
      </c>
      <c r="AI13">
        <v>25.257071304347711</v>
      </c>
      <c r="AJ13">
        <v>2.3827409259454981</v>
      </c>
      <c r="AK13">
        <v>-218.67533400292169</v>
      </c>
      <c r="AL13">
        <v>0</v>
      </c>
      <c r="AM13">
        <v>0</v>
      </c>
      <c r="AO13">
        <f t="shared" si="0"/>
        <v>400</v>
      </c>
      <c r="AP13" s="6">
        <f t="shared" si="1"/>
        <v>0.41292132842547274</v>
      </c>
      <c r="AQ13">
        <f t="shared" si="2"/>
        <v>11.25</v>
      </c>
      <c r="AR13" s="6">
        <f t="shared" si="3"/>
        <v>0.17082821169517021</v>
      </c>
    </row>
    <row r="14" spans="1:44" x14ac:dyDescent="0.35">
      <c r="A14" t="s">
        <v>45</v>
      </c>
      <c r="B14" t="s">
        <v>49</v>
      </c>
      <c r="C14">
        <v>25</v>
      </c>
      <c r="D14" t="s">
        <v>41</v>
      </c>
      <c r="E14">
        <v>500</v>
      </c>
      <c r="F14">
        <v>170000</v>
      </c>
      <c r="G14">
        <v>1300</v>
      </c>
      <c r="H14">
        <v>1445</v>
      </c>
      <c r="I14">
        <v>1</v>
      </c>
      <c r="J14">
        <v>0.22</v>
      </c>
      <c r="K14">
        <v>2.2000000000000002</v>
      </c>
      <c r="L14">
        <v>1.3297999999999999E-3</v>
      </c>
      <c r="M14">
        <v>0.04</v>
      </c>
      <c r="N14">
        <v>1</v>
      </c>
      <c r="O14">
        <v>0</v>
      </c>
      <c r="P14">
        <v>0</v>
      </c>
      <c r="Q14">
        <v>1</v>
      </c>
      <c r="R14">
        <v>1.92E-4</v>
      </c>
      <c r="S14">
        <v>0</v>
      </c>
      <c r="T14">
        <v>1</v>
      </c>
      <c r="U14">
        <v>70.906000000000006</v>
      </c>
      <c r="V14">
        <v>21.538</v>
      </c>
      <c r="W14">
        <v>121</v>
      </c>
      <c r="X14">
        <v>92.444000000000003</v>
      </c>
      <c r="Y14">
        <v>70.906000000000006</v>
      </c>
      <c r="Z14">
        <v>21.538</v>
      </c>
      <c r="AA14">
        <v>11.40171550776045</v>
      </c>
      <c r="AB14">
        <v>3.1556551071845438</v>
      </c>
      <c r="AC14">
        <v>-316.02519997087808</v>
      </c>
      <c r="AD14">
        <v>-80.753771262128495</v>
      </c>
      <c r="AE14">
        <v>0</v>
      </c>
      <c r="AF14">
        <v>-87.681664608349408</v>
      </c>
      <c r="AG14">
        <v>121</v>
      </c>
      <c r="AH14">
        <v>103.37982574480461</v>
      </c>
      <c r="AI14">
        <v>153.93972678428781</v>
      </c>
      <c r="AJ14">
        <v>12.66891043328229</v>
      </c>
      <c r="AK14">
        <v>-435.39568741745398</v>
      </c>
      <c r="AL14">
        <v>0</v>
      </c>
      <c r="AM14">
        <v>-665.39543291570078</v>
      </c>
      <c r="AO14">
        <f t="shared" si="0"/>
        <v>400</v>
      </c>
      <c r="AP14" s="6">
        <f t="shared" si="1"/>
        <v>0.99194742808251646</v>
      </c>
      <c r="AQ14">
        <f t="shared" si="2"/>
        <v>11.25</v>
      </c>
      <c r="AR14" s="6">
        <f t="shared" si="3"/>
        <v>1.01348582291204</v>
      </c>
    </row>
    <row r="15" spans="1:44" x14ac:dyDescent="0.35">
      <c r="A15" t="s">
        <v>45</v>
      </c>
      <c r="B15" t="s">
        <v>50</v>
      </c>
      <c r="C15">
        <v>25</v>
      </c>
      <c r="D15" t="s">
        <v>41</v>
      </c>
      <c r="E15">
        <v>500</v>
      </c>
      <c r="F15">
        <v>170000</v>
      </c>
      <c r="G15">
        <v>1300</v>
      </c>
      <c r="H15">
        <v>1445</v>
      </c>
      <c r="I15">
        <v>1</v>
      </c>
      <c r="J15">
        <v>0.23499999999999999</v>
      </c>
      <c r="K15">
        <v>2.2000000000000002</v>
      </c>
      <c r="L15">
        <v>5.6539999999999997E-4</v>
      </c>
      <c r="M15">
        <v>0.04</v>
      </c>
      <c r="N15">
        <v>1</v>
      </c>
      <c r="O15">
        <v>0</v>
      </c>
      <c r="P15">
        <v>0</v>
      </c>
      <c r="Q15">
        <v>1</v>
      </c>
      <c r="R15">
        <v>1.92E-4</v>
      </c>
      <c r="S15">
        <v>0</v>
      </c>
      <c r="T15">
        <v>1</v>
      </c>
      <c r="U15">
        <v>42.754560000000012</v>
      </c>
      <c r="V15">
        <v>12.986879999999999</v>
      </c>
      <c r="W15">
        <v>72.960000000000008</v>
      </c>
      <c r="X15">
        <v>55.741439999999997</v>
      </c>
      <c r="Y15">
        <v>42.754560000000012</v>
      </c>
      <c r="Z15">
        <v>12.986879999999999</v>
      </c>
      <c r="AA15">
        <v>8.8021210275878392</v>
      </c>
      <c r="AB15">
        <v>2.2132971243282289</v>
      </c>
      <c r="AC15">
        <v>-404.44427310013469</v>
      </c>
      <c r="AD15">
        <v>-86.151975466846579</v>
      </c>
      <c r="AE15">
        <v>0</v>
      </c>
      <c r="AF15">
        <v>-90.702643474666701</v>
      </c>
      <c r="AG15">
        <v>72.960000000000008</v>
      </c>
      <c r="AH15">
        <v>50.295035765929093</v>
      </c>
      <c r="AI15">
        <v>107.9564542421578</v>
      </c>
      <c r="AJ15">
        <v>9.1771531092142435</v>
      </c>
      <c r="AK15">
        <v>-435.43267839491648</v>
      </c>
      <c r="AL15">
        <v>0</v>
      </c>
      <c r="AM15">
        <v>-651.48815436818984</v>
      </c>
      <c r="AO15">
        <f t="shared" si="0"/>
        <v>400</v>
      </c>
      <c r="AP15" s="6">
        <f t="shared" si="1"/>
        <v>1.2264906214174531</v>
      </c>
      <c r="AQ15">
        <f t="shared" si="2"/>
        <v>11.25</v>
      </c>
      <c r="AR15" s="6">
        <f t="shared" si="3"/>
        <v>0.7824107580078079</v>
      </c>
    </row>
    <row r="16" spans="1:44" x14ac:dyDescent="0.35">
      <c r="A16" t="s">
        <v>45</v>
      </c>
      <c r="B16" t="s">
        <v>51</v>
      </c>
      <c r="C16">
        <v>25</v>
      </c>
      <c r="D16" t="s">
        <v>41</v>
      </c>
      <c r="E16">
        <v>500</v>
      </c>
      <c r="F16">
        <v>170000</v>
      </c>
      <c r="G16">
        <v>1300</v>
      </c>
      <c r="H16">
        <v>1445</v>
      </c>
      <c r="I16">
        <v>1</v>
      </c>
      <c r="J16">
        <v>0.25</v>
      </c>
      <c r="K16">
        <v>2.2000000000000002</v>
      </c>
      <c r="L16">
        <v>1.89E-3</v>
      </c>
      <c r="M16">
        <v>7.0000000000000007E-2</v>
      </c>
      <c r="N16">
        <v>1</v>
      </c>
      <c r="O16">
        <v>0</v>
      </c>
      <c r="P16">
        <v>0</v>
      </c>
      <c r="Q16">
        <v>1</v>
      </c>
      <c r="R16">
        <v>1.92E-4</v>
      </c>
      <c r="S16">
        <v>0</v>
      </c>
      <c r="T16">
        <v>1</v>
      </c>
      <c r="U16">
        <v>93.466999999999999</v>
      </c>
      <c r="V16">
        <v>28.390999999999998</v>
      </c>
      <c r="W16">
        <v>159.5</v>
      </c>
      <c r="X16">
        <v>121.858</v>
      </c>
      <c r="Y16">
        <v>93.466999999999999</v>
      </c>
      <c r="Z16">
        <v>28.390999999999998</v>
      </c>
      <c r="AA16">
        <v>12.993707979616129</v>
      </c>
      <c r="AB16">
        <v>3.585038060347737</v>
      </c>
      <c r="AC16">
        <v>-296.42779302974111</v>
      </c>
      <c r="AD16">
        <v>-76.319279910673217</v>
      </c>
      <c r="AE16">
        <v>0</v>
      </c>
      <c r="AF16">
        <v>-97.629087268150982</v>
      </c>
      <c r="AG16">
        <v>159.5</v>
      </c>
      <c r="AH16">
        <v>141.95252023933841</v>
      </c>
      <c r="AI16">
        <v>199.10852479651081</v>
      </c>
      <c r="AJ16">
        <v>13.34693922504519</v>
      </c>
      <c r="AK16">
        <v>-434.93506243913089</v>
      </c>
      <c r="AL16">
        <v>0</v>
      </c>
      <c r="AM16">
        <v>-635.99100634614445</v>
      </c>
      <c r="AO16">
        <f t="shared" si="0"/>
        <v>400</v>
      </c>
      <c r="AP16" s="6">
        <f t="shared" si="1"/>
        <v>0.9318676823510359</v>
      </c>
      <c r="AQ16">
        <f t="shared" si="2"/>
        <v>11.25</v>
      </c>
      <c r="AR16" s="6">
        <f t="shared" si="3"/>
        <v>1.1549962648547671</v>
      </c>
    </row>
    <row r="17" spans="1:44" x14ac:dyDescent="0.35">
      <c r="A17" t="s">
        <v>45</v>
      </c>
      <c r="B17" t="s">
        <v>52</v>
      </c>
      <c r="C17">
        <v>25</v>
      </c>
      <c r="D17" t="s">
        <v>41</v>
      </c>
      <c r="E17">
        <v>500</v>
      </c>
      <c r="F17">
        <v>170000</v>
      </c>
      <c r="G17">
        <v>1300</v>
      </c>
      <c r="H17">
        <v>1445</v>
      </c>
      <c r="I17">
        <v>1</v>
      </c>
      <c r="J17">
        <v>0.26</v>
      </c>
      <c r="K17">
        <v>2.2000000000000002</v>
      </c>
      <c r="L17">
        <v>5.6539999999999997E-4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9.6000000000000002E-5</v>
      </c>
      <c r="S17">
        <v>0</v>
      </c>
      <c r="T17">
        <v>1</v>
      </c>
      <c r="U17">
        <v>33.753599999999999</v>
      </c>
      <c r="V17">
        <v>10.252800000000001</v>
      </c>
      <c r="W17">
        <v>57.6</v>
      </c>
      <c r="X17">
        <v>44.006399999999999</v>
      </c>
      <c r="Y17">
        <v>33.753599999999999</v>
      </c>
      <c r="Z17">
        <v>10.252800000000001</v>
      </c>
      <c r="AA17">
        <v>5.7544092827368649</v>
      </c>
      <c r="AB17">
        <v>1.5868089290263381</v>
      </c>
      <c r="AC17">
        <v>-282.35651442694041</v>
      </c>
      <c r="AD17">
        <v>-71.222681702468762</v>
      </c>
      <c r="AE17">
        <v>0</v>
      </c>
      <c r="AF17">
        <v>-73.104659931231708</v>
      </c>
      <c r="AG17">
        <v>57.6</v>
      </c>
      <c r="AH17">
        <v>56.863742648834233</v>
      </c>
      <c r="AI17">
        <v>87.007089877328099</v>
      </c>
      <c r="AJ17">
        <v>6.2805693303216508</v>
      </c>
      <c r="AK17">
        <v>-406.43183499035291</v>
      </c>
      <c r="AL17">
        <v>0</v>
      </c>
      <c r="AM17">
        <v>-421.29763369712867</v>
      </c>
      <c r="AO17">
        <f t="shared" si="0"/>
        <v>400</v>
      </c>
      <c r="AP17" s="6">
        <f t="shared" si="1"/>
        <v>0.883947990323523</v>
      </c>
      <c r="AQ17">
        <f t="shared" si="2"/>
        <v>11.25</v>
      </c>
      <c r="AR17" s="6">
        <f t="shared" si="3"/>
        <v>0.51150304735438801</v>
      </c>
    </row>
    <row r="18" spans="1:44" x14ac:dyDescent="0.35">
      <c r="A18" t="s">
        <v>53</v>
      </c>
      <c r="B18" t="s">
        <v>40</v>
      </c>
      <c r="C18">
        <v>25</v>
      </c>
      <c r="D18" t="s">
        <v>41</v>
      </c>
      <c r="E18">
        <v>500</v>
      </c>
      <c r="F18">
        <v>170000</v>
      </c>
      <c r="G18">
        <v>1300</v>
      </c>
      <c r="H18">
        <v>1445</v>
      </c>
      <c r="I18">
        <v>1</v>
      </c>
      <c r="J18">
        <v>0.26</v>
      </c>
      <c r="K18">
        <v>2.2000000000000002</v>
      </c>
      <c r="L18">
        <v>5.6539999999999997E-4</v>
      </c>
      <c r="M18">
        <v>0.04</v>
      </c>
      <c r="N18">
        <v>1</v>
      </c>
      <c r="O18">
        <v>0</v>
      </c>
      <c r="P18">
        <v>0</v>
      </c>
      <c r="Q18">
        <v>1</v>
      </c>
      <c r="R18">
        <v>9.6000000000000002E-5</v>
      </c>
      <c r="S18">
        <v>0</v>
      </c>
      <c r="T18">
        <v>1</v>
      </c>
      <c r="U18">
        <v>27.752960000000002</v>
      </c>
      <c r="V18">
        <v>8.4300800000000002</v>
      </c>
      <c r="W18">
        <v>47.36</v>
      </c>
      <c r="X18">
        <v>36.183039999999998</v>
      </c>
      <c r="Y18">
        <v>27.752960000000002</v>
      </c>
      <c r="Z18">
        <v>8.4300800000000002</v>
      </c>
      <c r="AA18">
        <v>4.7314031880280956</v>
      </c>
      <c r="AB18">
        <v>1.3047106292869171</v>
      </c>
      <c r="AC18">
        <v>-232.1598007510398</v>
      </c>
      <c r="AD18">
        <v>-58.560864743260353</v>
      </c>
      <c r="AE18">
        <v>0</v>
      </c>
      <c r="AF18">
        <v>-60.108270079658674</v>
      </c>
      <c r="AG18">
        <v>47.36</v>
      </c>
      <c r="AH18">
        <v>56.863742648834233</v>
      </c>
      <c r="AI18">
        <v>87.007089877328099</v>
      </c>
      <c r="AJ18">
        <v>5.2353053349927334</v>
      </c>
      <c r="AK18">
        <v>-333.96979735172539</v>
      </c>
      <c r="AL18">
        <v>0</v>
      </c>
      <c r="AM18">
        <v>-346.10945802676667</v>
      </c>
      <c r="AO18">
        <f t="shared" si="0"/>
        <v>400</v>
      </c>
      <c r="AP18" s="6">
        <f t="shared" si="1"/>
        <v>0.72680166373575039</v>
      </c>
      <c r="AQ18">
        <f t="shared" si="2"/>
        <v>11.25</v>
      </c>
      <c r="AR18" s="6">
        <f t="shared" si="3"/>
        <v>0.42056917226916407</v>
      </c>
    </row>
    <row r="19" spans="1:44" x14ac:dyDescent="0.35">
      <c r="A19" t="s">
        <v>53</v>
      </c>
      <c r="B19" t="s">
        <v>42</v>
      </c>
      <c r="C19">
        <v>25</v>
      </c>
      <c r="D19" t="s">
        <v>41</v>
      </c>
      <c r="E19">
        <v>500</v>
      </c>
      <c r="F19">
        <v>170000</v>
      </c>
      <c r="G19">
        <v>1300</v>
      </c>
      <c r="H19">
        <v>1445</v>
      </c>
      <c r="I19">
        <v>1</v>
      </c>
      <c r="J19">
        <v>0.25</v>
      </c>
      <c r="K19">
        <v>2.2000000000000002</v>
      </c>
      <c r="L19">
        <v>1.1286E-3</v>
      </c>
      <c r="M19">
        <v>7.0000000000000007E-2</v>
      </c>
      <c r="N19">
        <v>1</v>
      </c>
      <c r="O19">
        <v>3.0789462068965518E-4</v>
      </c>
      <c r="P19">
        <v>0.04</v>
      </c>
      <c r="Q19">
        <v>1</v>
      </c>
      <c r="R19">
        <v>0</v>
      </c>
      <c r="S19">
        <v>0</v>
      </c>
      <c r="T19">
        <v>1</v>
      </c>
      <c r="U19">
        <v>96.69</v>
      </c>
      <c r="V19">
        <v>29.37</v>
      </c>
      <c r="W19">
        <v>165</v>
      </c>
      <c r="X19">
        <v>126.06</v>
      </c>
      <c r="Y19">
        <v>96.69</v>
      </c>
      <c r="Z19">
        <v>29.37</v>
      </c>
      <c r="AA19">
        <v>16.659366852099051</v>
      </c>
      <c r="AB19">
        <v>4.2973869708162544</v>
      </c>
      <c r="AC19">
        <v>-505.41542582414212</v>
      </c>
      <c r="AD19">
        <v>-111.52681923013689</v>
      </c>
      <c r="AE19">
        <v>-134.66561729784081</v>
      </c>
      <c r="AF19">
        <v>0</v>
      </c>
      <c r="AG19">
        <v>165</v>
      </c>
      <c r="AH19">
        <v>89.006595086179274</v>
      </c>
      <c r="AI19">
        <v>115.1806044697896</v>
      </c>
      <c r="AJ19">
        <v>0</v>
      </c>
      <c r="AK19">
        <v>0</v>
      </c>
      <c r="AL19">
        <v>0</v>
      </c>
      <c r="AM19">
        <v>0</v>
      </c>
      <c r="AO19">
        <f t="shared" si="0"/>
        <v>400</v>
      </c>
      <c r="AP19" s="6">
        <f t="shared" si="1"/>
        <v>1.5423556126356976</v>
      </c>
      <c r="AQ19">
        <f t="shared" si="2"/>
        <v>11.25</v>
      </c>
      <c r="AR19" s="6">
        <f t="shared" si="3"/>
        <v>1.4808326090754713</v>
      </c>
    </row>
    <row r="20" spans="1:44" x14ac:dyDescent="0.35">
      <c r="A20" t="s">
        <v>53</v>
      </c>
      <c r="B20" t="s">
        <v>43</v>
      </c>
      <c r="C20">
        <v>25</v>
      </c>
      <c r="D20" t="s">
        <v>41</v>
      </c>
      <c r="E20">
        <v>500</v>
      </c>
      <c r="F20">
        <v>170000</v>
      </c>
      <c r="G20">
        <v>1300</v>
      </c>
      <c r="H20">
        <v>1445</v>
      </c>
      <c r="I20">
        <v>1</v>
      </c>
      <c r="J20">
        <v>0.23499999999999999</v>
      </c>
      <c r="K20">
        <v>2.2000000000000002</v>
      </c>
      <c r="L20">
        <v>1.1286E-3</v>
      </c>
      <c r="M20">
        <v>0.04</v>
      </c>
      <c r="N20">
        <v>1</v>
      </c>
      <c r="O20">
        <v>0</v>
      </c>
      <c r="P20">
        <v>0</v>
      </c>
      <c r="Q20">
        <v>1</v>
      </c>
      <c r="R20">
        <v>1.92E-4</v>
      </c>
      <c r="S20">
        <v>0</v>
      </c>
      <c r="T20">
        <v>1</v>
      </c>
      <c r="U20">
        <v>56.256</v>
      </c>
      <c r="V20">
        <v>17.088000000000001</v>
      </c>
      <c r="W20">
        <v>96</v>
      </c>
      <c r="X20">
        <v>73.343999999999994</v>
      </c>
      <c r="Y20">
        <v>56.256</v>
      </c>
      <c r="Z20">
        <v>17.088000000000001</v>
      </c>
      <c r="AA20">
        <v>8.5602402394976789</v>
      </c>
      <c r="AB20">
        <v>2.3388258691768211</v>
      </c>
      <c r="AC20">
        <v>-270.73555709728657</v>
      </c>
      <c r="AD20">
        <v>-67.734486599015028</v>
      </c>
      <c r="AE20">
        <v>0</v>
      </c>
      <c r="AF20">
        <v>-71.97559576383577</v>
      </c>
      <c r="AG20">
        <v>96</v>
      </c>
      <c r="AH20">
        <v>97.153517082320249</v>
      </c>
      <c r="AI20">
        <v>151.3768670716909</v>
      </c>
      <c r="AJ20">
        <v>9.0942220015236863</v>
      </c>
      <c r="AK20">
        <v>-389.6174552601787</v>
      </c>
      <c r="AL20">
        <v>0</v>
      </c>
      <c r="AM20">
        <v>-421.84089038405062</v>
      </c>
      <c r="AO20">
        <f t="shared" si="0"/>
        <v>400</v>
      </c>
      <c r="AP20" s="6">
        <f t="shared" si="1"/>
        <v>0.84617510924075401</v>
      </c>
      <c r="AQ20">
        <f t="shared" si="2"/>
        <v>11.25</v>
      </c>
      <c r="AR20" s="6">
        <f t="shared" si="3"/>
        <v>0.76091024351090475</v>
      </c>
    </row>
    <row r="21" spans="1:44" x14ac:dyDescent="0.35">
      <c r="A21" t="s">
        <v>53</v>
      </c>
      <c r="B21" t="s">
        <v>44</v>
      </c>
      <c r="C21">
        <v>25</v>
      </c>
      <c r="D21" t="s">
        <v>41</v>
      </c>
      <c r="E21">
        <v>500</v>
      </c>
      <c r="F21">
        <v>170000</v>
      </c>
      <c r="G21">
        <v>1300</v>
      </c>
      <c r="H21">
        <v>1445</v>
      </c>
      <c r="I21">
        <v>1</v>
      </c>
      <c r="J21">
        <v>0.22</v>
      </c>
      <c r="K21">
        <v>2.2000000000000002</v>
      </c>
      <c r="L21">
        <v>1.0482E-3</v>
      </c>
      <c r="M21">
        <v>8.5000000000000006E-2</v>
      </c>
      <c r="N21">
        <v>1</v>
      </c>
      <c r="O21">
        <v>0</v>
      </c>
      <c r="P21">
        <v>0</v>
      </c>
      <c r="Q21">
        <v>1</v>
      </c>
      <c r="R21">
        <v>3.8400000000000001E-4</v>
      </c>
      <c r="S21">
        <v>0</v>
      </c>
      <c r="T21">
        <v>1</v>
      </c>
      <c r="U21">
        <v>70.906000000000006</v>
      </c>
      <c r="V21">
        <v>21.538</v>
      </c>
      <c r="W21">
        <v>121</v>
      </c>
      <c r="X21">
        <v>92.444000000000003</v>
      </c>
      <c r="Y21">
        <v>70.906000000000006</v>
      </c>
      <c r="Z21">
        <v>21.538</v>
      </c>
      <c r="AA21">
        <v>19.85351133461452</v>
      </c>
      <c r="AB21">
        <v>4.0277425113775207</v>
      </c>
      <c r="AC21">
        <v>-535.6840579944145</v>
      </c>
      <c r="AD21">
        <v>-84.497341142643506</v>
      </c>
      <c r="AE21">
        <v>0</v>
      </c>
      <c r="AF21">
        <v>-130.74125884360711</v>
      </c>
      <c r="AG21">
        <v>121</v>
      </c>
      <c r="AH21">
        <v>60.840579513092457</v>
      </c>
      <c r="AI21">
        <v>168.0345242760564</v>
      </c>
      <c r="AJ21">
        <v>14.20166512638405</v>
      </c>
      <c r="AK21">
        <v>-435.07936288957842</v>
      </c>
      <c r="AL21">
        <v>0</v>
      </c>
      <c r="AM21">
        <v>-847.04172979250529</v>
      </c>
      <c r="AO21">
        <f t="shared" si="0"/>
        <v>400</v>
      </c>
      <c r="AP21" s="6">
        <f t="shared" si="1"/>
        <v>1.550453497842645</v>
      </c>
      <c r="AQ21">
        <f t="shared" si="2"/>
        <v>11.25</v>
      </c>
      <c r="AR21" s="6">
        <f t="shared" si="3"/>
        <v>1.7647565630768463</v>
      </c>
    </row>
    <row r="22" spans="1:44" x14ac:dyDescent="0.35">
      <c r="A22" t="s">
        <v>53</v>
      </c>
      <c r="B22" t="s">
        <v>46</v>
      </c>
      <c r="C22">
        <v>25</v>
      </c>
      <c r="D22" t="s">
        <v>41</v>
      </c>
      <c r="E22">
        <v>500</v>
      </c>
      <c r="F22">
        <v>170000</v>
      </c>
      <c r="G22">
        <v>1300</v>
      </c>
      <c r="H22">
        <v>1445</v>
      </c>
      <c r="I22">
        <v>1</v>
      </c>
      <c r="J22">
        <v>0.23499999999999999</v>
      </c>
      <c r="K22">
        <v>2.2000000000000002</v>
      </c>
      <c r="L22">
        <v>2.8160000000000001E-4</v>
      </c>
      <c r="M22">
        <v>0.04</v>
      </c>
      <c r="N22">
        <v>1</v>
      </c>
      <c r="O22">
        <v>0</v>
      </c>
      <c r="P22">
        <v>0</v>
      </c>
      <c r="Q22">
        <v>1</v>
      </c>
      <c r="R22">
        <v>9.6000000000000002E-5</v>
      </c>
      <c r="S22">
        <v>0</v>
      </c>
      <c r="T22">
        <v>1</v>
      </c>
      <c r="U22">
        <v>2.1002239999999999</v>
      </c>
      <c r="V22">
        <v>0.63795199999999985</v>
      </c>
      <c r="W22">
        <v>3.5840000000000001</v>
      </c>
      <c r="X22">
        <v>2.7381760000000002</v>
      </c>
      <c r="Y22">
        <v>2.1002239999999999</v>
      </c>
      <c r="Z22">
        <v>0.63795199999999985</v>
      </c>
      <c r="AA22">
        <v>0.5979027869104363</v>
      </c>
      <c r="AB22">
        <v>0.1484202634409113</v>
      </c>
      <c r="AC22">
        <v>-39.413653129617629</v>
      </c>
      <c r="AD22">
        <v>-8.4075075277538645</v>
      </c>
      <c r="AE22">
        <v>0</v>
      </c>
      <c r="AF22">
        <v>-8.7767394151617939</v>
      </c>
      <c r="AG22">
        <v>3.5840000000000001</v>
      </c>
      <c r="AH22">
        <v>25.257071304347711</v>
      </c>
      <c r="AI22">
        <v>54.762740424349367</v>
      </c>
      <c r="AJ22">
        <v>0.62249190265730547</v>
      </c>
      <c r="AK22">
        <v>-47.653727529606392</v>
      </c>
      <c r="AL22">
        <v>0</v>
      </c>
      <c r="AM22">
        <v>-50.129362026866623</v>
      </c>
      <c r="AO22">
        <f t="shared" si="0"/>
        <v>400</v>
      </c>
      <c r="AP22" s="6">
        <f t="shared" si="1"/>
        <v>0.11955290164342873</v>
      </c>
      <c r="AQ22">
        <f t="shared" si="2"/>
        <v>11.25</v>
      </c>
      <c r="AR22" s="6">
        <f t="shared" si="3"/>
        <v>5.314691439203878E-2</v>
      </c>
    </row>
    <row r="23" spans="1:44" x14ac:dyDescent="0.35">
      <c r="A23" t="s">
        <v>53</v>
      </c>
      <c r="B23" t="s">
        <v>47</v>
      </c>
      <c r="C23">
        <v>25</v>
      </c>
      <c r="D23" t="s">
        <v>41</v>
      </c>
      <c r="E23">
        <v>500</v>
      </c>
      <c r="F23">
        <v>170000</v>
      </c>
      <c r="G23">
        <v>1300</v>
      </c>
      <c r="H23">
        <v>1445</v>
      </c>
      <c r="I23">
        <v>1</v>
      </c>
      <c r="J23">
        <v>0.25</v>
      </c>
      <c r="K23">
        <v>2.2000000000000002</v>
      </c>
      <c r="L23">
        <v>9.3510000000000012E-4</v>
      </c>
      <c r="M23">
        <v>7.0000000000000007E-2</v>
      </c>
      <c r="N23">
        <v>1</v>
      </c>
      <c r="O23">
        <v>0</v>
      </c>
      <c r="P23">
        <v>0</v>
      </c>
      <c r="Q23">
        <v>1</v>
      </c>
      <c r="R23">
        <v>3.8400000000000001E-4</v>
      </c>
      <c r="S23">
        <v>0</v>
      </c>
      <c r="T23">
        <v>1</v>
      </c>
      <c r="U23">
        <v>19.338000000000001</v>
      </c>
      <c r="V23">
        <v>5.8739999999999997</v>
      </c>
      <c r="W23">
        <v>190</v>
      </c>
      <c r="X23">
        <v>25.212</v>
      </c>
      <c r="Y23">
        <v>19.338000000000001</v>
      </c>
      <c r="Z23">
        <v>5.8739999999999997</v>
      </c>
      <c r="AA23">
        <v>3.6131984267820552</v>
      </c>
      <c r="AB23">
        <v>0.80467348735294497</v>
      </c>
      <c r="AC23">
        <v>-121.3974375236764</v>
      </c>
      <c r="AD23">
        <v>-21.54102228513154</v>
      </c>
      <c r="AE23">
        <v>0</v>
      </c>
      <c r="AF23">
        <v>-27.120492537878679</v>
      </c>
      <c r="AG23">
        <v>190</v>
      </c>
      <c r="AH23">
        <v>75.202426387795668</v>
      </c>
      <c r="AI23">
        <v>197.26801502742089</v>
      </c>
      <c r="AJ23">
        <v>16.155345499967769</v>
      </c>
      <c r="AK23">
        <v>-437.06624081397609</v>
      </c>
      <c r="AL23">
        <v>0</v>
      </c>
      <c r="AM23">
        <v>-1363.735375198369</v>
      </c>
      <c r="AO23">
        <f t="shared" si="0"/>
        <v>400</v>
      </c>
      <c r="AP23" s="6">
        <f t="shared" si="1"/>
        <v>0.35734614952201987</v>
      </c>
      <c r="AQ23">
        <f t="shared" si="2"/>
        <v>11.25</v>
      </c>
      <c r="AR23" s="6">
        <f t="shared" si="3"/>
        <v>0.32117319349173823</v>
      </c>
    </row>
    <row r="24" spans="1:44" x14ac:dyDescent="0.35">
      <c r="A24" t="s">
        <v>53</v>
      </c>
      <c r="B24" t="s">
        <v>48</v>
      </c>
      <c r="C24">
        <v>25</v>
      </c>
      <c r="D24" t="s">
        <v>41</v>
      </c>
      <c r="E24">
        <v>500</v>
      </c>
      <c r="F24">
        <v>170000</v>
      </c>
      <c r="G24">
        <v>1300</v>
      </c>
      <c r="H24">
        <v>1445</v>
      </c>
      <c r="I24">
        <v>1</v>
      </c>
      <c r="J24">
        <v>0.23499999999999999</v>
      </c>
      <c r="K24">
        <v>2.2000000000000002</v>
      </c>
      <c r="L24">
        <v>2.8160000000000001E-4</v>
      </c>
      <c r="M24">
        <v>0.04</v>
      </c>
      <c r="N24">
        <v>1</v>
      </c>
      <c r="O24">
        <v>0</v>
      </c>
      <c r="P24">
        <v>0</v>
      </c>
      <c r="Q24">
        <v>1</v>
      </c>
      <c r="R24">
        <v>9.6000000000000002E-5</v>
      </c>
      <c r="S24">
        <v>0</v>
      </c>
      <c r="T24">
        <v>1</v>
      </c>
      <c r="U24">
        <v>5.7006079999999999</v>
      </c>
      <c r="V24">
        <v>1.731584</v>
      </c>
      <c r="W24">
        <v>9.7279999999999998</v>
      </c>
      <c r="X24">
        <v>7.4321919999999997</v>
      </c>
      <c r="Y24">
        <v>5.7006079999999999</v>
      </c>
      <c r="Z24">
        <v>1.731584</v>
      </c>
      <c r="AA24">
        <v>1.6228680111041129</v>
      </c>
      <c r="AB24">
        <v>0.40286366629485482</v>
      </c>
      <c r="AC24">
        <v>-106.97998822890671</v>
      </c>
      <c r="AD24">
        <v>-22.820386657411621</v>
      </c>
      <c r="AE24">
        <v>0</v>
      </c>
      <c r="AF24">
        <v>-23.822597316359801</v>
      </c>
      <c r="AG24">
        <v>9.7279999999999998</v>
      </c>
      <c r="AH24">
        <v>25.257071304347711</v>
      </c>
      <c r="AI24">
        <v>54.762740424349367</v>
      </c>
      <c r="AJ24">
        <v>1.672634943753077</v>
      </c>
      <c r="AK24">
        <v>-129.37839773797279</v>
      </c>
      <c r="AL24">
        <v>0</v>
      </c>
      <c r="AM24">
        <v>-136.1220980797392</v>
      </c>
      <c r="AO24">
        <f t="shared" si="0"/>
        <v>400</v>
      </c>
      <c r="AP24" s="6">
        <f t="shared" si="1"/>
        <v>0.32450093721579587</v>
      </c>
      <c r="AQ24">
        <f t="shared" si="2"/>
        <v>11.25</v>
      </c>
      <c r="AR24" s="6">
        <f t="shared" si="3"/>
        <v>0.1442549343203656</v>
      </c>
    </row>
    <row r="25" spans="1:44" x14ac:dyDescent="0.35">
      <c r="A25" t="s">
        <v>53</v>
      </c>
      <c r="B25" t="s">
        <v>49</v>
      </c>
      <c r="C25">
        <v>25</v>
      </c>
      <c r="D25" t="s">
        <v>41</v>
      </c>
      <c r="E25">
        <v>500</v>
      </c>
      <c r="F25">
        <v>170000</v>
      </c>
      <c r="G25">
        <v>1300</v>
      </c>
      <c r="H25">
        <v>1445</v>
      </c>
      <c r="I25">
        <v>1</v>
      </c>
      <c r="J25">
        <v>0.22</v>
      </c>
      <c r="K25">
        <v>2.2000000000000002</v>
      </c>
      <c r="L25">
        <v>1.3297999999999999E-3</v>
      </c>
      <c r="M25">
        <v>0.1</v>
      </c>
      <c r="N25">
        <v>1</v>
      </c>
      <c r="O25">
        <v>0</v>
      </c>
      <c r="P25">
        <v>0</v>
      </c>
      <c r="Q25">
        <v>1</v>
      </c>
      <c r="R25">
        <v>1.92E-4</v>
      </c>
      <c r="S25">
        <v>0</v>
      </c>
      <c r="T25">
        <v>1</v>
      </c>
      <c r="U25">
        <v>70.906000000000006</v>
      </c>
      <c r="V25">
        <v>21.538</v>
      </c>
      <c r="W25">
        <v>121</v>
      </c>
      <c r="X25">
        <v>92.444000000000003</v>
      </c>
      <c r="Y25">
        <v>70.906000000000006</v>
      </c>
      <c r="Z25">
        <v>21.538</v>
      </c>
      <c r="AA25">
        <v>21.75704653924921</v>
      </c>
      <c r="AB25">
        <v>5.0735799079394264</v>
      </c>
      <c r="AC25">
        <v>-480.39950623765441</v>
      </c>
      <c r="AD25">
        <v>-98.591631911982375</v>
      </c>
      <c r="AE25">
        <v>0</v>
      </c>
      <c r="AF25">
        <v>-176.47385256413509</v>
      </c>
      <c r="AG25">
        <v>121</v>
      </c>
      <c r="AH25">
        <v>66.189273268409906</v>
      </c>
      <c r="AI25">
        <v>118.7326334043527</v>
      </c>
      <c r="AJ25">
        <v>0</v>
      </c>
      <c r="AK25">
        <v>0</v>
      </c>
      <c r="AL25">
        <v>0</v>
      </c>
      <c r="AM25">
        <v>0</v>
      </c>
      <c r="AO25">
        <f t="shared" si="0"/>
        <v>400</v>
      </c>
      <c r="AP25" s="6">
        <f t="shared" si="1"/>
        <v>1.447477845374092</v>
      </c>
      <c r="AQ25">
        <f t="shared" si="2"/>
        <v>11.25</v>
      </c>
      <c r="AR25" s="6">
        <f t="shared" si="3"/>
        <v>1.9339596923777076</v>
      </c>
    </row>
    <row r="26" spans="1:44" x14ac:dyDescent="0.35">
      <c r="A26" t="s">
        <v>53</v>
      </c>
      <c r="B26" t="s">
        <v>50</v>
      </c>
      <c r="C26">
        <v>25</v>
      </c>
      <c r="D26" t="s">
        <v>41</v>
      </c>
      <c r="E26">
        <v>500</v>
      </c>
      <c r="F26">
        <v>170000</v>
      </c>
      <c r="G26">
        <v>1300</v>
      </c>
      <c r="H26">
        <v>1445</v>
      </c>
      <c r="I26">
        <v>1</v>
      </c>
      <c r="J26">
        <v>0.23499999999999999</v>
      </c>
      <c r="K26">
        <v>2.2000000000000002</v>
      </c>
      <c r="L26">
        <v>8.470000000000001E-4</v>
      </c>
      <c r="M26">
        <v>0.04</v>
      </c>
      <c r="N26">
        <v>1</v>
      </c>
      <c r="O26">
        <v>0</v>
      </c>
      <c r="P26">
        <v>0</v>
      </c>
      <c r="Q26">
        <v>1</v>
      </c>
      <c r="R26">
        <v>3.8400000000000001E-4</v>
      </c>
      <c r="S26">
        <v>0</v>
      </c>
      <c r="T26">
        <v>1</v>
      </c>
      <c r="U26">
        <v>56.256</v>
      </c>
      <c r="V26">
        <v>17.088000000000001</v>
      </c>
      <c r="W26">
        <v>96</v>
      </c>
      <c r="X26">
        <v>73.343999999999994</v>
      </c>
      <c r="Y26">
        <v>56.256</v>
      </c>
      <c r="Z26">
        <v>17.088000000000001</v>
      </c>
      <c r="AA26">
        <v>9.6802729665620859</v>
      </c>
      <c r="AB26">
        <v>2.3162466729971749</v>
      </c>
      <c r="AC26">
        <v>-358.29378629546801</v>
      </c>
      <c r="AD26">
        <v>-69.316074834877725</v>
      </c>
      <c r="AE26">
        <v>0</v>
      </c>
      <c r="AF26">
        <v>-73.570694555466744</v>
      </c>
      <c r="AG26">
        <v>96</v>
      </c>
      <c r="AH26">
        <v>74.708892277634163</v>
      </c>
      <c r="AI26">
        <v>188.89109758197679</v>
      </c>
      <c r="AJ26">
        <v>8.9872341364156387</v>
      </c>
      <c r="AK26">
        <v>-396.65805142821472</v>
      </c>
      <c r="AL26">
        <v>0</v>
      </c>
      <c r="AM26">
        <v>-428.72205495572541</v>
      </c>
      <c r="AO26">
        <f t="shared" si="0"/>
        <v>400</v>
      </c>
      <c r="AP26" s="6">
        <f t="shared" si="1"/>
        <v>1.0690246528258642</v>
      </c>
      <c r="AQ26">
        <f t="shared" si="2"/>
        <v>11.25</v>
      </c>
      <c r="AR26" s="6">
        <f t="shared" si="3"/>
        <v>0.86046870813885212</v>
      </c>
    </row>
    <row r="27" spans="1:44" x14ac:dyDescent="0.35">
      <c r="A27" t="s">
        <v>53</v>
      </c>
      <c r="B27" t="s">
        <v>51</v>
      </c>
      <c r="C27">
        <v>25</v>
      </c>
      <c r="D27" t="s">
        <v>41</v>
      </c>
      <c r="E27">
        <v>500</v>
      </c>
      <c r="F27">
        <v>170000</v>
      </c>
      <c r="G27">
        <v>1300</v>
      </c>
      <c r="H27">
        <v>1445</v>
      </c>
      <c r="I27">
        <v>1</v>
      </c>
      <c r="J27">
        <v>0.25</v>
      </c>
      <c r="K27">
        <v>2.2000000000000002</v>
      </c>
      <c r="L27">
        <v>1.89E-3</v>
      </c>
      <c r="M27">
        <v>8.5000000000000006E-2</v>
      </c>
      <c r="N27">
        <v>1</v>
      </c>
      <c r="O27">
        <v>0</v>
      </c>
      <c r="P27">
        <v>0</v>
      </c>
      <c r="Q27">
        <v>1</v>
      </c>
      <c r="R27">
        <v>1.92E-4</v>
      </c>
      <c r="S27">
        <v>0</v>
      </c>
      <c r="T27">
        <v>1</v>
      </c>
      <c r="U27">
        <v>93.466999999999999</v>
      </c>
      <c r="V27">
        <v>28.390999999999998</v>
      </c>
      <c r="W27">
        <v>159.5</v>
      </c>
      <c r="X27">
        <v>121.858</v>
      </c>
      <c r="Y27">
        <v>93.466999999999999</v>
      </c>
      <c r="Z27">
        <v>28.390999999999998</v>
      </c>
      <c r="AA27">
        <v>14.95672491179988</v>
      </c>
      <c r="AB27">
        <v>4.0130792832934441</v>
      </c>
      <c r="AC27">
        <v>-324.2318911794311</v>
      </c>
      <c r="AD27">
        <v>-80.765831092531997</v>
      </c>
      <c r="AE27">
        <v>0</v>
      </c>
      <c r="AF27">
        <v>-115.1822704372775</v>
      </c>
      <c r="AG27">
        <v>159.5</v>
      </c>
      <c r="AH27">
        <v>128.94024497399371</v>
      </c>
      <c r="AI27">
        <v>186.59516988937909</v>
      </c>
      <c r="AJ27">
        <v>14.89478858771068</v>
      </c>
      <c r="AK27">
        <v>-435.34510155984327</v>
      </c>
      <c r="AL27">
        <v>0</v>
      </c>
      <c r="AM27">
        <v>-877.20578898594249</v>
      </c>
      <c r="AO27">
        <f t="shared" si="0"/>
        <v>400</v>
      </c>
      <c r="AP27" s="6">
        <f t="shared" si="1"/>
        <v>1.0124943056799076</v>
      </c>
      <c r="AQ27">
        <f t="shared" si="2"/>
        <v>11.25</v>
      </c>
      <c r="AR27" s="6">
        <f t="shared" si="3"/>
        <v>1.3294866588266561</v>
      </c>
    </row>
    <row r="28" spans="1:44" x14ac:dyDescent="0.35">
      <c r="A28" t="s">
        <v>53</v>
      </c>
      <c r="B28" t="s">
        <v>52</v>
      </c>
      <c r="C28">
        <v>25</v>
      </c>
      <c r="D28" t="s">
        <v>41</v>
      </c>
      <c r="E28">
        <v>500</v>
      </c>
      <c r="F28">
        <v>170000</v>
      </c>
      <c r="G28">
        <v>1300</v>
      </c>
      <c r="H28">
        <v>1445</v>
      </c>
      <c r="I28">
        <v>1</v>
      </c>
      <c r="J28">
        <v>0.26</v>
      </c>
      <c r="K28">
        <v>2.2000000000000002</v>
      </c>
      <c r="L28">
        <v>5.6539999999999997E-4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9.6000000000000002E-5</v>
      </c>
      <c r="S28">
        <v>0</v>
      </c>
      <c r="T28">
        <v>1</v>
      </c>
      <c r="U28">
        <v>27.752960000000002</v>
      </c>
      <c r="V28">
        <v>8.4300800000000002</v>
      </c>
      <c r="W28">
        <v>47.36</v>
      </c>
      <c r="X28">
        <v>36.183039999999998</v>
      </c>
      <c r="Y28">
        <v>27.752960000000002</v>
      </c>
      <c r="Z28">
        <v>8.4300800000000002</v>
      </c>
      <c r="AA28">
        <v>4.7314031880280956</v>
      </c>
      <c r="AB28">
        <v>1.3047106292869171</v>
      </c>
      <c r="AC28">
        <v>-232.1598007510398</v>
      </c>
      <c r="AD28">
        <v>-58.560864743260353</v>
      </c>
      <c r="AE28">
        <v>0</v>
      </c>
      <c r="AF28">
        <v>-60.108270079658674</v>
      </c>
      <c r="AG28">
        <v>47.36</v>
      </c>
      <c r="AH28">
        <v>56.863742648834233</v>
      </c>
      <c r="AI28">
        <v>87.007089877328099</v>
      </c>
      <c r="AJ28">
        <v>5.2353053349927334</v>
      </c>
      <c r="AK28">
        <v>-333.96979735172539</v>
      </c>
      <c r="AL28">
        <v>0</v>
      </c>
      <c r="AM28">
        <v>-346.10945802676667</v>
      </c>
      <c r="AO28">
        <f t="shared" si="0"/>
        <v>400</v>
      </c>
      <c r="AP28" s="6">
        <f t="shared" si="1"/>
        <v>0.72680166373575039</v>
      </c>
      <c r="AQ28">
        <f t="shared" si="2"/>
        <v>11.25</v>
      </c>
      <c r="AR28" s="6">
        <f t="shared" si="3"/>
        <v>0.42056917226916407</v>
      </c>
    </row>
  </sheetData>
  <mergeCells count="2">
    <mergeCell ref="U1:X1"/>
    <mergeCell ref="Y1:Z1"/>
  </mergeCells>
  <conditionalFormatting sqref="AP3:AP28">
    <cfRule type="cellIs" dxfId="1" priority="2" operator="greaterThan">
      <formula>1</formula>
    </cfRule>
  </conditionalFormatting>
  <conditionalFormatting sqref="AR3:AR28">
    <cfRule type="cellIs" dxfId="0" priority="1" operator="greaterThan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j.moutet</cp:lastModifiedBy>
  <dcterms:created xsi:type="dcterms:W3CDTF">2025-11-04T09:58:09Z</dcterms:created>
  <dcterms:modified xsi:type="dcterms:W3CDTF">2025-11-04T11:08:25Z</dcterms:modified>
</cp:coreProperties>
</file>