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145B6E1B-C2D4-41E7-A4A0-63EFC559B560}" xr6:coauthVersionLast="47" xr6:coauthVersionMax="47" xr10:uidLastSave="{00000000-0000-0000-0000-000000000000}"/>
  <bookViews>
    <workbookView xWindow="19040" yWindow="10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8" i="1" l="1"/>
  <c r="R112" i="1"/>
  <c r="M112" i="1"/>
  <c r="M96" i="1"/>
  <c r="M80" i="1"/>
  <c r="R64" i="1"/>
  <c r="M64" i="1"/>
  <c r="M6" i="1"/>
  <c r="A93" i="1" l="1"/>
  <c r="A94" i="1"/>
  <c r="A95" i="1" s="1"/>
  <c r="Z140" i="1"/>
  <c r="Y140" i="1"/>
  <c r="AD140" i="1" s="1"/>
  <c r="Z138" i="1"/>
  <c r="Y138" i="1"/>
  <c r="AB138" i="1" s="1"/>
  <c r="L138" i="1"/>
  <c r="K138" i="1"/>
  <c r="Z136" i="1"/>
  <c r="Y136" i="1"/>
  <c r="AD136" i="1" s="1"/>
  <c r="R136" i="1"/>
  <c r="L136" i="1"/>
  <c r="K136" i="1"/>
  <c r="Z134" i="1"/>
  <c r="Y134" i="1"/>
  <c r="AC134" i="1" s="1"/>
  <c r="R134" i="1"/>
  <c r="P134" i="1"/>
  <c r="L134" i="1"/>
  <c r="K134" i="1"/>
  <c r="Z132" i="1"/>
  <c r="Y132" i="1"/>
  <c r="AD132" i="1" s="1"/>
  <c r="R132" i="1"/>
  <c r="L132" i="1"/>
  <c r="K132" i="1"/>
  <c r="Z130" i="1"/>
  <c r="Y130" i="1"/>
  <c r="AD130" i="1" s="1"/>
  <c r="R130" i="1"/>
  <c r="L130" i="1"/>
  <c r="K130" i="1"/>
  <c r="Z128" i="1"/>
  <c r="AC128" i="1" s="1"/>
  <c r="Y128" i="1"/>
  <c r="AB128" i="1" s="1"/>
  <c r="R128" i="1"/>
  <c r="P128" i="1"/>
  <c r="AD127" i="1"/>
  <c r="AC127" i="1"/>
  <c r="AB127" i="1"/>
  <c r="AF127" i="1" s="1"/>
  <c r="Z126" i="1"/>
  <c r="Y126" i="1"/>
  <c r="AD126" i="1" s="1"/>
  <c r="Z124" i="1"/>
  <c r="Y124" i="1"/>
  <c r="AB124" i="1" s="1"/>
  <c r="Z122" i="1"/>
  <c r="Y122" i="1"/>
  <c r="AD122" i="1" s="1"/>
  <c r="Z120" i="1"/>
  <c r="Y120" i="1"/>
  <c r="AD120" i="1" s="1"/>
  <c r="U120" i="1"/>
  <c r="Z118" i="1"/>
  <c r="Y118" i="1"/>
  <c r="AD118" i="1" s="1"/>
  <c r="U118" i="1"/>
  <c r="P118" i="1"/>
  <c r="Z116" i="1"/>
  <c r="Y116" i="1"/>
  <c r="AD116" i="1" s="1"/>
  <c r="U116" i="1"/>
  <c r="Z114" i="1"/>
  <c r="Y114" i="1"/>
  <c r="AD114" i="1" s="1"/>
  <c r="U114" i="1"/>
  <c r="Z112" i="1"/>
  <c r="Y112" i="1"/>
  <c r="AD112" i="1" s="1"/>
  <c r="U112" i="1"/>
  <c r="P112" i="1"/>
  <c r="AD111" i="1"/>
  <c r="AC111" i="1"/>
  <c r="AB111" i="1"/>
  <c r="AF111" i="1" s="1"/>
  <c r="Z110" i="1"/>
  <c r="Y110" i="1"/>
  <c r="AD110" i="1" s="1"/>
  <c r="Z106" i="1"/>
  <c r="Y106" i="1"/>
  <c r="AD106" i="1" s="1"/>
  <c r="Z104" i="1"/>
  <c r="Y104" i="1"/>
  <c r="Z102" i="1"/>
  <c r="Y102" i="1"/>
  <c r="AB102" i="1" s="1"/>
  <c r="Z100" i="1"/>
  <c r="Y100" i="1"/>
  <c r="AD100" i="1" s="1"/>
  <c r="Z98" i="1"/>
  <c r="Y98" i="1"/>
  <c r="AC98" i="1" s="1"/>
  <c r="Z96" i="1"/>
  <c r="Y96" i="1"/>
  <c r="AB96" i="1" s="1"/>
  <c r="Z94" i="1"/>
  <c r="Y94" i="1"/>
  <c r="AD94" i="1" s="1"/>
  <c r="Z93" i="1"/>
  <c r="Y93" i="1"/>
  <c r="AC93" i="1" s="1"/>
  <c r="R88" i="1"/>
  <c r="R86" i="1"/>
  <c r="R84" i="1"/>
  <c r="R82" i="1"/>
  <c r="R80" i="1"/>
  <c r="L90" i="1"/>
  <c r="L88" i="1"/>
  <c r="L86" i="1"/>
  <c r="L84" i="1"/>
  <c r="L82" i="1"/>
  <c r="K82" i="1"/>
  <c r="K84" i="1"/>
  <c r="K86" i="1"/>
  <c r="K88" i="1"/>
  <c r="K90" i="1"/>
  <c r="Z92" i="1"/>
  <c r="Y92" i="1"/>
  <c r="Z90" i="1"/>
  <c r="Y90" i="1"/>
  <c r="AB90" i="1" s="1"/>
  <c r="Z88" i="1"/>
  <c r="Y88" i="1"/>
  <c r="Z86" i="1"/>
  <c r="Y86" i="1"/>
  <c r="P86" i="1"/>
  <c r="Z84" i="1"/>
  <c r="Y84" i="1"/>
  <c r="AB84" i="1" s="1"/>
  <c r="Z82" i="1"/>
  <c r="Y82" i="1"/>
  <c r="Z80" i="1"/>
  <c r="Y80" i="1"/>
  <c r="AB80" i="1" s="1"/>
  <c r="P80" i="1"/>
  <c r="AD79" i="1"/>
  <c r="AC79" i="1"/>
  <c r="AB79" i="1"/>
  <c r="AF79" i="1" s="1"/>
  <c r="Z78" i="1"/>
  <c r="Y78" i="1"/>
  <c r="AC78" i="1" s="1"/>
  <c r="A77" i="1"/>
  <c r="Z77" i="1" s="1"/>
  <c r="Y62" i="1"/>
  <c r="AC62" i="1" s="1"/>
  <c r="Z62" i="1"/>
  <c r="P70" i="1"/>
  <c r="U72" i="1"/>
  <c r="U70" i="1"/>
  <c r="U68" i="1"/>
  <c r="P64" i="1"/>
  <c r="U66" i="1"/>
  <c r="U64" i="1"/>
  <c r="A61" i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Z74" i="1"/>
  <c r="Y74" i="1"/>
  <c r="AB74" i="1" s="1"/>
  <c r="Z72" i="1"/>
  <c r="Y72" i="1"/>
  <c r="Z70" i="1"/>
  <c r="Y70" i="1"/>
  <c r="Z68" i="1"/>
  <c r="Y68" i="1"/>
  <c r="Z66" i="1"/>
  <c r="Y66" i="1"/>
  <c r="Z64" i="1"/>
  <c r="Y64" i="1"/>
  <c r="U56" i="1"/>
  <c r="Z95" i="1" l="1"/>
  <c r="A96" i="1"/>
  <c r="Y95" i="1"/>
  <c r="AD95" i="1" s="1"/>
  <c r="AC116" i="1"/>
  <c r="AC124" i="1"/>
  <c r="AF124" i="1" s="1"/>
  <c r="AD124" i="1"/>
  <c r="AC112" i="1"/>
  <c r="AB120" i="1"/>
  <c r="AC120" i="1"/>
  <c r="AB116" i="1"/>
  <c r="AD104" i="1"/>
  <c r="AF128" i="1"/>
  <c r="AD128" i="1"/>
  <c r="AD134" i="1"/>
  <c r="AC138" i="1"/>
  <c r="AF138" i="1" s="1"/>
  <c r="AC118" i="1"/>
  <c r="AB126" i="1"/>
  <c r="AF126" i="1" s="1"/>
  <c r="AB130" i="1"/>
  <c r="AC130" i="1"/>
  <c r="AB136" i="1"/>
  <c r="AB112" i="1"/>
  <c r="AF112" i="1" s="1"/>
  <c r="AC136" i="1"/>
  <c r="AB114" i="1"/>
  <c r="AB140" i="1"/>
  <c r="AB110" i="1"/>
  <c r="AC114" i="1"/>
  <c r="AC132" i="1"/>
  <c r="AC140" i="1"/>
  <c r="AB134" i="1"/>
  <c r="AF134" i="1" s="1"/>
  <c r="AC110" i="1"/>
  <c r="AD138" i="1"/>
  <c r="AB132" i="1"/>
  <c r="AB118" i="1"/>
  <c r="AB122" i="1"/>
  <c r="AC122" i="1"/>
  <c r="AC126" i="1"/>
  <c r="AB93" i="1"/>
  <c r="AF93" i="1" s="1"/>
  <c r="AD93" i="1"/>
  <c r="AB94" i="1"/>
  <c r="AF94" i="1" s="1"/>
  <c r="AB100" i="1"/>
  <c r="AB104" i="1"/>
  <c r="AB98" i="1"/>
  <c r="AF98" i="1" s="1"/>
  <c r="AC106" i="1"/>
  <c r="AD102" i="1"/>
  <c r="AC96" i="1"/>
  <c r="AF96" i="1" s="1"/>
  <c r="AC100" i="1"/>
  <c r="AC104" i="1"/>
  <c r="AB106" i="1"/>
  <c r="AF106" i="1" s="1"/>
  <c r="AC102" i="1"/>
  <c r="AF102" i="1" s="1"/>
  <c r="AD98" i="1"/>
  <c r="AB95" i="1"/>
  <c r="AD96" i="1"/>
  <c r="AC94" i="1"/>
  <c r="AC95" i="1"/>
  <c r="AD92" i="1"/>
  <c r="Y77" i="1"/>
  <c r="AB77" i="1" s="1"/>
  <c r="AD80" i="1"/>
  <c r="AD90" i="1"/>
  <c r="AD82" i="1"/>
  <c r="AD86" i="1"/>
  <c r="AD88" i="1"/>
  <c r="A78" i="1"/>
  <c r="A79" i="1" s="1"/>
  <c r="A80" i="1" s="1"/>
  <c r="A81" i="1" s="1"/>
  <c r="A82" i="1" s="1"/>
  <c r="AC80" i="1"/>
  <c r="AF80" i="1" s="1"/>
  <c r="AD84" i="1"/>
  <c r="AB78" i="1"/>
  <c r="AF78" i="1" s="1"/>
  <c r="AD78" i="1"/>
  <c r="AC82" i="1"/>
  <c r="AB86" i="1"/>
  <c r="AC90" i="1"/>
  <c r="AF90" i="1" s="1"/>
  <c r="AC77" i="1"/>
  <c r="AF77" i="1" s="1"/>
  <c r="AC84" i="1"/>
  <c r="AF84" i="1" s="1"/>
  <c r="AB82" i="1"/>
  <c r="AC86" i="1"/>
  <c r="AB88" i="1"/>
  <c r="AC88" i="1"/>
  <c r="AB92" i="1"/>
  <c r="AC92" i="1"/>
  <c r="AD64" i="1"/>
  <c r="AC70" i="1"/>
  <c r="AD72" i="1"/>
  <c r="AD66" i="1"/>
  <c r="AD68" i="1"/>
  <c r="AB66" i="1"/>
  <c r="AB70" i="1"/>
  <c r="AF70" i="1" s="1"/>
  <c r="AC66" i="1"/>
  <c r="AC74" i="1"/>
  <c r="AF74" i="1" s="1"/>
  <c r="AD62" i="1"/>
  <c r="AD70" i="1"/>
  <c r="AD74" i="1"/>
  <c r="AB64" i="1"/>
  <c r="AB68" i="1"/>
  <c r="AB72" i="1"/>
  <c r="AB62" i="1"/>
  <c r="AF62" i="1" s="1"/>
  <c r="AC64" i="1"/>
  <c r="AC68" i="1"/>
  <c r="AC72" i="1"/>
  <c r="R56" i="1"/>
  <c r="A97" i="1" l="1"/>
  <c r="A98" i="1" s="1"/>
  <c r="Z97" i="1"/>
  <c r="AF122" i="1"/>
  <c r="AF116" i="1"/>
  <c r="AF120" i="1"/>
  <c r="AF132" i="1"/>
  <c r="AF136" i="1"/>
  <c r="AF118" i="1"/>
  <c r="AF82" i="1"/>
  <c r="AF130" i="1"/>
  <c r="AF110" i="1"/>
  <c r="AF140" i="1"/>
  <c r="AF114" i="1"/>
  <c r="AF104" i="1"/>
  <c r="AF100" i="1"/>
  <c r="AF95" i="1"/>
  <c r="AD77" i="1"/>
  <c r="Y81" i="1"/>
  <c r="AB81" i="1" s="1"/>
  <c r="AF88" i="1"/>
  <c r="AF92" i="1"/>
  <c r="AF86" i="1"/>
  <c r="A83" i="1"/>
  <c r="A84" i="1" s="1"/>
  <c r="Z81" i="1"/>
  <c r="AD81" i="1" s="1"/>
  <c r="AF64" i="1"/>
  <c r="AF68" i="1"/>
  <c r="AF72" i="1"/>
  <c r="AF66" i="1"/>
  <c r="P54" i="1"/>
  <c r="P56" i="1"/>
  <c r="Y4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99" i="1" l="1"/>
  <c r="A100" i="1" s="1"/>
  <c r="Y99" i="1"/>
  <c r="Y97" i="1"/>
  <c r="Y83" i="1"/>
  <c r="AB83" i="1" s="1"/>
  <c r="Z83" i="1"/>
  <c r="AD83" i="1" s="1"/>
  <c r="AC81" i="1"/>
  <c r="AF81" i="1" s="1"/>
  <c r="A85" i="1"/>
  <c r="A86" i="1" s="1"/>
  <c r="Y55" i="1"/>
  <c r="Y5" i="1"/>
  <c r="Y61" i="1"/>
  <c r="Z61" i="1"/>
  <c r="Y2" i="1"/>
  <c r="Z46" i="1"/>
  <c r="Y46" i="1"/>
  <c r="AB46" i="1" s="1"/>
  <c r="Z44" i="1"/>
  <c r="AD44" i="1" s="1"/>
  <c r="Y44" i="1"/>
  <c r="AB44" i="1" s="1"/>
  <c r="Z40" i="1"/>
  <c r="Y40" i="1"/>
  <c r="AB40" i="1" s="1"/>
  <c r="Z38" i="1"/>
  <c r="Y38" i="1"/>
  <c r="AB38" i="1" s="1"/>
  <c r="Z36" i="1"/>
  <c r="Y32" i="1"/>
  <c r="AB32" i="1" s="1"/>
  <c r="Z28" i="1"/>
  <c r="Y28" i="1"/>
  <c r="AD28" i="1" s="1"/>
  <c r="Z26" i="1"/>
  <c r="Y60" i="1"/>
  <c r="AB60" i="1" s="1"/>
  <c r="Y26" i="1"/>
  <c r="AB26" i="1" s="1"/>
  <c r="Z58" i="1"/>
  <c r="Z24" i="1"/>
  <c r="Y58" i="1"/>
  <c r="Y22" i="1"/>
  <c r="AB22" i="1" s="1"/>
  <c r="Z56" i="1"/>
  <c r="Z22" i="1"/>
  <c r="Y56" i="1"/>
  <c r="AB56" i="1" s="1"/>
  <c r="Z20" i="1"/>
  <c r="Z52" i="1"/>
  <c r="Y20" i="1"/>
  <c r="AB20" i="1" s="1"/>
  <c r="Y52" i="1"/>
  <c r="AB52" i="1" s="1"/>
  <c r="Z16" i="1"/>
  <c r="Z50" i="1"/>
  <c r="Y16" i="1"/>
  <c r="AB16" i="1" s="1"/>
  <c r="Y50" i="1"/>
  <c r="AB50" i="1" s="1"/>
  <c r="Z14" i="1"/>
  <c r="Z48" i="1"/>
  <c r="Y14" i="1"/>
  <c r="AC14" i="1" s="1"/>
  <c r="Y48" i="1"/>
  <c r="AB48" i="1" s="1"/>
  <c r="Z12" i="1"/>
  <c r="Y12" i="1"/>
  <c r="AB12" i="1" s="1"/>
  <c r="Z10" i="1"/>
  <c r="Y10" i="1"/>
  <c r="Z8" i="1"/>
  <c r="Y8" i="1"/>
  <c r="AB8" i="1" s="1"/>
  <c r="Y36" i="1"/>
  <c r="AB36" i="1" s="1"/>
  <c r="Z5" i="1"/>
  <c r="Z34" i="1"/>
  <c r="AB5" i="1"/>
  <c r="Y34" i="1"/>
  <c r="Z3" i="1"/>
  <c r="Z60" i="1"/>
  <c r="Z32" i="1"/>
  <c r="Y3" i="1"/>
  <c r="AB3" i="1" s="1"/>
  <c r="Z57" i="1"/>
  <c r="Y53" i="1"/>
  <c r="AD53" i="1" s="1"/>
  <c r="Z49" i="1"/>
  <c r="Z45" i="1"/>
  <c r="Y42" i="1"/>
  <c r="AB42" i="1" s="1"/>
  <c r="Z19" i="1"/>
  <c r="Z6" i="1"/>
  <c r="Y57" i="1"/>
  <c r="AB57" i="1" s="1"/>
  <c r="Y49" i="1"/>
  <c r="Y45" i="1"/>
  <c r="Z25" i="1"/>
  <c r="Y19" i="1"/>
  <c r="Y6" i="1"/>
  <c r="Z23" i="1"/>
  <c r="Z9" i="1"/>
  <c r="Z35" i="1"/>
  <c r="Z31" i="1"/>
  <c r="Y9" i="1"/>
  <c r="Z53" i="1"/>
  <c r="Z39" i="1"/>
  <c r="Y35" i="1"/>
  <c r="Y31" i="1"/>
  <c r="AB31" i="1" s="1"/>
  <c r="Z27" i="1"/>
  <c r="Z18" i="1"/>
  <c r="Y13" i="1"/>
  <c r="AB13" i="1" s="1"/>
  <c r="Z4" i="1"/>
  <c r="Z59" i="1"/>
  <c r="Z55" i="1"/>
  <c r="Y39" i="1"/>
  <c r="Y27" i="1"/>
  <c r="Y18" i="1"/>
  <c r="AB18" i="1" s="1"/>
  <c r="Y41" i="1"/>
  <c r="AB41" i="1" s="1"/>
  <c r="Y59" i="1"/>
  <c r="AB55" i="1"/>
  <c r="Z51" i="1"/>
  <c r="Z47" i="1"/>
  <c r="Z43" i="1"/>
  <c r="Z30" i="1"/>
  <c r="Z21" i="1"/>
  <c r="Y17" i="1"/>
  <c r="AB17" i="1" s="1"/>
  <c r="Y15" i="1"/>
  <c r="AB15" i="1" s="1"/>
  <c r="Y51" i="1"/>
  <c r="Y47" i="1"/>
  <c r="Y43" i="1"/>
  <c r="Y30" i="1"/>
  <c r="Z54" i="1"/>
  <c r="Z11" i="1"/>
  <c r="Y33" i="1"/>
  <c r="Y54" i="1"/>
  <c r="Z42" i="1"/>
  <c r="Z37" i="1"/>
  <c r="Z29" i="1"/>
  <c r="Y11" i="1"/>
  <c r="Z7" i="1"/>
  <c r="Z2" i="1"/>
  <c r="Z41" i="1"/>
  <c r="Y37" i="1"/>
  <c r="Z33" i="1"/>
  <c r="Y29" i="1"/>
  <c r="Y25" i="1"/>
  <c r="AB25" i="1" s="1"/>
  <c r="Z15" i="1"/>
  <c r="Y7" i="1"/>
  <c r="Y24" i="1"/>
  <c r="Y21" i="1"/>
  <c r="Z17" i="1"/>
  <c r="Y23" i="1"/>
  <c r="Z13" i="1"/>
  <c r="AB99" i="1" l="1"/>
  <c r="Y101" i="1"/>
  <c r="A101" i="1"/>
  <c r="A102" i="1" s="1"/>
  <c r="AD97" i="1"/>
  <c r="AB97" i="1"/>
  <c r="AC97" i="1"/>
  <c r="Z99" i="1"/>
  <c r="AD99" i="1" s="1"/>
  <c r="Z85" i="1"/>
  <c r="Y85" i="1"/>
  <c r="AC83" i="1"/>
  <c r="A87" i="1"/>
  <c r="A88" i="1" s="1"/>
  <c r="Z87" i="1" s="1"/>
  <c r="Y87" i="1"/>
  <c r="AF83" i="1"/>
  <c r="AD61" i="1"/>
  <c r="AB61" i="1"/>
  <c r="AC61" i="1"/>
  <c r="AD16" i="1"/>
  <c r="AD3" i="1"/>
  <c r="AC20" i="1"/>
  <c r="AF20" i="1" s="1"/>
  <c r="AC16" i="1"/>
  <c r="AF16" i="1" s="1"/>
  <c r="AD52" i="1"/>
  <c r="AD10" i="1"/>
  <c r="AD38" i="1"/>
  <c r="AC46" i="1"/>
  <c r="AF46" i="1" s="1"/>
  <c r="AD58" i="1"/>
  <c r="AD50" i="1"/>
  <c r="AD48" i="1"/>
  <c r="AD46" i="1"/>
  <c r="AC40" i="1"/>
  <c r="AF40" i="1" s="1"/>
  <c r="AC3" i="1"/>
  <c r="AF3" i="1" s="1"/>
  <c r="AC8" i="1"/>
  <c r="AF8" i="1" s="1"/>
  <c r="AC28" i="1"/>
  <c r="AC10" i="1"/>
  <c r="AC12" i="1"/>
  <c r="AF12" i="1" s="1"/>
  <c r="AD26" i="1"/>
  <c r="AD20" i="1"/>
  <c r="AB28" i="1"/>
  <c r="AC4" i="1"/>
  <c r="AC44" i="1"/>
  <c r="AF44" i="1" s="1"/>
  <c r="AB10" i="1"/>
  <c r="AC38" i="1"/>
  <c r="AF38" i="1" s="1"/>
  <c r="AD40" i="1"/>
  <c r="AC50" i="1"/>
  <c r="AF50" i="1" s="1"/>
  <c r="AD56" i="1"/>
  <c r="AD5" i="1"/>
  <c r="AC52" i="1"/>
  <c r="AF52" i="1" s="1"/>
  <c r="AC56" i="1"/>
  <c r="AF56" i="1" s="1"/>
  <c r="AD12" i="1"/>
  <c r="AD14" i="1"/>
  <c r="AB14" i="1"/>
  <c r="AF14" i="1" s="1"/>
  <c r="AD8" i="1"/>
  <c r="AC60" i="1"/>
  <c r="AF60" i="1" s="1"/>
  <c r="AD22" i="1"/>
  <c r="AC32" i="1"/>
  <c r="AF32" i="1" s="1"/>
  <c r="AC58" i="1"/>
  <c r="AB58" i="1"/>
  <c r="AD60" i="1"/>
  <c r="AC48" i="1"/>
  <c r="AF48" i="1" s="1"/>
  <c r="AC22" i="1"/>
  <c r="AF22" i="1" s="1"/>
  <c r="AC26" i="1"/>
  <c r="AF26" i="1" s="1"/>
  <c r="AC36" i="1"/>
  <c r="AF36" i="1" s="1"/>
  <c r="AD36" i="1"/>
  <c r="AC5" i="1"/>
  <c r="AF5" i="1" s="1"/>
  <c r="AD32" i="1"/>
  <c r="AB34" i="1"/>
  <c r="AC34" i="1"/>
  <c r="AD34" i="1"/>
  <c r="AD49" i="1"/>
  <c r="AD2" i="1"/>
  <c r="AD15" i="1"/>
  <c r="AC15" i="1"/>
  <c r="AF15" i="1" s="1"/>
  <c r="AD13" i="1"/>
  <c r="AD59" i="1"/>
  <c r="AC31" i="1"/>
  <c r="AF31" i="1" s="1"/>
  <c r="AD42" i="1"/>
  <c r="AC42" i="1"/>
  <c r="AF42" i="1" s="1"/>
  <c r="AC55" i="1"/>
  <c r="AF55" i="1" s="1"/>
  <c r="AD55" i="1"/>
  <c r="AC57" i="1"/>
  <c r="AF57" i="1" s="1"/>
  <c r="AB54" i="1"/>
  <c r="AD54" i="1"/>
  <c r="AC54" i="1"/>
  <c r="AD45" i="1"/>
  <c r="AC45" i="1"/>
  <c r="AB45" i="1"/>
  <c r="AF45" i="1" s="1"/>
  <c r="AB35" i="1"/>
  <c r="AC35" i="1"/>
  <c r="AD35" i="1"/>
  <c r="AD17" i="1"/>
  <c r="AB4" i="1"/>
  <c r="AD4" i="1"/>
  <c r="AB29" i="1"/>
  <c r="AC29" i="1"/>
  <c r="AD29" i="1"/>
  <c r="AB37" i="1"/>
  <c r="AD37" i="1"/>
  <c r="AC37" i="1"/>
  <c r="AC41" i="1"/>
  <c r="AF41" i="1" s="1"/>
  <c r="AB27" i="1"/>
  <c r="AC27" i="1"/>
  <c r="AF27" i="1" s="1"/>
  <c r="AD27" i="1"/>
  <c r="AB9" i="1"/>
  <c r="AD9" i="1"/>
  <c r="AC9" i="1"/>
  <c r="AD25" i="1"/>
  <c r="AB39" i="1"/>
  <c r="AC39" i="1"/>
  <c r="AD39" i="1"/>
  <c r="AC25" i="1"/>
  <c r="AF25" i="1" s="1"/>
  <c r="AB11" i="1"/>
  <c r="AC11" i="1"/>
  <c r="AD11" i="1"/>
  <c r="AC18" i="1"/>
  <c r="AF18" i="1" s="1"/>
  <c r="AB30" i="1"/>
  <c r="AD30" i="1"/>
  <c r="AC30" i="1"/>
  <c r="AB53" i="1"/>
  <c r="AC53" i="1"/>
  <c r="AB33" i="1"/>
  <c r="AD33" i="1"/>
  <c r="AC33" i="1"/>
  <c r="AB2" i="1"/>
  <c r="AC2" i="1"/>
  <c r="AC43" i="1"/>
  <c r="AB43" i="1"/>
  <c r="AF43" i="1" s="1"/>
  <c r="AD43" i="1"/>
  <c r="AB6" i="1"/>
  <c r="AD6" i="1"/>
  <c r="AC6" i="1"/>
  <c r="AD57" i="1"/>
  <c r="AB7" i="1"/>
  <c r="AC7" i="1"/>
  <c r="AF7" i="1" s="1"/>
  <c r="AD7" i="1"/>
  <c r="AB47" i="1"/>
  <c r="AC47" i="1"/>
  <c r="AD47" i="1"/>
  <c r="AB59" i="1"/>
  <c r="AC59" i="1"/>
  <c r="AD18" i="1"/>
  <c r="AB19" i="1"/>
  <c r="AC19" i="1"/>
  <c r="AD19" i="1"/>
  <c r="AC49" i="1"/>
  <c r="AB49" i="1"/>
  <c r="AD41" i="1"/>
  <c r="AD31" i="1"/>
  <c r="AD51" i="1"/>
  <c r="AB51" i="1"/>
  <c r="AC51" i="1"/>
  <c r="AC13" i="1"/>
  <c r="AF13" i="1" s="1"/>
  <c r="AC17" i="1"/>
  <c r="AF17" i="1" s="1"/>
  <c r="AB21" i="1"/>
  <c r="AD21" i="1"/>
  <c r="AC21" i="1"/>
  <c r="AC24" i="1"/>
  <c r="AD24" i="1"/>
  <c r="AB24" i="1"/>
  <c r="AC23" i="1"/>
  <c r="AD23" i="1"/>
  <c r="AB23" i="1"/>
  <c r="AB101" i="1" l="1"/>
  <c r="Y103" i="1"/>
  <c r="A103" i="1"/>
  <c r="A104" i="1" s="1"/>
  <c r="AF97" i="1"/>
  <c r="Z101" i="1"/>
  <c r="AC101" i="1" s="1"/>
  <c r="AC99" i="1"/>
  <c r="AF99" i="1" s="1"/>
  <c r="AB87" i="1"/>
  <c r="AD87" i="1"/>
  <c r="AC87" i="1"/>
  <c r="A89" i="1"/>
  <c r="A90" i="1" s="1"/>
  <c r="AD85" i="1"/>
  <c r="AB85" i="1"/>
  <c r="AC85" i="1"/>
  <c r="AF28" i="1"/>
  <c r="AF10" i="1"/>
  <c r="AF61" i="1"/>
  <c r="AD63" i="1"/>
  <c r="AC63" i="1"/>
  <c r="AB63" i="1"/>
  <c r="Z65" i="1"/>
  <c r="AF4" i="1"/>
  <c r="AF58" i="1"/>
  <c r="AF34" i="1"/>
  <c r="AF11" i="1"/>
  <c r="AF35" i="1"/>
  <c r="AF33" i="1"/>
  <c r="AF29" i="1"/>
  <c r="AF54" i="1"/>
  <c r="AF59" i="1"/>
  <c r="AF37" i="1"/>
  <c r="AF39" i="1"/>
  <c r="AF19" i="1"/>
  <c r="AF30" i="1"/>
  <c r="AF49" i="1"/>
  <c r="AF53" i="1"/>
  <c r="AF6" i="1"/>
  <c r="AF47" i="1"/>
  <c r="AF2" i="1"/>
  <c r="AF9" i="1"/>
  <c r="AF51" i="1"/>
  <c r="AF24" i="1"/>
  <c r="AF23" i="1"/>
  <c r="AF21" i="1"/>
  <c r="A105" i="1" l="1"/>
  <c r="A106" i="1" s="1"/>
  <c r="AB103" i="1"/>
  <c r="Z103" i="1"/>
  <c r="AD103" i="1" s="1"/>
  <c r="AF101" i="1"/>
  <c r="AD101" i="1"/>
  <c r="AF85" i="1"/>
  <c r="Y89" i="1"/>
  <c r="A91" i="1"/>
  <c r="A92" i="1" s="1"/>
  <c r="Z89" i="1"/>
  <c r="AF87" i="1"/>
  <c r="AF63" i="1"/>
  <c r="Y65" i="1"/>
  <c r="AB65" i="1" s="1"/>
  <c r="Z67" i="1"/>
  <c r="Y67" i="1"/>
  <c r="AC103" i="1" l="1"/>
  <c r="A107" i="1"/>
  <c r="AF103" i="1"/>
  <c r="Z105" i="1"/>
  <c r="Y105" i="1"/>
  <c r="Y91" i="1"/>
  <c r="AB89" i="1"/>
  <c r="AD89" i="1"/>
  <c r="AC89" i="1"/>
  <c r="AB91" i="1"/>
  <c r="Z91" i="1"/>
  <c r="AC91" i="1" s="1"/>
  <c r="AC65" i="1"/>
  <c r="AD65" i="1"/>
  <c r="AC67" i="1"/>
  <c r="AD67" i="1"/>
  <c r="AB67" i="1"/>
  <c r="Y69" i="1"/>
  <c r="AF65" i="1"/>
  <c r="AD105" i="1" l="1"/>
  <c r="AB105" i="1"/>
  <c r="AC105" i="1"/>
  <c r="A108" i="1"/>
  <c r="Z107" i="1"/>
  <c r="AF91" i="1"/>
  <c r="AD91" i="1"/>
  <c r="AF89" i="1"/>
  <c r="AF67" i="1"/>
  <c r="Z69" i="1"/>
  <c r="AD69" i="1" s="1"/>
  <c r="AB69" i="1"/>
  <c r="Y71" i="1"/>
  <c r="A109" i="1" l="1"/>
  <c r="Y107" i="1"/>
  <c r="Z108" i="1"/>
  <c r="AF105" i="1"/>
  <c r="AC69" i="1"/>
  <c r="AF69" i="1"/>
  <c r="AB71" i="1"/>
  <c r="Z71" i="1"/>
  <c r="AD71" i="1" s="1"/>
  <c r="Y73" i="1"/>
  <c r="AD107" i="1" l="1"/>
  <c r="AC107" i="1"/>
  <c r="AB107" i="1"/>
  <c r="AF107" i="1" s="1"/>
  <c r="Z109" i="1"/>
  <c r="Y109" i="1"/>
  <c r="A110" i="1"/>
  <c r="A111" i="1" s="1"/>
  <c r="A112" i="1" s="1"/>
  <c r="Y108" i="1"/>
  <c r="Z73" i="1"/>
  <c r="AC73" i="1" s="1"/>
  <c r="AC71" i="1"/>
  <c r="AB73" i="1"/>
  <c r="AF71" i="1"/>
  <c r="Y113" i="1" l="1"/>
  <c r="A113" i="1"/>
  <c r="A114" i="1" s="1"/>
  <c r="AB109" i="1"/>
  <c r="AD109" i="1"/>
  <c r="AD108" i="1"/>
  <c r="AB108" i="1"/>
  <c r="AC108" i="1"/>
  <c r="AC109" i="1"/>
  <c r="AD73" i="1"/>
  <c r="AF73" i="1"/>
  <c r="Z76" i="1"/>
  <c r="AF109" i="1" l="1"/>
  <c r="AB113" i="1"/>
  <c r="AF108" i="1"/>
  <c r="A115" i="1"/>
  <c r="A116" i="1" s="1"/>
  <c r="Z113" i="1"/>
  <c r="AD113" i="1" s="1"/>
  <c r="Z75" i="1"/>
  <c r="Y75" i="1"/>
  <c r="Y76" i="1"/>
  <c r="A117" i="1" l="1"/>
  <c r="A118" i="1" s="1"/>
  <c r="Y117" i="1"/>
  <c r="Z117" i="1"/>
  <c r="Y115" i="1"/>
  <c r="Z115" i="1"/>
  <c r="AC113" i="1"/>
  <c r="AF113" i="1" s="1"/>
  <c r="AD76" i="1"/>
  <c r="AC76" i="1"/>
  <c r="AB76" i="1"/>
  <c r="AC75" i="1"/>
  <c r="AD75" i="1"/>
  <c r="AB75" i="1"/>
  <c r="AF75" i="1" s="1"/>
  <c r="AC115" i="1" l="1"/>
  <c r="AB115" i="1"/>
  <c r="AF115" i="1" s="1"/>
  <c r="AD115" i="1"/>
  <c r="AD117" i="1"/>
  <c r="AC117" i="1"/>
  <c r="AB117" i="1"/>
  <c r="AF117" i="1" s="1"/>
  <c r="Z119" i="1"/>
  <c r="A119" i="1"/>
  <c r="A120" i="1" s="1"/>
  <c r="AF76" i="1"/>
  <c r="A121" i="1" l="1"/>
  <c r="A122" i="1" s="1"/>
  <c r="Z121" i="1"/>
  <c r="Y121" i="1"/>
  <c r="Y119" i="1"/>
  <c r="AB121" i="1" l="1"/>
  <c r="AC121" i="1"/>
  <c r="AF121" i="1" s="1"/>
  <c r="AD121" i="1"/>
  <c r="AD119" i="1"/>
  <c r="AB119" i="1"/>
  <c r="AC119" i="1"/>
  <c r="A123" i="1"/>
  <c r="A124" i="1" s="1"/>
  <c r="A125" i="1" s="1"/>
  <c r="Z123" i="1"/>
  <c r="A126" i="1" l="1"/>
  <c r="A127" i="1" s="1"/>
  <c r="A128" i="1" s="1"/>
  <c r="Z125" i="1"/>
  <c r="Y125" i="1"/>
  <c r="Y123" i="1"/>
  <c r="AF119" i="1"/>
  <c r="AD123" i="1" l="1"/>
  <c r="AB123" i="1"/>
  <c r="AC123" i="1"/>
  <c r="AD125" i="1"/>
  <c r="AC125" i="1"/>
  <c r="AB125" i="1"/>
  <c r="AF125" i="1" s="1"/>
  <c r="A129" i="1"/>
  <c r="A130" i="1" s="1"/>
  <c r="Y131" i="1" l="1"/>
  <c r="A131" i="1"/>
  <c r="A132" i="1" s="1"/>
  <c r="Y129" i="1"/>
  <c r="Z129" i="1"/>
  <c r="AF123" i="1"/>
  <c r="AB131" i="1" l="1"/>
  <c r="AD129" i="1"/>
  <c r="AB129" i="1"/>
  <c r="AC129" i="1"/>
  <c r="Y133" i="1"/>
  <c r="A133" i="1"/>
  <c r="A134" i="1" s="1"/>
  <c r="Z131" i="1"/>
  <c r="AD131" i="1" s="1"/>
  <c r="A135" i="1" l="1"/>
  <c r="A136" i="1" s="1"/>
  <c r="AB133" i="1"/>
  <c r="Z133" i="1"/>
  <c r="AD133" i="1" s="1"/>
  <c r="AF129" i="1"/>
  <c r="AC131" i="1"/>
  <c r="AF131" i="1" s="1"/>
  <c r="A137" i="1" l="1"/>
  <c r="A138" i="1" s="1"/>
  <c r="AC133" i="1"/>
  <c r="AF133" i="1" s="1"/>
  <c r="Y135" i="1"/>
  <c r="Z135" i="1"/>
  <c r="AD135" i="1" l="1"/>
  <c r="AC135" i="1"/>
  <c r="AB135" i="1"/>
  <c r="AF135" i="1" s="1"/>
  <c r="Y137" i="1"/>
  <c r="A139" i="1"/>
  <c r="A140" i="1" s="1"/>
  <c r="Y139" i="1"/>
  <c r="Z139" i="1"/>
  <c r="Z137" i="1"/>
  <c r="AD137" i="1" l="1"/>
  <c r="AB137" i="1"/>
  <c r="AC137" i="1"/>
  <c r="AC139" i="1"/>
  <c r="AD139" i="1"/>
  <c r="AB139" i="1"/>
  <c r="AF139" i="1" s="1"/>
  <c r="AF137" i="1" l="1"/>
</calcChain>
</file>

<file path=xl/sharedStrings.xml><?xml version="1.0" encoding="utf-8"?>
<sst xmlns="http://schemas.openxmlformats.org/spreadsheetml/2006/main" count="525" uniqueCount="58">
  <si>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</si>
  <si>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</si>
  <si>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</si>
  <si>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</si>
  <si>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</si>
  <si>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</si>
  <si>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</si>
  <si>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</si>
  <si>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</si>
  <si>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</si>
  <si>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</si>
  <si>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</si>
  <si>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</si>
  <si>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</si>
  <si>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</si>
  <si>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</si>
  <si>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</si>
  <si>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</si>
  <si>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</si>
  <si>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</si>
  <si>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</si>
  <si>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</si>
  <si>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</si>
  <si>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</si>
  <si>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</si>
  <si>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</si>
  <si>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</si>
  <si>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</si>
  <si>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</si>
  <si>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</si>
  <si>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</si>
  <si>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</si>
  <si>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</si>
  <si>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</si>
  <si>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</si>
  <si>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</si>
  <si>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</si>
  <si>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</si>
  <si>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</si>
  <si>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</si>
  <si>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</si>
  <si>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Redis</t>
  </si>
  <si>
    <t>Mg+g'_Elas</t>
  </si>
  <si>
    <t>Mq_Elas</t>
  </si>
  <si>
    <t>0</t>
  </si>
  <si>
    <t>File B - 1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</si>
  <si>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</si>
  <si>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</si>
  <si>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</si>
  <si>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</si>
  <si>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</si>
  <si>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</si>
  <si>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</si>
  <si>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</si>
  <si>
    <t>File B - 0</t>
  </si>
  <si>
    <t>Appui 8</t>
  </si>
  <si>
    <t>File B - 1 Avec HA en SUP</t>
  </si>
  <si>
    <t>File B - 1 + Chapiteau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</si>
</sst>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  <xf numFmtId="0" fontId="0" fillId="35" borderId="0" xfId="0" applyFill="1"/>
    <xf numFmtId="9" fontId="0" fillId="35" borderId="0" xfId="0" applyNumberFormat="1" applyFill="1"/>
    <xf numFmtId="10" fontId="0" fillId="35" borderId="0" xfId="0" applyNumberFormat="1" applyFill="1"/>
    <xf numFmtId="9" fontId="0" fillId="35" borderId="0" xfId="42" applyFont="1" applyFill="1"/>
    <xf numFmtId="0" fontId="0" fillId="36" borderId="0" xfId="0" applyFill="1"/>
    <xf numFmtId="1" fontId="0" fillId="36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5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140"/>
  <sheetViews>
    <sheetView tabSelected="1" topLeftCell="A4" zoomScale="70" zoomScaleNormal="70" workbookViewId="0">
      <pane xSplit="3" topLeftCell="J1" activePane="topRight" state="frozen"/>
      <selection pane="topRight" activeCell="A56" activeCellId="2" sqref="A52:XFD52 A54:XFD54 A56:XFD56"/>
    </sheetView>
  </sheetViews>
  <sheetFormatPr baseColWidth="10" defaultRowHeight="14.5" x14ac:dyDescent="0.35"/>
  <cols>
    <col min="1" max="1" width="12.26953125" bestFit="1" customWidth="1"/>
    <col min="2" max="2" width="21.453125" bestFit="1" customWidth="1"/>
    <col min="35" max="42" width="11.453125" customWidth="1"/>
    <col min="43" max="43" width="11.453125" collapsed="1"/>
  </cols>
  <sheetData>
    <row r="1" spans="1:46" x14ac:dyDescent="0.35">
      <c r="A1" t="s">
        <v>40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42</v>
      </c>
      <c r="W1" t="s">
        <v>43</v>
      </c>
      <c r="X1" t="s">
        <v>41</v>
      </c>
      <c r="Y1" t="s">
        <v>37</v>
      </c>
      <c r="Z1" t="s">
        <v>38</v>
      </c>
      <c r="AA1" t="s">
        <v>39</v>
      </c>
      <c r="AB1" t="s">
        <v>34</v>
      </c>
      <c r="AC1" t="s">
        <v>36</v>
      </c>
      <c r="AD1" t="s">
        <v>32</v>
      </c>
      <c r="AE1" t="s">
        <v>35</v>
      </c>
      <c r="AF1" t="s">
        <v>33</v>
      </c>
    </row>
    <row r="2" spans="1:46" x14ac:dyDescent="0.35">
      <c r="A2">
        <v>1</v>
      </c>
      <c r="B2" t="s">
        <v>54</v>
      </c>
      <c r="D2" s="5">
        <v>25</v>
      </c>
      <c r="E2" s="5" t="s">
        <v>18</v>
      </c>
      <c r="F2" s="5">
        <v>500</v>
      </c>
      <c r="G2" s="6">
        <v>220000</v>
      </c>
      <c r="H2" s="5">
        <v>1576</v>
      </c>
      <c r="I2" s="5">
        <v>1870</v>
      </c>
      <c r="J2" s="5">
        <v>1</v>
      </c>
      <c r="K2" s="5">
        <v>0.2</v>
      </c>
      <c r="L2" s="5">
        <v>2.2000000000000002</v>
      </c>
      <c r="M2" s="5">
        <v>1E-4</v>
      </c>
      <c r="N2" s="5">
        <v>0.03</v>
      </c>
      <c r="O2" s="5">
        <v>1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7">
        <v>0</v>
      </c>
      <c r="W2" s="7">
        <v>0</v>
      </c>
      <c r="X2" s="5" t="s">
        <v>44</v>
      </c>
      <c r="Y2" s="1">
        <f>IFERROR(IF(ISNUMBER(SEARCH("Appui",C2)),V2+X2*V2,IF(A1&lt;A2,V2-X3*V3/2,IF(A2&lt;A3,V2-(X1*V1)/2,V2-(X3*V3+X1*V1)/2))),0)</f>
        <v>0</v>
      </c>
      <c r="Z2" s="1">
        <f>IFERROR(IF(ISNUMBER(SEARCH("Appui",C2)),W2+X2*W2,IF(A1&lt;A2,W2-X3*W3/2,IF(A2&lt;A3,W2-(X1*W1)/2,W2-(X3*W3+X1*W1)/2))),0)</f>
        <v>0</v>
      </c>
      <c r="AA2" s="2">
        <v>0</v>
      </c>
      <c r="AB2" s="1">
        <f>Y2*(1-AA2)</f>
        <v>0</v>
      </c>
      <c r="AC2" s="1">
        <f>Y2*AA2 + Z2</f>
        <v>0</v>
      </c>
      <c r="AD2" s="3">
        <f>1.35*Y2+1.5*Z2</f>
        <v>0</v>
      </c>
      <c r="AE2" s="3"/>
      <c r="AF2" s="1">
        <f>AB2+AC2</f>
        <v>0</v>
      </c>
      <c r="AT2" s="9"/>
    </row>
    <row r="3" spans="1:46" x14ac:dyDescent="0.35">
      <c r="A3">
        <f t="shared" ref="A3:A66" si="0">IF(B3=B2,A2,A2+1)</f>
        <v>2</v>
      </c>
      <c r="B3" t="s">
        <v>45</v>
      </c>
      <c r="C3" t="s">
        <v>19</v>
      </c>
      <c r="D3">
        <v>25</v>
      </c>
      <c r="E3" t="s">
        <v>18</v>
      </c>
      <c r="F3">
        <v>500</v>
      </c>
      <c r="G3" s="14">
        <v>215000</v>
      </c>
      <c r="H3" s="15">
        <v>1412.67</v>
      </c>
      <c r="I3" s="14">
        <v>1828</v>
      </c>
      <c r="J3">
        <v>1</v>
      </c>
      <c r="K3">
        <v>0.23</v>
      </c>
      <c r="L3">
        <v>2.6</v>
      </c>
      <c r="M3">
        <v>1.0009999999999999E-3</v>
      </c>
      <c r="N3">
        <v>0.04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 s="1">
        <v>32</v>
      </c>
      <c r="W3">
        <v>10.3</v>
      </c>
      <c r="X3" s="8" t="s">
        <v>44</v>
      </c>
      <c r="Y3" s="1">
        <f t="shared" ref="Y3:Y59" si="1">IFERROR(IF(ISNUMBER(SEARCH("Appui",C3)),V3+X3*V3,IF(A2&lt;A3,V3-X4*V4/2,IF(A3&lt;A4,V3-(X2*V2)/2,V3-(X4*V4+X2*V2)/2))),0)</f>
        <v>32</v>
      </c>
      <c r="Z3" s="1">
        <f t="shared" ref="Z3:Z59" si="2">IFERROR(IF(ISNUMBER(SEARCH("Appui",C3)),W3+X3*W3,IF(A2&lt;A3,W3-X4*W4/2,IF(A3&lt;A4,W3-(X2*W2)/2,W3-(X4*W4+X2*W2)/2))),0)</f>
        <v>10.3</v>
      </c>
      <c r="AA3" s="2">
        <v>0</v>
      </c>
      <c r="AB3" s="1">
        <f t="shared" ref="AB3:AB6" si="3">Y3*(1-AA3)</f>
        <v>32</v>
      </c>
      <c r="AC3" s="1">
        <f t="shared" ref="AC3:AC6" si="4">Y3*AA3 + Z3</f>
        <v>10.3</v>
      </c>
      <c r="AD3" s="3">
        <f t="shared" ref="AD3:AD6" si="5">1.35*Y3+1.5*Z3</f>
        <v>58.650000000000006</v>
      </c>
      <c r="AE3" s="3"/>
      <c r="AF3">
        <f t="shared" ref="AF3:AF6" si="6">AB3+AC3</f>
        <v>42.3</v>
      </c>
      <c r="AT3" s="9"/>
    </row>
    <row r="4" spans="1:46" x14ac:dyDescent="0.35">
      <c r="A4">
        <f t="shared" si="0"/>
        <v>2</v>
      </c>
      <c r="B4" t="s">
        <v>45</v>
      </c>
      <c r="C4" t="s">
        <v>20</v>
      </c>
      <c r="D4">
        <v>25</v>
      </c>
      <c r="E4" t="s">
        <v>18</v>
      </c>
      <c r="F4">
        <v>500</v>
      </c>
      <c r="G4" s="14">
        <v>215000</v>
      </c>
      <c r="H4" s="15">
        <v>1412.67</v>
      </c>
      <c r="I4" s="14">
        <v>1828</v>
      </c>
      <c r="J4">
        <v>1</v>
      </c>
      <c r="K4">
        <v>0.23</v>
      </c>
      <c r="L4">
        <v>2.6</v>
      </c>
      <c r="M4">
        <v>1.3078E-3</v>
      </c>
      <c r="N4">
        <v>7.0000000000000007E-2</v>
      </c>
      <c r="O4">
        <v>1</v>
      </c>
      <c r="P4">
        <v>0</v>
      </c>
      <c r="Q4">
        <v>0</v>
      </c>
      <c r="R4">
        <v>1</v>
      </c>
      <c r="S4" s="14">
        <v>9.1649999999999992E-5</v>
      </c>
      <c r="T4">
        <v>0</v>
      </c>
      <c r="U4">
        <v>2</v>
      </c>
      <c r="V4" s="1">
        <v>63</v>
      </c>
      <c r="W4">
        <v>18.5</v>
      </c>
      <c r="X4" s="8">
        <v>0</v>
      </c>
      <c r="Y4" s="1">
        <f>IFERROR(IF(ISNUMBER(SEARCH("Appui",C4)),V4+X4*V4,IF(A3&lt;A4,V4-X5*V5/2,IF(A4&lt;A5,V4-(X3*V3)/2,V4-(X5*V5+X3*V3)/2))),0)</f>
        <v>63</v>
      </c>
      <c r="Z4" s="1">
        <f t="shared" si="2"/>
        <v>18.5</v>
      </c>
      <c r="AA4" s="2">
        <v>0</v>
      </c>
      <c r="AB4" s="1">
        <f t="shared" si="3"/>
        <v>63</v>
      </c>
      <c r="AC4" s="1">
        <f t="shared" si="4"/>
        <v>18.5</v>
      </c>
      <c r="AD4" s="3">
        <f t="shared" si="5"/>
        <v>112.80000000000001</v>
      </c>
      <c r="AE4" s="3"/>
      <c r="AF4">
        <f t="shared" si="6"/>
        <v>81.5</v>
      </c>
      <c r="AT4" s="9"/>
    </row>
    <row r="5" spans="1:46" x14ac:dyDescent="0.35">
      <c r="A5">
        <f t="shared" si="0"/>
        <v>2</v>
      </c>
      <c r="B5" t="s">
        <v>45</v>
      </c>
      <c r="C5" t="s">
        <v>23</v>
      </c>
      <c r="D5" s="5">
        <v>25</v>
      </c>
      <c r="E5" s="5" t="s">
        <v>18</v>
      </c>
      <c r="F5" s="5">
        <v>500</v>
      </c>
      <c r="G5" s="6">
        <v>220000</v>
      </c>
      <c r="H5" s="5">
        <v>1576</v>
      </c>
      <c r="I5" s="5">
        <v>1870</v>
      </c>
      <c r="J5" s="5">
        <v>1</v>
      </c>
      <c r="K5" s="5">
        <v>0.2</v>
      </c>
      <c r="L5" s="5">
        <v>2.2000000000000002</v>
      </c>
      <c r="M5" s="10">
        <v>1E-3</v>
      </c>
      <c r="N5" s="5">
        <v>0.03</v>
      </c>
      <c r="O5" s="5">
        <v>1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7">
        <v>0</v>
      </c>
      <c r="W5" s="7">
        <v>0</v>
      </c>
      <c r="X5" s="5" t="s">
        <v>44</v>
      </c>
      <c r="Y5" s="1">
        <f>IFERROR(IF(ISNUMBER(SEARCH("Appui",C5)),V5+X5*V5,IF(A4&lt;A5,V5-X6*V6/2,IF(A5&lt;A6,V5-(X4*V4)/2,V5-(X6*V6+X4*V4)/2))),0)</f>
        <v>8.0625</v>
      </c>
      <c r="Z5" s="1">
        <f t="shared" si="2"/>
        <v>2.5499999999999998</v>
      </c>
      <c r="AA5" s="2"/>
      <c r="AB5" s="1">
        <f t="shared" si="3"/>
        <v>8.0625</v>
      </c>
      <c r="AC5" s="1">
        <f t="shared" si="4"/>
        <v>2.5499999999999998</v>
      </c>
      <c r="AD5" s="3">
        <f t="shared" si="5"/>
        <v>14.709375</v>
      </c>
      <c r="AE5" s="3"/>
      <c r="AF5">
        <f t="shared" si="6"/>
        <v>10.612500000000001</v>
      </c>
      <c r="AT5" s="9"/>
    </row>
    <row r="6" spans="1:46" x14ac:dyDescent="0.35">
      <c r="A6">
        <f t="shared" si="0"/>
        <v>2</v>
      </c>
      <c r="B6" t="s">
        <v>45</v>
      </c>
      <c r="C6" t="s">
        <v>24</v>
      </c>
      <c r="D6">
        <v>25</v>
      </c>
      <c r="E6" t="s">
        <v>18</v>
      </c>
      <c r="F6">
        <v>500</v>
      </c>
      <c r="G6" s="14">
        <v>215000</v>
      </c>
      <c r="H6" s="15">
        <v>1412.67</v>
      </c>
      <c r="I6" s="14">
        <v>1828</v>
      </c>
      <c r="J6">
        <v>1</v>
      </c>
      <c r="K6">
        <v>0.23</v>
      </c>
      <c r="L6">
        <v>2.6</v>
      </c>
      <c r="M6" s="10">
        <f>0.0013286 + 12*1.131*0.0001</f>
        <v>2.6858000000000003E-3</v>
      </c>
      <c r="N6">
        <v>0.06</v>
      </c>
      <c r="O6">
        <v>1</v>
      </c>
      <c r="P6">
        <v>0</v>
      </c>
      <c r="Q6">
        <v>0</v>
      </c>
      <c r="R6">
        <v>1</v>
      </c>
      <c r="S6" s="14">
        <v>9.1650000000000005E-5</v>
      </c>
      <c r="T6">
        <v>0</v>
      </c>
      <c r="U6">
        <v>4</v>
      </c>
      <c r="V6" s="1">
        <v>107.5</v>
      </c>
      <c r="W6">
        <v>34</v>
      </c>
      <c r="X6" s="8">
        <v>-0.15</v>
      </c>
      <c r="Y6" s="1">
        <f t="shared" si="1"/>
        <v>91.375</v>
      </c>
      <c r="Z6" s="1">
        <f t="shared" si="2"/>
        <v>28.9</v>
      </c>
      <c r="AA6" s="13">
        <v>0.25</v>
      </c>
      <c r="AB6" s="1">
        <f t="shared" si="3"/>
        <v>68.53125</v>
      </c>
      <c r="AC6" s="1">
        <f t="shared" si="4"/>
        <v>51.743749999999999</v>
      </c>
      <c r="AD6" s="3">
        <f t="shared" si="5"/>
        <v>166.70625000000001</v>
      </c>
      <c r="AE6" s="3"/>
      <c r="AF6">
        <f t="shared" si="6"/>
        <v>120.27500000000001</v>
      </c>
      <c r="AT6" s="9"/>
    </row>
    <row r="7" spans="1:46" x14ac:dyDescent="0.35">
      <c r="A7">
        <f t="shared" si="0"/>
        <v>2</v>
      </c>
      <c r="B7" t="s">
        <v>45</v>
      </c>
      <c r="C7" t="s">
        <v>25</v>
      </c>
      <c r="D7">
        <v>25</v>
      </c>
      <c r="E7" t="s">
        <v>18</v>
      </c>
      <c r="F7">
        <v>500</v>
      </c>
      <c r="G7" s="14">
        <v>215000</v>
      </c>
      <c r="H7" s="15">
        <v>1412.67</v>
      </c>
      <c r="I7" s="14">
        <v>1828</v>
      </c>
      <c r="J7">
        <v>1</v>
      </c>
      <c r="K7">
        <v>0.23</v>
      </c>
      <c r="L7">
        <v>2.6</v>
      </c>
      <c r="M7">
        <v>3.3280000000000001E-4</v>
      </c>
      <c r="N7">
        <v>0.03</v>
      </c>
      <c r="O7">
        <v>1</v>
      </c>
      <c r="P7">
        <v>0</v>
      </c>
      <c r="Q7">
        <v>0</v>
      </c>
      <c r="R7">
        <v>1</v>
      </c>
      <c r="S7" s="14">
        <v>9.1650000000000005E-5</v>
      </c>
      <c r="T7">
        <v>0</v>
      </c>
      <c r="U7">
        <v>3</v>
      </c>
      <c r="V7" s="1">
        <v>35.4</v>
      </c>
      <c r="W7">
        <v>15.9</v>
      </c>
      <c r="X7" s="8" t="s">
        <v>44</v>
      </c>
      <c r="Y7" s="1">
        <f t="shared" si="1"/>
        <v>44.552499999999995</v>
      </c>
      <c r="Z7" s="1">
        <f t="shared" si="2"/>
        <v>18.87</v>
      </c>
      <c r="AA7" s="11">
        <v>0.5</v>
      </c>
      <c r="AB7" s="1">
        <f t="shared" ref="AB7:AB13" si="7">Y7*(1-AA7)</f>
        <v>22.276249999999997</v>
      </c>
      <c r="AC7" s="1">
        <f t="shared" ref="AC7:AC13" si="8">Y7*AA7 + Z7</f>
        <v>41.146249999999995</v>
      </c>
      <c r="AD7" s="3">
        <f t="shared" ref="AD7:AD13" si="9">1.35*Y7+1.5*Z7</f>
        <v>88.450874999999996</v>
      </c>
      <c r="AE7" s="3"/>
      <c r="AF7">
        <f t="shared" ref="AF7:AF13" si="10">AB7+AC7</f>
        <v>63.422499999999992</v>
      </c>
      <c r="AT7" s="9"/>
    </row>
    <row r="8" spans="1:46" x14ac:dyDescent="0.35">
      <c r="A8">
        <f t="shared" si="0"/>
        <v>2</v>
      </c>
      <c r="B8" t="s">
        <v>45</v>
      </c>
      <c r="C8" t="s">
        <v>26</v>
      </c>
      <c r="D8">
        <v>25</v>
      </c>
      <c r="E8" t="s">
        <v>18</v>
      </c>
      <c r="F8">
        <v>500</v>
      </c>
      <c r="G8" s="14">
        <v>215000</v>
      </c>
      <c r="H8" s="15">
        <v>1412.67</v>
      </c>
      <c r="I8" s="14">
        <v>1828</v>
      </c>
      <c r="J8">
        <v>1</v>
      </c>
      <c r="K8">
        <v>0.23</v>
      </c>
      <c r="L8">
        <v>2.6</v>
      </c>
      <c r="M8">
        <v>2.1032999999999998E-3</v>
      </c>
      <c r="N8">
        <v>0.06</v>
      </c>
      <c r="O8">
        <v>1</v>
      </c>
      <c r="P8">
        <v>0</v>
      </c>
      <c r="Q8">
        <v>0</v>
      </c>
      <c r="R8">
        <v>1</v>
      </c>
      <c r="S8" s="14">
        <v>9.1650000000000005E-5</v>
      </c>
      <c r="T8">
        <v>0</v>
      </c>
      <c r="U8">
        <v>2</v>
      </c>
      <c r="V8" s="1">
        <v>109</v>
      </c>
      <c r="W8">
        <v>42</v>
      </c>
      <c r="X8" s="8">
        <v>-0.02</v>
      </c>
      <c r="Y8" s="1">
        <f t="shared" si="1"/>
        <v>106.82</v>
      </c>
      <c r="Z8" s="1">
        <f t="shared" si="2"/>
        <v>41.16</v>
      </c>
      <c r="AA8" s="13">
        <v>0.5</v>
      </c>
      <c r="AB8" s="1">
        <f t="shared" si="7"/>
        <v>53.41</v>
      </c>
      <c r="AC8" s="1">
        <f t="shared" si="8"/>
        <v>94.57</v>
      </c>
      <c r="AD8" s="3">
        <f t="shared" si="9"/>
        <v>205.947</v>
      </c>
      <c r="AE8" s="3"/>
      <c r="AF8">
        <f t="shared" si="10"/>
        <v>147.97999999999999</v>
      </c>
      <c r="AT8" s="9"/>
    </row>
    <row r="9" spans="1:46" x14ac:dyDescent="0.35">
      <c r="A9">
        <f t="shared" si="0"/>
        <v>2</v>
      </c>
      <c r="B9" t="s">
        <v>45</v>
      </c>
      <c r="C9" t="s">
        <v>27</v>
      </c>
      <c r="D9">
        <v>25</v>
      </c>
      <c r="E9" t="s">
        <v>18</v>
      </c>
      <c r="F9">
        <v>500</v>
      </c>
      <c r="G9" s="14">
        <v>215000</v>
      </c>
      <c r="H9" s="15">
        <v>1412.67</v>
      </c>
      <c r="I9" s="14">
        <v>1828</v>
      </c>
      <c r="J9">
        <v>1</v>
      </c>
      <c r="K9">
        <v>0.23</v>
      </c>
      <c r="L9">
        <v>2.6</v>
      </c>
      <c r="M9">
        <v>1E-3</v>
      </c>
      <c r="N9">
        <v>0.05</v>
      </c>
      <c r="O9">
        <v>1</v>
      </c>
      <c r="P9">
        <v>0</v>
      </c>
      <c r="Q9">
        <v>0</v>
      </c>
      <c r="R9">
        <v>1</v>
      </c>
      <c r="S9" s="14">
        <v>9.1650000000000005E-5</v>
      </c>
      <c r="T9">
        <v>0</v>
      </c>
      <c r="U9">
        <v>2</v>
      </c>
      <c r="V9" s="1">
        <v>38.9</v>
      </c>
      <c r="W9">
        <v>18.2</v>
      </c>
      <c r="X9" s="8" t="s">
        <v>44</v>
      </c>
      <c r="Y9" s="1">
        <f t="shared" si="1"/>
        <v>39.99</v>
      </c>
      <c r="Z9" s="1">
        <f t="shared" si="2"/>
        <v>18.62</v>
      </c>
      <c r="AA9" s="13">
        <v>0.5</v>
      </c>
      <c r="AB9" s="1">
        <f t="shared" si="7"/>
        <v>19.995000000000001</v>
      </c>
      <c r="AC9" s="1">
        <f t="shared" si="8"/>
        <v>38.615000000000002</v>
      </c>
      <c r="AD9" s="3">
        <f t="shared" si="9"/>
        <v>81.916500000000013</v>
      </c>
      <c r="AE9" s="3"/>
      <c r="AF9">
        <f t="shared" si="10"/>
        <v>58.61</v>
      </c>
      <c r="AT9" s="9"/>
    </row>
    <row r="10" spans="1:46" x14ac:dyDescent="0.35">
      <c r="A10">
        <f t="shared" si="0"/>
        <v>2</v>
      </c>
      <c r="B10" t="s">
        <v>45</v>
      </c>
      <c r="C10" t="s">
        <v>28</v>
      </c>
      <c r="D10">
        <v>25</v>
      </c>
      <c r="E10" t="s">
        <v>18</v>
      </c>
      <c r="F10">
        <v>500</v>
      </c>
      <c r="G10" s="14">
        <v>215000</v>
      </c>
      <c r="H10" s="15">
        <v>1412.67</v>
      </c>
      <c r="I10" s="14">
        <v>1828</v>
      </c>
      <c r="J10">
        <v>1</v>
      </c>
      <c r="K10">
        <v>0.23</v>
      </c>
      <c r="L10">
        <v>2.6</v>
      </c>
      <c r="M10">
        <v>2.0999999999999999E-3</v>
      </c>
      <c r="N10">
        <v>0.06</v>
      </c>
      <c r="O10">
        <v>1</v>
      </c>
      <c r="P10">
        <v>0</v>
      </c>
      <c r="Q10">
        <v>0</v>
      </c>
      <c r="R10">
        <v>1</v>
      </c>
      <c r="S10" s="14">
        <v>9.1650000000000005E-5</v>
      </c>
      <c r="T10">
        <v>0</v>
      </c>
      <c r="U10">
        <v>2</v>
      </c>
      <c r="V10" s="1">
        <v>117.5</v>
      </c>
      <c r="W10">
        <v>43.5</v>
      </c>
      <c r="X10" s="8">
        <v>0</v>
      </c>
      <c r="Y10" s="1">
        <f t="shared" si="1"/>
        <v>117.5</v>
      </c>
      <c r="Z10" s="1">
        <f t="shared" si="2"/>
        <v>43.5</v>
      </c>
      <c r="AA10" s="13">
        <v>0.5</v>
      </c>
      <c r="AB10" s="1">
        <f t="shared" si="7"/>
        <v>58.75</v>
      </c>
      <c r="AC10" s="1">
        <f t="shared" si="8"/>
        <v>102.25</v>
      </c>
      <c r="AD10" s="3">
        <f t="shared" si="9"/>
        <v>223.875</v>
      </c>
      <c r="AE10" s="3"/>
      <c r="AF10">
        <f t="shared" si="10"/>
        <v>161</v>
      </c>
      <c r="AT10" s="9"/>
    </row>
    <row r="11" spans="1:46" x14ac:dyDescent="0.35">
      <c r="A11">
        <f t="shared" si="0"/>
        <v>2</v>
      </c>
      <c r="B11" t="s">
        <v>45</v>
      </c>
      <c r="C11" t="s">
        <v>29</v>
      </c>
      <c r="D11">
        <v>25</v>
      </c>
      <c r="E11" t="s">
        <v>18</v>
      </c>
      <c r="F11">
        <v>500</v>
      </c>
      <c r="G11" s="14">
        <v>215000</v>
      </c>
      <c r="H11" s="15">
        <v>1412.67</v>
      </c>
      <c r="I11" s="14">
        <v>1828</v>
      </c>
      <c r="J11">
        <v>1</v>
      </c>
      <c r="K11">
        <v>0.23</v>
      </c>
      <c r="L11">
        <v>2.6</v>
      </c>
      <c r="M11">
        <v>3.3E-4</v>
      </c>
      <c r="N11">
        <v>0.03</v>
      </c>
      <c r="O11">
        <v>1</v>
      </c>
      <c r="P11">
        <v>0</v>
      </c>
      <c r="Q11">
        <v>0</v>
      </c>
      <c r="R11">
        <v>1</v>
      </c>
      <c r="S11" s="14">
        <v>9.1650000000000005E-5</v>
      </c>
      <c r="T11">
        <v>0</v>
      </c>
      <c r="U11">
        <v>4</v>
      </c>
      <c r="V11" s="1">
        <v>38.5</v>
      </c>
      <c r="W11">
        <v>18.7</v>
      </c>
      <c r="X11" s="8" t="s">
        <v>44</v>
      </c>
      <c r="Y11" s="1">
        <f t="shared" si="1"/>
        <v>38.5</v>
      </c>
      <c r="Z11" s="1">
        <f t="shared" si="2"/>
        <v>18.7</v>
      </c>
      <c r="AA11" s="13">
        <v>0.5</v>
      </c>
      <c r="AB11" s="1">
        <f t="shared" si="7"/>
        <v>19.25</v>
      </c>
      <c r="AC11" s="1">
        <f t="shared" si="8"/>
        <v>37.950000000000003</v>
      </c>
      <c r="AD11" s="3">
        <f t="shared" si="9"/>
        <v>80.025000000000006</v>
      </c>
      <c r="AE11" s="3"/>
      <c r="AF11">
        <f t="shared" si="10"/>
        <v>57.2</v>
      </c>
      <c r="AT11" s="9"/>
    </row>
    <row r="12" spans="1:46" x14ac:dyDescent="0.35">
      <c r="A12">
        <f t="shared" si="0"/>
        <v>2</v>
      </c>
      <c r="B12" t="s">
        <v>45</v>
      </c>
      <c r="C12" t="s">
        <v>30</v>
      </c>
      <c r="D12">
        <v>25</v>
      </c>
      <c r="E12" t="s">
        <v>18</v>
      </c>
      <c r="F12">
        <v>500</v>
      </c>
      <c r="G12" s="14">
        <v>215000</v>
      </c>
      <c r="H12" s="15">
        <v>1412.67</v>
      </c>
      <c r="I12" s="14">
        <v>1828</v>
      </c>
      <c r="J12">
        <v>1</v>
      </c>
      <c r="K12">
        <v>0.23</v>
      </c>
      <c r="L12">
        <v>2.6</v>
      </c>
      <c r="M12">
        <v>2.0999999999999999E-3</v>
      </c>
      <c r="N12">
        <v>0.06</v>
      </c>
      <c r="O12">
        <v>1</v>
      </c>
      <c r="P12">
        <v>0</v>
      </c>
      <c r="Q12">
        <v>0</v>
      </c>
      <c r="R12">
        <v>1</v>
      </c>
      <c r="S12" s="14">
        <v>9.1650000000000005E-5</v>
      </c>
      <c r="T12">
        <v>0</v>
      </c>
      <c r="U12">
        <v>4</v>
      </c>
      <c r="V12" s="1">
        <v>122.5</v>
      </c>
      <c r="W12">
        <v>44.35</v>
      </c>
      <c r="X12" s="8">
        <v>0</v>
      </c>
      <c r="Y12" s="1">
        <f t="shared" si="1"/>
        <v>122.5</v>
      </c>
      <c r="Z12" s="1">
        <f t="shared" si="2"/>
        <v>44.35</v>
      </c>
      <c r="AA12" s="13">
        <v>0.5</v>
      </c>
      <c r="AB12" s="1">
        <f t="shared" si="7"/>
        <v>61.25</v>
      </c>
      <c r="AC12" s="1">
        <f t="shared" si="8"/>
        <v>105.6</v>
      </c>
      <c r="AD12" s="3">
        <f t="shared" si="9"/>
        <v>231.9</v>
      </c>
      <c r="AE12" s="3"/>
      <c r="AF12">
        <f t="shared" si="10"/>
        <v>166.85</v>
      </c>
      <c r="AT12" s="9"/>
    </row>
    <row r="13" spans="1:46" x14ac:dyDescent="0.35">
      <c r="A13">
        <f t="shared" si="0"/>
        <v>2</v>
      </c>
      <c r="B13" t="s">
        <v>45</v>
      </c>
      <c r="C13" t="s">
        <v>31</v>
      </c>
      <c r="D13">
        <v>25</v>
      </c>
      <c r="E13" t="s">
        <v>18</v>
      </c>
      <c r="F13">
        <v>500</v>
      </c>
      <c r="G13" s="14">
        <v>215000</v>
      </c>
      <c r="H13" s="15">
        <v>1412.67</v>
      </c>
      <c r="I13" s="14">
        <v>1828</v>
      </c>
      <c r="J13">
        <v>1</v>
      </c>
      <c r="K13">
        <v>0.23</v>
      </c>
      <c r="L13">
        <v>2.6</v>
      </c>
      <c r="M13">
        <v>3.3E-4</v>
      </c>
      <c r="N13">
        <v>3.5000000000000003E-2</v>
      </c>
      <c r="O13">
        <v>1</v>
      </c>
      <c r="P13">
        <v>0</v>
      </c>
      <c r="Q13">
        <v>0</v>
      </c>
      <c r="R13">
        <v>1</v>
      </c>
      <c r="S13" s="14">
        <v>9.1650000000000005E-5</v>
      </c>
      <c r="T13">
        <v>0</v>
      </c>
      <c r="U13">
        <v>4</v>
      </c>
      <c r="V13" s="1">
        <v>39.5</v>
      </c>
      <c r="W13">
        <v>18.100000000000001</v>
      </c>
      <c r="X13" s="8" t="s">
        <v>44</v>
      </c>
      <c r="Y13" s="1">
        <f t="shared" si="1"/>
        <v>39.5</v>
      </c>
      <c r="Z13" s="1">
        <f t="shared" si="2"/>
        <v>18.100000000000001</v>
      </c>
      <c r="AA13" s="13">
        <v>0.5</v>
      </c>
      <c r="AB13" s="1">
        <f t="shared" si="7"/>
        <v>19.75</v>
      </c>
      <c r="AC13" s="1">
        <f t="shared" si="8"/>
        <v>37.85</v>
      </c>
      <c r="AD13" s="3">
        <f t="shared" si="9"/>
        <v>80.475000000000009</v>
      </c>
      <c r="AE13" s="3"/>
      <c r="AF13">
        <f t="shared" si="10"/>
        <v>57.6</v>
      </c>
      <c r="AT13" s="9"/>
    </row>
    <row r="14" spans="1:46" x14ac:dyDescent="0.35">
      <c r="A14">
        <f t="shared" si="0"/>
        <v>2</v>
      </c>
      <c r="B14" t="s">
        <v>45</v>
      </c>
      <c r="C14" t="s">
        <v>46</v>
      </c>
      <c r="D14">
        <v>25</v>
      </c>
      <c r="E14" t="s">
        <v>18</v>
      </c>
      <c r="F14">
        <v>500</v>
      </c>
      <c r="G14" s="14">
        <v>215000</v>
      </c>
      <c r="H14" s="15">
        <v>1412.67</v>
      </c>
      <c r="I14" s="14">
        <v>1828</v>
      </c>
      <c r="J14">
        <v>1</v>
      </c>
      <c r="K14">
        <v>0.23</v>
      </c>
      <c r="L14">
        <v>2.6</v>
      </c>
      <c r="M14">
        <v>2.0999999999999999E-3</v>
      </c>
      <c r="N14">
        <v>0.06</v>
      </c>
      <c r="O14">
        <v>1</v>
      </c>
      <c r="P14">
        <v>0</v>
      </c>
      <c r="Q14">
        <v>0</v>
      </c>
      <c r="R14">
        <v>1</v>
      </c>
      <c r="S14" s="14">
        <v>9.1650000000000005E-5</v>
      </c>
      <c r="T14">
        <v>0</v>
      </c>
      <c r="U14">
        <v>2</v>
      </c>
      <c r="V14" s="1">
        <v>102.5</v>
      </c>
      <c r="W14">
        <v>41.5</v>
      </c>
      <c r="X14" s="8">
        <v>0</v>
      </c>
      <c r="Y14" s="1">
        <f t="shared" si="1"/>
        <v>102.5</v>
      </c>
      <c r="Z14" s="1">
        <f t="shared" si="2"/>
        <v>41.5</v>
      </c>
      <c r="AA14" s="11">
        <v>0.5</v>
      </c>
      <c r="AB14" s="1">
        <f t="shared" ref="AB14:AB18" si="11">Y14*(1-AA14)</f>
        <v>51.25</v>
      </c>
      <c r="AC14" s="1">
        <f t="shared" ref="AC14:AC18" si="12">Y14*AA14 + Z14</f>
        <v>92.75</v>
      </c>
      <c r="AD14" s="3">
        <f t="shared" ref="AD14:AD18" si="13">1.35*Y14+1.5*Z14</f>
        <v>200.625</v>
      </c>
      <c r="AE14" s="3"/>
      <c r="AF14">
        <f t="shared" ref="AF14:AF18" si="14">AB14+AC14</f>
        <v>144</v>
      </c>
      <c r="AT14" s="9"/>
    </row>
    <row r="15" spans="1:46" x14ac:dyDescent="0.35">
      <c r="A15">
        <f t="shared" si="0"/>
        <v>2</v>
      </c>
      <c r="B15" t="s">
        <v>45</v>
      </c>
      <c r="C15" t="s">
        <v>47</v>
      </c>
      <c r="D15">
        <v>25</v>
      </c>
      <c r="E15" t="s">
        <v>18</v>
      </c>
      <c r="F15">
        <v>500</v>
      </c>
      <c r="G15" s="14">
        <v>215000</v>
      </c>
      <c r="H15" s="15">
        <v>1412.67</v>
      </c>
      <c r="I15" s="14">
        <v>1828</v>
      </c>
      <c r="J15">
        <v>1</v>
      </c>
      <c r="K15">
        <v>0.23</v>
      </c>
      <c r="L15">
        <v>2.6</v>
      </c>
      <c r="M15">
        <v>3.3E-4</v>
      </c>
      <c r="N15">
        <v>0.03</v>
      </c>
      <c r="O15">
        <v>1</v>
      </c>
      <c r="P15">
        <v>0</v>
      </c>
      <c r="Q15">
        <v>0</v>
      </c>
      <c r="R15">
        <v>1</v>
      </c>
      <c r="S15" s="14">
        <v>9.1650000000000005E-5</v>
      </c>
      <c r="T15">
        <v>0</v>
      </c>
      <c r="U15">
        <v>4</v>
      </c>
      <c r="V15" s="1">
        <v>31.7</v>
      </c>
      <c r="W15">
        <v>15.3</v>
      </c>
      <c r="X15" s="8" t="s">
        <v>44</v>
      </c>
      <c r="Y15" s="1">
        <f t="shared" si="1"/>
        <v>31.7</v>
      </c>
      <c r="Z15" s="1">
        <f t="shared" si="2"/>
        <v>15.3</v>
      </c>
      <c r="AA15" s="11">
        <v>0.5</v>
      </c>
      <c r="AB15" s="1">
        <f t="shared" si="11"/>
        <v>15.85</v>
      </c>
      <c r="AC15" s="1">
        <f t="shared" si="12"/>
        <v>31.15</v>
      </c>
      <c r="AD15" s="3">
        <f t="shared" si="13"/>
        <v>65.745000000000005</v>
      </c>
      <c r="AE15" s="3"/>
      <c r="AF15">
        <f t="shared" si="14"/>
        <v>47</v>
      </c>
      <c r="AT15" s="9"/>
    </row>
    <row r="16" spans="1:46" x14ac:dyDescent="0.35">
      <c r="A16">
        <f t="shared" si="0"/>
        <v>2</v>
      </c>
      <c r="B16" t="s">
        <v>45</v>
      </c>
      <c r="C16" t="s">
        <v>48</v>
      </c>
      <c r="D16">
        <v>25</v>
      </c>
      <c r="E16" t="s">
        <v>18</v>
      </c>
      <c r="F16">
        <v>500</v>
      </c>
      <c r="G16" s="14">
        <v>215000</v>
      </c>
      <c r="H16" s="15">
        <v>1412.67</v>
      </c>
      <c r="I16" s="14">
        <v>1828</v>
      </c>
      <c r="J16">
        <v>1</v>
      </c>
      <c r="K16">
        <v>0.23</v>
      </c>
      <c r="L16">
        <v>2.6</v>
      </c>
      <c r="M16">
        <v>1.8993E-3</v>
      </c>
      <c r="N16">
        <v>7.0000000000000007E-2</v>
      </c>
      <c r="O16">
        <v>1</v>
      </c>
      <c r="P16">
        <v>0</v>
      </c>
      <c r="Q16">
        <v>0</v>
      </c>
      <c r="R16">
        <v>1</v>
      </c>
      <c r="S16" s="14">
        <v>9.1650000000000005E-5</v>
      </c>
      <c r="T16">
        <v>0</v>
      </c>
      <c r="U16">
        <v>2</v>
      </c>
      <c r="V16" s="1">
        <v>105</v>
      </c>
      <c r="W16">
        <v>38</v>
      </c>
      <c r="X16" s="8">
        <v>0</v>
      </c>
      <c r="Y16" s="1">
        <f t="shared" si="1"/>
        <v>105</v>
      </c>
      <c r="Z16" s="1">
        <f t="shared" si="2"/>
        <v>38</v>
      </c>
      <c r="AA16" s="13">
        <v>0.25</v>
      </c>
      <c r="AB16" s="1">
        <f t="shared" si="11"/>
        <v>78.75</v>
      </c>
      <c r="AC16" s="1">
        <f t="shared" si="12"/>
        <v>64.25</v>
      </c>
      <c r="AD16" s="3">
        <f t="shared" si="13"/>
        <v>198.75</v>
      </c>
      <c r="AE16" s="3"/>
      <c r="AF16">
        <f t="shared" si="14"/>
        <v>143</v>
      </c>
      <c r="AT16" s="9"/>
    </row>
    <row r="17" spans="1:46" x14ac:dyDescent="0.35">
      <c r="A17">
        <f t="shared" si="0"/>
        <v>2</v>
      </c>
      <c r="B17" t="s">
        <v>45</v>
      </c>
      <c r="C17" t="s">
        <v>49</v>
      </c>
      <c r="D17">
        <v>25</v>
      </c>
      <c r="E17" t="s">
        <v>18</v>
      </c>
      <c r="F17">
        <v>500</v>
      </c>
      <c r="G17" s="14">
        <v>215000</v>
      </c>
      <c r="H17" s="15">
        <v>1412.67</v>
      </c>
      <c r="I17" s="14">
        <v>1828</v>
      </c>
      <c r="J17">
        <v>1</v>
      </c>
      <c r="K17">
        <v>0.23</v>
      </c>
      <c r="L17">
        <v>2.6</v>
      </c>
      <c r="M17">
        <v>1.3338E-3</v>
      </c>
      <c r="N17">
        <v>0.03</v>
      </c>
      <c r="O17">
        <v>1</v>
      </c>
      <c r="P17">
        <v>0</v>
      </c>
      <c r="Q17">
        <v>0</v>
      </c>
      <c r="R17">
        <v>1</v>
      </c>
      <c r="S17" s="14">
        <v>9.1650000000000005E-5</v>
      </c>
      <c r="T17">
        <v>0</v>
      </c>
      <c r="U17">
        <v>1</v>
      </c>
      <c r="V17" s="1">
        <v>40.4</v>
      </c>
      <c r="W17">
        <v>15.6</v>
      </c>
      <c r="X17" s="8" t="s">
        <v>44</v>
      </c>
      <c r="Y17" s="1">
        <f t="shared" si="1"/>
        <v>40.4</v>
      </c>
      <c r="Z17" s="1">
        <f t="shared" si="2"/>
        <v>15.6</v>
      </c>
      <c r="AA17" s="2">
        <v>0</v>
      </c>
      <c r="AB17" s="1">
        <f t="shared" si="11"/>
        <v>40.4</v>
      </c>
      <c r="AC17" s="1">
        <f t="shared" si="12"/>
        <v>15.6</v>
      </c>
      <c r="AD17" s="3">
        <f t="shared" si="13"/>
        <v>77.94</v>
      </c>
      <c r="AE17" s="3"/>
      <c r="AF17">
        <f t="shared" si="14"/>
        <v>56</v>
      </c>
      <c r="AT17" s="9"/>
    </row>
    <row r="18" spans="1:46" x14ac:dyDescent="0.35">
      <c r="A18">
        <f t="shared" si="0"/>
        <v>2</v>
      </c>
      <c r="B18" t="s">
        <v>45</v>
      </c>
      <c r="D18" s="5">
        <v>25</v>
      </c>
      <c r="E18" s="5" t="s">
        <v>18</v>
      </c>
      <c r="F18" s="5">
        <v>500</v>
      </c>
      <c r="G18" s="6">
        <v>220000</v>
      </c>
      <c r="H18" s="5">
        <v>1576</v>
      </c>
      <c r="I18" s="5">
        <v>1870</v>
      </c>
      <c r="J18" s="5">
        <v>1</v>
      </c>
      <c r="K18" s="5">
        <v>0.2</v>
      </c>
      <c r="L18" s="5">
        <v>2.2000000000000002</v>
      </c>
      <c r="M18" s="5">
        <v>1E-4</v>
      </c>
      <c r="N18" s="5">
        <v>0.03</v>
      </c>
      <c r="O18" s="5">
        <v>1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7">
        <v>0</v>
      </c>
      <c r="W18" s="7">
        <v>0</v>
      </c>
      <c r="X18" s="5" t="s">
        <v>44</v>
      </c>
      <c r="Y18" s="1">
        <f t="shared" si="1"/>
        <v>0</v>
      </c>
      <c r="Z18" s="1">
        <f t="shared" si="2"/>
        <v>0</v>
      </c>
      <c r="AA18" s="2"/>
      <c r="AB18" s="1">
        <f t="shared" si="11"/>
        <v>0</v>
      </c>
      <c r="AC18" s="1">
        <f t="shared" si="12"/>
        <v>0</v>
      </c>
      <c r="AD18" s="3">
        <f t="shared" si="13"/>
        <v>0</v>
      </c>
      <c r="AE18" s="3"/>
      <c r="AF18">
        <f t="shared" si="14"/>
        <v>0</v>
      </c>
      <c r="AT18" s="9"/>
    </row>
    <row r="19" spans="1:46" x14ac:dyDescent="0.35">
      <c r="A19">
        <f t="shared" si="0"/>
        <v>3</v>
      </c>
      <c r="B19" t="s">
        <v>50</v>
      </c>
      <c r="C19" t="s">
        <v>19</v>
      </c>
      <c r="D19" s="5">
        <v>25</v>
      </c>
      <c r="E19" s="5" t="s">
        <v>18</v>
      </c>
      <c r="F19" s="5">
        <v>500</v>
      </c>
      <c r="G19" s="6">
        <v>220000</v>
      </c>
      <c r="H19" s="5">
        <v>1576</v>
      </c>
      <c r="I19" s="5">
        <v>1870</v>
      </c>
      <c r="J19" s="5">
        <v>1</v>
      </c>
      <c r="K19" s="5">
        <v>0.2</v>
      </c>
      <c r="L19" s="5">
        <v>2.2000000000000002</v>
      </c>
      <c r="M19" s="5">
        <v>1E-4</v>
      </c>
      <c r="N19" s="5">
        <v>0.03</v>
      </c>
      <c r="O19" s="5">
        <v>1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7">
        <v>0</v>
      </c>
      <c r="W19" s="7">
        <v>0</v>
      </c>
      <c r="X19" s="5" t="s">
        <v>44</v>
      </c>
      <c r="Y19" s="1">
        <f t="shared" si="1"/>
        <v>0</v>
      </c>
      <c r="Z19" s="1">
        <f t="shared" si="2"/>
        <v>0</v>
      </c>
      <c r="AA19" s="4"/>
      <c r="AB19" s="1">
        <f t="shared" ref="AB19:AB29" si="15">Y19*(1-AA19)</f>
        <v>0</v>
      </c>
      <c r="AC19" s="1">
        <f t="shared" ref="AC19:AC29" si="16">Y19*AA19 + Z19</f>
        <v>0</v>
      </c>
      <c r="AD19" s="3">
        <f t="shared" ref="AD19:AD29" si="17">1.35*Y19+1.5*Z19</f>
        <v>0</v>
      </c>
      <c r="AE19" s="3"/>
      <c r="AF19">
        <f t="shared" ref="AF19:AF29" si="18">AB19+AC19</f>
        <v>0</v>
      </c>
      <c r="AT19" s="9"/>
    </row>
    <row r="20" spans="1:46" x14ac:dyDescent="0.35">
      <c r="A20">
        <f t="shared" si="0"/>
        <v>3</v>
      </c>
      <c r="B20" t="s">
        <v>50</v>
      </c>
      <c r="C20" t="s">
        <v>20</v>
      </c>
      <c r="D20">
        <v>25</v>
      </c>
      <c r="E20" t="s">
        <v>18</v>
      </c>
      <c r="F20">
        <v>500</v>
      </c>
      <c r="G20" s="14">
        <v>215000</v>
      </c>
      <c r="H20" s="15">
        <v>1412.67</v>
      </c>
      <c r="I20" s="14">
        <v>1828</v>
      </c>
      <c r="J20">
        <v>1</v>
      </c>
      <c r="K20">
        <v>0.2</v>
      </c>
      <c r="L20">
        <v>2.33</v>
      </c>
      <c r="M20">
        <v>1.1950000000000001E-3</v>
      </c>
      <c r="N20">
        <v>0.03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 s="1">
        <v>35.5</v>
      </c>
      <c r="W20">
        <v>16</v>
      </c>
      <c r="X20" s="8">
        <v>0</v>
      </c>
      <c r="Y20" s="1">
        <f t="shared" si="1"/>
        <v>35.5</v>
      </c>
      <c r="Z20" s="1">
        <f t="shared" si="2"/>
        <v>16</v>
      </c>
      <c r="AA20" s="2">
        <v>0</v>
      </c>
      <c r="AB20" s="1">
        <f t="shared" si="15"/>
        <v>35.5</v>
      </c>
      <c r="AC20" s="1">
        <f t="shared" si="16"/>
        <v>16</v>
      </c>
      <c r="AD20" s="3">
        <f t="shared" si="17"/>
        <v>71.925000000000011</v>
      </c>
      <c r="AE20" s="3"/>
      <c r="AF20">
        <f t="shared" si="18"/>
        <v>51.5</v>
      </c>
      <c r="AT20" s="9"/>
    </row>
    <row r="21" spans="1:46" x14ac:dyDescent="0.35">
      <c r="A21">
        <f t="shared" si="0"/>
        <v>3</v>
      </c>
      <c r="B21" t="s">
        <v>50</v>
      </c>
      <c r="C21" t="s">
        <v>23</v>
      </c>
      <c r="D21">
        <v>25</v>
      </c>
      <c r="E21" t="s">
        <v>18</v>
      </c>
      <c r="F21">
        <v>500</v>
      </c>
      <c r="G21" s="14">
        <v>215000</v>
      </c>
      <c r="H21" s="15">
        <v>1412.67</v>
      </c>
      <c r="I21" s="14">
        <v>1828</v>
      </c>
      <c r="J21">
        <v>1</v>
      </c>
      <c r="K21">
        <v>0.2</v>
      </c>
      <c r="L21">
        <v>2.33</v>
      </c>
      <c r="M21">
        <v>5.9881000000000008E-4</v>
      </c>
      <c r="N21">
        <v>0.03</v>
      </c>
      <c r="O21">
        <v>1</v>
      </c>
      <c r="P21">
        <v>0</v>
      </c>
      <c r="Q21">
        <v>0</v>
      </c>
      <c r="R21">
        <v>1</v>
      </c>
      <c r="S21" s="14">
        <v>9.1650000000000005E-5</v>
      </c>
      <c r="T21">
        <v>0</v>
      </c>
      <c r="U21">
        <v>1</v>
      </c>
      <c r="V21" s="1">
        <v>17</v>
      </c>
      <c r="W21">
        <v>11</v>
      </c>
      <c r="X21" s="8" t="s">
        <v>44</v>
      </c>
      <c r="Y21" s="1">
        <f t="shared" si="1"/>
        <v>17</v>
      </c>
      <c r="Z21" s="1">
        <f t="shared" si="2"/>
        <v>11</v>
      </c>
      <c r="AA21" s="2">
        <v>0</v>
      </c>
      <c r="AB21" s="1">
        <f t="shared" si="15"/>
        <v>17</v>
      </c>
      <c r="AC21" s="1">
        <f t="shared" si="16"/>
        <v>11</v>
      </c>
      <c r="AD21" s="3">
        <f t="shared" si="17"/>
        <v>39.450000000000003</v>
      </c>
      <c r="AE21" s="3"/>
      <c r="AF21">
        <f t="shared" si="18"/>
        <v>28</v>
      </c>
      <c r="AT21" s="9"/>
    </row>
    <row r="22" spans="1:46" ht="14" customHeight="1" x14ac:dyDescent="0.35">
      <c r="A22">
        <f t="shared" si="0"/>
        <v>3</v>
      </c>
      <c r="B22" t="s">
        <v>50</v>
      </c>
      <c r="C22" t="s">
        <v>24</v>
      </c>
      <c r="D22">
        <v>25</v>
      </c>
      <c r="E22" t="s">
        <v>18</v>
      </c>
      <c r="F22">
        <v>500</v>
      </c>
      <c r="G22" s="14">
        <v>215000</v>
      </c>
      <c r="H22" s="15">
        <v>1412.67</v>
      </c>
      <c r="I22" s="14">
        <v>1828</v>
      </c>
      <c r="J22">
        <v>1</v>
      </c>
      <c r="K22">
        <v>0.2</v>
      </c>
      <c r="L22">
        <v>2.33</v>
      </c>
      <c r="M22">
        <v>1.8500000000000001E-3</v>
      </c>
      <c r="N22">
        <v>0.03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 s="1">
        <v>80</v>
      </c>
      <c r="W22">
        <v>33</v>
      </c>
      <c r="X22" s="8">
        <v>0</v>
      </c>
      <c r="Y22" s="1">
        <f t="shared" si="1"/>
        <v>80</v>
      </c>
      <c r="Z22" s="1">
        <f t="shared" si="2"/>
        <v>33</v>
      </c>
      <c r="AA22" s="2">
        <v>0</v>
      </c>
      <c r="AB22" s="1">
        <f t="shared" si="15"/>
        <v>80</v>
      </c>
      <c r="AC22" s="1">
        <f t="shared" si="16"/>
        <v>33</v>
      </c>
      <c r="AD22" s="3">
        <f t="shared" si="17"/>
        <v>157.5</v>
      </c>
      <c r="AE22" s="3"/>
      <c r="AF22">
        <f t="shared" si="18"/>
        <v>113</v>
      </c>
      <c r="AT22" s="9"/>
    </row>
    <row r="23" spans="1:46" x14ac:dyDescent="0.35">
      <c r="A23">
        <f t="shared" si="0"/>
        <v>3</v>
      </c>
      <c r="B23" t="s">
        <v>50</v>
      </c>
      <c r="C23" t="s">
        <v>25</v>
      </c>
      <c r="D23">
        <v>25</v>
      </c>
      <c r="E23" t="s">
        <v>18</v>
      </c>
      <c r="F23">
        <v>500</v>
      </c>
      <c r="G23" s="14">
        <v>215000</v>
      </c>
      <c r="H23" s="15">
        <v>1412.67</v>
      </c>
      <c r="I23" s="14">
        <v>1828</v>
      </c>
      <c r="J23">
        <v>1</v>
      </c>
      <c r="K23">
        <v>0.2</v>
      </c>
      <c r="L23">
        <v>2.33</v>
      </c>
      <c r="M23">
        <v>8.9700000000000012E-4</v>
      </c>
      <c r="N23">
        <v>3.5000000000000003E-2</v>
      </c>
      <c r="O23">
        <v>1</v>
      </c>
      <c r="P23">
        <v>0</v>
      </c>
      <c r="Q23">
        <v>0</v>
      </c>
      <c r="R23">
        <v>1</v>
      </c>
      <c r="S23" s="14">
        <v>9.1650000000000005E-5</v>
      </c>
      <c r="T23">
        <v>0</v>
      </c>
      <c r="U23">
        <v>4</v>
      </c>
      <c r="V23" s="1">
        <v>36</v>
      </c>
      <c r="W23">
        <v>18.5</v>
      </c>
      <c r="X23" s="8" t="s">
        <v>44</v>
      </c>
      <c r="Y23" s="1">
        <f t="shared" si="1"/>
        <v>44.215000000000003</v>
      </c>
      <c r="Z23" s="1">
        <f t="shared" si="2"/>
        <v>21.754999999999999</v>
      </c>
      <c r="AA23" s="2">
        <v>0</v>
      </c>
      <c r="AB23" s="1">
        <f t="shared" si="15"/>
        <v>44.215000000000003</v>
      </c>
      <c r="AC23" s="1">
        <f t="shared" si="16"/>
        <v>21.754999999999999</v>
      </c>
      <c r="AD23" s="3">
        <f t="shared" si="17"/>
        <v>92.322750000000013</v>
      </c>
      <c r="AE23" s="3"/>
      <c r="AF23">
        <f t="shared" si="18"/>
        <v>65.97</v>
      </c>
      <c r="AT23" s="9"/>
    </row>
    <row r="24" spans="1:46" x14ac:dyDescent="0.35">
      <c r="A24">
        <f t="shared" si="0"/>
        <v>3</v>
      </c>
      <c r="B24" t="s">
        <v>50</v>
      </c>
      <c r="C24" t="s">
        <v>26</v>
      </c>
      <c r="D24">
        <v>25</v>
      </c>
      <c r="E24" t="s">
        <v>18</v>
      </c>
      <c r="F24">
        <v>500</v>
      </c>
      <c r="G24" s="14">
        <v>215000</v>
      </c>
      <c r="H24" s="15">
        <v>1412.67</v>
      </c>
      <c r="I24" s="14">
        <v>1828</v>
      </c>
      <c r="J24">
        <v>1</v>
      </c>
      <c r="K24">
        <v>0.2</v>
      </c>
      <c r="L24">
        <v>2.33</v>
      </c>
      <c r="M24">
        <v>2.0950000000000001E-3</v>
      </c>
      <c r="N24">
        <v>5.2999999999999999E-2</v>
      </c>
      <c r="O24">
        <v>1</v>
      </c>
      <c r="P24">
        <v>0</v>
      </c>
      <c r="Q24">
        <v>0</v>
      </c>
      <c r="R24">
        <v>1</v>
      </c>
      <c r="S24" s="14">
        <v>9.1650000000000005E-5</v>
      </c>
      <c r="T24">
        <v>0</v>
      </c>
      <c r="U24">
        <v>2</v>
      </c>
      <c r="V24" s="1">
        <v>106</v>
      </c>
      <c r="W24">
        <v>42</v>
      </c>
      <c r="X24" s="8">
        <v>-0.155</v>
      </c>
      <c r="Y24" s="1">
        <f t="shared" si="1"/>
        <v>89.57</v>
      </c>
      <c r="Z24" s="1">
        <f t="shared" si="2"/>
        <v>35.49</v>
      </c>
      <c r="AA24" s="2">
        <v>0</v>
      </c>
      <c r="AB24" s="1">
        <f t="shared" si="15"/>
        <v>89.57</v>
      </c>
      <c r="AC24" s="1">
        <f t="shared" si="16"/>
        <v>35.49</v>
      </c>
      <c r="AD24" s="3">
        <f t="shared" si="17"/>
        <v>174.15449999999998</v>
      </c>
      <c r="AE24" s="3"/>
      <c r="AF24">
        <f t="shared" si="18"/>
        <v>125.06</v>
      </c>
      <c r="AT24" s="9"/>
    </row>
    <row r="25" spans="1:46" x14ac:dyDescent="0.35">
      <c r="A25">
        <f t="shared" si="0"/>
        <v>3</v>
      </c>
      <c r="B25" t="s">
        <v>50</v>
      </c>
      <c r="C25" t="s">
        <v>27</v>
      </c>
      <c r="D25">
        <v>25</v>
      </c>
      <c r="E25" t="s">
        <v>18</v>
      </c>
      <c r="F25">
        <v>500</v>
      </c>
      <c r="G25" s="14">
        <v>215000</v>
      </c>
      <c r="H25" s="15">
        <v>1412.67</v>
      </c>
      <c r="I25" s="14">
        <v>1828</v>
      </c>
      <c r="J25">
        <v>1</v>
      </c>
      <c r="K25">
        <v>0.2</v>
      </c>
      <c r="L25">
        <v>2.33</v>
      </c>
      <c r="M25">
        <v>9.0000000000000008E-4</v>
      </c>
      <c r="N25">
        <v>0.03</v>
      </c>
      <c r="O25">
        <v>1</v>
      </c>
      <c r="P25">
        <v>0</v>
      </c>
      <c r="Q25">
        <v>0</v>
      </c>
      <c r="R25">
        <v>1</v>
      </c>
      <c r="S25" s="14">
        <v>9.1650000000000005E-5</v>
      </c>
      <c r="T25">
        <v>0</v>
      </c>
      <c r="U25">
        <v>4</v>
      </c>
      <c r="V25" s="1">
        <v>32.799999999999997</v>
      </c>
      <c r="W25">
        <v>18.2</v>
      </c>
      <c r="X25" s="8" t="s">
        <v>44</v>
      </c>
      <c r="Y25" s="1">
        <f t="shared" si="1"/>
        <v>38.702500000000001</v>
      </c>
      <c r="Z25" s="1">
        <f t="shared" si="2"/>
        <v>20.517499999999998</v>
      </c>
      <c r="AA25" s="2">
        <v>0</v>
      </c>
      <c r="AB25" s="1">
        <f t="shared" si="15"/>
        <v>38.702500000000001</v>
      </c>
      <c r="AC25" s="1">
        <f t="shared" si="16"/>
        <v>20.517499999999998</v>
      </c>
      <c r="AD25" s="3">
        <f t="shared" si="17"/>
        <v>83.024625</v>
      </c>
      <c r="AE25" s="3"/>
      <c r="AF25">
        <f t="shared" si="18"/>
        <v>59.22</v>
      </c>
      <c r="AT25" s="9"/>
    </row>
    <row r="26" spans="1:46" x14ac:dyDescent="0.35">
      <c r="A26">
        <f t="shared" si="0"/>
        <v>3</v>
      </c>
      <c r="B26" t="s">
        <v>50</v>
      </c>
      <c r="C26" t="s">
        <v>28</v>
      </c>
      <c r="D26">
        <v>25</v>
      </c>
      <c r="E26" t="s">
        <v>18</v>
      </c>
      <c r="F26">
        <v>500</v>
      </c>
      <c r="G26" s="14">
        <v>215000</v>
      </c>
      <c r="H26" s="15">
        <v>1412.67</v>
      </c>
      <c r="I26" s="14">
        <v>1828</v>
      </c>
      <c r="J26">
        <v>1</v>
      </c>
      <c r="K26">
        <v>0.2</v>
      </c>
      <c r="L26">
        <v>2.33</v>
      </c>
      <c r="M26">
        <v>2.3900000000000002E-3</v>
      </c>
      <c r="N26">
        <v>0.03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 s="1">
        <v>92.5</v>
      </c>
      <c r="W26">
        <v>37.5</v>
      </c>
      <c r="X26" s="8">
        <v>0.05</v>
      </c>
      <c r="Y26" s="1">
        <f t="shared" si="1"/>
        <v>97.125</v>
      </c>
      <c r="Z26" s="1">
        <f t="shared" si="2"/>
        <v>39.375</v>
      </c>
      <c r="AA26" s="2">
        <v>0</v>
      </c>
      <c r="AB26" s="1">
        <f t="shared" si="15"/>
        <v>97.125</v>
      </c>
      <c r="AC26" s="1">
        <f t="shared" si="16"/>
        <v>39.375</v>
      </c>
      <c r="AD26" s="3">
        <f t="shared" si="17"/>
        <v>190.18125000000001</v>
      </c>
      <c r="AE26" s="3"/>
      <c r="AF26">
        <f t="shared" si="18"/>
        <v>136.5</v>
      </c>
      <c r="AT26" s="9"/>
    </row>
    <row r="27" spans="1:46" x14ac:dyDescent="0.35">
      <c r="A27">
        <f t="shared" si="0"/>
        <v>3</v>
      </c>
      <c r="B27" t="s">
        <v>50</v>
      </c>
      <c r="C27" t="s">
        <v>29</v>
      </c>
      <c r="D27">
        <v>25</v>
      </c>
      <c r="E27" t="s">
        <v>18</v>
      </c>
      <c r="F27">
        <v>500</v>
      </c>
      <c r="G27" s="14">
        <v>215000</v>
      </c>
      <c r="H27" s="15">
        <v>1412.67</v>
      </c>
      <c r="I27" s="14">
        <v>1828</v>
      </c>
      <c r="J27">
        <v>1</v>
      </c>
      <c r="K27">
        <v>0.2</v>
      </c>
      <c r="L27">
        <v>2.33</v>
      </c>
      <c r="M27">
        <v>9.0000000000000008E-4</v>
      </c>
      <c r="N27">
        <v>0.03</v>
      </c>
      <c r="O27">
        <v>1</v>
      </c>
      <c r="P27">
        <v>0</v>
      </c>
      <c r="Q27">
        <v>0</v>
      </c>
      <c r="R27">
        <v>1</v>
      </c>
      <c r="S27" s="14">
        <v>9.1650000000000005E-5</v>
      </c>
      <c r="T27">
        <v>0</v>
      </c>
      <c r="U27">
        <v>2</v>
      </c>
      <c r="V27" s="1">
        <v>28</v>
      </c>
      <c r="W27">
        <v>14.3</v>
      </c>
      <c r="X27" s="8" t="s">
        <v>44</v>
      </c>
      <c r="Y27" s="1">
        <f t="shared" si="1"/>
        <v>25.6875</v>
      </c>
      <c r="Z27" s="1">
        <f t="shared" si="2"/>
        <v>13.362500000000001</v>
      </c>
      <c r="AA27" s="2">
        <v>0</v>
      </c>
      <c r="AB27" s="1">
        <f t="shared" si="15"/>
        <v>25.6875</v>
      </c>
      <c r="AC27" s="1">
        <f t="shared" si="16"/>
        <v>13.362500000000001</v>
      </c>
      <c r="AD27" s="3">
        <f t="shared" si="17"/>
        <v>54.721875000000004</v>
      </c>
      <c r="AE27" s="3"/>
      <c r="AF27">
        <f t="shared" si="18"/>
        <v>39.049999999999997</v>
      </c>
      <c r="AT27" s="9"/>
    </row>
    <row r="28" spans="1:46" x14ac:dyDescent="0.35">
      <c r="A28">
        <f t="shared" si="0"/>
        <v>3</v>
      </c>
      <c r="B28" t="s">
        <v>50</v>
      </c>
      <c r="D28" s="5">
        <v>25</v>
      </c>
      <c r="E28" s="5" t="s">
        <v>18</v>
      </c>
      <c r="F28" s="5">
        <v>500</v>
      </c>
      <c r="G28" s="6">
        <v>220000</v>
      </c>
      <c r="H28" s="5">
        <v>1576</v>
      </c>
      <c r="I28" s="5">
        <v>1870</v>
      </c>
      <c r="J28" s="5">
        <v>1</v>
      </c>
      <c r="K28" s="5">
        <v>0.2</v>
      </c>
      <c r="L28" s="5">
        <v>2.2000000000000002</v>
      </c>
      <c r="M28" s="5">
        <v>1</v>
      </c>
      <c r="N28" s="5">
        <v>0.03</v>
      </c>
      <c r="O28" s="5">
        <v>1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0</v>
      </c>
      <c r="V28" s="7">
        <v>0</v>
      </c>
      <c r="W28" s="7">
        <v>0</v>
      </c>
      <c r="X28" s="5" t="s">
        <v>44</v>
      </c>
      <c r="Y28" s="1">
        <f t="shared" si="1"/>
        <v>0</v>
      </c>
      <c r="Z28" s="1">
        <f t="shared" si="2"/>
        <v>0</v>
      </c>
      <c r="AA28" s="4"/>
      <c r="AB28" s="1">
        <f t="shared" si="15"/>
        <v>0</v>
      </c>
      <c r="AC28" s="1">
        <f t="shared" si="16"/>
        <v>0</v>
      </c>
      <c r="AD28" s="3">
        <f t="shared" si="17"/>
        <v>0</v>
      </c>
      <c r="AE28" s="3"/>
      <c r="AF28">
        <f t="shared" si="18"/>
        <v>0</v>
      </c>
      <c r="AT28" s="9"/>
    </row>
    <row r="29" spans="1:46" x14ac:dyDescent="0.35">
      <c r="A29">
        <f t="shared" si="0"/>
        <v>4</v>
      </c>
      <c r="B29" t="s">
        <v>51</v>
      </c>
      <c r="C29" t="s">
        <v>19</v>
      </c>
      <c r="D29">
        <v>25</v>
      </c>
      <c r="E29" t="s">
        <v>18</v>
      </c>
      <c r="F29">
        <v>500</v>
      </c>
      <c r="G29" s="14">
        <v>215000</v>
      </c>
      <c r="H29" s="15">
        <v>1412.67</v>
      </c>
      <c r="I29" s="14">
        <v>1828</v>
      </c>
      <c r="J29">
        <v>1</v>
      </c>
      <c r="K29">
        <v>0.23</v>
      </c>
      <c r="L29">
        <v>2.33</v>
      </c>
      <c r="M29">
        <v>9.0000000000000008E-4</v>
      </c>
      <c r="N29">
        <v>0.03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 s="1">
        <v>7.7</v>
      </c>
      <c r="W29">
        <v>3</v>
      </c>
      <c r="X29" s="8" t="s">
        <v>44</v>
      </c>
      <c r="Y29" s="1">
        <f t="shared" si="1"/>
        <v>7.7</v>
      </c>
      <c r="Z29" s="1">
        <f t="shared" si="2"/>
        <v>3</v>
      </c>
      <c r="AA29" s="4">
        <v>0</v>
      </c>
      <c r="AB29" s="1">
        <f t="shared" si="15"/>
        <v>7.7</v>
      </c>
      <c r="AC29" s="1">
        <f t="shared" si="16"/>
        <v>3</v>
      </c>
      <c r="AD29" s="3">
        <f t="shared" si="17"/>
        <v>14.895000000000001</v>
      </c>
      <c r="AE29" s="3"/>
      <c r="AF29">
        <f t="shared" si="18"/>
        <v>10.7</v>
      </c>
      <c r="AT29" s="9"/>
    </row>
    <row r="30" spans="1:46" x14ac:dyDescent="0.35">
      <c r="A30">
        <f t="shared" si="0"/>
        <v>4</v>
      </c>
      <c r="B30" t="s">
        <v>51</v>
      </c>
      <c r="C30" t="s">
        <v>20</v>
      </c>
      <c r="D30">
        <v>25</v>
      </c>
      <c r="E30" t="s">
        <v>18</v>
      </c>
      <c r="F30">
        <v>500</v>
      </c>
      <c r="G30" s="14">
        <v>215000</v>
      </c>
      <c r="H30" s="15">
        <v>1412.67</v>
      </c>
      <c r="I30" s="14">
        <v>1828</v>
      </c>
      <c r="J30">
        <v>1</v>
      </c>
      <c r="K30">
        <v>0.23</v>
      </c>
      <c r="L30">
        <v>2.33</v>
      </c>
      <c r="M30">
        <v>1.1999999999999999E-3</v>
      </c>
      <c r="N30">
        <v>0.06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 s="1">
        <v>11</v>
      </c>
      <c r="W30">
        <v>8</v>
      </c>
      <c r="X30" s="8">
        <v>0</v>
      </c>
      <c r="Y30" s="1">
        <f t="shared" si="1"/>
        <v>11</v>
      </c>
      <c r="Z30" s="1">
        <f t="shared" si="2"/>
        <v>8</v>
      </c>
      <c r="AA30" s="4">
        <v>0</v>
      </c>
      <c r="AB30" s="1">
        <f t="shared" ref="AB30" si="19">Y30*(1-AA30)</f>
        <v>11</v>
      </c>
      <c r="AC30" s="1">
        <f t="shared" ref="AC30" si="20">Y30*AA30 + Z30</f>
        <v>8</v>
      </c>
      <c r="AD30" s="3">
        <f t="shared" ref="AD30" si="21">1.35*Y30+1.5*Z30</f>
        <v>26.85</v>
      </c>
      <c r="AE30" s="3"/>
      <c r="AF30">
        <f t="shared" ref="AF30" si="22">AB30+AC30</f>
        <v>19</v>
      </c>
      <c r="AT30" s="9"/>
    </row>
    <row r="31" spans="1:46" x14ac:dyDescent="0.35">
      <c r="A31">
        <f t="shared" si="0"/>
        <v>4</v>
      </c>
      <c r="B31" t="s">
        <v>51</v>
      </c>
      <c r="C31" t="s">
        <v>23</v>
      </c>
      <c r="D31">
        <v>25</v>
      </c>
      <c r="E31" t="s">
        <v>18</v>
      </c>
      <c r="F31">
        <v>500</v>
      </c>
      <c r="G31" s="14">
        <v>215000</v>
      </c>
      <c r="H31" s="15">
        <v>1412.67</v>
      </c>
      <c r="I31" s="14">
        <v>1828</v>
      </c>
      <c r="J31">
        <v>1</v>
      </c>
      <c r="K31">
        <v>0.23</v>
      </c>
      <c r="L31">
        <v>2.33</v>
      </c>
      <c r="M31">
        <v>6.0000000000000006E-4</v>
      </c>
      <c r="N31">
        <v>0.03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 s="1">
        <v>8</v>
      </c>
      <c r="W31">
        <v>6.5</v>
      </c>
      <c r="X31" s="8" t="s">
        <v>44</v>
      </c>
      <c r="Y31" s="1">
        <f t="shared" si="1"/>
        <v>8</v>
      </c>
      <c r="Z31" s="1">
        <f t="shared" si="2"/>
        <v>6.5</v>
      </c>
      <c r="AA31" s="4">
        <v>0</v>
      </c>
      <c r="AB31" s="1">
        <f t="shared" ref="AB31:AB42" si="23">Y31*(1-AA31)</f>
        <v>8</v>
      </c>
      <c r="AC31" s="1">
        <f t="shared" ref="AC31:AC42" si="24">Y31*AA31 + Z31</f>
        <v>6.5</v>
      </c>
      <c r="AD31" s="3">
        <f t="shared" ref="AD31:AD42" si="25">1.35*Y31+1.5*Z31</f>
        <v>20.55</v>
      </c>
      <c r="AE31" s="3"/>
      <c r="AF31">
        <f t="shared" ref="AF31:AF42" si="26">AB31+AC31</f>
        <v>14.5</v>
      </c>
      <c r="AT31" s="9"/>
    </row>
    <row r="32" spans="1:46" x14ac:dyDescent="0.35">
      <c r="A32">
        <f t="shared" si="0"/>
        <v>4</v>
      </c>
      <c r="B32" t="s">
        <v>51</v>
      </c>
      <c r="C32" t="s">
        <v>24</v>
      </c>
      <c r="D32">
        <v>25</v>
      </c>
      <c r="E32" t="s">
        <v>18</v>
      </c>
      <c r="F32">
        <v>500</v>
      </c>
      <c r="G32" s="14">
        <v>215000</v>
      </c>
      <c r="H32" s="15">
        <v>1412.67</v>
      </c>
      <c r="I32" s="14">
        <v>1828</v>
      </c>
      <c r="J32">
        <v>1</v>
      </c>
      <c r="K32">
        <v>0.23</v>
      </c>
      <c r="L32">
        <v>2.33</v>
      </c>
      <c r="M32">
        <v>1.1720000000000001E-3</v>
      </c>
      <c r="N32">
        <v>0.06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 s="1">
        <v>36</v>
      </c>
      <c r="W32">
        <v>18.5</v>
      </c>
      <c r="X32" s="8">
        <v>0</v>
      </c>
      <c r="Y32" s="1">
        <f t="shared" si="1"/>
        <v>36</v>
      </c>
      <c r="Z32" s="1">
        <f t="shared" si="2"/>
        <v>18.5</v>
      </c>
      <c r="AA32" s="4">
        <v>0</v>
      </c>
      <c r="AB32" s="1">
        <f t="shared" si="23"/>
        <v>36</v>
      </c>
      <c r="AC32" s="1">
        <f t="shared" si="24"/>
        <v>18.5</v>
      </c>
      <c r="AD32" s="3">
        <f t="shared" si="25"/>
        <v>76.349999999999994</v>
      </c>
      <c r="AE32" s="3"/>
      <c r="AF32">
        <f t="shared" si="26"/>
        <v>54.5</v>
      </c>
      <c r="AT32" s="9"/>
    </row>
    <row r="33" spans="1:46" x14ac:dyDescent="0.35">
      <c r="A33">
        <f t="shared" si="0"/>
        <v>4</v>
      </c>
      <c r="B33" t="s">
        <v>51</v>
      </c>
      <c r="C33" t="s">
        <v>25</v>
      </c>
      <c r="D33">
        <v>25</v>
      </c>
      <c r="E33" t="s">
        <v>18</v>
      </c>
      <c r="F33">
        <v>500</v>
      </c>
      <c r="G33" s="14">
        <v>215000</v>
      </c>
      <c r="H33" s="15">
        <v>1412.67</v>
      </c>
      <c r="I33" s="14">
        <v>1828</v>
      </c>
      <c r="J33">
        <v>1</v>
      </c>
      <c r="K33">
        <v>0.23</v>
      </c>
      <c r="L33">
        <v>2.33</v>
      </c>
      <c r="M33">
        <v>9.0000000000000008E-4</v>
      </c>
      <c r="N33">
        <v>0.03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 s="1">
        <v>24</v>
      </c>
      <c r="W33">
        <v>13.3</v>
      </c>
      <c r="X33" s="8" t="s">
        <v>44</v>
      </c>
      <c r="Y33" s="1">
        <f t="shared" si="1"/>
        <v>24</v>
      </c>
      <c r="Z33" s="1">
        <f t="shared" si="2"/>
        <v>13.3</v>
      </c>
      <c r="AA33" s="4">
        <v>0</v>
      </c>
      <c r="AB33" s="1">
        <f t="shared" si="23"/>
        <v>24</v>
      </c>
      <c r="AC33" s="1">
        <f t="shared" si="24"/>
        <v>13.3</v>
      </c>
      <c r="AD33" s="3">
        <f t="shared" si="25"/>
        <v>52.350000000000009</v>
      </c>
      <c r="AE33" s="3"/>
      <c r="AF33">
        <f t="shared" si="26"/>
        <v>37.299999999999997</v>
      </c>
      <c r="AT33" s="9"/>
    </row>
    <row r="34" spans="1:46" x14ac:dyDescent="0.35">
      <c r="A34">
        <f t="shared" si="0"/>
        <v>4</v>
      </c>
      <c r="B34" t="s">
        <v>51</v>
      </c>
      <c r="C34" t="s">
        <v>26</v>
      </c>
      <c r="D34">
        <v>25</v>
      </c>
      <c r="E34" t="s">
        <v>18</v>
      </c>
      <c r="F34">
        <v>500</v>
      </c>
      <c r="G34" s="14">
        <v>215000</v>
      </c>
      <c r="H34" s="15">
        <v>1412.67</v>
      </c>
      <c r="I34" s="14">
        <v>1828</v>
      </c>
      <c r="J34">
        <v>1</v>
      </c>
      <c r="K34">
        <v>0.23</v>
      </c>
      <c r="L34">
        <v>2.33</v>
      </c>
      <c r="M34">
        <v>1.47E-3</v>
      </c>
      <c r="N34">
        <v>0.06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 s="1">
        <v>47.5</v>
      </c>
      <c r="W34">
        <v>23</v>
      </c>
      <c r="X34" s="8">
        <v>0</v>
      </c>
      <c r="Y34" s="1">
        <f t="shared" si="1"/>
        <v>47.5</v>
      </c>
      <c r="Z34" s="1">
        <f t="shared" si="2"/>
        <v>23</v>
      </c>
      <c r="AA34" s="4">
        <v>0</v>
      </c>
      <c r="AB34" s="1">
        <f t="shared" si="23"/>
        <v>47.5</v>
      </c>
      <c r="AC34" s="1">
        <f t="shared" si="24"/>
        <v>23</v>
      </c>
      <c r="AD34" s="3">
        <f t="shared" si="25"/>
        <v>98.625</v>
      </c>
      <c r="AE34" s="3"/>
      <c r="AF34">
        <f t="shared" si="26"/>
        <v>70.5</v>
      </c>
      <c r="AT34" s="9"/>
    </row>
    <row r="35" spans="1:46" x14ac:dyDescent="0.35">
      <c r="A35">
        <f t="shared" si="0"/>
        <v>4</v>
      </c>
      <c r="B35" t="s">
        <v>51</v>
      </c>
      <c r="C35" t="s">
        <v>27</v>
      </c>
      <c r="D35">
        <v>25</v>
      </c>
      <c r="E35" t="s">
        <v>18</v>
      </c>
      <c r="F35">
        <v>500</v>
      </c>
      <c r="G35" s="14">
        <v>215000</v>
      </c>
      <c r="H35" s="15">
        <v>1412.67</v>
      </c>
      <c r="I35" s="14">
        <v>1828</v>
      </c>
      <c r="J35">
        <v>1</v>
      </c>
      <c r="K35">
        <v>0.23</v>
      </c>
      <c r="L35">
        <v>2.33</v>
      </c>
      <c r="M35">
        <v>9.0000000000000008E-4</v>
      </c>
      <c r="N35">
        <v>0.03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 s="1">
        <v>22</v>
      </c>
      <c r="W35">
        <v>13.8</v>
      </c>
      <c r="X35" s="8" t="s">
        <v>44</v>
      </c>
      <c r="Y35" s="1">
        <f t="shared" si="1"/>
        <v>22</v>
      </c>
      <c r="Z35" s="1">
        <f t="shared" si="2"/>
        <v>13.8</v>
      </c>
      <c r="AA35" s="4">
        <v>0</v>
      </c>
      <c r="AB35" s="1">
        <f t="shared" si="23"/>
        <v>22</v>
      </c>
      <c r="AC35" s="1">
        <f t="shared" si="24"/>
        <v>13.8</v>
      </c>
      <c r="AD35" s="3">
        <f t="shared" si="25"/>
        <v>50.400000000000006</v>
      </c>
      <c r="AE35" s="3"/>
      <c r="AF35">
        <f t="shared" si="26"/>
        <v>35.799999999999997</v>
      </c>
      <c r="AT35" s="9"/>
    </row>
    <row r="36" spans="1:46" x14ac:dyDescent="0.35">
      <c r="A36">
        <f t="shared" si="0"/>
        <v>4</v>
      </c>
      <c r="B36" t="s">
        <v>51</v>
      </c>
      <c r="C36" t="s">
        <v>28</v>
      </c>
      <c r="D36">
        <v>25</v>
      </c>
      <c r="E36" t="s">
        <v>18</v>
      </c>
      <c r="F36">
        <v>500</v>
      </c>
      <c r="G36" s="14">
        <v>215000</v>
      </c>
      <c r="H36" s="15">
        <v>1412.67</v>
      </c>
      <c r="I36" s="14">
        <v>1828</v>
      </c>
      <c r="J36">
        <v>1</v>
      </c>
      <c r="K36">
        <v>0.23</v>
      </c>
      <c r="L36">
        <v>2.33</v>
      </c>
      <c r="M36">
        <v>1.47E-3</v>
      </c>
      <c r="N36">
        <v>0.06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 s="1">
        <v>35.5</v>
      </c>
      <c r="W36">
        <v>19</v>
      </c>
      <c r="X36" s="8">
        <v>0</v>
      </c>
      <c r="Y36" s="1">
        <f t="shared" si="1"/>
        <v>35.5</v>
      </c>
      <c r="Z36" s="1">
        <f t="shared" si="2"/>
        <v>19</v>
      </c>
      <c r="AA36" s="4">
        <v>0</v>
      </c>
      <c r="AB36" s="1">
        <f t="shared" si="23"/>
        <v>35.5</v>
      </c>
      <c r="AC36" s="1">
        <f t="shared" si="24"/>
        <v>19</v>
      </c>
      <c r="AD36" s="3">
        <f t="shared" si="25"/>
        <v>76.425000000000011</v>
      </c>
      <c r="AE36" s="3"/>
      <c r="AF36">
        <f t="shared" si="26"/>
        <v>54.5</v>
      </c>
      <c r="AT36" s="9"/>
    </row>
    <row r="37" spans="1:46" x14ac:dyDescent="0.35">
      <c r="A37">
        <f t="shared" si="0"/>
        <v>4</v>
      </c>
      <c r="B37" t="s">
        <v>51</v>
      </c>
      <c r="C37" t="s">
        <v>29</v>
      </c>
      <c r="D37">
        <v>25</v>
      </c>
      <c r="E37" t="s">
        <v>18</v>
      </c>
      <c r="F37">
        <v>500</v>
      </c>
      <c r="G37" s="14">
        <v>215000</v>
      </c>
      <c r="H37" s="15">
        <v>1412.67</v>
      </c>
      <c r="I37" s="14">
        <v>1828</v>
      </c>
      <c r="J37">
        <v>1</v>
      </c>
      <c r="K37">
        <v>0.23</v>
      </c>
      <c r="L37">
        <v>2.33</v>
      </c>
      <c r="M37">
        <v>9.0000000000000008E-4</v>
      </c>
      <c r="N37">
        <v>0.03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 s="1">
        <v>15</v>
      </c>
      <c r="W37">
        <v>9.5</v>
      </c>
      <c r="X37" s="8" t="s">
        <v>44</v>
      </c>
      <c r="Y37" s="1">
        <f t="shared" si="1"/>
        <v>15</v>
      </c>
      <c r="Z37" s="1">
        <f t="shared" si="2"/>
        <v>9.5</v>
      </c>
      <c r="AA37" s="4">
        <v>0</v>
      </c>
      <c r="AB37" s="1">
        <f t="shared" si="23"/>
        <v>15</v>
      </c>
      <c r="AC37" s="1">
        <f t="shared" si="24"/>
        <v>9.5</v>
      </c>
      <c r="AD37" s="3">
        <f t="shared" si="25"/>
        <v>34.5</v>
      </c>
      <c r="AE37" s="3"/>
      <c r="AF37">
        <f t="shared" si="26"/>
        <v>24.5</v>
      </c>
      <c r="AT37" s="9"/>
    </row>
    <row r="38" spans="1:46" x14ac:dyDescent="0.35">
      <c r="A38">
        <f t="shared" si="0"/>
        <v>4</v>
      </c>
      <c r="B38" t="s">
        <v>51</v>
      </c>
      <c r="D38" s="5">
        <v>25</v>
      </c>
      <c r="E38" s="5" t="s">
        <v>18</v>
      </c>
      <c r="F38" s="5">
        <v>500</v>
      </c>
      <c r="G38" s="6">
        <v>220000</v>
      </c>
      <c r="H38" s="5">
        <v>1576</v>
      </c>
      <c r="I38" s="5">
        <v>1870</v>
      </c>
      <c r="J38" s="5">
        <v>1</v>
      </c>
      <c r="K38" s="5">
        <v>0.2</v>
      </c>
      <c r="L38" s="5">
        <v>2.2000000000000002</v>
      </c>
      <c r="M38" s="5">
        <v>1E-4</v>
      </c>
      <c r="N38" s="5">
        <v>0.03</v>
      </c>
      <c r="O38" s="5">
        <v>1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0</v>
      </c>
      <c r="V38" s="7">
        <v>0</v>
      </c>
      <c r="W38" s="7">
        <v>0</v>
      </c>
      <c r="X38" s="5" t="s">
        <v>44</v>
      </c>
      <c r="Y38" s="1">
        <f t="shared" si="1"/>
        <v>0</v>
      </c>
      <c r="Z38" s="1">
        <f t="shared" si="2"/>
        <v>0</v>
      </c>
      <c r="AA38" s="4"/>
      <c r="AB38" s="1">
        <f t="shared" si="23"/>
        <v>0</v>
      </c>
      <c r="AC38" s="1">
        <f t="shared" si="24"/>
        <v>0</v>
      </c>
      <c r="AD38" s="3">
        <f t="shared" si="25"/>
        <v>0</v>
      </c>
      <c r="AE38" s="3"/>
      <c r="AF38">
        <f t="shared" si="26"/>
        <v>0</v>
      </c>
      <c r="AT38" s="9"/>
    </row>
    <row r="39" spans="1:46" x14ac:dyDescent="0.35">
      <c r="A39">
        <f t="shared" si="0"/>
        <v>5</v>
      </c>
      <c r="B39" t="s">
        <v>52</v>
      </c>
      <c r="C39" t="s">
        <v>19</v>
      </c>
      <c r="D39">
        <v>25</v>
      </c>
      <c r="E39" t="s">
        <v>18</v>
      </c>
      <c r="F39">
        <v>500</v>
      </c>
      <c r="G39" s="14">
        <v>215000</v>
      </c>
      <c r="H39" s="15">
        <v>1412.67</v>
      </c>
      <c r="I39" s="14">
        <v>1828</v>
      </c>
      <c r="J39">
        <v>1</v>
      </c>
      <c r="K39">
        <v>0.2</v>
      </c>
      <c r="L39">
        <v>2.33</v>
      </c>
      <c r="M39">
        <v>9.0000000000000008E-4</v>
      </c>
      <c r="N39">
        <v>0.03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 s="1">
        <v>0</v>
      </c>
      <c r="W39">
        <v>2</v>
      </c>
      <c r="X39" s="8" t="s">
        <v>44</v>
      </c>
      <c r="Y39" s="1">
        <f t="shared" si="1"/>
        <v>0</v>
      </c>
      <c r="Z39" s="1">
        <f t="shared" si="2"/>
        <v>2</v>
      </c>
      <c r="AA39" s="4">
        <v>0</v>
      </c>
      <c r="AB39" s="1">
        <f t="shared" si="23"/>
        <v>0</v>
      </c>
      <c r="AC39" s="1">
        <f t="shared" si="24"/>
        <v>2</v>
      </c>
      <c r="AD39" s="3">
        <f t="shared" si="25"/>
        <v>3</v>
      </c>
      <c r="AE39" s="3"/>
      <c r="AF39">
        <f t="shared" si="26"/>
        <v>2</v>
      </c>
      <c r="AT39" s="9"/>
    </row>
    <row r="40" spans="1:46" x14ac:dyDescent="0.35">
      <c r="A40">
        <f t="shared" si="0"/>
        <v>5</v>
      </c>
      <c r="B40" t="s">
        <v>52</v>
      </c>
      <c r="C40" t="s">
        <v>20</v>
      </c>
      <c r="D40">
        <v>25</v>
      </c>
      <c r="E40" t="s">
        <v>18</v>
      </c>
      <c r="F40">
        <v>500</v>
      </c>
      <c r="G40" s="14">
        <v>215000</v>
      </c>
      <c r="H40" s="15">
        <v>1412.67</v>
      </c>
      <c r="I40" s="14">
        <v>1828</v>
      </c>
      <c r="J40">
        <v>1</v>
      </c>
      <c r="K40">
        <v>0.2</v>
      </c>
      <c r="L40">
        <v>2.33</v>
      </c>
      <c r="M40">
        <v>3.8999999999999999E-4</v>
      </c>
      <c r="N40">
        <v>0.03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 s="1">
        <v>16</v>
      </c>
      <c r="W40">
        <v>8</v>
      </c>
      <c r="X40" s="8">
        <v>0</v>
      </c>
      <c r="Y40" s="1">
        <f t="shared" si="1"/>
        <v>16</v>
      </c>
      <c r="Z40" s="1">
        <f t="shared" si="2"/>
        <v>8</v>
      </c>
      <c r="AA40" s="4">
        <v>0</v>
      </c>
      <c r="AB40" s="1">
        <f t="shared" si="23"/>
        <v>16</v>
      </c>
      <c r="AC40" s="1">
        <f t="shared" si="24"/>
        <v>8</v>
      </c>
      <c r="AD40" s="3">
        <f t="shared" si="25"/>
        <v>33.6</v>
      </c>
      <c r="AE40" s="3"/>
      <c r="AF40">
        <f t="shared" si="26"/>
        <v>24</v>
      </c>
      <c r="AT40" s="9"/>
    </row>
    <row r="41" spans="1:46" x14ac:dyDescent="0.35">
      <c r="A41">
        <f t="shared" si="0"/>
        <v>5</v>
      </c>
      <c r="B41" t="s">
        <v>52</v>
      </c>
      <c r="C41" t="s">
        <v>23</v>
      </c>
      <c r="D41" s="5">
        <v>25</v>
      </c>
      <c r="E41" s="5" t="s">
        <v>18</v>
      </c>
      <c r="F41" s="5">
        <v>500</v>
      </c>
      <c r="G41" s="6">
        <v>220000</v>
      </c>
      <c r="H41" s="5">
        <v>1576</v>
      </c>
      <c r="I41" s="5">
        <v>1870</v>
      </c>
      <c r="J41" s="5">
        <v>1</v>
      </c>
      <c r="K41" s="5">
        <v>0.2</v>
      </c>
      <c r="L41" s="5">
        <v>2.2000000000000002</v>
      </c>
      <c r="M41" s="5">
        <v>1E-4</v>
      </c>
      <c r="N41" s="5">
        <v>0.03</v>
      </c>
      <c r="O41" s="5">
        <v>1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7">
        <v>0</v>
      </c>
      <c r="W41" s="7">
        <v>0</v>
      </c>
      <c r="X41" s="5" t="s">
        <v>44</v>
      </c>
      <c r="Y41" s="1">
        <f t="shared" si="1"/>
        <v>0</v>
      </c>
      <c r="Z41" s="1">
        <f t="shared" si="2"/>
        <v>0</v>
      </c>
      <c r="AA41" s="4"/>
      <c r="AB41" s="1">
        <f t="shared" si="23"/>
        <v>0</v>
      </c>
      <c r="AC41" s="1">
        <f t="shared" si="24"/>
        <v>0</v>
      </c>
      <c r="AD41" s="3">
        <f t="shared" si="25"/>
        <v>0</v>
      </c>
      <c r="AE41" s="3"/>
      <c r="AF41">
        <f t="shared" si="26"/>
        <v>0</v>
      </c>
      <c r="AT41" s="9"/>
    </row>
    <row r="42" spans="1:46" x14ac:dyDescent="0.35">
      <c r="A42">
        <f t="shared" si="0"/>
        <v>5</v>
      </c>
      <c r="B42" t="s">
        <v>52</v>
      </c>
      <c r="C42" t="s">
        <v>24</v>
      </c>
      <c r="D42">
        <v>25</v>
      </c>
      <c r="E42" t="s">
        <v>18</v>
      </c>
      <c r="F42">
        <v>500</v>
      </c>
      <c r="G42" s="14">
        <v>215000</v>
      </c>
      <c r="H42" s="15">
        <v>1412.67</v>
      </c>
      <c r="I42" s="14">
        <v>1828</v>
      </c>
      <c r="J42">
        <v>1</v>
      </c>
      <c r="K42">
        <v>0.2</v>
      </c>
      <c r="L42">
        <v>2.33</v>
      </c>
      <c r="M42">
        <v>2.4868300000000002E-3</v>
      </c>
      <c r="N42">
        <v>0.03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 s="1">
        <v>86</v>
      </c>
      <c r="W42">
        <v>30</v>
      </c>
      <c r="X42" s="8">
        <v>0</v>
      </c>
      <c r="Y42" s="1">
        <f t="shared" si="1"/>
        <v>86</v>
      </c>
      <c r="Z42" s="1">
        <f t="shared" si="2"/>
        <v>30</v>
      </c>
      <c r="AA42" s="4">
        <v>0</v>
      </c>
      <c r="AB42" s="1">
        <f t="shared" si="23"/>
        <v>86</v>
      </c>
      <c r="AC42" s="1">
        <f t="shared" si="24"/>
        <v>30</v>
      </c>
      <c r="AD42" s="3">
        <f t="shared" si="25"/>
        <v>161.10000000000002</v>
      </c>
      <c r="AE42" s="3"/>
      <c r="AF42">
        <f t="shared" si="26"/>
        <v>116</v>
      </c>
      <c r="AT42" s="9"/>
    </row>
    <row r="43" spans="1:46" x14ac:dyDescent="0.35">
      <c r="A43">
        <f t="shared" si="0"/>
        <v>5</v>
      </c>
      <c r="B43" t="s">
        <v>52</v>
      </c>
      <c r="C43" t="s">
        <v>25</v>
      </c>
      <c r="D43">
        <v>25</v>
      </c>
      <c r="E43" t="s">
        <v>18</v>
      </c>
      <c r="F43">
        <v>500</v>
      </c>
      <c r="G43" s="14">
        <v>215000</v>
      </c>
      <c r="H43" s="15">
        <v>1412.67</v>
      </c>
      <c r="I43" s="14">
        <v>1828</v>
      </c>
      <c r="J43">
        <v>1</v>
      </c>
      <c r="K43">
        <v>0.2</v>
      </c>
      <c r="L43">
        <v>2.33</v>
      </c>
      <c r="M43">
        <v>1.495E-3</v>
      </c>
      <c r="N43">
        <v>0.03</v>
      </c>
      <c r="O43">
        <v>1</v>
      </c>
      <c r="P43">
        <v>0</v>
      </c>
      <c r="Q43">
        <v>0</v>
      </c>
      <c r="R43">
        <v>1</v>
      </c>
      <c r="S43" s="14">
        <v>9.1650000000000005E-5</v>
      </c>
      <c r="T43">
        <v>0</v>
      </c>
      <c r="U43">
        <v>2</v>
      </c>
      <c r="V43" s="1">
        <v>34.200000000000003</v>
      </c>
      <c r="W43">
        <v>16.100000000000001</v>
      </c>
      <c r="X43" s="8" t="s">
        <v>44</v>
      </c>
      <c r="Y43" s="1">
        <f t="shared" si="1"/>
        <v>34.200000000000003</v>
      </c>
      <c r="Z43" s="1">
        <f t="shared" si="2"/>
        <v>16.100000000000001</v>
      </c>
      <c r="AA43" s="4">
        <v>0</v>
      </c>
      <c r="AB43" s="1">
        <f t="shared" ref="AB43:AB54" si="27">Y43*(1-AA43)</f>
        <v>34.200000000000003</v>
      </c>
      <c r="AC43" s="1">
        <f t="shared" ref="AC43:AC54" si="28">Y43*AA43 + Z43</f>
        <v>16.100000000000001</v>
      </c>
      <c r="AD43" s="3">
        <f t="shared" ref="AD43:AD54" si="29">1.35*Y43+1.5*Z43</f>
        <v>70.320000000000007</v>
      </c>
      <c r="AE43" s="3"/>
      <c r="AF43">
        <f t="shared" ref="AF43:AF54" si="30">AB43+AC43</f>
        <v>50.300000000000004</v>
      </c>
      <c r="AT43" s="9"/>
    </row>
    <row r="44" spans="1:46" x14ac:dyDescent="0.35">
      <c r="A44">
        <f t="shared" si="0"/>
        <v>5</v>
      </c>
      <c r="B44" t="s">
        <v>52</v>
      </c>
      <c r="C44" t="s">
        <v>26</v>
      </c>
      <c r="D44">
        <v>25</v>
      </c>
      <c r="E44" t="s">
        <v>18</v>
      </c>
      <c r="F44">
        <v>500</v>
      </c>
      <c r="G44" s="14">
        <v>215000</v>
      </c>
      <c r="H44" s="15">
        <v>1412.67</v>
      </c>
      <c r="I44" s="14">
        <v>1828</v>
      </c>
      <c r="J44">
        <v>1</v>
      </c>
      <c r="K44">
        <v>0.2</v>
      </c>
      <c r="L44">
        <v>2.33</v>
      </c>
      <c r="M44">
        <v>2.3900000000000002E-3</v>
      </c>
      <c r="N44">
        <v>0.03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 s="1">
        <v>97</v>
      </c>
      <c r="W44">
        <v>36.5</v>
      </c>
      <c r="X44" s="8">
        <v>0</v>
      </c>
      <c r="Y44" s="1">
        <f t="shared" si="1"/>
        <v>97</v>
      </c>
      <c r="Z44" s="1">
        <f t="shared" si="2"/>
        <v>36.5</v>
      </c>
      <c r="AA44" s="4">
        <v>0</v>
      </c>
      <c r="AB44" s="1">
        <f t="shared" si="27"/>
        <v>97</v>
      </c>
      <c r="AC44" s="1">
        <f t="shared" si="28"/>
        <v>36.5</v>
      </c>
      <c r="AD44" s="3">
        <f t="shared" si="29"/>
        <v>185.70000000000002</v>
      </c>
      <c r="AE44" s="3"/>
      <c r="AF44">
        <f t="shared" si="30"/>
        <v>133.5</v>
      </c>
      <c r="AT44" s="9"/>
    </row>
    <row r="45" spans="1:46" x14ac:dyDescent="0.35">
      <c r="A45">
        <f t="shared" si="0"/>
        <v>5</v>
      </c>
      <c r="B45" t="s">
        <v>52</v>
      </c>
      <c r="C45" t="s">
        <v>27</v>
      </c>
      <c r="D45">
        <v>25</v>
      </c>
      <c r="E45" t="s">
        <v>18</v>
      </c>
      <c r="F45">
        <v>500</v>
      </c>
      <c r="G45" s="14">
        <v>215000</v>
      </c>
      <c r="H45" s="15">
        <v>1412.67</v>
      </c>
      <c r="I45" s="14">
        <v>1828</v>
      </c>
      <c r="J45">
        <v>1</v>
      </c>
      <c r="K45">
        <v>0.2</v>
      </c>
      <c r="L45">
        <v>2.33</v>
      </c>
      <c r="M45">
        <v>9.0000000000000008E-4</v>
      </c>
      <c r="N45">
        <v>0.03</v>
      </c>
      <c r="O45">
        <v>1</v>
      </c>
      <c r="P45">
        <v>0</v>
      </c>
      <c r="Q45">
        <v>0</v>
      </c>
      <c r="R45">
        <v>1</v>
      </c>
      <c r="S45" s="14">
        <v>9.1650000000000005E-5</v>
      </c>
      <c r="T45">
        <v>0</v>
      </c>
      <c r="U45">
        <v>2</v>
      </c>
      <c r="V45" s="1">
        <v>31</v>
      </c>
      <c r="W45">
        <v>16.3</v>
      </c>
      <c r="X45" s="8" t="s">
        <v>44</v>
      </c>
      <c r="Y45" s="1">
        <f t="shared" si="1"/>
        <v>31</v>
      </c>
      <c r="Z45" s="1">
        <f t="shared" si="2"/>
        <v>16.3</v>
      </c>
      <c r="AA45" s="4">
        <v>0</v>
      </c>
      <c r="AB45" s="1">
        <f t="shared" si="27"/>
        <v>31</v>
      </c>
      <c r="AC45" s="1">
        <f t="shared" si="28"/>
        <v>16.3</v>
      </c>
      <c r="AD45" s="3">
        <f t="shared" si="29"/>
        <v>66.300000000000011</v>
      </c>
      <c r="AE45" s="3"/>
      <c r="AF45">
        <f t="shared" si="30"/>
        <v>47.3</v>
      </c>
      <c r="AT45" s="9"/>
    </row>
    <row r="46" spans="1:46" x14ac:dyDescent="0.35">
      <c r="A46">
        <f t="shared" si="0"/>
        <v>5</v>
      </c>
      <c r="B46" t="s">
        <v>52</v>
      </c>
      <c r="C46" t="s">
        <v>28</v>
      </c>
      <c r="D46">
        <v>25</v>
      </c>
      <c r="E46" t="s">
        <v>18</v>
      </c>
      <c r="F46">
        <v>500</v>
      </c>
      <c r="G46" s="14">
        <v>215000</v>
      </c>
      <c r="H46" s="15">
        <v>1412.67</v>
      </c>
      <c r="I46" s="14">
        <v>1828</v>
      </c>
      <c r="J46">
        <v>1</v>
      </c>
      <c r="K46">
        <v>0.2</v>
      </c>
      <c r="L46">
        <v>2.33</v>
      </c>
      <c r="M46">
        <v>2.3900000000000002E-3</v>
      </c>
      <c r="N46">
        <v>0.03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 s="1">
        <v>80</v>
      </c>
      <c r="W46">
        <v>31.5</v>
      </c>
      <c r="X46" s="8">
        <v>0</v>
      </c>
      <c r="Y46" s="1">
        <f t="shared" si="1"/>
        <v>80</v>
      </c>
      <c r="Z46" s="1">
        <f t="shared" si="2"/>
        <v>31.5</v>
      </c>
      <c r="AA46" s="4">
        <v>0</v>
      </c>
      <c r="AB46" s="1">
        <f t="shared" si="27"/>
        <v>80</v>
      </c>
      <c r="AC46" s="1">
        <f t="shared" si="28"/>
        <v>31.5</v>
      </c>
      <c r="AD46" s="3">
        <f t="shared" si="29"/>
        <v>155.25</v>
      </c>
      <c r="AE46" s="3"/>
      <c r="AF46">
        <f t="shared" si="30"/>
        <v>111.5</v>
      </c>
      <c r="AT46" s="9"/>
    </row>
    <row r="47" spans="1:46" x14ac:dyDescent="0.35">
      <c r="A47">
        <f t="shared" si="0"/>
        <v>5</v>
      </c>
      <c r="B47" t="s">
        <v>52</v>
      </c>
      <c r="C47" t="s">
        <v>29</v>
      </c>
      <c r="D47">
        <v>25</v>
      </c>
      <c r="E47" t="s">
        <v>18</v>
      </c>
      <c r="F47">
        <v>500</v>
      </c>
      <c r="G47" s="14">
        <v>215000</v>
      </c>
      <c r="H47" s="15">
        <v>1412.67</v>
      </c>
      <c r="I47" s="14">
        <v>1828</v>
      </c>
      <c r="J47">
        <v>1</v>
      </c>
      <c r="K47">
        <v>0.2</v>
      </c>
      <c r="L47">
        <v>2.33</v>
      </c>
      <c r="M47">
        <v>9.0000000000000008E-4</v>
      </c>
      <c r="N47">
        <v>0.03</v>
      </c>
      <c r="O47">
        <v>1</v>
      </c>
      <c r="P47">
        <v>0</v>
      </c>
      <c r="Q47">
        <v>0</v>
      </c>
      <c r="R47">
        <v>1</v>
      </c>
      <c r="S47" s="14">
        <v>9.1650000000000005E-5</v>
      </c>
      <c r="T47">
        <v>0</v>
      </c>
      <c r="U47">
        <v>2</v>
      </c>
      <c r="V47" s="1">
        <v>22.2</v>
      </c>
      <c r="W47">
        <v>11.5</v>
      </c>
      <c r="X47" s="8" t="s">
        <v>44</v>
      </c>
      <c r="Y47" s="1">
        <f t="shared" si="1"/>
        <v>22.2</v>
      </c>
      <c r="Z47" s="1">
        <f t="shared" si="2"/>
        <v>11.5</v>
      </c>
      <c r="AA47" s="4">
        <v>0</v>
      </c>
      <c r="AB47" s="1">
        <f t="shared" si="27"/>
        <v>22.2</v>
      </c>
      <c r="AC47" s="1">
        <f t="shared" si="28"/>
        <v>11.5</v>
      </c>
      <c r="AD47" s="3">
        <f t="shared" si="29"/>
        <v>47.22</v>
      </c>
      <c r="AE47" s="3"/>
      <c r="AF47">
        <f t="shared" si="30"/>
        <v>33.700000000000003</v>
      </c>
      <c r="AT47" s="9"/>
    </row>
    <row r="48" spans="1:46" x14ac:dyDescent="0.35">
      <c r="A48">
        <f t="shared" si="0"/>
        <v>5</v>
      </c>
      <c r="B48" t="s">
        <v>52</v>
      </c>
      <c r="D48" s="5">
        <v>25</v>
      </c>
      <c r="E48" s="5" t="s">
        <v>18</v>
      </c>
      <c r="F48" s="5">
        <v>500</v>
      </c>
      <c r="G48" s="6">
        <v>220000</v>
      </c>
      <c r="H48" s="5">
        <v>1576</v>
      </c>
      <c r="I48" s="5">
        <v>1870</v>
      </c>
      <c r="J48" s="5">
        <v>1</v>
      </c>
      <c r="K48" s="5">
        <v>0.2</v>
      </c>
      <c r="L48" s="5">
        <v>2.2000000000000002</v>
      </c>
      <c r="M48" s="5">
        <v>1E-4</v>
      </c>
      <c r="N48" s="5">
        <v>0.03</v>
      </c>
      <c r="O48" s="5">
        <v>1</v>
      </c>
      <c r="P48" s="5">
        <v>0</v>
      </c>
      <c r="Q48" s="5">
        <v>0</v>
      </c>
      <c r="R48" s="5">
        <v>1</v>
      </c>
      <c r="S48" s="5">
        <v>0</v>
      </c>
      <c r="T48" s="5">
        <v>0</v>
      </c>
      <c r="U48" s="5">
        <v>0</v>
      </c>
      <c r="V48" s="7">
        <v>0</v>
      </c>
      <c r="W48" s="7">
        <v>0</v>
      </c>
      <c r="X48" s="5" t="s">
        <v>44</v>
      </c>
      <c r="Y48" s="1">
        <f t="shared" si="1"/>
        <v>0</v>
      </c>
      <c r="Z48" s="1">
        <f t="shared" si="2"/>
        <v>0</v>
      </c>
      <c r="AA48" s="4"/>
      <c r="AB48" s="1">
        <f t="shared" si="27"/>
        <v>0</v>
      </c>
      <c r="AC48" s="1">
        <f t="shared" si="28"/>
        <v>0</v>
      </c>
      <c r="AD48" s="3">
        <f t="shared" si="29"/>
        <v>0</v>
      </c>
      <c r="AE48" s="3"/>
      <c r="AF48">
        <f t="shared" si="30"/>
        <v>0</v>
      </c>
      <c r="AT48" s="9"/>
    </row>
    <row r="49" spans="1:46" x14ac:dyDescent="0.35">
      <c r="A49">
        <f t="shared" si="0"/>
        <v>6</v>
      </c>
      <c r="B49" t="s">
        <v>53</v>
      </c>
      <c r="C49" t="s">
        <v>19</v>
      </c>
      <c r="D49" s="5">
        <v>25</v>
      </c>
      <c r="E49" s="5" t="s">
        <v>18</v>
      </c>
      <c r="F49" s="5">
        <v>500</v>
      </c>
      <c r="G49" s="6">
        <v>220000</v>
      </c>
      <c r="H49" s="5">
        <v>1576</v>
      </c>
      <c r="I49" s="5">
        <v>1870</v>
      </c>
      <c r="J49" s="5">
        <v>1</v>
      </c>
      <c r="K49" s="5">
        <v>0.2</v>
      </c>
      <c r="L49" s="5">
        <v>2.2000000000000002</v>
      </c>
      <c r="M49" s="5">
        <v>1E-4</v>
      </c>
      <c r="N49" s="5">
        <v>0.03</v>
      </c>
      <c r="O49" s="5">
        <v>1</v>
      </c>
      <c r="P49" s="5">
        <v>0</v>
      </c>
      <c r="Q49" s="5">
        <v>0</v>
      </c>
      <c r="R49" s="5">
        <v>1</v>
      </c>
      <c r="S49" s="5">
        <v>0</v>
      </c>
      <c r="T49" s="5">
        <v>0</v>
      </c>
      <c r="U49" s="5">
        <v>0</v>
      </c>
      <c r="V49" s="7">
        <v>0</v>
      </c>
      <c r="W49" s="7">
        <v>0</v>
      </c>
      <c r="X49" s="5" t="s">
        <v>44</v>
      </c>
      <c r="Y49" s="1">
        <f t="shared" si="1"/>
        <v>0</v>
      </c>
      <c r="Z49" s="1">
        <f t="shared" si="2"/>
        <v>0</v>
      </c>
      <c r="AA49" s="4"/>
      <c r="AB49" s="1">
        <f t="shared" si="27"/>
        <v>0</v>
      </c>
      <c r="AC49" s="1">
        <f t="shared" si="28"/>
        <v>0</v>
      </c>
      <c r="AD49" s="3">
        <f t="shared" si="29"/>
        <v>0</v>
      </c>
      <c r="AE49" s="3"/>
      <c r="AF49">
        <f t="shared" si="30"/>
        <v>0</v>
      </c>
      <c r="AT49" s="9"/>
    </row>
    <row r="50" spans="1:46" x14ac:dyDescent="0.35">
      <c r="A50">
        <f t="shared" si="0"/>
        <v>6</v>
      </c>
      <c r="B50" t="s">
        <v>53</v>
      </c>
      <c r="C50" t="s">
        <v>20</v>
      </c>
      <c r="D50" s="5">
        <v>25</v>
      </c>
      <c r="E50" s="5" t="s">
        <v>18</v>
      </c>
      <c r="F50" s="5">
        <v>500</v>
      </c>
      <c r="G50" s="6">
        <v>220000</v>
      </c>
      <c r="H50" s="5">
        <v>1576</v>
      </c>
      <c r="I50" s="5">
        <v>1870</v>
      </c>
      <c r="J50" s="5">
        <v>1</v>
      </c>
      <c r="K50" s="5">
        <v>0.2</v>
      </c>
      <c r="L50" s="5">
        <v>2.2000000000000002</v>
      </c>
      <c r="M50" s="5">
        <v>1E-4</v>
      </c>
      <c r="N50" s="5">
        <v>0.03</v>
      </c>
      <c r="O50" s="5">
        <v>1</v>
      </c>
      <c r="P50" s="5">
        <v>0</v>
      </c>
      <c r="Q50" s="5">
        <v>0</v>
      </c>
      <c r="R50" s="5">
        <v>1</v>
      </c>
      <c r="S50" s="5">
        <v>0</v>
      </c>
      <c r="T50" s="5">
        <v>0</v>
      </c>
      <c r="U50" s="5">
        <v>0</v>
      </c>
      <c r="V50" s="7">
        <v>0</v>
      </c>
      <c r="W50" s="7">
        <v>0</v>
      </c>
      <c r="X50" s="5" t="s">
        <v>44</v>
      </c>
      <c r="Y50" s="1">
        <f t="shared" si="1"/>
        <v>0</v>
      </c>
      <c r="Z50" s="1">
        <f t="shared" si="2"/>
        <v>0</v>
      </c>
      <c r="AA50" s="4"/>
      <c r="AB50" s="1">
        <f t="shared" si="27"/>
        <v>0</v>
      </c>
      <c r="AC50" s="1">
        <f t="shared" si="28"/>
        <v>0</v>
      </c>
      <c r="AD50" s="3">
        <f t="shared" si="29"/>
        <v>0</v>
      </c>
      <c r="AE50" s="3"/>
      <c r="AF50">
        <f t="shared" si="30"/>
        <v>0</v>
      </c>
      <c r="AT50" s="9"/>
    </row>
    <row r="51" spans="1:46" x14ac:dyDescent="0.35">
      <c r="A51">
        <f t="shared" si="0"/>
        <v>6</v>
      </c>
      <c r="B51" t="s">
        <v>53</v>
      </c>
      <c r="C51" t="s">
        <v>23</v>
      </c>
      <c r="D51" s="5">
        <v>25</v>
      </c>
      <c r="E51" s="5" t="s">
        <v>18</v>
      </c>
      <c r="F51" s="5">
        <v>500</v>
      </c>
      <c r="G51" s="6">
        <v>220000</v>
      </c>
      <c r="H51" s="5">
        <v>1576</v>
      </c>
      <c r="I51" s="5">
        <v>1870</v>
      </c>
      <c r="J51" s="5">
        <v>1</v>
      </c>
      <c r="K51" s="5">
        <v>0.2</v>
      </c>
      <c r="L51" s="5">
        <v>2.2000000000000002</v>
      </c>
      <c r="M51" s="5">
        <v>1E-4</v>
      </c>
      <c r="N51" s="5">
        <v>0.03</v>
      </c>
      <c r="O51" s="5">
        <v>1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7">
        <v>0</v>
      </c>
      <c r="W51" s="7">
        <v>0</v>
      </c>
      <c r="X51" s="5" t="s">
        <v>44</v>
      </c>
      <c r="Y51" s="1">
        <f t="shared" si="1"/>
        <v>2.9050000000000002</v>
      </c>
      <c r="Z51" s="1">
        <f t="shared" si="2"/>
        <v>0.80500000000000005</v>
      </c>
      <c r="AA51" s="4"/>
      <c r="AB51" s="1">
        <f t="shared" si="27"/>
        <v>2.9050000000000002</v>
      </c>
      <c r="AC51" s="1">
        <f t="shared" si="28"/>
        <v>0.80500000000000005</v>
      </c>
      <c r="AD51" s="3">
        <f t="shared" si="29"/>
        <v>5.1292500000000008</v>
      </c>
      <c r="AE51" s="3"/>
      <c r="AF51">
        <f t="shared" si="30"/>
        <v>3.7100000000000004</v>
      </c>
      <c r="AT51" s="9"/>
    </row>
    <row r="52" spans="1:46" x14ac:dyDescent="0.35">
      <c r="A52">
        <f t="shared" si="0"/>
        <v>6</v>
      </c>
      <c r="B52" t="s">
        <v>53</v>
      </c>
      <c r="C52" t="s">
        <v>24</v>
      </c>
      <c r="D52">
        <v>25</v>
      </c>
      <c r="E52" t="s">
        <v>18</v>
      </c>
      <c r="F52">
        <v>500</v>
      </c>
      <c r="G52" s="14">
        <v>215000</v>
      </c>
      <c r="H52" s="15">
        <v>1412.67</v>
      </c>
      <c r="I52" s="14">
        <v>1828</v>
      </c>
      <c r="J52">
        <v>1</v>
      </c>
      <c r="K52">
        <v>0.23</v>
      </c>
      <c r="L52">
        <v>2.6</v>
      </c>
      <c r="M52">
        <v>1.3338E-3</v>
      </c>
      <c r="N52">
        <v>0.06</v>
      </c>
      <c r="O52">
        <v>1</v>
      </c>
      <c r="P52">
        <v>0</v>
      </c>
      <c r="Q52">
        <v>0</v>
      </c>
      <c r="R52">
        <v>1</v>
      </c>
      <c r="S52" s="14">
        <v>9.1650000000000005E-5</v>
      </c>
      <c r="T52">
        <v>0</v>
      </c>
      <c r="U52">
        <v>4</v>
      </c>
      <c r="V52" s="1">
        <v>83</v>
      </c>
      <c r="W52">
        <v>23</v>
      </c>
      <c r="X52" s="8">
        <v>-7.0000000000000007E-2</v>
      </c>
      <c r="Y52" s="1">
        <f t="shared" si="1"/>
        <v>77.19</v>
      </c>
      <c r="Z52" s="1">
        <f t="shared" si="2"/>
        <v>21.39</v>
      </c>
      <c r="AA52" s="11">
        <v>0.3</v>
      </c>
      <c r="AB52" s="1">
        <f t="shared" si="27"/>
        <v>54.032999999999994</v>
      </c>
      <c r="AC52" s="1">
        <f t="shared" si="28"/>
        <v>44.546999999999997</v>
      </c>
      <c r="AD52" s="3">
        <f t="shared" si="29"/>
        <v>136.29150000000001</v>
      </c>
      <c r="AE52" s="3"/>
      <c r="AF52">
        <f t="shared" si="30"/>
        <v>98.579999999999984</v>
      </c>
      <c r="AT52" s="9"/>
    </row>
    <row r="53" spans="1:46" ht="13.5" customHeight="1" x14ac:dyDescent="0.35">
      <c r="A53">
        <f t="shared" si="0"/>
        <v>6</v>
      </c>
      <c r="B53" t="s">
        <v>53</v>
      </c>
      <c r="C53" t="s">
        <v>25</v>
      </c>
      <c r="D53">
        <v>25</v>
      </c>
      <c r="E53" t="s">
        <v>18</v>
      </c>
      <c r="F53">
        <v>500</v>
      </c>
      <c r="G53" s="14">
        <v>215000</v>
      </c>
      <c r="H53" s="15">
        <v>1412.67</v>
      </c>
      <c r="I53" s="14">
        <v>1828</v>
      </c>
      <c r="J53">
        <v>1</v>
      </c>
      <c r="K53">
        <v>0.23</v>
      </c>
      <c r="L53">
        <v>2.6</v>
      </c>
      <c r="M53">
        <v>3.3250000000000011E-4</v>
      </c>
      <c r="N53">
        <v>0.03</v>
      </c>
      <c r="O53">
        <v>1</v>
      </c>
      <c r="P53">
        <v>0</v>
      </c>
      <c r="Q53">
        <v>0</v>
      </c>
      <c r="R53">
        <v>1</v>
      </c>
      <c r="S53" s="14">
        <v>9.1650000000000005E-5</v>
      </c>
      <c r="T53">
        <v>0</v>
      </c>
      <c r="U53" s="10">
        <v>4</v>
      </c>
      <c r="V53" s="1">
        <v>35.299999999999997</v>
      </c>
      <c r="W53">
        <v>14.7</v>
      </c>
      <c r="X53" s="8" t="s">
        <v>44</v>
      </c>
      <c r="Y53" s="1">
        <f t="shared" si="1"/>
        <v>38.204999999999998</v>
      </c>
      <c r="Z53" s="1">
        <f t="shared" si="2"/>
        <v>15.504999999999999</v>
      </c>
      <c r="AA53" s="11">
        <v>0.6</v>
      </c>
      <c r="AB53" s="1">
        <f t="shared" si="27"/>
        <v>15.282</v>
      </c>
      <c r="AC53" s="1">
        <f t="shared" si="28"/>
        <v>38.427999999999997</v>
      </c>
      <c r="AD53" s="3">
        <f>1.35*Y53+1.5*Z53</f>
        <v>74.834249999999997</v>
      </c>
      <c r="AE53" s="3"/>
      <c r="AF53">
        <f t="shared" si="30"/>
        <v>53.709999999999994</v>
      </c>
      <c r="AT53" s="9"/>
    </row>
    <row r="54" spans="1:46" x14ac:dyDescent="0.35">
      <c r="A54">
        <f t="shared" si="0"/>
        <v>6</v>
      </c>
      <c r="B54" t="s">
        <v>53</v>
      </c>
      <c r="C54" t="s">
        <v>26</v>
      </c>
      <c r="D54">
        <v>25</v>
      </c>
      <c r="E54" t="s">
        <v>18</v>
      </c>
      <c r="F54">
        <v>500</v>
      </c>
      <c r="G54" s="14">
        <v>215000</v>
      </c>
      <c r="H54" s="15">
        <v>1412.67</v>
      </c>
      <c r="I54" s="14">
        <v>1828</v>
      </c>
      <c r="J54">
        <v>1</v>
      </c>
      <c r="K54">
        <v>0.23</v>
      </c>
      <c r="L54">
        <v>2.6</v>
      </c>
      <c r="M54">
        <v>2.1029999999999998E-3</v>
      </c>
      <c r="N54">
        <v>0.06</v>
      </c>
      <c r="O54">
        <v>1</v>
      </c>
      <c r="P54" s="10">
        <f>3.14*10^(-4)</f>
        <v>3.1400000000000004E-4</v>
      </c>
      <c r="Q54" s="10">
        <v>0.04</v>
      </c>
      <c r="R54" s="10">
        <v>4</v>
      </c>
      <c r="S54">
        <v>0</v>
      </c>
      <c r="T54">
        <v>0</v>
      </c>
      <c r="U54">
        <v>0</v>
      </c>
      <c r="V54" s="1">
        <v>111.5</v>
      </c>
      <c r="W54">
        <v>39</v>
      </c>
      <c r="X54" s="8">
        <v>0</v>
      </c>
      <c r="Y54" s="1">
        <f t="shared" si="1"/>
        <v>111.5</v>
      </c>
      <c r="Z54" s="1">
        <f t="shared" si="2"/>
        <v>39</v>
      </c>
      <c r="AA54" s="11">
        <v>0.6</v>
      </c>
      <c r="AB54" s="1">
        <f t="shared" si="27"/>
        <v>44.6</v>
      </c>
      <c r="AC54" s="1">
        <f t="shared" si="28"/>
        <v>105.89999999999999</v>
      </c>
      <c r="AD54" s="3">
        <f t="shared" si="29"/>
        <v>209.02500000000001</v>
      </c>
      <c r="AE54" s="3"/>
      <c r="AF54">
        <f t="shared" si="30"/>
        <v>150.5</v>
      </c>
      <c r="AT54" s="9"/>
    </row>
    <row r="55" spans="1:46" x14ac:dyDescent="0.35">
      <c r="A55">
        <f t="shared" si="0"/>
        <v>6</v>
      </c>
      <c r="B55" t="s">
        <v>53</v>
      </c>
      <c r="C55" t="s">
        <v>27</v>
      </c>
      <c r="D55">
        <v>25</v>
      </c>
      <c r="E55" t="s">
        <v>18</v>
      </c>
      <c r="F55">
        <v>500</v>
      </c>
      <c r="G55" s="14">
        <v>215000</v>
      </c>
      <c r="H55" s="15">
        <v>1412.67</v>
      </c>
      <c r="I55" s="14">
        <v>1828</v>
      </c>
      <c r="J55">
        <v>1</v>
      </c>
      <c r="K55">
        <v>0.23</v>
      </c>
      <c r="L55">
        <v>2.6</v>
      </c>
      <c r="M55">
        <v>6.6799999999999997E-4</v>
      </c>
      <c r="N55">
        <v>3.5000000000000003E-2</v>
      </c>
      <c r="O55">
        <v>1</v>
      </c>
      <c r="P55">
        <v>0</v>
      </c>
      <c r="Q55">
        <v>0</v>
      </c>
      <c r="R55">
        <v>1</v>
      </c>
      <c r="S55" s="14">
        <v>9.1650000000000005E-5</v>
      </c>
      <c r="T55">
        <v>0</v>
      </c>
      <c r="U55">
        <v>4</v>
      </c>
      <c r="V55" s="1">
        <v>39.6</v>
      </c>
      <c r="W55">
        <v>17</v>
      </c>
      <c r="X55" s="8" t="s">
        <v>44</v>
      </c>
      <c r="Y55" s="1">
        <f>IFERROR(IF(ISNUMBER(SEARCH("Appui",C55)),V55+X55*V55,IF(A54&lt;A55,V55-X56*V56/2,IF(A55&lt;A56,V55-(X54*V54)/2,V55-(X56*V56+X54*V54)/2))),0)</f>
        <v>48.412500000000001</v>
      </c>
      <c r="Z55" s="1">
        <f t="shared" si="2"/>
        <v>20.022500000000001</v>
      </c>
      <c r="AA55" s="11">
        <v>0.6</v>
      </c>
      <c r="AB55" s="1">
        <f t="shared" ref="AB55:AB58" si="31">Y55*(1-AA55)</f>
        <v>19.365000000000002</v>
      </c>
      <c r="AC55" s="1">
        <f t="shared" ref="AC55:AC58" si="32">Y55*AA55 + Z55</f>
        <v>49.07</v>
      </c>
      <c r="AD55" s="3">
        <f t="shared" ref="AD55:AD58" si="33">1.35*Y55+1.5*Z55</f>
        <v>95.390625</v>
      </c>
      <c r="AE55" s="3"/>
      <c r="AF55">
        <f t="shared" ref="AF55:AF58" si="34">AB55+AC55</f>
        <v>68.435000000000002</v>
      </c>
      <c r="AT55" s="9"/>
    </row>
    <row r="56" spans="1:46" x14ac:dyDescent="0.35">
      <c r="A56">
        <f t="shared" si="0"/>
        <v>6</v>
      </c>
      <c r="B56" t="s">
        <v>53</v>
      </c>
      <c r="C56" t="s">
        <v>28</v>
      </c>
      <c r="D56">
        <v>25</v>
      </c>
      <c r="E56" t="s">
        <v>18</v>
      </c>
      <c r="F56">
        <v>500</v>
      </c>
      <c r="G56" s="14">
        <v>215000</v>
      </c>
      <c r="H56" s="15">
        <v>1412.67</v>
      </c>
      <c r="I56" s="14">
        <v>1828</v>
      </c>
      <c r="J56">
        <v>1</v>
      </c>
      <c r="K56">
        <v>0.23</v>
      </c>
      <c r="L56">
        <v>2.6</v>
      </c>
      <c r="M56">
        <v>0</v>
      </c>
      <c r="N56">
        <v>0.06</v>
      </c>
      <c r="O56">
        <v>1</v>
      </c>
      <c r="P56" s="10">
        <f>3.14*10^(-4)</f>
        <v>3.1400000000000004E-4</v>
      </c>
      <c r="Q56" s="10">
        <v>0.04</v>
      </c>
      <c r="R56" s="10">
        <f>2+4*1</f>
        <v>6</v>
      </c>
      <c r="S56" s="14">
        <v>9.1650000000000005E-5</v>
      </c>
      <c r="T56">
        <v>0</v>
      </c>
      <c r="U56" s="10">
        <f>(10+4)*0</f>
        <v>0</v>
      </c>
      <c r="V56" s="1">
        <v>117.5</v>
      </c>
      <c r="W56">
        <v>40.299999999999997</v>
      </c>
      <c r="X56" s="12">
        <v>-0.15</v>
      </c>
      <c r="Y56" s="1">
        <f t="shared" si="1"/>
        <v>99.875</v>
      </c>
      <c r="Z56" s="1">
        <f t="shared" si="2"/>
        <v>34.254999999999995</v>
      </c>
      <c r="AA56" s="11">
        <v>1</v>
      </c>
      <c r="AB56" s="1">
        <f t="shared" si="31"/>
        <v>0</v>
      </c>
      <c r="AC56" s="1">
        <f t="shared" si="32"/>
        <v>134.13</v>
      </c>
      <c r="AD56" s="3">
        <f t="shared" si="33"/>
        <v>186.21375</v>
      </c>
      <c r="AE56" s="3"/>
      <c r="AF56">
        <f t="shared" si="34"/>
        <v>134.13</v>
      </c>
      <c r="AT56" s="9"/>
    </row>
    <row r="57" spans="1:46" x14ac:dyDescent="0.35">
      <c r="A57">
        <f t="shared" si="0"/>
        <v>6</v>
      </c>
      <c r="B57" t="s">
        <v>53</v>
      </c>
      <c r="C57" t="s">
        <v>29</v>
      </c>
      <c r="D57" s="5">
        <v>25</v>
      </c>
      <c r="E57" s="5" t="s">
        <v>18</v>
      </c>
      <c r="F57" s="5">
        <v>500</v>
      </c>
      <c r="G57" s="6">
        <v>220000</v>
      </c>
      <c r="H57" s="5">
        <v>1576</v>
      </c>
      <c r="I57" s="5">
        <v>1870</v>
      </c>
      <c r="J57" s="5">
        <v>1</v>
      </c>
      <c r="K57" s="5">
        <v>0.2</v>
      </c>
      <c r="L57" s="5">
        <v>2.2000000000000002</v>
      </c>
      <c r="M57" s="5">
        <v>1E-4</v>
      </c>
      <c r="N57" s="5">
        <v>0.03</v>
      </c>
      <c r="O57" s="5">
        <v>1</v>
      </c>
      <c r="P57" s="5">
        <v>0</v>
      </c>
      <c r="Q57" s="5">
        <v>0</v>
      </c>
      <c r="R57" s="5">
        <v>1</v>
      </c>
      <c r="S57" s="5">
        <v>0</v>
      </c>
      <c r="T57" s="5">
        <v>0</v>
      </c>
      <c r="U57" s="5">
        <v>0</v>
      </c>
      <c r="V57" s="7">
        <v>0</v>
      </c>
      <c r="W57" s="7">
        <v>0</v>
      </c>
      <c r="X57" s="5" t="s">
        <v>44</v>
      </c>
      <c r="Y57" s="1">
        <f t="shared" si="1"/>
        <v>8.8125</v>
      </c>
      <c r="Z57" s="1">
        <f t="shared" si="2"/>
        <v>3.0224999999999995</v>
      </c>
      <c r="AA57" s="4">
        <v>0</v>
      </c>
      <c r="AB57" s="1">
        <f t="shared" si="31"/>
        <v>8.8125</v>
      </c>
      <c r="AC57" s="1">
        <f t="shared" si="32"/>
        <v>3.0224999999999995</v>
      </c>
      <c r="AD57" s="3">
        <f t="shared" si="33"/>
        <v>16.430624999999999</v>
      </c>
      <c r="AE57" s="3"/>
      <c r="AF57">
        <f t="shared" si="34"/>
        <v>11.834999999999999</v>
      </c>
      <c r="AT57" s="9"/>
    </row>
    <row r="58" spans="1:46" x14ac:dyDescent="0.35">
      <c r="A58">
        <f t="shared" si="0"/>
        <v>6</v>
      </c>
      <c r="B58" t="s">
        <v>53</v>
      </c>
      <c r="C58" t="s">
        <v>30</v>
      </c>
      <c r="D58" s="5">
        <v>25</v>
      </c>
      <c r="E58" s="5" t="s">
        <v>18</v>
      </c>
      <c r="F58" s="5">
        <v>500</v>
      </c>
      <c r="G58" s="6">
        <v>220000</v>
      </c>
      <c r="H58" s="5">
        <v>1576</v>
      </c>
      <c r="I58" s="5">
        <v>1870</v>
      </c>
      <c r="J58" s="5">
        <v>1</v>
      </c>
      <c r="K58" s="5">
        <v>0.2</v>
      </c>
      <c r="L58" s="5">
        <v>2.2000000000000002</v>
      </c>
      <c r="M58" s="5">
        <v>1E-4</v>
      </c>
      <c r="N58" s="5">
        <v>0.03</v>
      </c>
      <c r="O58" s="5">
        <v>1</v>
      </c>
      <c r="P58" s="5">
        <v>0</v>
      </c>
      <c r="Q58" s="5">
        <v>0</v>
      </c>
      <c r="R58" s="5">
        <v>1</v>
      </c>
      <c r="S58" s="5">
        <v>0</v>
      </c>
      <c r="T58" s="5">
        <v>0</v>
      </c>
      <c r="U58" s="5">
        <v>0</v>
      </c>
      <c r="V58" s="7">
        <v>0</v>
      </c>
      <c r="W58" s="7">
        <v>0</v>
      </c>
      <c r="X58" s="5" t="s">
        <v>44</v>
      </c>
      <c r="Y58" s="1">
        <f t="shared" si="1"/>
        <v>0</v>
      </c>
      <c r="Z58" s="1">
        <f t="shared" si="2"/>
        <v>0</v>
      </c>
      <c r="AA58" s="4">
        <v>0</v>
      </c>
      <c r="AB58" s="1">
        <f t="shared" si="31"/>
        <v>0</v>
      </c>
      <c r="AC58" s="1">
        <f t="shared" si="32"/>
        <v>0</v>
      </c>
      <c r="AD58" s="3">
        <f t="shared" si="33"/>
        <v>0</v>
      </c>
      <c r="AE58" s="3"/>
      <c r="AF58">
        <f t="shared" si="34"/>
        <v>0</v>
      </c>
      <c r="AT58" s="9"/>
    </row>
    <row r="59" spans="1:46" x14ac:dyDescent="0.35">
      <c r="A59">
        <f t="shared" si="0"/>
        <v>6</v>
      </c>
      <c r="B59" t="s">
        <v>53</v>
      </c>
      <c r="C59" t="s">
        <v>31</v>
      </c>
      <c r="D59" s="5">
        <v>25</v>
      </c>
      <c r="E59" s="5" t="s">
        <v>18</v>
      </c>
      <c r="F59" s="5">
        <v>500</v>
      </c>
      <c r="G59" s="6">
        <v>220000</v>
      </c>
      <c r="H59" s="5">
        <v>1576</v>
      </c>
      <c r="I59" s="5">
        <v>1870</v>
      </c>
      <c r="J59" s="5">
        <v>1</v>
      </c>
      <c r="K59" s="5">
        <v>0.2</v>
      </c>
      <c r="L59" s="5">
        <v>2.2000000000000002</v>
      </c>
      <c r="M59" s="5">
        <v>1E-4</v>
      </c>
      <c r="N59" s="5">
        <v>0.03</v>
      </c>
      <c r="O59" s="5">
        <v>1</v>
      </c>
      <c r="P59" s="5">
        <v>0</v>
      </c>
      <c r="Q59" s="5">
        <v>0</v>
      </c>
      <c r="R59" s="5">
        <v>1</v>
      </c>
      <c r="S59" s="5">
        <v>0</v>
      </c>
      <c r="T59" s="5">
        <v>0</v>
      </c>
      <c r="U59" s="5">
        <v>0</v>
      </c>
      <c r="V59" s="7">
        <v>0</v>
      </c>
      <c r="W59" s="7">
        <v>0</v>
      </c>
      <c r="X59" s="5" t="s">
        <v>44</v>
      </c>
      <c r="Y59" s="1">
        <f t="shared" si="1"/>
        <v>0</v>
      </c>
      <c r="Z59" s="1">
        <f t="shared" si="2"/>
        <v>0</v>
      </c>
      <c r="AA59" s="4">
        <v>0</v>
      </c>
      <c r="AB59" s="1">
        <f t="shared" ref="AB59:AB76" si="35">Y59*(1-AA59)</f>
        <v>0</v>
      </c>
      <c r="AC59" s="1">
        <f t="shared" ref="AC59:AC76" si="36">Y59*AA59 + Z59</f>
        <v>0</v>
      </c>
      <c r="AD59" s="3">
        <f t="shared" ref="AD59:AD76" si="37">1.35*Y59+1.5*Z59</f>
        <v>0</v>
      </c>
      <c r="AE59" s="3"/>
      <c r="AF59">
        <f t="shared" ref="AF59:AF76" si="38">AB59+AC59</f>
        <v>0</v>
      </c>
      <c r="AT59" s="9"/>
    </row>
    <row r="60" spans="1:46" x14ac:dyDescent="0.35">
      <c r="A60">
        <f t="shared" si="0"/>
        <v>6</v>
      </c>
      <c r="B60" t="s">
        <v>53</v>
      </c>
      <c r="C60" t="s">
        <v>46</v>
      </c>
      <c r="D60" s="5">
        <v>25</v>
      </c>
      <c r="E60" s="5" t="s">
        <v>18</v>
      </c>
      <c r="F60" s="5">
        <v>500</v>
      </c>
      <c r="G60" s="6">
        <v>220000</v>
      </c>
      <c r="H60" s="5">
        <v>1576</v>
      </c>
      <c r="I60" s="5">
        <v>1870</v>
      </c>
      <c r="J60" s="5">
        <v>1</v>
      </c>
      <c r="K60" s="5">
        <v>0.2</v>
      </c>
      <c r="L60" s="5">
        <v>2.2000000000000002</v>
      </c>
      <c r="M60" s="5">
        <v>1E-4</v>
      </c>
      <c r="N60" s="5">
        <v>0.03</v>
      </c>
      <c r="O60" s="5">
        <v>1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0</v>
      </c>
      <c r="V60" s="7">
        <v>0</v>
      </c>
      <c r="W60" s="7">
        <v>0</v>
      </c>
      <c r="X60" s="5" t="s">
        <v>44</v>
      </c>
      <c r="Y60" s="1">
        <f>IFERROR(IF(ISNUMBER(SEARCH("Appui",C60)),V60+X60*V60,IF(A59&lt;A60,V60-#REF!*#REF!/2,IF(A60&lt;#REF!,V60-(X59*V59)/2,V60-(#REF!*#REF!+X59*V59)/2))),0)</f>
        <v>0</v>
      </c>
      <c r="Z60" s="1">
        <f>IFERROR(IF(ISNUMBER(SEARCH("Appui",C60)),W60+X60*W60,IF(A59&lt;A60,W60-#REF!*#REF!/2,IF(A60&lt;#REF!,W60-(X59*W59)/2,W60-(#REF!*#REF!+X59*W59)/2))),0)</f>
        <v>0</v>
      </c>
      <c r="AA60" s="4">
        <v>0</v>
      </c>
      <c r="AB60" s="1">
        <f t="shared" si="35"/>
        <v>0</v>
      </c>
      <c r="AC60" s="1">
        <f t="shared" si="36"/>
        <v>0</v>
      </c>
      <c r="AD60" s="3">
        <f t="shared" si="37"/>
        <v>0</v>
      </c>
      <c r="AE60" s="3"/>
      <c r="AF60">
        <f t="shared" si="38"/>
        <v>0</v>
      </c>
      <c r="AT60" s="9"/>
    </row>
    <row r="61" spans="1:46" x14ac:dyDescent="0.35">
      <c r="A61">
        <f t="shared" si="0"/>
        <v>7</v>
      </c>
      <c r="B61" t="s">
        <v>56</v>
      </c>
      <c r="C61" t="s">
        <v>19</v>
      </c>
      <c r="D61">
        <v>25</v>
      </c>
      <c r="E61" t="s">
        <v>18</v>
      </c>
      <c r="F61">
        <v>500</v>
      </c>
      <c r="G61" s="14">
        <v>215000</v>
      </c>
      <c r="H61" s="15">
        <v>1412.67</v>
      </c>
      <c r="I61" s="14">
        <v>1828</v>
      </c>
      <c r="J61">
        <v>1</v>
      </c>
      <c r="K61">
        <v>0.23</v>
      </c>
      <c r="L61">
        <v>2.6</v>
      </c>
      <c r="M61">
        <v>1.0009999999999999E-3</v>
      </c>
      <c r="N61">
        <v>0.04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 s="1">
        <v>32</v>
      </c>
      <c r="W61">
        <v>10.3</v>
      </c>
      <c r="X61" s="8" t="s">
        <v>44</v>
      </c>
      <c r="Y61" s="1">
        <f>IFERROR(IF(ISNUMBER(SEARCH("Appui",C61)),V61+X61*V61,IF(#REF!&lt;A61,V61-X62*V62/2,IF(A61&lt;A62,V61-(#REF!*#REF!)/2,V61-(X62*V62+#REF!*#REF!)/2))),0)</f>
        <v>0</v>
      </c>
      <c r="Z61" s="1">
        <f>IFERROR(IF(ISNUMBER(SEARCH("Appui",C61)),W61+X61*W61,IF(#REF!&lt;A61,W61-X62*W62/2,IF(A61&lt;A62,W61-(#REF!*#REF!)/2,W61-(X62*W62+#REF!*#REF!)/2))),0)</f>
        <v>0</v>
      </c>
      <c r="AA61" s="2">
        <v>0</v>
      </c>
      <c r="AB61" s="1">
        <f t="shared" si="35"/>
        <v>0</v>
      </c>
      <c r="AC61" s="1">
        <f t="shared" si="36"/>
        <v>0</v>
      </c>
      <c r="AD61" s="3">
        <f t="shared" si="37"/>
        <v>0</v>
      </c>
      <c r="AE61" s="3"/>
      <c r="AF61">
        <f t="shared" si="38"/>
        <v>0</v>
      </c>
    </row>
    <row r="62" spans="1:46" x14ac:dyDescent="0.35">
      <c r="A62">
        <f t="shared" si="0"/>
        <v>7</v>
      </c>
      <c r="B62" t="s">
        <v>56</v>
      </c>
      <c r="C62" t="s">
        <v>20</v>
      </c>
      <c r="D62">
        <v>25</v>
      </c>
      <c r="E62" t="s">
        <v>18</v>
      </c>
      <c r="F62">
        <v>500</v>
      </c>
      <c r="G62" s="14">
        <v>215000</v>
      </c>
      <c r="H62" s="15">
        <v>1412.67</v>
      </c>
      <c r="I62" s="14">
        <v>1828</v>
      </c>
      <c r="J62">
        <v>1</v>
      </c>
      <c r="K62">
        <v>0.23</v>
      </c>
      <c r="L62">
        <v>2.6</v>
      </c>
      <c r="M62">
        <v>1.3078E-3</v>
      </c>
      <c r="N62">
        <v>7.0000000000000007E-2</v>
      </c>
      <c r="O62">
        <v>1</v>
      </c>
      <c r="P62">
        <v>0</v>
      </c>
      <c r="Q62">
        <v>0</v>
      </c>
      <c r="R62">
        <v>1</v>
      </c>
      <c r="S62" s="14">
        <v>9.1650000000000005E-5</v>
      </c>
      <c r="T62">
        <v>0</v>
      </c>
      <c r="U62">
        <v>5</v>
      </c>
      <c r="V62" s="1">
        <v>63</v>
      </c>
      <c r="W62">
        <v>18.5</v>
      </c>
      <c r="X62" s="8">
        <v>0</v>
      </c>
      <c r="Y62" s="1">
        <f>IFERROR(IF(ISNUMBER(SEARCH("Appui",C62)),V62+X62*V62,IF(A61&lt;A62,V62-X63*V63/2,IF(A62&lt;A63,V62-(X61*V61)/2,V62-(X63*V63+X61*V61)/2))),0)</f>
        <v>63</v>
      </c>
      <c r="Z62" s="1">
        <f t="shared" ref="Z62:Z76" si="39">IFERROR(IF(ISNUMBER(SEARCH("Appui",C62)),W62+X62*W62,IF(A61&lt;A62,W62-X63*W63/2,IF(A62&lt;A63,W62-(X61*W61)/2,W62-(X63*W63+X61*W61)/2))),0)</f>
        <v>18.5</v>
      </c>
      <c r="AA62" s="2">
        <v>0</v>
      </c>
      <c r="AB62" s="1">
        <f t="shared" si="35"/>
        <v>63</v>
      </c>
      <c r="AC62" s="1">
        <f t="shared" si="36"/>
        <v>18.5</v>
      </c>
      <c r="AD62" s="3">
        <f t="shared" si="37"/>
        <v>112.80000000000001</v>
      </c>
      <c r="AE62" s="3"/>
      <c r="AF62">
        <f t="shared" si="38"/>
        <v>81.5</v>
      </c>
    </row>
    <row r="63" spans="1:46" x14ac:dyDescent="0.35">
      <c r="A63">
        <f t="shared" si="0"/>
        <v>7</v>
      </c>
      <c r="B63" t="s">
        <v>56</v>
      </c>
      <c r="C63" t="s">
        <v>23</v>
      </c>
      <c r="D63" s="5">
        <v>25</v>
      </c>
      <c r="E63" s="5" t="s">
        <v>18</v>
      </c>
      <c r="F63" s="5">
        <v>500</v>
      </c>
      <c r="G63" s="6">
        <v>220000</v>
      </c>
      <c r="H63" s="5">
        <v>1576</v>
      </c>
      <c r="I63" s="5">
        <v>1870</v>
      </c>
      <c r="J63" s="5">
        <v>1</v>
      </c>
      <c r="K63" s="5">
        <v>0.2</v>
      </c>
      <c r="L63" s="5">
        <v>2.2000000000000002</v>
      </c>
      <c r="M63" s="10">
        <v>1E-3</v>
      </c>
      <c r="N63" s="5">
        <v>0.03</v>
      </c>
      <c r="O63" s="5">
        <v>1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7">
        <v>0</v>
      </c>
      <c r="W63" s="7">
        <v>0</v>
      </c>
      <c r="X63" s="5" t="s">
        <v>44</v>
      </c>
      <c r="Y63" s="5">
        <v>0</v>
      </c>
      <c r="Z63" s="5">
        <v>0</v>
      </c>
      <c r="AA63" s="13">
        <v>0.25</v>
      </c>
      <c r="AB63" s="1">
        <f t="shared" si="35"/>
        <v>0</v>
      </c>
      <c r="AC63" s="1">
        <f t="shared" si="36"/>
        <v>0</v>
      </c>
      <c r="AD63" s="3">
        <f t="shared" si="37"/>
        <v>0</v>
      </c>
      <c r="AE63" s="3"/>
      <c r="AF63">
        <f t="shared" si="38"/>
        <v>0</v>
      </c>
    </row>
    <row r="64" spans="1:46" x14ac:dyDescent="0.35">
      <c r="A64">
        <f t="shared" si="0"/>
        <v>7</v>
      </c>
      <c r="B64" t="s">
        <v>56</v>
      </c>
      <c r="C64" t="s">
        <v>24</v>
      </c>
      <c r="D64">
        <v>25</v>
      </c>
      <c r="E64" t="s">
        <v>18</v>
      </c>
      <c r="F64">
        <v>500</v>
      </c>
      <c r="G64" s="14">
        <v>215000</v>
      </c>
      <c r="H64" s="15">
        <v>1412.67</v>
      </c>
      <c r="I64" s="14">
        <v>1828</v>
      </c>
      <c r="J64">
        <v>1</v>
      </c>
      <c r="K64">
        <v>0.23</v>
      </c>
      <c r="L64">
        <v>2.6</v>
      </c>
      <c r="M64" s="10">
        <f>0.0013286 + 12*1.131*0.0001</f>
        <v>2.6858000000000003E-3</v>
      </c>
      <c r="N64">
        <v>0.06</v>
      </c>
      <c r="O64">
        <v>1</v>
      </c>
      <c r="P64" s="10">
        <f>3.14*10^(-4)</f>
        <v>3.1400000000000004E-4</v>
      </c>
      <c r="Q64" s="10">
        <v>0.04</v>
      </c>
      <c r="R64" s="10">
        <f>4*0</f>
        <v>0</v>
      </c>
      <c r="S64" s="14">
        <v>9.1650000000000005E-5</v>
      </c>
      <c r="T64">
        <v>0</v>
      </c>
      <c r="U64" s="10">
        <f>10*0</f>
        <v>0</v>
      </c>
      <c r="V64" s="1">
        <v>107.5</v>
      </c>
      <c r="W64">
        <v>34</v>
      </c>
      <c r="X64" s="12">
        <v>0.1</v>
      </c>
      <c r="Y64" s="1">
        <f t="shared" ref="Y64:Y76" si="40">IFERROR(IF(ISNUMBER(SEARCH("Appui",C64)),V64+X64*V64,IF(A63&lt;A64,V64-X65*V65/2,IF(A64&lt;A65,V64-(X63*V63)/2,V64-(X65*V65+X63*V63)/2))),0)</f>
        <v>118.25</v>
      </c>
      <c r="Z64" s="1">
        <f t="shared" si="39"/>
        <v>37.4</v>
      </c>
      <c r="AA64" s="13">
        <v>0.5</v>
      </c>
      <c r="AB64" s="1">
        <f t="shared" si="35"/>
        <v>59.125</v>
      </c>
      <c r="AC64" s="1">
        <f t="shared" si="36"/>
        <v>96.525000000000006</v>
      </c>
      <c r="AD64" s="3">
        <f t="shared" si="37"/>
        <v>215.73750000000001</v>
      </c>
      <c r="AE64" s="3"/>
      <c r="AF64">
        <f t="shared" si="38"/>
        <v>155.65</v>
      </c>
    </row>
    <row r="65" spans="1:32" x14ac:dyDescent="0.35">
      <c r="A65">
        <f t="shared" si="0"/>
        <v>7</v>
      </c>
      <c r="B65" t="s">
        <v>56</v>
      </c>
      <c r="C65" t="s">
        <v>25</v>
      </c>
      <c r="D65">
        <v>25</v>
      </c>
      <c r="E65" t="s">
        <v>18</v>
      </c>
      <c r="F65">
        <v>500</v>
      </c>
      <c r="G65" s="14">
        <v>215000</v>
      </c>
      <c r="H65" s="15">
        <v>1412.67</v>
      </c>
      <c r="I65" s="14">
        <v>1828</v>
      </c>
      <c r="J65">
        <v>1</v>
      </c>
      <c r="K65">
        <v>0.23</v>
      </c>
      <c r="L65">
        <v>2.6</v>
      </c>
      <c r="M65">
        <v>3.3280000000000001E-4</v>
      </c>
      <c r="N65">
        <v>0.03</v>
      </c>
      <c r="O65">
        <v>1</v>
      </c>
      <c r="P65">
        <v>0</v>
      </c>
      <c r="Q65">
        <v>0</v>
      </c>
      <c r="R65">
        <v>1</v>
      </c>
      <c r="S65" s="14">
        <v>9.1650000000000005E-5</v>
      </c>
      <c r="T65">
        <v>0</v>
      </c>
      <c r="U65">
        <v>3</v>
      </c>
      <c r="V65" s="1">
        <v>35.4</v>
      </c>
      <c r="W65">
        <v>15.9</v>
      </c>
      <c r="X65" s="8" t="s">
        <v>44</v>
      </c>
      <c r="Y65" s="1">
        <f t="shared" si="40"/>
        <v>24.574999999999999</v>
      </c>
      <c r="Z65" s="1">
        <f t="shared" si="39"/>
        <v>12.1</v>
      </c>
      <c r="AA65" s="11">
        <v>0.5</v>
      </c>
      <c r="AB65" s="1">
        <f t="shared" si="35"/>
        <v>12.2875</v>
      </c>
      <c r="AC65" s="1">
        <f t="shared" si="36"/>
        <v>24.387499999999999</v>
      </c>
      <c r="AD65" s="3">
        <f t="shared" si="37"/>
        <v>51.326250000000002</v>
      </c>
      <c r="AE65" s="3"/>
      <c r="AF65">
        <f t="shared" si="38"/>
        <v>36.674999999999997</v>
      </c>
    </row>
    <row r="66" spans="1:32" x14ac:dyDescent="0.35">
      <c r="A66">
        <f t="shared" si="0"/>
        <v>7</v>
      </c>
      <c r="B66" t="s">
        <v>56</v>
      </c>
      <c r="C66" t="s">
        <v>26</v>
      </c>
      <c r="D66">
        <v>25</v>
      </c>
      <c r="E66" t="s">
        <v>18</v>
      </c>
      <c r="F66">
        <v>500</v>
      </c>
      <c r="G66" s="14">
        <v>215000</v>
      </c>
      <c r="H66" s="15">
        <v>1412.67</v>
      </c>
      <c r="I66" s="14">
        <v>1828</v>
      </c>
      <c r="J66">
        <v>1</v>
      </c>
      <c r="K66">
        <v>0.23</v>
      </c>
      <c r="L66">
        <v>2.6</v>
      </c>
      <c r="M66">
        <v>2.1032999999999998E-3</v>
      </c>
      <c r="N66">
        <v>0.06</v>
      </c>
      <c r="O66">
        <v>1</v>
      </c>
      <c r="P66" s="10">
        <v>2.0110000000000001E-4</v>
      </c>
      <c r="Q66" s="10">
        <v>0.04</v>
      </c>
      <c r="R66" s="10">
        <v>4</v>
      </c>
      <c r="S66" s="14">
        <v>9.1650000000000005E-5</v>
      </c>
      <c r="T66">
        <v>0</v>
      </c>
      <c r="U66" s="10">
        <f>5*0</f>
        <v>0</v>
      </c>
      <c r="V66" s="1">
        <v>109</v>
      </c>
      <c r="W66">
        <v>42</v>
      </c>
      <c r="X66" s="12">
        <v>0.1</v>
      </c>
      <c r="Y66" s="1">
        <f t="shared" si="40"/>
        <v>119.9</v>
      </c>
      <c r="Z66" s="1">
        <f t="shared" si="39"/>
        <v>46.2</v>
      </c>
      <c r="AA66" s="13">
        <v>0.5</v>
      </c>
      <c r="AB66" s="1">
        <f t="shared" si="35"/>
        <v>59.95</v>
      </c>
      <c r="AC66" s="1">
        <f t="shared" si="36"/>
        <v>106.15</v>
      </c>
      <c r="AD66" s="3">
        <f t="shared" si="37"/>
        <v>231.16500000000002</v>
      </c>
      <c r="AE66" s="3"/>
      <c r="AF66">
        <f t="shared" si="38"/>
        <v>166.10000000000002</v>
      </c>
    </row>
    <row r="67" spans="1:32" x14ac:dyDescent="0.35">
      <c r="A67">
        <f t="shared" ref="A67:A82" si="41">IF(B67=B66,A66,A66+1)</f>
        <v>7</v>
      </c>
      <c r="B67" t="s">
        <v>56</v>
      </c>
      <c r="C67" t="s">
        <v>27</v>
      </c>
      <c r="D67">
        <v>25</v>
      </c>
      <c r="E67" t="s">
        <v>18</v>
      </c>
      <c r="F67">
        <v>500</v>
      </c>
      <c r="G67" s="14">
        <v>215000</v>
      </c>
      <c r="H67" s="15">
        <v>1412.67</v>
      </c>
      <c r="I67" s="14">
        <v>1828</v>
      </c>
      <c r="J67">
        <v>1</v>
      </c>
      <c r="K67">
        <v>0.23</v>
      </c>
      <c r="L67">
        <v>2.6</v>
      </c>
      <c r="M67">
        <v>1E-3</v>
      </c>
      <c r="N67">
        <v>0.05</v>
      </c>
      <c r="O67">
        <v>1</v>
      </c>
      <c r="P67">
        <v>0</v>
      </c>
      <c r="Q67">
        <v>0</v>
      </c>
      <c r="R67">
        <v>1</v>
      </c>
      <c r="S67" s="14">
        <v>9.1650000000000005E-5</v>
      </c>
      <c r="T67">
        <v>0</v>
      </c>
      <c r="U67">
        <v>2</v>
      </c>
      <c r="V67" s="1">
        <v>38.9</v>
      </c>
      <c r="W67">
        <v>18.2</v>
      </c>
      <c r="X67" s="8" t="s">
        <v>44</v>
      </c>
      <c r="Y67" s="1">
        <f t="shared" si="40"/>
        <v>27.574999999999999</v>
      </c>
      <c r="Z67" s="1">
        <f t="shared" si="39"/>
        <v>13.924999999999999</v>
      </c>
      <c r="AA67" s="13">
        <v>0.5</v>
      </c>
      <c r="AB67" s="1">
        <f t="shared" si="35"/>
        <v>13.7875</v>
      </c>
      <c r="AC67" s="1">
        <f t="shared" si="36"/>
        <v>27.712499999999999</v>
      </c>
      <c r="AD67" s="3">
        <f t="shared" si="37"/>
        <v>58.113749999999996</v>
      </c>
      <c r="AE67" s="3"/>
      <c r="AF67">
        <f t="shared" si="38"/>
        <v>41.5</v>
      </c>
    </row>
    <row r="68" spans="1:32" x14ac:dyDescent="0.35">
      <c r="A68">
        <f t="shared" si="41"/>
        <v>7</v>
      </c>
      <c r="B68" t="s">
        <v>56</v>
      </c>
      <c r="C68" t="s">
        <v>28</v>
      </c>
      <c r="D68">
        <v>25</v>
      </c>
      <c r="E68" t="s">
        <v>18</v>
      </c>
      <c r="F68">
        <v>500</v>
      </c>
      <c r="G68" s="14">
        <v>215000</v>
      </c>
      <c r="H68" s="15">
        <v>1412.67</v>
      </c>
      <c r="I68" s="14">
        <v>1828</v>
      </c>
      <c r="J68">
        <v>1</v>
      </c>
      <c r="K68">
        <v>0.23</v>
      </c>
      <c r="L68">
        <v>2.6</v>
      </c>
      <c r="M68">
        <v>2.0999999999999999E-3</v>
      </c>
      <c r="N68">
        <v>0.06</v>
      </c>
      <c r="O68">
        <v>1</v>
      </c>
      <c r="P68" s="10">
        <v>2.0110000000000001E-4</v>
      </c>
      <c r="Q68" s="10">
        <v>0.04</v>
      </c>
      <c r="R68" s="10">
        <v>4</v>
      </c>
      <c r="S68" s="14">
        <v>9.1650000000000005E-5</v>
      </c>
      <c r="T68">
        <v>0</v>
      </c>
      <c r="U68" s="10">
        <f>5*0</f>
        <v>0</v>
      </c>
      <c r="V68" s="1">
        <v>117.5</v>
      </c>
      <c r="W68">
        <v>43.5</v>
      </c>
      <c r="X68" s="12">
        <v>0.1</v>
      </c>
      <c r="Y68" s="1">
        <f t="shared" si="40"/>
        <v>129.25</v>
      </c>
      <c r="Z68" s="1">
        <f t="shared" si="39"/>
        <v>47.85</v>
      </c>
      <c r="AA68" s="13">
        <v>0.5</v>
      </c>
      <c r="AB68" s="1">
        <f t="shared" si="35"/>
        <v>64.625</v>
      </c>
      <c r="AC68" s="1">
        <f t="shared" si="36"/>
        <v>112.47499999999999</v>
      </c>
      <c r="AD68" s="3">
        <f t="shared" si="37"/>
        <v>246.26250000000002</v>
      </c>
      <c r="AE68" s="3"/>
      <c r="AF68">
        <f t="shared" si="38"/>
        <v>177.1</v>
      </c>
    </row>
    <row r="69" spans="1:32" x14ac:dyDescent="0.35">
      <c r="A69">
        <f t="shared" si="41"/>
        <v>7</v>
      </c>
      <c r="B69" t="s">
        <v>56</v>
      </c>
      <c r="C69" t="s">
        <v>29</v>
      </c>
      <c r="D69">
        <v>25</v>
      </c>
      <c r="E69" t="s">
        <v>18</v>
      </c>
      <c r="F69">
        <v>500</v>
      </c>
      <c r="G69" s="14">
        <v>215000</v>
      </c>
      <c r="H69" s="15">
        <v>1412.67</v>
      </c>
      <c r="I69" s="14">
        <v>1828</v>
      </c>
      <c r="J69">
        <v>1</v>
      </c>
      <c r="K69">
        <v>0.23</v>
      </c>
      <c r="L69">
        <v>2.6</v>
      </c>
      <c r="M69">
        <v>3.3E-4</v>
      </c>
      <c r="N69">
        <v>0.03</v>
      </c>
      <c r="O69">
        <v>1</v>
      </c>
      <c r="P69">
        <v>0</v>
      </c>
      <c r="Q69">
        <v>0</v>
      </c>
      <c r="R69">
        <v>1</v>
      </c>
      <c r="S69" s="14">
        <v>9.1650000000000005E-5</v>
      </c>
      <c r="T69">
        <v>0</v>
      </c>
      <c r="U69">
        <v>4</v>
      </c>
      <c r="V69" s="1">
        <v>38.5</v>
      </c>
      <c r="W69">
        <v>18.7</v>
      </c>
      <c r="X69" s="8" t="s">
        <v>44</v>
      </c>
      <c r="Y69" s="1">
        <f t="shared" si="40"/>
        <v>26.5</v>
      </c>
      <c r="Z69" s="1">
        <f t="shared" si="39"/>
        <v>14.307499999999999</v>
      </c>
      <c r="AA69" s="13">
        <v>0.5</v>
      </c>
      <c r="AB69" s="1">
        <f t="shared" si="35"/>
        <v>13.25</v>
      </c>
      <c r="AC69" s="1">
        <f t="shared" si="36"/>
        <v>27.557499999999997</v>
      </c>
      <c r="AD69" s="3">
        <f t="shared" si="37"/>
        <v>57.236250000000005</v>
      </c>
      <c r="AE69" s="3"/>
      <c r="AF69">
        <f t="shared" si="38"/>
        <v>40.807499999999997</v>
      </c>
    </row>
    <row r="70" spans="1:32" x14ac:dyDescent="0.35">
      <c r="A70">
        <f t="shared" si="41"/>
        <v>7</v>
      </c>
      <c r="B70" t="s">
        <v>56</v>
      </c>
      <c r="C70" t="s">
        <v>30</v>
      </c>
      <c r="D70">
        <v>25</v>
      </c>
      <c r="E70" t="s">
        <v>18</v>
      </c>
      <c r="F70">
        <v>500</v>
      </c>
      <c r="G70" s="14">
        <v>215000</v>
      </c>
      <c r="H70" s="15">
        <v>1412.67</v>
      </c>
      <c r="I70" s="14">
        <v>1828</v>
      </c>
      <c r="J70">
        <v>1</v>
      </c>
      <c r="K70">
        <v>0.23</v>
      </c>
      <c r="L70">
        <v>2.6</v>
      </c>
      <c r="M70">
        <v>2.0999999999999999E-3</v>
      </c>
      <c r="N70">
        <v>0.06</v>
      </c>
      <c r="O70">
        <v>1</v>
      </c>
      <c r="P70" s="10">
        <f>3.14*10^(-4)</f>
        <v>3.1400000000000004E-4</v>
      </c>
      <c r="Q70" s="10">
        <v>0.04</v>
      </c>
      <c r="R70" s="10">
        <v>4</v>
      </c>
      <c r="S70" s="14">
        <v>9.1650000000000005E-5</v>
      </c>
      <c r="T70">
        <v>0</v>
      </c>
      <c r="U70" s="10">
        <f>10*0</f>
        <v>0</v>
      </c>
      <c r="V70" s="1">
        <v>122.5</v>
      </c>
      <c r="W70">
        <v>44.35</v>
      </c>
      <c r="X70" s="12">
        <v>0.1</v>
      </c>
      <c r="Y70" s="1">
        <f t="shared" si="40"/>
        <v>134.75</v>
      </c>
      <c r="Z70" s="1">
        <f t="shared" si="39"/>
        <v>48.785000000000004</v>
      </c>
      <c r="AA70" s="13">
        <v>0.5</v>
      </c>
      <c r="AB70" s="1">
        <f t="shared" si="35"/>
        <v>67.375</v>
      </c>
      <c r="AC70" s="1">
        <f t="shared" si="36"/>
        <v>116.16</v>
      </c>
      <c r="AD70" s="3">
        <f t="shared" si="37"/>
        <v>255.09000000000003</v>
      </c>
      <c r="AE70" s="3"/>
      <c r="AF70">
        <f t="shared" si="38"/>
        <v>183.535</v>
      </c>
    </row>
    <row r="71" spans="1:32" x14ac:dyDescent="0.35">
      <c r="A71">
        <f t="shared" si="41"/>
        <v>7</v>
      </c>
      <c r="B71" t="s">
        <v>56</v>
      </c>
      <c r="C71" t="s">
        <v>31</v>
      </c>
      <c r="D71">
        <v>25</v>
      </c>
      <c r="E71" t="s">
        <v>18</v>
      </c>
      <c r="F71">
        <v>500</v>
      </c>
      <c r="G71" s="14">
        <v>215000</v>
      </c>
      <c r="H71" s="15">
        <v>1412.67</v>
      </c>
      <c r="I71" s="14">
        <v>1828</v>
      </c>
      <c r="J71">
        <v>1</v>
      </c>
      <c r="K71">
        <v>0.23</v>
      </c>
      <c r="L71">
        <v>2.6</v>
      </c>
      <c r="M71">
        <v>3.3E-4</v>
      </c>
      <c r="N71">
        <v>3.5000000000000003E-2</v>
      </c>
      <c r="O71">
        <v>1</v>
      </c>
      <c r="P71">
        <v>0</v>
      </c>
      <c r="Q71">
        <v>0</v>
      </c>
      <c r="R71">
        <v>1</v>
      </c>
      <c r="S71" s="14">
        <v>9.1650000000000005E-5</v>
      </c>
      <c r="T71">
        <v>0</v>
      </c>
      <c r="U71">
        <v>4</v>
      </c>
      <c r="V71" s="1">
        <v>39.5</v>
      </c>
      <c r="W71">
        <v>18.100000000000001</v>
      </c>
      <c r="X71" s="8" t="s">
        <v>44</v>
      </c>
      <c r="Y71" s="1">
        <f t="shared" si="40"/>
        <v>28.25</v>
      </c>
      <c r="Z71" s="1">
        <f t="shared" si="39"/>
        <v>13.807500000000001</v>
      </c>
      <c r="AA71" s="13">
        <v>0.5</v>
      </c>
      <c r="AB71" s="1">
        <f t="shared" si="35"/>
        <v>14.125</v>
      </c>
      <c r="AC71" s="1">
        <f t="shared" si="36"/>
        <v>27.932500000000001</v>
      </c>
      <c r="AD71" s="3">
        <f t="shared" si="37"/>
        <v>58.848750000000003</v>
      </c>
      <c r="AE71" s="3"/>
      <c r="AF71">
        <f t="shared" si="38"/>
        <v>42.057500000000005</v>
      </c>
    </row>
    <row r="72" spans="1:32" x14ac:dyDescent="0.35">
      <c r="A72">
        <f t="shared" si="41"/>
        <v>7</v>
      </c>
      <c r="B72" t="s">
        <v>56</v>
      </c>
      <c r="C72" t="s">
        <v>46</v>
      </c>
      <c r="D72">
        <v>25</v>
      </c>
      <c r="E72" t="s">
        <v>18</v>
      </c>
      <c r="F72">
        <v>500</v>
      </c>
      <c r="G72" s="14">
        <v>215000</v>
      </c>
      <c r="H72" s="15">
        <v>1412.67</v>
      </c>
      <c r="I72" s="14">
        <v>1828</v>
      </c>
      <c r="J72">
        <v>1</v>
      </c>
      <c r="K72">
        <v>0.23</v>
      </c>
      <c r="L72">
        <v>2.6</v>
      </c>
      <c r="M72">
        <v>2.0999999999999999E-3</v>
      </c>
      <c r="N72">
        <v>0.06</v>
      </c>
      <c r="O72">
        <v>1</v>
      </c>
      <c r="P72" s="10">
        <v>2.0110000000000001E-4</v>
      </c>
      <c r="Q72" s="10">
        <v>0.04</v>
      </c>
      <c r="R72" s="10">
        <v>4</v>
      </c>
      <c r="S72" s="14">
        <v>9.1650000000000005E-5</v>
      </c>
      <c r="T72">
        <v>0</v>
      </c>
      <c r="U72" s="10">
        <f>5*0</f>
        <v>0</v>
      </c>
      <c r="V72" s="1">
        <v>102.5</v>
      </c>
      <c r="W72">
        <v>41.5</v>
      </c>
      <c r="X72" s="12">
        <v>0.1</v>
      </c>
      <c r="Y72" s="1">
        <f t="shared" si="40"/>
        <v>112.75</v>
      </c>
      <c r="Z72" s="1">
        <f t="shared" si="39"/>
        <v>45.65</v>
      </c>
      <c r="AA72" s="11">
        <v>0.5</v>
      </c>
      <c r="AB72" s="1">
        <f t="shared" si="35"/>
        <v>56.375</v>
      </c>
      <c r="AC72" s="1">
        <f t="shared" si="36"/>
        <v>102.02500000000001</v>
      </c>
      <c r="AD72" s="3">
        <f t="shared" si="37"/>
        <v>220.6875</v>
      </c>
      <c r="AE72" s="3"/>
      <c r="AF72">
        <f t="shared" si="38"/>
        <v>158.4</v>
      </c>
    </row>
    <row r="73" spans="1:32" x14ac:dyDescent="0.35">
      <c r="A73">
        <f t="shared" si="41"/>
        <v>7</v>
      </c>
      <c r="B73" t="s">
        <v>56</v>
      </c>
      <c r="C73" t="s">
        <v>47</v>
      </c>
      <c r="D73">
        <v>25</v>
      </c>
      <c r="E73" t="s">
        <v>18</v>
      </c>
      <c r="F73">
        <v>500</v>
      </c>
      <c r="G73" s="14">
        <v>215000</v>
      </c>
      <c r="H73" s="15">
        <v>1412.67</v>
      </c>
      <c r="I73" s="14">
        <v>1828</v>
      </c>
      <c r="J73">
        <v>1</v>
      </c>
      <c r="K73">
        <v>0.23</v>
      </c>
      <c r="L73">
        <v>2.6</v>
      </c>
      <c r="M73">
        <v>3.3E-4</v>
      </c>
      <c r="N73">
        <v>0.03</v>
      </c>
      <c r="O73">
        <v>1</v>
      </c>
      <c r="P73">
        <v>0</v>
      </c>
      <c r="Q73">
        <v>0</v>
      </c>
      <c r="R73">
        <v>1</v>
      </c>
      <c r="S73" s="14">
        <v>9.1650000000000005E-5</v>
      </c>
      <c r="T73">
        <v>0</v>
      </c>
      <c r="U73">
        <v>4</v>
      </c>
      <c r="V73" s="1">
        <v>31.7</v>
      </c>
      <c r="W73">
        <v>15.3</v>
      </c>
      <c r="X73" s="8" t="s">
        <v>44</v>
      </c>
      <c r="Y73" s="1">
        <f t="shared" si="40"/>
        <v>21.324999999999999</v>
      </c>
      <c r="Z73" s="1">
        <f t="shared" si="39"/>
        <v>11.324999999999999</v>
      </c>
      <c r="AA73" s="11">
        <v>0.5</v>
      </c>
      <c r="AB73" s="1">
        <f t="shared" si="35"/>
        <v>10.6625</v>
      </c>
      <c r="AC73" s="1">
        <f t="shared" si="36"/>
        <v>21.987499999999997</v>
      </c>
      <c r="AD73" s="3">
        <f t="shared" si="37"/>
        <v>45.776249999999997</v>
      </c>
      <c r="AE73" s="3"/>
      <c r="AF73">
        <f t="shared" si="38"/>
        <v>32.65</v>
      </c>
    </row>
    <row r="74" spans="1:32" x14ac:dyDescent="0.35">
      <c r="A74">
        <f t="shared" si="41"/>
        <v>7</v>
      </c>
      <c r="B74" t="s">
        <v>56</v>
      </c>
      <c r="C74" t="s">
        <v>48</v>
      </c>
      <c r="D74">
        <v>25</v>
      </c>
      <c r="E74" t="s">
        <v>18</v>
      </c>
      <c r="F74">
        <v>500</v>
      </c>
      <c r="G74" s="14">
        <v>215000</v>
      </c>
      <c r="H74" s="15">
        <v>1412.67</v>
      </c>
      <c r="I74" s="14">
        <v>1828</v>
      </c>
      <c r="J74">
        <v>1</v>
      </c>
      <c r="K74">
        <v>0.23</v>
      </c>
      <c r="L74">
        <v>2.6</v>
      </c>
      <c r="M74">
        <v>1.8993E-3</v>
      </c>
      <c r="N74">
        <v>7.0000000000000007E-2</v>
      </c>
      <c r="O74">
        <v>1</v>
      </c>
      <c r="P74">
        <v>0</v>
      </c>
      <c r="Q74">
        <v>0</v>
      </c>
      <c r="R74">
        <v>1</v>
      </c>
      <c r="S74" s="14">
        <v>9.1650000000000005E-5</v>
      </c>
      <c r="T74">
        <v>0</v>
      </c>
      <c r="U74">
        <v>2</v>
      </c>
      <c r="V74" s="1">
        <v>105</v>
      </c>
      <c r="W74">
        <v>38</v>
      </c>
      <c r="X74" s="12">
        <v>0.1</v>
      </c>
      <c r="Y74" s="1">
        <f t="shared" si="40"/>
        <v>115.5</v>
      </c>
      <c r="Z74" s="1">
        <f t="shared" si="39"/>
        <v>41.8</v>
      </c>
      <c r="AA74" s="13">
        <v>0.25</v>
      </c>
      <c r="AB74" s="1">
        <f t="shared" si="35"/>
        <v>86.625</v>
      </c>
      <c r="AC74" s="1">
        <f t="shared" si="36"/>
        <v>70.674999999999997</v>
      </c>
      <c r="AD74" s="3">
        <f t="shared" si="37"/>
        <v>218.625</v>
      </c>
      <c r="AE74" s="3"/>
      <c r="AF74">
        <f t="shared" si="38"/>
        <v>157.30000000000001</v>
      </c>
    </row>
    <row r="75" spans="1:32" x14ac:dyDescent="0.35">
      <c r="A75">
        <f t="shared" si="41"/>
        <v>7</v>
      </c>
      <c r="B75" t="s">
        <v>56</v>
      </c>
      <c r="C75" t="s">
        <v>49</v>
      </c>
      <c r="D75">
        <v>25</v>
      </c>
      <c r="E75" t="s">
        <v>18</v>
      </c>
      <c r="F75">
        <v>500</v>
      </c>
      <c r="G75" s="14">
        <v>215000</v>
      </c>
      <c r="H75" s="15">
        <v>1412.67</v>
      </c>
      <c r="I75" s="14">
        <v>1828</v>
      </c>
      <c r="J75">
        <v>1</v>
      </c>
      <c r="K75">
        <v>0.23</v>
      </c>
      <c r="L75">
        <v>2.6</v>
      </c>
      <c r="M75">
        <v>1.3338E-3</v>
      </c>
      <c r="N75">
        <v>0.03</v>
      </c>
      <c r="O75">
        <v>1</v>
      </c>
      <c r="P75">
        <v>0</v>
      </c>
      <c r="Q75">
        <v>0</v>
      </c>
      <c r="R75">
        <v>1</v>
      </c>
      <c r="S75" s="14">
        <v>9.1650000000000005E-5</v>
      </c>
      <c r="T75">
        <v>0</v>
      </c>
      <c r="U75">
        <v>1</v>
      </c>
      <c r="V75" s="1">
        <v>40.4</v>
      </c>
      <c r="W75">
        <v>15.6</v>
      </c>
      <c r="X75" s="8" t="s">
        <v>44</v>
      </c>
      <c r="Y75" s="1">
        <f t="shared" si="40"/>
        <v>35.15</v>
      </c>
      <c r="Z75" s="1">
        <f t="shared" si="39"/>
        <v>13.7</v>
      </c>
      <c r="AA75" s="2">
        <v>0</v>
      </c>
      <c r="AB75" s="1">
        <f t="shared" si="35"/>
        <v>35.15</v>
      </c>
      <c r="AC75" s="1">
        <f t="shared" si="36"/>
        <v>13.7</v>
      </c>
      <c r="AD75" s="3">
        <f t="shared" si="37"/>
        <v>68.002499999999998</v>
      </c>
      <c r="AE75" s="3"/>
      <c r="AF75">
        <f t="shared" si="38"/>
        <v>48.849999999999994</v>
      </c>
    </row>
    <row r="76" spans="1:32" x14ac:dyDescent="0.35">
      <c r="A76">
        <f t="shared" si="41"/>
        <v>7</v>
      </c>
      <c r="B76" t="s">
        <v>56</v>
      </c>
      <c r="C76" t="s">
        <v>55</v>
      </c>
      <c r="D76" s="5">
        <v>25</v>
      </c>
      <c r="E76" s="5" t="s">
        <v>18</v>
      </c>
      <c r="F76" s="5">
        <v>500</v>
      </c>
      <c r="G76" s="6">
        <v>220000</v>
      </c>
      <c r="H76" s="5">
        <v>1576</v>
      </c>
      <c r="I76" s="5">
        <v>1870</v>
      </c>
      <c r="J76" s="5">
        <v>1</v>
      </c>
      <c r="K76" s="5">
        <v>0.2</v>
      </c>
      <c r="L76" s="5">
        <v>2.2000000000000002</v>
      </c>
      <c r="M76" s="5">
        <v>1E-4</v>
      </c>
      <c r="N76" s="5">
        <v>0.03</v>
      </c>
      <c r="O76" s="5">
        <v>1</v>
      </c>
      <c r="P76" s="5">
        <v>0</v>
      </c>
      <c r="Q76" s="5">
        <v>0</v>
      </c>
      <c r="R76" s="5">
        <v>1</v>
      </c>
      <c r="S76" s="5">
        <v>0</v>
      </c>
      <c r="T76" s="5">
        <v>0</v>
      </c>
      <c r="U76" s="5">
        <v>0</v>
      </c>
      <c r="V76" s="7">
        <v>0</v>
      </c>
      <c r="W76" s="7">
        <v>0</v>
      </c>
      <c r="X76" s="5" t="s">
        <v>44</v>
      </c>
      <c r="Y76" s="1">
        <f t="shared" si="40"/>
        <v>0</v>
      </c>
      <c r="Z76" s="1">
        <f t="shared" si="39"/>
        <v>0</v>
      </c>
      <c r="AA76" s="2"/>
      <c r="AB76" s="1">
        <f t="shared" si="35"/>
        <v>0</v>
      </c>
      <c r="AC76" s="1">
        <f t="shared" si="36"/>
        <v>0</v>
      </c>
      <c r="AD76" s="3">
        <f t="shared" si="37"/>
        <v>0</v>
      </c>
      <c r="AE76" s="3"/>
      <c r="AF76">
        <f t="shared" si="38"/>
        <v>0</v>
      </c>
    </row>
    <row r="77" spans="1:32" x14ac:dyDescent="0.35">
      <c r="A77">
        <f t="shared" si="41"/>
        <v>8</v>
      </c>
      <c r="B77" t="s">
        <v>57</v>
      </c>
      <c r="C77" t="s">
        <v>19</v>
      </c>
      <c r="D77">
        <v>25</v>
      </c>
      <c r="E77" t="s">
        <v>18</v>
      </c>
      <c r="F77">
        <v>500</v>
      </c>
      <c r="G77" s="14">
        <v>215000</v>
      </c>
      <c r="H77" s="15">
        <v>1412.67</v>
      </c>
      <c r="I77" s="14">
        <v>1828</v>
      </c>
      <c r="J77">
        <v>1</v>
      </c>
      <c r="K77">
        <v>0.23</v>
      </c>
      <c r="L77">
        <v>2.6</v>
      </c>
      <c r="M77">
        <v>1.0009999999999999E-3</v>
      </c>
      <c r="N77">
        <v>0.04</v>
      </c>
      <c r="O77">
        <v>1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 s="1">
        <v>32</v>
      </c>
      <c r="W77">
        <v>10.3</v>
      </c>
      <c r="X77" s="8" t="s">
        <v>44</v>
      </c>
      <c r="Y77" s="1">
        <f>IFERROR(IF(ISNUMBER(SEARCH("Appui",C77)),V77+X77*V77,IF(#REF!&lt;A77,V77-X78*V78/2,IF(A77&lt;A78,V77-(#REF!*#REF!)/2,V77-(X78*V78+#REF!*#REF!)/2))),0)</f>
        <v>0</v>
      </c>
      <c r="Z77" s="1">
        <f>IFERROR(IF(ISNUMBER(SEARCH("Appui",C77)),W77+X77*W77,IF(#REF!&lt;A77,W77-X78*W78/2,IF(A77&lt;A78,W77-(#REF!*#REF!)/2,W77-(X78*W78+#REF!*#REF!)/2))),0)</f>
        <v>0</v>
      </c>
      <c r="AA77" s="2">
        <v>0</v>
      </c>
      <c r="AB77" s="1">
        <f t="shared" ref="AB77:AB124" si="42">Y77*(1-AA77)</f>
        <v>0</v>
      </c>
      <c r="AC77" s="1">
        <f t="shared" ref="AC77:AC124" si="43">Y77*AA77 + Z77</f>
        <v>0</v>
      </c>
      <c r="AD77" s="3">
        <f t="shared" ref="AD77:AD124" si="44">1.35*Y77+1.5*Z77</f>
        <v>0</v>
      </c>
      <c r="AE77" s="3"/>
      <c r="AF77">
        <f t="shared" ref="AF77:AF124" si="45">AB77+AC77</f>
        <v>0</v>
      </c>
    </row>
    <row r="78" spans="1:32" x14ac:dyDescent="0.35">
      <c r="A78">
        <f t="shared" si="41"/>
        <v>8</v>
      </c>
      <c r="B78" t="s">
        <v>57</v>
      </c>
      <c r="C78" t="s">
        <v>20</v>
      </c>
      <c r="D78">
        <v>25</v>
      </c>
      <c r="E78" t="s">
        <v>18</v>
      </c>
      <c r="F78">
        <v>500</v>
      </c>
      <c r="G78" s="14">
        <v>215000</v>
      </c>
      <c r="H78" s="15">
        <v>1412.67</v>
      </c>
      <c r="I78" s="14">
        <v>1828</v>
      </c>
      <c r="J78">
        <v>1</v>
      </c>
      <c r="K78">
        <v>0.23</v>
      </c>
      <c r="L78">
        <v>2.6</v>
      </c>
      <c r="M78">
        <v>1.3078E-3</v>
      </c>
      <c r="N78">
        <v>7.0000000000000007E-2</v>
      </c>
      <c r="O78">
        <v>1</v>
      </c>
      <c r="P78">
        <v>0</v>
      </c>
      <c r="Q78">
        <v>0</v>
      </c>
      <c r="R78">
        <v>1</v>
      </c>
      <c r="S78" s="14">
        <v>9.1650000000000005E-5</v>
      </c>
      <c r="T78">
        <v>0</v>
      </c>
      <c r="U78">
        <v>2</v>
      </c>
      <c r="V78" s="1">
        <v>63</v>
      </c>
      <c r="W78">
        <v>18.5</v>
      </c>
      <c r="X78" s="8">
        <v>0</v>
      </c>
      <c r="Y78" s="1">
        <f>IFERROR(IF(ISNUMBER(SEARCH("Appui",C78)),V78+X78*V78,IF(A77&lt;A78,V78-X79*V79/2,IF(A78&lt;A79,V78-(X77*V77)/2,V78-(X79*V79+X77*V77)/2))),0)</f>
        <v>63</v>
      </c>
      <c r="Z78" s="1">
        <f t="shared" ref="Z78" si="46">IFERROR(IF(ISNUMBER(SEARCH("Appui",C78)),W78+X78*W78,IF(A77&lt;A78,W78-X79*W79/2,IF(A78&lt;A79,W78-(X77*W77)/2,W78-(X79*W79+X77*W77)/2))),0)</f>
        <v>18.5</v>
      </c>
      <c r="AA78" s="2">
        <v>0</v>
      </c>
      <c r="AB78" s="1">
        <f t="shared" si="42"/>
        <v>63</v>
      </c>
      <c r="AC78" s="1">
        <f t="shared" si="43"/>
        <v>18.5</v>
      </c>
      <c r="AD78" s="3">
        <f t="shared" si="44"/>
        <v>112.80000000000001</v>
      </c>
      <c r="AE78" s="3"/>
      <c r="AF78">
        <f t="shared" si="45"/>
        <v>81.5</v>
      </c>
    </row>
    <row r="79" spans="1:32" x14ac:dyDescent="0.35">
      <c r="A79">
        <f t="shared" si="41"/>
        <v>8</v>
      </c>
      <c r="B79" t="s">
        <v>57</v>
      </c>
      <c r="C79" t="s">
        <v>23</v>
      </c>
      <c r="D79" s="5">
        <v>25</v>
      </c>
      <c r="E79" s="5" t="s">
        <v>18</v>
      </c>
      <c r="F79" s="5">
        <v>500</v>
      </c>
      <c r="G79" s="6">
        <v>220000</v>
      </c>
      <c r="H79" s="5">
        <v>1576</v>
      </c>
      <c r="I79" s="5">
        <v>1870</v>
      </c>
      <c r="J79" s="5">
        <v>1</v>
      </c>
      <c r="K79" s="5">
        <v>0.2</v>
      </c>
      <c r="L79" s="5">
        <v>2.2000000000000002</v>
      </c>
      <c r="M79" s="10">
        <v>1E-3</v>
      </c>
      <c r="N79" s="5">
        <v>0.03</v>
      </c>
      <c r="O79" s="5">
        <v>1</v>
      </c>
      <c r="P79" s="5">
        <v>0</v>
      </c>
      <c r="Q79" s="5">
        <v>0</v>
      </c>
      <c r="R79" s="5">
        <v>1</v>
      </c>
      <c r="S79" s="5">
        <v>0</v>
      </c>
      <c r="T79" s="5">
        <v>0</v>
      </c>
      <c r="U79" s="5">
        <v>0</v>
      </c>
      <c r="V79" s="7">
        <v>0</v>
      </c>
      <c r="W79" s="7">
        <v>0</v>
      </c>
      <c r="X79" s="5" t="s">
        <v>44</v>
      </c>
      <c r="Y79" s="5">
        <v>0</v>
      </c>
      <c r="Z79" s="5">
        <v>0</v>
      </c>
      <c r="AA79" s="13">
        <v>0.25</v>
      </c>
      <c r="AB79" s="1">
        <f t="shared" si="42"/>
        <v>0</v>
      </c>
      <c r="AC79" s="1">
        <f t="shared" si="43"/>
        <v>0</v>
      </c>
      <c r="AD79" s="3">
        <f t="shared" si="44"/>
        <v>0</v>
      </c>
      <c r="AE79" s="3"/>
      <c r="AF79">
        <f t="shared" si="45"/>
        <v>0</v>
      </c>
    </row>
    <row r="80" spans="1:32" x14ac:dyDescent="0.35">
      <c r="A80">
        <f t="shared" si="41"/>
        <v>8</v>
      </c>
      <c r="B80" t="s">
        <v>57</v>
      </c>
      <c r="C80" t="s">
        <v>24</v>
      </c>
      <c r="D80">
        <v>25</v>
      </c>
      <c r="E80" t="s">
        <v>18</v>
      </c>
      <c r="F80">
        <v>500</v>
      </c>
      <c r="G80" s="14">
        <v>215000</v>
      </c>
      <c r="H80" s="15">
        <v>1412.67</v>
      </c>
      <c r="I80" s="14">
        <v>1828</v>
      </c>
      <c r="J80">
        <v>1</v>
      </c>
      <c r="K80">
        <v>0.23</v>
      </c>
      <c r="L80">
        <v>2.6</v>
      </c>
      <c r="M80" s="10">
        <f>0.0013286 + 12*1.131*0.0001</f>
        <v>2.6858000000000003E-3</v>
      </c>
      <c r="N80">
        <v>0.06</v>
      </c>
      <c r="O80">
        <v>1</v>
      </c>
      <c r="P80" s="10">
        <f>3.14*10^(-4)</f>
        <v>3.1400000000000004E-4</v>
      </c>
      <c r="Q80" s="10">
        <v>0.04</v>
      </c>
      <c r="R80" s="10">
        <f>4*0</f>
        <v>0</v>
      </c>
      <c r="S80" s="14">
        <v>9.1650000000000005E-5</v>
      </c>
      <c r="T80">
        <v>0</v>
      </c>
      <c r="U80" s="10">
        <v>2</v>
      </c>
      <c r="V80" s="1">
        <v>107.5</v>
      </c>
      <c r="W80">
        <v>34</v>
      </c>
      <c r="X80" s="12">
        <v>0</v>
      </c>
      <c r="Y80" s="1">
        <f t="shared" ref="Y80:Y93" si="47">IFERROR(IF(ISNUMBER(SEARCH("Appui",C80)),V80+X80*V80,IF(A79&lt;A80,V80-X81*V81/2,IF(A80&lt;A81,V80-(X79*V79)/2,V80-(X81*V81+X79*V79)/2))),0)</f>
        <v>107.5</v>
      </c>
      <c r="Z80" s="1">
        <f t="shared" ref="Z80:Z108" si="48">IFERROR(IF(ISNUMBER(SEARCH("Appui",C80)),W80+X80*W80,IF(A79&lt;A80,W80-X81*W81/2,IF(A80&lt;A81,W80-(X79*W79)/2,W80-(X81*W81+X79*W79)/2))),0)</f>
        <v>34</v>
      </c>
      <c r="AA80" s="13">
        <v>0.5</v>
      </c>
      <c r="AB80" s="1">
        <f t="shared" si="42"/>
        <v>53.75</v>
      </c>
      <c r="AC80" s="1">
        <f t="shared" si="43"/>
        <v>87.75</v>
      </c>
      <c r="AD80" s="3">
        <f t="shared" si="44"/>
        <v>196.125</v>
      </c>
      <c r="AE80" s="3"/>
      <c r="AF80">
        <f t="shared" si="45"/>
        <v>141.5</v>
      </c>
    </row>
    <row r="81" spans="1:32" x14ac:dyDescent="0.35">
      <c r="A81">
        <f t="shared" si="41"/>
        <v>8</v>
      </c>
      <c r="B81" t="s">
        <v>57</v>
      </c>
      <c r="C81" t="s">
        <v>25</v>
      </c>
      <c r="D81">
        <v>25</v>
      </c>
      <c r="E81" t="s">
        <v>18</v>
      </c>
      <c r="F81">
        <v>500</v>
      </c>
      <c r="G81" s="14">
        <v>215000</v>
      </c>
      <c r="H81" s="15">
        <v>1412.67</v>
      </c>
      <c r="I81" s="14">
        <v>1828</v>
      </c>
      <c r="J81">
        <v>1</v>
      </c>
      <c r="K81">
        <v>0.23</v>
      </c>
      <c r="L81">
        <v>2.6</v>
      </c>
      <c r="M81">
        <v>3.3280000000000001E-4</v>
      </c>
      <c r="N81">
        <v>0.03</v>
      </c>
      <c r="O81">
        <v>1</v>
      </c>
      <c r="P81">
        <v>0</v>
      </c>
      <c r="Q81">
        <v>0</v>
      </c>
      <c r="R81">
        <v>1</v>
      </c>
      <c r="S81" s="14">
        <v>9.1650000000000005E-5</v>
      </c>
      <c r="T81">
        <v>0</v>
      </c>
      <c r="U81">
        <v>3</v>
      </c>
      <c r="V81" s="1">
        <v>35.4</v>
      </c>
      <c r="W81">
        <v>15.9</v>
      </c>
      <c r="X81" s="8" t="s">
        <v>44</v>
      </c>
      <c r="Y81" s="1">
        <f t="shared" si="47"/>
        <v>29.95</v>
      </c>
      <c r="Z81" s="1">
        <f t="shared" si="48"/>
        <v>13.8</v>
      </c>
      <c r="AA81" s="11">
        <v>0.5</v>
      </c>
      <c r="AB81" s="1">
        <f t="shared" si="42"/>
        <v>14.975</v>
      </c>
      <c r="AC81" s="1">
        <f t="shared" si="43"/>
        <v>28.774999999999999</v>
      </c>
      <c r="AD81" s="3">
        <f t="shared" si="44"/>
        <v>61.132500000000007</v>
      </c>
      <c r="AE81" s="3"/>
      <c r="AF81">
        <f t="shared" si="45"/>
        <v>43.75</v>
      </c>
    </row>
    <row r="82" spans="1:32" x14ac:dyDescent="0.35">
      <c r="A82">
        <f t="shared" si="41"/>
        <v>8</v>
      </c>
      <c r="B82" t="s">
        <v>57</v>
      </c>
      <c r="C82" t="s">
        <v>26</v>
      </c>
      <c r="D82">
        <v>25</v>
      </c>
      <c r="E82" t="s">
        <v>18</v>
      </c>
      <c r="F82">
        <v>500</v>
      </c>
      <c r="G82" s="14">
        <v>215000</v>
      </c>
      <c r="H82" s="15">
        <v>1412.67</v>
      </c>
      <c r="I82" s="14">
        <v>1828</v>
      </c>
      <c r="J82">
        <v>1</v>
      </c>
      <c r="K82" s="10">
        <f>0.23+0.21</f>
        <v>0.44</v>
      </c>
      <c r="L82" s="10">
        <f>2.6*0+1.4*1</f>
        <v>1.4</v>
      </c>
      <c r="M82">
        <v>2.1032999999999998E-3</v>
      </c>
      <c r="N82">
        <v>0.06</v>
      </c>
      <c r="O82">
        <v>1</v>
      </c>
      <c r="P82" s="10">
        <v>2.0110000000000001E-4</v>
      </c>
      <c r="Q82" s="10">
        <v>0.04</v>
      </c>
      <c r="R82" s="10">
        <f>4*0</f>
        <v>0</v>
      </c>
      <c r="S82" s="14">
        <v>9.1650000000000005E-5</v>
      </c>
      <c r="T82">
        <v>0</v>
      </c>
      <c r="U82" s="10">
        <v>2</v>
      </c>
      <c r="V82" s="1">
        <v>109</v>
      </c>
      <c r="W82">
        <v>42</v>
      </c>
      <c r="X82" s="12">
        <v>0.1</v>
      </c>
      <c r="Y82" s="1">
        <f t="shared" si="47"/>
        <v>119.9</v>
      </c>
      <c r="Z82" s="1">
        <f t="shared" si="48"/>
        <v>46.2</v>
      </c>
      <c r="AA82" s="13">
        <v>0.5</v>
      </c>
      <c r="AB82" s="1">
        <f t="shared" si="42"/>
        <v>59.95</v>
      </c>
      <c r="AC82" s="1">
        <f t="shared" si="43"/>
        <v>106.15</v>
      </c>
      <c r="AD82" s="3">
        <f t="shared" si="44"/>
        <v>231.16500000000002</v>
      </c>
      <c r="AE82" s="3"/>
      <c r="AF82">
        <f t="shared" si="45"/>
        <v>166.10000000000002</v>
      </c>
    </row>
    <row r="83" spans="1:32" x14ac:dyDescent="0.35">
      <c r="A83">
        <f t="shared" ref="A83:A140" si="49">IF(B83=B82,A82,A82+1)</f>
        <v>8</v>
      </c>
      <c r="B83" t="s">
        <v>57</v>
      </c>
      <c r="C83" t="s">
        <v>27</v>
      </c>
      <c r="D83">
        <v>25</v>
      </c>
      <c r="E83" t="s">
        <v>18</v>
      </c>
      <c r="F83">
        <v>500</v>
      </c>
      <c r="G83" s="14">
        <v>215000</v>
      </c>
      <c r="H83" s="15">
        <v>1412.67</v>
      </c>
      <c r="I83" s="14">
        <v>1828</v>
      </c>
      <c r="J83">
        <v>1</v>
      </c>
      <c r="K83">
        <v>0.23</v>
      </c>
      <c r="L83">
        <v>2.6</v>
      </c>
      <c r="M83">
        <v>1E-3</v>
      </c>
      <c r="N83">
        <v>0.05</v>
      </c>
      <c r="O83">
        <v>1</v>
      </c>
      <c r="P83">
        <v>0</v>
      </c>
      <c r="Q83">
        <v>0</v>
      </c>
      <c r="R83">
        <v>1</v>
      </c>
      <c r="S83" s="14">
        <v>9.1650000000000005E-5</v>
      </c>
      <c r="T83">
        <v>0</v>
      </c>
      <c r="U83">
        <v>2</v>
      </c>
      <c r="V83" s="1">
        <v>38.9</v>
      </c>
      <c r="W83">
        <v>18.2</v>
      </c>
      <c r="X83" s="8" t="s">
        <v>44</v>
      </c>
      <c r="Y83" s="1">
        <f t="shared" si="47"/>
        <v>27.574999999999999</v>
      </c>
      <c r="Z83" s="1">
        <f t="shared" si="48"/>
        <v>13.924999999999999</v>
      </c>
      <c r="AA83" s="13">
        <v>0.5</v>
      </c>
      <c r="AB83" s="1">
        <f t="shared" si="42"/>
        <v>13.7875</v>
      </c>
      <c r="AC83" s="1">
        <f t="shared" si="43"/>
        <v>27.712499999999999</v>
      </c>
      <c r="AD83" s="3">
        <f t="shared" si="44"/>
        <v>58.113749999999996</v>
      </c>
      <c r="AE83" s="3"/>
      <c r="AF83">
        <f t="shared" si="45"/>
        <v>41.5</v>
      </c>
    </row>
    <row r="84" spans="1:32" x14ac:dyDescent="0.35">
      <c r="A84">
        <f t="shared" si="49"/>
        <v>8</v>
      </c>
      <c r="B84" t="s">
        <v>57</v>
      </c>
      <c r="C84" t="s">
        <v>28</v>
      </c>
      <c r="D84">
        <v>25</v>
      </c>
      <c r="E84" t="s">
        <v>18</v>
      </c>
      <c r="F84">
        <v>500</v>
      </c>
      <c r="G84" s="14">
        <v>215000</v>
      </c>
      <c r="H84" s="15">
        <v>1412.67</v>
      </c>
      <c r="I84" s="14">
        <v>1828</v>
      </c>
      <c r="J84">
        <v>1</v>
      </c>
      <c r="K84" s="10">
        <f>0.23+0.21</f>
        <v>0.44</v>
      </c>
      <c r="L84" s="10">
        <f>2.6*0+2*1</f>
        <v>2</v>
      </c>
      <c r="M84">
        <v>2.0999999999999999E-3</v>
      </c>
      <c r="N84">
        <v>0.06</v>
      </c>
      <c r="O84">
        <v>1</v>
      </c>
      <c r="P84" s="10">
        <v>2.0110000000000001E-4</v>
      </c>
      <c r="Q84" s="10">
        <v>0.04</v>
      </c>
      <c r="R84" s="10">
        <f>4*0</f>
        <v>0</v>
      </c>
      <c r="S84" s="14">
        <v>9.1650000000000005E-5</v>
      </c>
      <c r="T84">
        <v>0</v>
      </c>
      <c r="U84" s="10">
        <v>2</v>
      </c>
      <c r="V84" s="1">
        <v>117.5</v>
      </c>
      <c r="W84">
        <v>43.5</v>
      </c>
      <c r="X84" s="12">
        <v>0.1</v>
      </c>
      <c r="Y84" s="1">
        <f t="shared" si="47"/>
        <v>129.25</v>
      </c>
      <c r="Z84" s="1">
        <f t="shared" si="48"/>
        <v>47.85</v>
      </c>
      <c r="AA84" s="13">
        <v>0.5</v>
      </c>
      <c r="AB84" s="1">
        <f t="shared" si="42"/>
        <v>64.625</v>
      </c>
      <c r="AC84" s="1">
        <f t="shared" si="43"/>
        <v>112.47499999999999</v>
      </c>
      <c r="AD84" s="3">
        <f t="shared" si="44"/>
        <v>246.26250000000002</v>
      </c>
      <c r="AE84" s="3"/>
      <c r="AF84">
        <f t="shared" si="45"/>
        <v>177.1</v>
      </c>
    </row>
    <row r="85" spans="1:32" x14ac:dyDescent="0.35">
      <c r="A85">
        <f t="shared" si="49"/>
        <v>8</v>
      </c>
      <c r="B85" t="s">
        <v>57</v>
      </c>
      <c r="C85" t="s">
        <v>29</v>
      </c>
      <c r="D85">
        <v>25</v>
      </c>
      <c r="E85" t="s">
        <v>18</v>
      </c>
      <c r="F85">
        <v>500</v>
      </c>
      <c r="G85" s="14">
        <v>215000</v>
      </c>
      <c r="H85" s="15">
        <v>1412.67</v>
      </c>
      <c r="I85" s="14">
        <v>1828</v>
      </c>
      <c r="J85">
        <v>1</v>
      </c>
      <c r="K85">
        <v>0.23</v>
      </c>
      <c r="L85">
        <v>2.6</v>
      </c>
      <c r="M85">
        <v>3.3E-4</v>
      </c>
      <c r="N85">
        <v>0.03</v>
      </c>
      <c r="O85">
        <v>1</v>
      </c>
      <c r="P85">
        <v>0</v>
      </c>
      <c r="Q85">
        <v>0</v>
      </c>
      <c r="R85">
        <v>1</v>
      </c>
      <c r="S85" s="14">
        <v>9.1650000000000005E-5</v>
      </c>
      <c r="T85">
        <v>0</v>
      </c>
      <c r="U85">
        <v>4</v>
      </c>
      <c r="V85" s="1">
        <v>38.5</v>
      </c>
      <c r="W85">
        <v>18.7</v>
      </c>
      <c r="X85" s="8" t="s">
        <v>44</v>
      </c>
      <c r="Y85" s="1">
        <f t="shared" si="47"/>
        <v>26.5</v>
      </c>
      <c r="Z85" s="1">
        <f t="shared" si="48"/>
        <v>14.307499999999999</v>
      </c>
      <c r="AA85" s="13">
        <v>0.5</v>
      </c>
      <c r="AB85" s="1">
        <f t="shared" si="42"/>
        <v>13.25</v>
      </c>
      <c r="AC85" s="1">
        <f t="shared" si="43"/>
        <v>27.557499999999997</v>
      </c>
      <c r="AD85" s="3">
        <f t="shared" si="44"/>
        <v>57.236250000000005</v>
      </c>
      <c r="AE85" s="3"/>
      <c r="AF85">
        <f t="shared" si="45"/>
        <v>40.807499999999997</v>
      </c>
    </row>
    <row r="86" spans="1:32" x14ac:dyDescent="0.35">
      <c r="A86">
        <f t="shared" si="49"/>
        <v>8</v>
      </c>
      <c r="B86" t="s">
        <v>57</v>
      </c>
      <c r="C86" t="s">
        <v>30</v>
      </c>
      <c r="D86">
        <v>25</v>
      </c>
      <c r="E86" t="s">
        <v>18</v>
      </c>
      <c r="F86">
        <v>500</v>
      </c>
      <c r="G86" s="14">
        <v>215000</v>
      </c>
      <c r="H86" s="15">
        <v>1412.67</v>
      </c>
      <c r="I86" s="14">
        <v>1828</v>
      </c>
      <c r="J86">
        <v>1</v>
      </c>
      <c r="K86" s="10">
        <f>0.23+0.21</f>
        <v>0.44</v>
      </c>
      <c r="L86" s="10">
        <f>2.6*0+2*1</f>
        <v>2</v>
      </c>
      <c r="M86">
        <v>2.0999999999999999E-3</v>
      </c>
      <c r="N86">
        <v>0.06</v>
      </c>
      <c r="O86">
        <v>1</v>
      </c>
      <c r="P86" s="10">
        <f>3.14*10^(-4)</f>
        <v>3.1400000000000004E-4</v>
      </c>
      <c r="Q86" s="10">
        <v>0.04</v>
      </c>
      <c r="R86" s="10">
        <f>4*0</f>
        <v>0</v>
      </c>
      <c r="S86" s="14">
        <v>9.1650000000000005E-5</v>
      </c>
      <c r="T86">
        <v>0</v>
      </c>
      <c r="U86" s="10">
        <v>2</v>
      </c>
      <c r="V86" s="1">
        <v>122.5</v>
      </c>
      <c r="W86">
        <v>44.35</v>
      </c>
      <c r="X86" s="12">
        <v>0.1</v>
      </c>
      <c r="Y86" s="1">
        <f t="shared" si="47"/>
        <v>134.75</v>
      </c>
      <c r="Z86" s="1">
        <f t="shared" si="48"/>
        <v>48.785000000000004</v>
      </c>
      <c r="AA86" s="13">
        <v>0.5</v>
      </c>
      <c r="AB86" s="1">
        <f t="shared" si="42"/>
        <v>67.375</v>
      </c>
      <c r="AC86" s="1">
        <f t="shared" si="43"/>
        <v>116.16</v>
      </c>
      <c r="AD86" s="3">
        <f t="shared" si="44"/>
        <v>255.09000000000003</v>
      </c>
      <c r="AE86" s="3"/>
      <c r="AF86">
        <f t="shared" si="45"/>
        <v>183.535</v>
      </c>
    </row>
    <row r="87" spans="1:32" x14ac:dyDescent="0.35">
      <c r="A87">
        <f t="shared" si="49"/>
        <v>8</v>
      </c>
      <c r="B87" t="s">
        <v>57</v>
      </c>
      <c r="C87" t="s">
        <v>31</v>
      </c>
      <c r="D87">
        <v>25</v>
      </c>
      <c r="E87" t="s">
        <v>18</v>
      </c>
      <c r="F87">
        <v>500</v>
      </c>
      <c r="G87" s="14">
        <v>215000</v>
      </c>
      <c r="H87" s="15">
        <v>1412.67</v>
      </c>
      <c r="I87" s="14">
        <v>1828</v>
      </c>
      <c r="J87">
        <v>1</v>
      </c>
      <c r="K87">
        <v>0.23</v>
      </c>
      <c r="L87">
        <v>2.6</v>
      </c>
      <c r="M87">
        <v>3.3E-4</v>
      </c>
      <c r="N87">
        <v>3.5000000000000003E-2</v>
      </c>
      <c r="O87">
        <v>1</v>
      </c>
      <c r="P87">
        <v>0</v>
      </c>
      <c r="Q87">
        <v>0</v>
      </c>
      <c r="R87">
        <v>1</v>
      </c>
      <c r="S87" s="14">
        <v>9.1650000000000005E-5</v>
      </c>
      <c r="T87">
        <v>0</v>
      </c>
      <c r="U87">
        <v>4</v>
      </c>
      <c r="V87" s="1">
        <v>39.5</v>
      </c>
      <c r="W87">
        <v>18.100000000000001</v>
      </c>
      <c r="X87" s="8" t="s">
        <v>44</v>
      </c>
      <c r="Y87" s="1">
        <f t="shared" si="47"/>
        <v>28.25</v>
      </c>
      <c r="Z87" s="1">
        <f t="shared" si="48"/>
        <v>13.807500000000001</v>
      </c>
      <c r="AA87" s="13">
        <v>0.5</v>
      </c>
      <c r="AB87" s="1">
        <f t="shared" si="42"/>
        <v>14.125</v>
      </c>
      <c r="AC87" s="1">
        <f t="shared" si="43"/>
        <v>27.932500000000001</v>
      </c>
      <c r="AD87" s="3">
        <f t="shared" si="44"/>
        <v>58.848750000000003</v>
      </c>
      <c r="AE87" s="3"/>
      <c r="AF87">
        <f t="shared" si="45"/>
        <v>42.057500000000005</v>
      </c>
    </row>
    <row r="88" spans="1:32" x14ac:dyDescent="0.35">
      <c r="A88">
        <f t="shared" si="49"/>
        <v>8</v>
      </c>
      <c r="B88" t="s">
        <v>57</v>
      </c>
      <c r="C88" t="s">
        <v>46</v>
      </c>
      <c r="D88">
        <v>25</v>
      </c>
      <c r="E88" t="s">
        <v>18</v>
      </c>
      <c r="F88">
        <v>500</v>
      </c>
      <c r="G88" s="14">
        <v>215000</v>
      </c>
      <c r="H88" s="15">
        <v>1412.67</v>
      </c>
      <c r="I88" s="14">
        <v>1828</v>
      </c>
      <c r="J88">
        <v>1</v>
      </c>
      <c r="K88" s="10">
        <f>0.23+0.21</f>
        <v>0.44</v>
      </c>
      <c r="L88" s="10">
        <f>2.6*0+2*1</f>
        <v>2</v>
      </c>
      <c r="M88">
        <v>2.0999999999999999E-3</v>
      </c>
      <c r="N88">
        <v>0.06</v>
      </c>
      <c r="O88">
        <v>1</v>
      </c>
      <c r="P88" s="10">
        <v>2.0110000000000001E-4</v>
      </c>
      <c r="Q88" s="10">
        <v>0.04</v>
      </c>
      <c r="R88" s="10">
        <f>4*0</f>
        <v>0</v>
      </c>
      <c r="S88" s="14">
        <v>9.1650000000000005E-5</v>
      </c>
      <c r="T88">
        <v>0</v>
      </c>
      <c r="U88" s="10">
        <v>2</v>
      </c>
      <c r="V88" s="1">
        <v>102.5</v>
      </c>
      <c r="W88">
        <v>41.5</v>
      </c>
      <c r="X88" s="12">
        <v>0.1</v>
      </c>
      <c r="Y88" s="1">
        <f t="shared" si="47"/>
        <v>112.75</v>
      </c>
      <c r="Z88" s="1">
        <f t="shared" si="48"/>
        <v>45.65</v>
      </c>
      <c r="AA88" s="11">
        <v>0.5</v>
      </c>
      <c r="AB88" s="1">
        <f t="shared" si="42"/>
        <v>56.375</v>
      </c>
      <c r="AC88" s="1">
        <f t="shared" si="43"/>
        <v>102.02500000000001</v>
      </c>
      <c r="AD88" s="3">
        <f t="shared" si="44"/>
        <v>220.6875</v>
      </c>
      <c r="AE88" s="3"/>
      <c r="AF88">
        <f t="shared" si="45"/>
        <v>158.4</v>
      </c>
    </row>
    <row r="89" spans="1:32" x14ac:dyDescent="0.35">
      <c r="A89">
        <f t="shared" si="49"/>
        <v>8</v>
      </c>
      <c r="B89" t="s">
        <v>57</v>
      </c>
      <c r="C89" t="s">
        <v>47</v>
      </c>
      <c r="D89">
        <v>25</v>
      </c>
      <c r="E89" t="s">
        <v>18</v>
      </c>
      <c r="F89">
        <v>500</v>
      </c>
      <c r="G89" s="14">
        <v>215000</v>
      </c>
      <c r="H89" s="15">
        <v>1412.67</v>
      </c>
      <c r="I89" s="14">
        <v>1828</v>
      </c>
      <c r="J89">
        <v>1</v>
      </c>
      <c r="K89">
        <v>0.23</v>
      </c>
      <c r="L89">
        <v>2.6</v>
      </c>
      <c r="M89">
        <v>3.3E-4</v>
      </c>
      <c r="N89">
        <v>0.03</v>
      </c>
      <c r="O89">
        <v>1</v>
      </c>
      <c r="P89">
        <v>0</v>
      </c>
      <c r="Q89">
        <v>0</v>
      </c>
      <c r="R89">
        <v>1</v>
      </c>
      <c r="S89" s="14">
        <v>9.1650000000000005E-5</v>
      </c>
      <c r="T89">
        <v>0</v>
      </c>
      <c r="U89">
        <v>4</v>
      </c>
      <c r="V89" s="1">
        <v>31.7</v>
      </c>
      <c r="W89">
        <v>15.3</v>
      </c>
      <c r="X89" s="8" t="s">
        <v>44</v>
      </c>
      <c r="Y89" s="1">
        <f t="shared" si="47"/>
        <v>21.324999999999999</v>
      </c>
      <c r="Z89" s="1">
        <f t="shared" si="48"/>
        <v>11.324999999999999</v>
      </c>
      <c r="AA89" s="11">
        <v>0.5</v>
      </c>
      <c r="AB89" s="1">
        <f t="shared" si="42"/>
        <v>10.6625</v>
      </c>
      <c r="AC89" s="1">
        <f t="shared" si="43"/>
        <v>21.987499999999997</v>
      </c>
      <c r="AD89" s="3">
        <f t="shared" si="44"/>
        <v>45.776249999999997</v>
      </c>
      <c r="AE89" s="3"/>
      <c r="AF89">
        <f t="shared" si="45"/>
        <v>32.65</v>
      </c>
    </row>
    <row r="90" spans="1:32" x14ac:dyDescent="0.35">
      <c r="A90">
        <f t="shared" si="49"/>
        <v>8</v>
      </c>
      <c r="B90" t="s">
        <v>57</v>
      </c>
      <c r="C90" t="s">
        <v>48</v>
      </c>
      <c r="D90">
        <v>25</v>
      </c>
      <c r="E90" t="s">
        <v>18</v>
      </c>
      <c r="F90">
        <v>500</v>
      </c>
      <c r="G90" s="14">
        <v>215000</v>
      </c>
      <c r="H90" s="15">
        <v>1412.67</v>
      </c>
      <c r="I90" s="14">
        <v>1828</v>
      </c>
      <c r="J90">
        <v>1</v>
      </c>
      <c r="K90" s="10">
        <f>0.23+0.21</f>
        <v>0.44</v>
      </c>
      <c r="L90" s="10">
        <f>2.6*0+2*1</f>
        <v>2</v>
      </c>
      <c r="M90">
        <v>1.8993E-3</v>
      </c>
      <c r="N90">
        <v>7.0000000000000007E-2</v>
      </c>
      <c r="O90">
        <v>1</v>
      </c>
      <c r="P90">
        <v>0</v>
      </c>
      <c r="Q90">
        <v>0</v>
      </c>
      <c r="R90">
        <v>1</v>
      </c>
      <c r="S90" s="14">
        <v>9.1650000000000005E-5</v>
      </c>
      <c r="T90">
        <v>0</v>
      </c>
      <c r="U90">
        <v>2</v>
      </c>
      <c r="V90" s="1">
        <v>105</v>
      </c>
      <c r="W90">
        <v>38</v>
      </c>
      <c r="X90" s="12">
        <v>0.1</v>
      </c>
      <c r="Y90" s="1">
        <f t="shared" si="47"/>
        <v>115.5</v>
      </c>
      <c r="Z90" s="1">
        <f t="shared" si="48"/>
        <v>41.8</v>
      </c>
      <c r="AA90" s="13">
        <v>0.25</v>
      </c>
      <c r="AB90" s="1">
        <f t="shared" si="42"/>
        <v>86.625</v>
      </c>
      <c r="AC90" s="1">
        <f t="shared" si="43"/>
        <v>70.674999999999997</v>
      </c>
      <c r="AD90" s="3">
        <f t="shared" si="44"/>
        <v>218.625</v>
      </c>
      <c r="AE90" s="3"/>
      <c r="AF90">
        <f t="shared" si="45"/>
        <v>157.30000000000001</v>
      </c>
    </row>
    <row r="91" spans="1:32" x14ac:dyDescent="0.35">
      <c r="A91">
        <f t="shared" si="49"/>
        <v>8</v>
      </c>
      <c r="B91" t="s">
        <v>57</v>
      </c>
      <c r="C91" t="s">
        <v>49</v>
      </c>
      <c r="D91">
        <v>25</v>
      </c>
      <c r="E91" t="s">
        <v>18</v>
      </c>
      <c r="F91">
        <v>500</v>
      </c>
      <c r="G91" s="14">
        <v>215000</v>
      </c>
      <c r="H91" s="15">
        <v>1412.67</v>
      </c>
      <c r="I91" s="14">
        <v>1828</v>
      </c>
      <c r="J91">
        <v>1</v>
      </c>
      <c r="K91">
        <v>0.23</v>
      </c>
      <c r="L91">
        <v>2.6</v>
      </c>
      <c r="M91">
        <v>1.3338E-3</v>
      </c>
      <c r="N91">
        <v>0.03</v>
      </c>
      <c r="O91">
        <v>1</v>
      </c>
      <c r="P91">
        <v>0</v>
      </c>
      <c r="Q91">
        <v>0</v>
      </c>
      <c r="R91">
        <v>1</v>
      </c>
      <c r="S91" s="14">
        <v>9.1650000000000005E-5</v>
      </c>
      <c r="T91">
        <v>0</v>
      </c>
      <c r="U91">
        <v>1</v>
      </c>
      <c r="V91" s="1">
        <v>40.4</v>
      </c>
      <c r="W91">
        <v>15.6</v>
      </c>
      <c r="X91" s="8" t="s">
        <v>44</v>
      </c>
      <c r="Y91" s="1">
        <f t="shared" si="47"/>
        <v>35.15</v>
      </c>
      <c r="Z91" s="1">
        <f t="shared" si="48"/>
        <v>13.7</v>
      </c>
      <c r="AA91" s="2">
        <v>0</v>
      </c>
      <c r="AB91" s="1">
        <f t="shared" si="42"/>
        <v>35.15</v>
      </c>
      <c r="AC91" s="1">
        <f t="shared" si="43"/>
        <v>13.7</v>
      </c>
      <c r="AD91" s="3">
        <f t="shared" si="44"/>
        <v>68.002499999999998</v>
      </c>
      <c r="AE91" s="3"/>
      <c r="AF91">
        <f t="shared" si="45"/>
        <v>48.849999999999994</v>
      </c>
    </row>
    <row r="92" spans="1:32" x14ac:dyDescent="0.35">
      <c r="A92">
        <f t="shared" si="49"/>
        <v>8</v>
      </c>
      <c r="B92" t="s">
        <v>57</v>
      </c>
      <c r="C92" t="s">
        <v>55</v>
      </c>
      <c r="D92" s="5">
        <v>25</v>
      </c>
      <c r="E92" s="5" t="s">
        <v>18</v>
      </c>
      <c r="F92" s="5">
        <v>500</v>
      </c>
      <c r="G92" s="6">
        <v>220000</v>
      </c>
      <c r="H92" s="5">
        <v>1576</v>
      </c>
      <c r="I92" s="5">
        <v>1870</v>
      </c>
      <c r="J92" s="5">
        <v>1</v>
      </c>
      <c r="K92" s="5">
        <v>0.2</v>
      </c>
      <c r="L92" s="5">
        <v>2.2000000000000002</v>
      </c>
      <c r="M92" s="5">
        <v>1E-4</v>
      </c>
      <c r="N92" s="5">
        <v>0.03</v>
      </c>
      <c r="O92" s="5">
        <v>1</v>
      </c>
      <c r="P92" s="5">
        <v>0</v>
      </c>
      <c r="Q92" s="5">
        <v>0</v>
      </c>
      <c r="R92" s="5">
        <v>1</v>
      </c>
      <c r="S92" s="5">
        <v>0</v>
      </c>
      <c r="T92" s="5">
        <v>0</v>
      </c>
      <c r="U92" s="5">
        <v>0</v>
      </c>
      <c r="V92" s="7">
        <v>0</v>
      </c>
      <c r="W92" s="7">
        <v>0</v>
      </c>
      <c r="X92" s="5" t="s">
        <v>44</v>
      </c>
      <c r="Y92" s="1">
        <f t="shared" si="47"/>
        <v>0</v>
      </c>
      <c r="Z92" s="1">
        <f t="shared" si="48"/>
        <v>0</v>
      </c>
      <c r="AA92" s="2"/>
      <c r="AB92" s="1">
        <f t="shared" si="42"/>
        <v>0</v>
      </c>
      <c r="AC92" s="1">
        <f t="shared" si="43"/>
        <v>0</v>
      </c>
      <c r="AD92" s="3">
        <f t="shared" si="44"/>
        <v>0</v>
      </c>
      <c r="AE92" s="3"/>
      <c r="AF92">
        <f t="shared" si="45"/>
        <v>0</v>
      </c>
    </row>
    <row r="93" spans="1:32" x14ac:dyDescent="0.35">
      <c r="A93">
        <f t="shared" si="49"/>
        <v>9</v>
      </c>
      <c r="B93" t="s">
        <v>45</v>
      </c>
      <c r="C93" t="s">
        <v>19</v>
      </c>
      <c r="D93">
        <v>25</v>
      </c>
      <c r="E93" t="s">
        <v>18</v>
      </c>
      <c r="F93">
        <v>500</v>
      </c>
      <c r="G93" s="14">
        <v>215000</v>
      </c>
      <c r="H93" s="15">
        <v>1412.67</v>
      </c>
      <c r="I93" s="14">
        <v>1828</v>
      </c>
      <c r="J93">
        <v>1</v>
      </c>
      <c r="K93">
        <v>0.23</v>
      </c>
      <c r="L93">
        <v>2.6</v>
      </c>
      <c r="M93">
        <v>1.0009999999999999E-3</v>
      </c>
      <c r="N93">
        <v>0.04</v>
      </c>
      <c r="O93">
        <v>1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 s="1">
        <v>32</v>
      </c>
      <c r="W93">
        <v>10.3</v>
      </c>
      <c r="X93" s="8" t="s">
        <v>44</v>
      </c>
      <c r="Y93" s="1">
        <f t="shared" si="47"/>
        <v>32</v>
      </c>
      <c r="Z93" s="1">
        <f t="shared" si="48"/>
        <v>10.3</v>
      </c>
      <c r="AA93" s="2">
        <v>0</v>
      </c>
      <c r="AB93" s="1">
        <f t="shared" si="42"/>
        <v>32</v>
      </c>
      <c r="AC93" s="1">
        <f t="shared" si="43"/>
        <v>10.3</v>
      </c>
      <c r="AD93" s="3">
        <f t="shared" si="44"/>
        <v>58.650000000000006</v>
      </c>
      <c r="AE93" s="3"/>
      <c r="AF93">
        <f t="shared" si="45"/>
        <v>42.3</v>
      </c>
    </row>
    <row r="94" spans="1:32" x14ac:dyDescent="0.35">
      <c r="A94">
        <f t="shared" si="49"/>
        <v>9</v>
      </c>
      <c r="B94" t="s">
        <v>45</v>
      </c>
      <c r="C94" t="s">
        <v>20</v>
      </c>
      <c r="D94">
        <v>25</v>
      </c>
      <c r="E94" t="s">
        <v>18</v>
      </c>
      <c r="F94">
        <v>500</v>
      </c>
      <c r="G94" s="14">
        <v>215000</v>
      </c>
      <c r="H94" s="15">
        <v>1412.67</v>
      </c>
      <c r="I94" s="14">
        <v>1828</v>
      </c>
      <c r="J94">
        <v>1</v>
      </c>
      <c r="K94">
        <v>0.23</v>
      </c>
      <c r="L94">
        <v>2.6</v>
      </c>
      <c r="M94">
        <v>1.3078E-3</v>
      </c>
      <c r="N94">
        <v>7.0000000000000007E-2</v>
      </c>
      <c r="O94">
        <v>1</v>
      </c>
      <c r="P94">
        <v>0</v>
      </c>
      <c r="Q94">
        <v>0</v>
      </c>
      <c r="R94">
        <v>1</v>
      </c>
      <c r="S94" s="14">
        <v>9.1650000000000005E-5</v>
      </c>
      <c r="T94">
        <v>0</v>
      </c>
      <c r="U94">
        <v>2</v>
      </c>
      <c r="V94" s="1">
        <v>63</v>
      </c>
      <c r="W94">
        <v>18.5</v>
      </c>
      <c r="X94" s="8">
        <v>0</v>
      </c>
      <c r="Y94" s="1">
        <f>IFERROR(IF(ISNUMBER(SEARCH("Appui",C94)),V94+X94*V94,IF(A93&lt;A94,V94-X95*V95/2,IF(A94&lt;A95,V94-(X93*V93)/2,V94-(X95*V95+X93*V93)/2))),0)</f>
        <v>63</v>
      </c>
      <c r="Z94" s="1">
        <f t="shared" si="48"/>
        <v>18.5</v>
      </c>
      <c r="AA94" s="2">
        <v>0</v>
      </c>
      <c r="AB94" s="1">
        <f t="shared" si="42"/>
        <v>63</v>
      </c>
      <c r="AC94" s="1">
        <f t="shared" si="43"/>
        <v>18.5</v>
      </c>
      <c r="AD94" s="3">
        <f t="shared" si="44"/>
        <v>112.80000000000001</v>
      </c>
      <c r="AE94" s="3"/>
      <c r="AF94">
        <f t="shared" si="45"/>
        <v>81.5</v>
      </c>
    </row>
    <row r="95" spans="1:32" x14ac:dyDescent="0.35">
      <c r="A95">
        <f t="shared" si="49"/>
        <v>9</v>
      </c>
      <c r="B95" t="s">
        <v>45</v>
      </c>
      <c r="C95" t="s">
        <v>23</v>
      </c>
      <c r="D95" s="5">
        <v>25</v>
      </c>
      <c r="E95" s="5" t="s">
        <v>18</v>
      </c>
      <c r="F95" s="5">
        <v>500</v>
      </c>
      <c r="G95" s="6">
        <v>220000</v>
      </c>
      <c r="H95" s="5">
        <v>1576</v>
      </c>
      <c r="I95" s="5">
        <v>1870</v>
      </c>
      <c r="J95" s="5">
        <v>1</v>
      </c>
      <c r="K95" s="5">
        <v>0.2</v>
      </c>
      <c r="L95" s="5">
        <v>2.2000000000000002</v>
      </c>
      <c r="M95" s="10">
        <v>1E-3</v>
      </c>
      <c r="N95" s="5">
        <v>0.03</v>
      </c>
      <c r="O95" s="5">
        <v>1</v>
      </c>
      <c r="P95" s="5">
        <v>0</v>
      </c>
      <c r="Q95" s="5">
        <v>0</v>
      </c>
      <c r="R95" s="5">
        <v>1</v>
      </c>
      <c r="S95" s="5">
        <v>0</v>
      </c>
      <c r="T95" s="5">
        <v>0</v>
      </c>
      <c r="U95" s="5">
        <v>0</v>
      </c>
      <c r="V95" s="7">
        <v>0</v>
      </c>
      <c r="W95" s="7">
        <v>0</v>
      </c>
      <c r="X95" s="5" t="s">
        <v>44</v>
      </c>
      <c r="Y95" s="1">
        <f>IFERROR(IF(ISNUMBER(SEARCH("Appui",C95)),V95+X95*V95,IF(A94&lt;A95,V95-X96*V96/2,IF(A95&lt;A96,V95-(X94*V94)/2,V95-(X96*V96+X94*V94)/2))),0)</f>
        <v>8.0625</v>
      </c>
      <c r="Z95" s="1">
        <f t="shared" si="48"/>
        <v>2.5499999999999998</v>
      </c>
      <c r="AA95" s="2"/>
      <c r="AB95" s="1">
        <f t="shared" si="42"/>
        <v>8.0625</v>
      </c>
      <c r="AC95" s="1">
        <f t="shared" si="43"/>
        <v>2.5499999999999998</v>
      </c>
      <c r="AD95" s="3">
        <f t="shared" si="44"/>
        <v>14.709375</v>
      </c>
      <c r="AE95" s="3"/>
      <c r="AF95">
        <f t="shared" si="45"/>
        <v>10.612500000000001</v>
      </c>
    </row>
    <row r="96" spans="1:32" x14ac:dyDescent="0.35">
      <c r="A96">
        <f t="shared" si="49"/>
        <v>9</v>
      </c>
      <c r="B96" t="s">
        <v>45</v>
      </c>
      <c r="C96" t="s">
        <v>24</v>
      </c>
      <c r="D96">
        <v>25</v>
      </c>
      <c r="E96" t="s">
        <v>18</v>
      </c>
      <c r="F96">
        <v>500</v>
      </c>
      <c r="G96" s="14">
        <v>215000</v>
      </c>
      <c r="H96" s="15">
        <v>1412.67</v>
      </c>
      <c r="I96" s="14">
        <v>1828</v>
      </c>
      <c r="J96">
        <v>1</v>
      </c>
      <c r="K96">
        <v>0.23</v>
      </c>
      <c r="L96">
        <v>2.6</v>
      </c>
      <c r="M96" s="10">
        <f>0.0013286 + 12*1.131*0.0001</f>
        <v>2.6858000000000003E-3</v>
      </c>
      <c r="N96">
        <v>0.06</v>
      </c>
      <c r="O96">
        <v>1</v>
      </c>
      <c r="P96">
        <v>0</v>
      </c>
      <c r="Q96">
        <v>0</v>
      </c>
      <c r="R96">
        <v>1</v>
      </c>
      <c r="S96" s="14">
        <v>9.1650000000000005E-5</v>
      </c>
      <c r="T96">
        <v>0</v>
      </c>
      <c r="U96">
        <v>4</v>
      </c>
      <c r="V96" s="1">
        <v>107.5</v>
      </c>
      <c r="W96">
        <v>34</v>
      </c>
      <c r="X96" s="8">
        <v>-0.15</v>
      </c>
      <c r="Y96" s="1">
        <f t="shared" ref="Y96:Y108" si="50">IFERROR(IF(ISNUMBER(SEARCH("Appui",C96)),V96+X96*V96,IF(A95&lt;A96,V96-X97*V97/2,IF(A96&lt;A97,V96-(X95*V95)/2,V96-(X97*V97+X95*V95)/2))),0)</f>
        <v>91.375</v>
      </c>
      <c r="Z96" s="1">
        <f t="shared" si="48"/>
        <v>28.9</v>
      </c>
      <c r="AA96" s="13">
        <v>0</v>
      </c>
      <c r="AB96" s="1">
        <f t="shared" si="42"/>
        <v>91.375</v>
      </c>
      <c r="AC96" s="1">
        <f t="shared" si="43"/>
        <v>28.9</v>
      </c>
      <c r="AD96" s="3">
        <f t="shared" si="44"/>
        <v>166.70625000000001</v>
      </c>
      <c r="AE96" s="3"/>
      <c r="AF96">
        <f t="shared" si="45"/>
        <v>120.27500000000001</v>
      </c>
    </row>
    <row r="97" spans="1:32" x14ac:dyDescent="0.35">
      <c r="A97">
        <f t="shared" si="49"/>
        <v>9</v>
      </c>
      <c r="B97" t="s">
        <v>45</v>
      </c>
      <c r="C97" t="s">
        <v>25</v>
      </c>
      <c r="D97">
        <v>25</v>
      </c>
      <c r="E97" t="s">
        <v>18</v>
      </c>
      <c r="F97">
        <v>500</v>
      </c>
      <c r="G97" s="14">
        <v>215000</v>
      </c>
      <c r="H97" s="15">
        <v>1412.67</v>
      </c>
      <c r="I97" s="14">
        <v>1828</v>
      </c>
      <c r="J97">
        <v>1</v>
      </c>
      <c r="K97">
        <v>0.23</v>
      </c>
      <c r="L97">
        <v>2.6</v>
      </c>
      <c r="M97">
        <v>3.3280000000000001E-4</v>
      </c>
      <c r="N97">
        <v>0.03</v>
      </c>
      <c r="O97">
        <v>1</v>
      </c>
      <c r="P97">
        <v>0</v>
      </c>
      <c r="Q97">
        <v>0</v>
      </c>
      <c r="R97">
        <v>1</v>
      </c>
      <c r="S97" s="14">
        <v>9.1650000000000005E-5</v>
      </c>
      <c r="T97">
        <v>0</v>
      </c>
      <c r="U97">
        <v>3</v>
      </c>
      <c r="V97" s="1">
        <v>35.4</v>
      </c>
      <c r="W97">
        <v>15.9</v>
      </c>
      <c r="X97" s="8" t="s">
        <v>44</v>
      </c>
      <c r="Y97" s="1">
        <f t="shared" si="50"/>
        <v>44.552499999999995</v>
      </c>
      <c r="Z97" s="1">
        <f t="shared" si="48"/>
        <v>18.87</v>
      </c>
      <c r="AA97" s="11">
        <v>0</v>
      </c>
      <c r="AB97" s="1">
        <f t="shared" si="42"/>
        <v>44.552499999999995</v>
      </c>
      <c r="AC97" s="1">
        <f t="shared" si="43"/>
        <v>18.87</v>
      </c>
      <c r="AD97" s="3">
        <f t="shared" si="44"/>
        <v>88.450874999999996</v>
      </c>
      <c r="AE97" s="3"/>
      <c r="AF97">
        <f t="shared" si="45"/>
        <v>63.422499999999999</v>
      </c>
    </row>
    <row r="98" spans="1:32" x14ac:dyDescent="0.35">
      <c r="A98">
        <f t="shared" si="49"/>
        <v>9</v>
      </c>
      <c r="B98" t="s">
        <v>45</v>
      </c>
      <c r="C98" t="s">
        <v>26</v>
      </c>
      <c r="D98">
        <v>25</v>
      </c>
      <c r="E98" t="s">
        <v>18</v>
      </c>
      <c r="F98">
        <v>500</v>
      </c>
      <c r="G98" s="14">
        <v>215000</v>
      </c>
      <c r="H98" s="15">
        <v>1412.67</v>
      </c>
      <c r="I98" s="14">
        <v>1828</v>
      </c>
      <c r="J98">
        <v>1</v>
      </c>
      <c r="K98">
        <v>0.23</v>
      </c>
      <c r="L98">
        <v>2.6</v>
      </c>
      <c r="M98">
        <v>2.1032999999999998E-3</v>
      </c>
      <c r="N98">
        <v>0.06</v>
      </c>
      <c r="O98">
        <v>1</v>
      </c>
      <c r="P98">
        <v>0</v>
      </c>
      <c r="Q98">
        <v>0</v>
      </c>
      <c r="R98">
        <v>1</v>
      </c>
      <c r="S98" s="14">
        <v>9.1650000000000005E-5</v>
      </c>
      <c r="T98">
        <v>0</v>
      </c>
      <c r="U98">
        <v>2</v>
      </c>
      <c r="V98" s="1">
        <v>109</v>
      </c>
      <c r="W98">
        <v>42</v>
      </c>
      <c r="X98" s="8">
        <v>-0.02</v>
      </c>
      <c r="Y98" s="1">
        <f t="shared" si="50"/>
        <v>106.82</v>
      </c>
      <c r="Z98" s="1">
        <f t="shared" si="48"/>
        <v>41.16</v>
      </c>
      <c r="AA98" s="13">
        <v>0</v>
      </c>
      <c r="AB98" s="1">
        <f t="shared" si="42"/>
        <v>106.82</v>
      </c>
      <c r="AC98" s="1">
        <f t="shared" si="43"/>
        <v>41.16</v>
      </c>
      <c r="AD98" s="3">
        <f t="shared" si="44"/>
        <v>205.947</v>
      </c>
      <c r="AE98" s="3"/>
      <c r="AF98">
        <f t="shared" si="45"/>
        <v>147.97999999999999</v>
      </c>
    </row>
    <row r="99" spans="1:32" x14ac:dyDescent="0.35">
      <c r="A99">
        <f t="shared" si="49"/>
        <v>9</v>
      </c>
      <c r="B99" t="s">
        <v>45</v>
      </c>
      <c r="C99" t="s">
        <v>27</v>
      </c>
      <c r="D99">
        <v>25</v>
      </c>
      <c r="E99" t="s">
        <v>18</v>
      </c>
      <c r="F99">
        <v>500</v>
      </c>
      <c r="G99" s="14">
        <v>215000</v>
      </c>
      <c r="H99" s="15">
        <v>1412.67</v>
      </c>
      <c r="I99" s="14">
        <v>1828</v>
      </c>
      <c r="J99">
        <v>1</v>
      </c>
      <c r="K99">
        <v>0.23</v>
      </c>
      <c r="L99">
        <v>2.6</v>
      </c>
      <c r="M99">
        <v>1E-3</v>
      </c>
      <c r="N99">
        <v>0.05</v>
      </c>
      <c r="O99">
        <v>1</v>
      </c>
      <c r="P99">
        <v>0</v>
      </c>
      <c r="Q99">
        <v>0</v>
      </c>
      <c r="R99">
        <v>1</v>
      </c>
      <c r="S99" s="14">
        <v>9.1650000000000005E-5</v>
      </c>
      <c r="T99">
        <v>0</v>
      </c>
      <c r="U99">
        <v>2</v>
      </c>
      <c r="V99" s="1">
        <v>38.9</v>
      </c>
      <c r="W99">
        <v>18.2</v>
      </c>
      <c r="X99" s="8" t="s">
        <v>44</v>
      </c>
      <c r="Y99" s="1">
        <f t="shared" si="50"/>
        <v>39.99</v>
      </c>
      <c r="Z99" s="1">
        <f t="shared" si="48"/>
        <v>18.62</v>
      </c>
      <c r="AA99" s="13">
        <v>0</v>
      </c>
      <c r="AB99" s="1">
        <f t="shared" si="42"/>
        <v>39.99</v>
      </c>
      <c r="AC99" s="1">
        <f t="shared" si="43"/>
        <v>18.62</v>
      </c>
      <c r="AD99" s="3">
        <f t="shared" si="44"/>
        <v>81.916500000000013</v>
      </c>
      <c r="AE99" s="3"/>
      <c r="AF99">
        <f t="shared" si="45"/>
        <v>58.61</v>
      </c>
    </row>
    <row r="100" spans="1:32" x14ac:dyDescent="0.35">
      <c r="A100">
        <f t="shared" si="49"/>
        <v>9</v>
      </c>
      <c r="B100" t="s">
        <v>45</v>
      </c>
      <c r="C100" t="s">
        <v>28</v>
      </c>
      <c r="D100">
        <v>25</v>
      </c>
      <c r="E100" t="s">
        <v>18</v>
      </c>
      <c r="F100">
        <v>500</v>
      </c>
      <c r="G100" s="14">
        <v>215000</v>
      </c>
      <c r="H100" s="15">
        <v>1412.67</v>
      </c>
      <c r="I100" s="14">
        <v>1828</v>
      </c>
      <c r="J100">
        <v>1</v>
      </c>
      <c r="K100">
        <v>0.23</v>
      </c>
      <c r="L100">
        <v>2.6</v>
      </c>
      <c r="M100">
        <v>2.0999999999999999E-3</v>
      </c>
      <c r="N100">
        <v>0.06</v>
      </c>
      <c r="O100">
        <v>1</v>
      </c>
      <c r="P100">
        <v>0</v>
      </c>
      <c r="Q100">
        <v>0</v>
      </c>
      <c r="R100">
        <v>1</v>
      </c>
      <c r="S100" s="14">
        <v>9.1650000000000005E-5</v>
      </c>
      <c r="T100">
        <v>0</v>
      </c>
      <c r="U100">
        <v>2</v>
      </c>
      <c r="V100" s="1">
        <v>117.5</v>
      </c>
      <c r="W100">
        <v>43.5</v>
      </c>
      <c r="X100" s="8">
        <v>0</v>
      </c>
      <c r="Y100" s="1">
        <f t="shared" si="50"/>
        <v>117.5</v>
      </c>
      <c r="Z100" s="1">
        <f t="shared" si="48"/>
        <v>43.5</v>
      </c>
      <c r="AA100" s="13">
        <v>0</v>
      </c>
      <c r="AB100" s="1">
        <f t="shared" si="42"/>
        <v>117.5</v>
      </c>
      <c r="AC100" s="1">
        <f t="shared" si="43"/>
        <v>43.5</v>
      </c>
      <c r="AD100" s="3">
        <f t="shared" si="44"/>
        <v>223.875</v>
      </c>
      <c r="AE100" s="3"/>
      <c r="AF100">
        <f t="shared" si="45"/>
        <v>161</v>
      </c>
    </row>
    <row r="101" spans="1:32" x14ac:dyDescent="0.35">
      <c r="A101">
        <f t="shared" si="49"/>
        <v>9</v>
      </c>
      <c r="B101" t="s">
        <v>45</v>
      </c>
      <c r="C101" t="s">
        <v>29</v>
      </c>
      <c r="D101">
        <v>25</v>
      </c>
      <c r="E101" t="s">
        <v>18</v>
      </c>
      <c r="F101">
        <v>500</v>
      </c>
      <c r="G101" s="14">
        <v>215000</v>
      </c>
      <c r="H101" s="15">
        <v>1412.67</v>
      </c>
      <c r="I101" s="14">
        <v>1828</v>
      </c>
      <c r="J101">
        <v>1</v>
      </c>
      <c r="K101">
        <v>0.23</v>
      </c>
      <c r="L101">
        <v>2.6</v>
      </c>
      <c r="M101">
        <v>3.3E-4</v>
      </c>
      <c r="N101">
        <v>0.03</v>
      </c>
      <c r="O101">
        <v>1</v>
      </c>
      <c r="P101">
        <v>0</v>
      </c>
      <c r="Q101">
        <v>0</v>
      </c>
      <c r="R101">
        <v>1</v>
      </c>
      <c r="S101" s="14">
        <v>9.1650000000000005E-5</v>
      </c>
      <c r="T101">
        <v>0</v>
      </c>
      <c r="U101">
        <v>4</v>
      </c>
      <c r="V101" s="1">
        <v>38.5</v>
      </c>
      <c r="W101">
        <v>18.7</v>
      </c>
      <c r="X101" s="8" t="s">
        <v>44</v>
      </c>
      <c r="Y101" s="1">
        <f t="shared" si="50"/>
        <v>38.5</v>
      </c>
      <c r="Z101" s="1">
        <f t="shared" si="48"/>
        <v>18.7</v>
      </c>
      <c r="AA101" s="13">
        <v>0</v>
      </c>
      <c r="AB101" s="1">
        <f t="shared" si="42"/>
        <v>38.5</v>
      </c>
      <c r="AC101" s="1">
        <f t="shared" si="43"/>
        <v>18.7</v>
      </c>
      <c r="AD101" s="3">
        <f t="shared" si="44"/>
        <v>80.025000000000006</v>
      </c>
      <c r="AE101" s="3"/>
      <c r="AF101">
        <f t="shared" si="45"/>
        <v>57.2</v>
      </c>
    </row>
    <row r="102" spans="1:32" x14ac:dyDescent="0.35">
      <c r="A102">
        <f t="shared" si="49"/>
        <v>9</v>
      </c>
      <c r="B102" t="s">
        <v>45</v>
      </c>
      <c r="C102" t="s">
        <v>30</v>
      </c>
      <c r="D102">
        <v>25</v>
      </c>
      <c r="E102" t="s">
        <v>18</v>
      </c>
      <c r="F102">
        <v>500</v>
      </c>
      <c r="G102" s="14">
        <v>215000</v>
      </c>
      <c r="H102" s="15">
        <v>1412.67</v>
      </c>
      <c r="I102" s="14">
        <v>1828</v>
      </c>
      <c r="J102">
        <v>1</v>
      </c>
      <c r="K102">
        <v>0.23</v>
      </c>
      <c r="L102">
        <v>2.6</v>
      </c>
      <c r="M102">
        <v>2.0999999999999999E-3</v>
      </c>
      <c r="N102">
        <v>0.06</v>
      </c>
      <c r="O102">
        <v>1</v>
      </c>
      <c r="P102">
        <v>0</v>
      </c>
      <c r="Q102">
        <v>0</v>
      </c>
      <c r="R102">
        <v>1</v>
      </c>
      <c r="S102" s="14">
        <v>9.1650000000000005E-5</v>
      </c>
      <c r="T102">
        <v>0</v>
      </c>
      <c r="U102">
        <v>4</v>
      </c>
      <c r="V102" s="1">
        <v>122.5</v>
      </c>
      <c r="W102">
        <v>44.35</v>
      </c>
      <c r="X102" s="8">
        <v>0</v>
      </c>
      <c r="Y102" s="1">
        <f t="shared" si="50"/>
        <v>122.5</v>
      </c>
      <c r="Z102" s="1">
        <f t="shared" si="48"/>
        <v>44.35</v>
      </c>
      <c r="AA102" s="13">
        <v>0</v>
      </c>
      <c r="AB102" s="1">
        <f t="shared" si="42"/>
        <v>122.5</v>
      </c>
      <c r="AC102" s="1">
        <f t="shared" si="43"/>
        <v>44.35</v>
      </c>
      <c r="AD102" s="3">
        <f t="shared" si="44"/>
        <v>231.9</v>
      </c>
      <c r="AE102" s="3"/>
      <c r="AF102">
        <f t="shared" si="45"/>
        <v>166.85</v>
      </c>
    </row>
    <row r="103" spans="1:32" x14ac:dyDescent="0.35">
      <c r="A103">
        <f t="shared" si="49"/>
        <v>9</v>
      </c>
      <c r="B103" t="s">
        <v>45</v>
      </c>
      <c r="C103" t="s">
        <v>31</v>
      </c>
      <c r="D103">
        <v>25</v>
      </c>
      <c r="E103" t="s">
        <v>18</v>
      </c>
      <c r="F103">
        <v>500</v>
      </c>
      <c r="G103" s="14">
        <v>215000</v>
      </c>
      <c r="H103" s="15">
        <v>1412.67</v>
      </c>
      <c r="I103" s="14">
        <v>1828</v>
      </c>
      <c r="J103">
        <v>1</v>
      </c>
      <c r="K103">
        <v>0.23</v>
      </c>
      <c r="L103">
        <v>2.6</v>
      </c>
      <c r="M103">
        <v>3.3E-4</v>
      </c>
      <c r="N103">
        <v>3.5000000000000003E-2</v>
      </c>
      <c r="O103">
        <v>1</v>
      </c>
      <c r="P103">
        <v>0</v>
      </c>
      <c r="Q103">
        <v>0</v>
      </c>
      <c r="R103">
        <v>1</v>
      </c>
      <c r="S103" s="14">
        <v>9.1650000000000005E-5</v>
      </c>
      <c r="T103">
        <v>0</v>
      </c>
      <c r="U103">
        <v>4</v>
      </c>
      <c r="V103" s="1">
        <v>39.5</v>
      </c>
      <c r="W103">
        <v>18.100000000000001</v>
      </c>
      <c r="X103" s="8" t="s">
        <v>44</v>
      </c>
      <c r="Y103" s="1">
        <f t="shared" si="50"/>
        <v>39.5</v>
      </c>
      <c r="Z103" s="1">
        <f t="shared" si="48"/>
        <v>18.100000000000001</v>
      </c>
      <c r="AA103" s="13">
        <v>0</v>
      </c>
      <c r="AB103" s="1">
        <f t="shared" si="42"/>
        <v>39.5</v>
      </c>
      <c r="AC103" s="1">
        <f t="shared" si="43"/>
        <v>18.100000000000001</v>
      </c>
      <c r="AD103" s="3">
        <f t="shared" si="44"/>
        <v>80.475000000000009</v>
      </c>
      <c r="AE103" s="3"/>
      <c r="AF103">
        <f t="shared" si="45"/>
        <v>57.6</v>
      </c>
    </row>
    <row r="104" spans="1:32" x14ac:dyDescent="0.35">
      <c r="A104">
        <f t="shared" si="49"/>
        <v>9</v>
      </c>
      <c r="B104" t="s">
        <v>45</v>
      </c>
      <c r="C104" t="s">
        <v>46</v>
      </c>
      <c r="D104">
        <v>25</v>
      </c>
      <c r="E104" t="s">
        <v>18</v>
      </c>
      <c r="F104">
        <v>500</v>
      </c>
      <c r="G104" s="14">
        <v>215000</v>
      </c>
      <c r="H104" s="15">
        <v>1412.67</v>
      </c>
      <c r="I104" s="14">
        <v>1828</v>
      </c>
      <c r="J104">
        <v>1</v>
      </c>
      <c r="K104">
        <v>0.23</v>
      </c>
      <c r="L104">
        <v>2.6</v>
      </c>
      <c r="M104">
        <v>2.0999999999999999E-3</v>
      </c>
      <c r="N104">
        <v>0.06</v>
      </c>
      <c r="O104">
        <v>1</v>
      </c>
      <c r="P104">
        <v>0</v>
      </c>
      <c r="Q104">
        <v>0</v>
      </c>
      <c r="R104">
        <v>1</v>
      </c>
      <c r="S104" s="14">
        <v>9.1650000000000005E-5</v>
      </c>
      <c r="T104">
        <v>0</v>
      </c>
      <c r="U104">
        <v>2</v>
      </c>
      <c r="V104" s="1">
        <v>102.5</v>
      </c>
      <c r="W104">
        <v>41.5</v>
      </c>
      <c r="X104" s="8">
        <v>0</v>
      </c>
      <c r="Y104" s="1">
        <f t="shared" si="50"/>
        <v>102.5</v>
      </c>
      <c r="Z104" s="1">
        <f t="shared" si="48"/>
        <v>41.5</v>
      </c>
      <c r="AA104" s="11">
        <v>0</v>
      </c>
      <c r="AB104" s="1">
        <f t="shared" si="42"/>
        <v>102.5</v>
      </c>
      <c r="AC104" s="1">
        <f t="shared" si="43"/>
        <v>41.5</v>
      </c>
      <c r="AD104" s="3">
        <f t="shared" si="44"/>
        <v>200.625</v>
      </c>
      <c r="AE104" s="3"/>
      <c r="AF104">
        <f t="shared" si="45"/>
        <v>144</v>
      </c>
    </row>
    <row r="105" spans="1:32" x14ac:dyDescent="0.35">
      <c r="A105">
        <f t="shared" si="49"/>
        <v>9</v>
      </c>
      <c r="B105" t="s">
        <v>45</v>
      </c>
      <c r="C105" t="s">
        <v>47</v>
      </c>
      <c r="D105">
        <v>25</v>
      </c>
      <c r="E105" t="s">
        <v>18</v>
      </c>
      <c r="F105">
        <v>500</v>
      </c>
      <c r="G105" s="14">
        <v>215000</v>
      </c>
      <c r="H105" s="15">
        <v>1412.67</v>
      </c>
      <c r="I105" s="14">
        <v>1828</v>
      </c>
      <c r="J105">
        <v>1</v>
      </c>
      <c r="K105">
        <v>0.23</v>
      </c>
      <c r="L105">
        <v>2.6</v>
      </c>
      <c r="M105">
        <v>3.3E-4</v>
      </c>
      <c r="N105">
        <v>0.03</v>
      </c>
      <c r="O105">
        <v>1</v>
      </c>
      <c r="P105">
        <v>0</v>
      </c>
      <c r="Q105">
        <v>0</v>
      </c>
      <c r="R105">
        <v>1</v>
      </c>
      <c r="S105" s="14">
        <v>9.1650000000000005E-5</v>
      </c>
      <c r="T105">
        <v>0</v>
      </c>
      <c r="U105">
        <v>4</v>
      </c>
      <c r="V105" s="1">
        <v>31.7</v>
      </c>
      <c r="W105">
        <v>15.3</v>
      </c>
      <c r="X105" s="8" t="s">
        <v>44</v>
      </c>
      <c r="Y105" s="1">
        <f t="shared" si="50"/>
        <v>31.7</v>
      </c>
      <c r="Z105" s="1">
        <f t="shared" si="48"/>
        <v>15.3</v>
      </c>
      <c r="AA105" s="11">
        <v>0</v>
      </c>
      <c r="AB105" s="1">
        <f t="shared" si="42"/>
        <v>31.7</v>
      </c>
      <c r="AC105" s="1">
        <f t="shared" si="43"/>
        <v>15.3</v>
      </c>
      <c r="AD105" s="3">
        <f t="shared" si="44"/>
        <v>65.745000000000005</v>
      </c>
      <c r="AE105" s="3"/>
      <c r="AF105">
        <f t="shared" si="45"/>
        <v>47</v>
      </c>
    </row>
    <row r="106" spans="1:32" x14ac:dyDescent="0.35">
      <c r="A106">
        <f t="shared" si="49"/>
        <v>9</v>
      </c>
      <c r="B106" t="s">
        <v>45</v>
      </c>
      <c r="C106" t="s">
        <v>48</v>
      </c>
      <c r="D106">
        <v>25</v>
      </c>
      <c r="E106" t="s">
        <v>18</v>
      </c>
      <c r="F106">
        <v>500</v>
      </c>
      <c r="G106" s="14">
        <v>215000</v>
      </c>
      <c r="H106" s="15">
        <v>1412.67</v>
      </c>
      <c r="I106" s="14">
        <v>1828</v>
      </c>
      <c r="J106">
        <v>1</v>
      </c>
      <c r="K106">
        <v>0.23</v>
      </c>
      <c r="L106">
        <v>2.6</v>
      </c>
      <c r="M106">
        <v>1.8993E-3</v>
      </c>
      <c r="N106">
        <v>7.0000000000000007E-2</v>
      </c>
      <c r="O106">
        <v>1</v>
      </c>
      <c r="P106">
        <v>0</v>
      </c>
      <c r="Q106">
        <v>0</v>
      </c>
      <c r="R106">
        <v>1</v>
      </c>
      <c r="S106" s="14">
        <v>9.1650000000000005E-5</v>
      </c>
      <c r="T106">
        <v>0</v>
      </c>
      <c r="U106">
        <v>2</v>
      </c>
      <c r="V106" s="1">
        <v>105</v>
      </c>
      <c r="W106">
        <v>38</v>
      </c>
      <c r="X106" s="8">
        <v>0</v>
      </c>
      <c r="Y106" s="1">
        <f t="shared" si="50"/>
        <v>105</v>
      </c>
      <c r="Z106" s="1">
        <f t="shared" si="48"/>
        <v>38</v>
      </c>
      <c r="AA106" s="13">
        <v>0</v>
      </c>
      <c r="AB106" s="1">
        <f t="shared" si="42"/>
        <v>105</v>
      </c>
      <c r="AC106" s="1">
        <f t="shared" si="43"/>
        <v>38</v>
      </c>
      <c r="AD106" s="3">
        <f t="shared" si="44"/>
        <v>198.75</v>
      </c>
      <c r="AE106" s="3"/>
      <c r="AF106">
        <f t="shared" si="45"/>
        <v>143</v>
      </c>
    </row>
    <row r="107" spans="1:32" x14ac:dyDescent="0.35">
      <c r="A107">
        <f t="shared" si="49"/>
        <v>9</v>
      </c>
      <c r="B107" t="s">
        <v>45</v>
      </c>
      <c r="C107" t="s">
        <v>49</v>
      </c>
      <c r="D107">
        <v>25</v>
      </c>
      <c r="E107" t="s">
        <v>18</v>
      </c>
      <c r="F107">
        <v>500</v>
      </c>
      <c r="G107" s="14">
        <v>215000</v>
      </c>
      <c r="H107" s="15">
        <v>1412.67</v>
      </c>
      <c r="I107" s="14">
        <v>1828</v>
      </c>
      <c r="J107">
        <v>1</v>
      </c>
      <c r="K107">
        <v>0.23</v>
      </c>
      <c r="L107">
        <v>2.6</v>
      </c>
      <c r="M107">
        <v>1.3338E-3</v>
      </c>
      <c r="N107">
        <v>0.03</v>
      </c>
      <c r="O107">
        <v>1</v>
      </c>
      <c r="P107">
        <v>0</v>
      </c>
      <c r="Q107">
        <v>0</v>
      </c>
      <c r="R107">
        <v>1</v>
      </c>
      <c r="S107" s="14">
        <v>9.1650000000000005E-5</v>
      </c>
      <c r="T107">
        <v>0</v>
      </c>
      <c r="U107">
        <v>1</v>
      </c>
      <c r="V107" s="1">
        <v>40.4</v>
      </c>
      <c r="W107">
        <v>15.6</v>
      </c>
      <c r="X107" s="8" t="s">
        <v>44</v>
      </c>
      <c r="Y107" s="1">
        <f t="shared" si="50"/>
        <v>40.4</v>
      </c>
      <c r="Z107" s="1">
        <f t="shared" si="48"/>
        <v>15.6</v>
      </c>
      <c r="AA107" s="2">
        <v>0</v>
      </c>
      <c r="AB107" s="1">
        <f t="shared" si="42"/>
        <v>40.4</v>
      </c>
      <c r="AC107" s="1">
        <f t="shared" si="43"/>
        <v>15.6</v>
      </c>
      <c r="AD107" s="3">
        <f t="shared" si="44"/>
        <v>77.94</v>
      </c>
      <c r="AE107" s="3"/>
      <c r="AF107">
        <f t="shared" si="45"/>
        <v>56</v>
      </c>
    </row>
    <row r="108" spans="1:32" x14ac:dyDescent="0.35">
      <c r="A108">
        <f t="shared" si="49"/>
        <v>9</v>
      </c>
      <c r="B108" t="s">
        <v>45</v>
      </c>
      <c r="D108" s="5">
        <v>25</v>
      </c>
      <c r="E108" s="5" t="s">
        <v>18</v>
      </c>
      <c r="F108" s="5">
        <v>500</v>
      </c>
      <c r="G108" s="6">
        <v>220000</v>
      </c>
      <c r="H108" s="5">
        <v>1576</v>
      </c>
      <c r="I108" s="5">
        <v>1870</v>
      </c>
      <c r="J108" s="5">
        <v>1</v>
      </c>
      <c r="K108" s="5">
        <v>0.2</v>
      </c>
      <c r="L108" s="5">
        <v>2.2000000000000002</v>
      </c>
      <c r="M108" s="5">
        <v>1E-4</v>
      </c>
      <c r="N108" s="5">
        <v>0.03</v>
      </c>
      <c r="O108" s="5">
        <v>1</v>
      </c>
      <c r="P108" s="5">
        <v>0</v>
      </c>
      <c r="Q108" s="5">
        <v>0</v>
      </c>
      <c r="R108" s="5">
        <v>1</v>
      </c>
      <c r="S108" s="5">
        <v>0</v>
      </c>
      <c r="T108" s="5">
        <v>0</v>
      </c>
      <c r="U108" s="5">
        <v>0</v>
      </c>
      <c r="V108" s="7">
        <v>0</v>
      </c>
      <c r="W108" s="7">
        <v>0</v>
      </c>
      <c r="X108" s="5" t="s">
        <v>44</v>
      </c>
      <c r="Y108" s="1">
        <f t="shared" si="50"/>
        <v>0</v>
      </c>
      <c r="Z108" s="1">
        <f t="shared" si="48"/>
        <v>0</v>
      </c>
      <c r="AA108" s="2"/>
      <c r="AB108" s="1">
        <f t="shared" si="42"/>
        <v>0</v>
      </c>
      <c r="AC108" s="1">
        <f t="shared" si="43"/>
        <v>0</v>
      </c>
      <c r="AD108" s="3">
        <f t="shared" si="44"/>
        <v>0</v>
      </c>
      <c r="AE108" s="3"/>
      <c r="AF108">
        <f t="shared" si="45"/>
        <v>0</v>
      </c>
    </row>
    <row r="109" spans="1:32" x14ac:dyDescent="0.35">
      <c r="A109">
        <f t="shared" si="49"/>
        <v>10</v>
      </c>
      <c r="B109" t="s">
        <v>56</v>
      </c>
      <c r="C109" t="s">
        <v>19</v>
      </c>
      <c r="D109">
        <v>25</v>
      </c>
      <c r="E109" t="s">
        <v>18</v>
      </c>
      <c r="F109">
        <v>500</v>
      </c>
      <c r="G109" s="14">
        <v>215000</v>
      </c>
      <c r="H109" s="15">
        <v>1412.67</v>
      </c>
      <c r="I109" s="14">
        <v>1828</v>
      </c>
      <c r="J109">
        <v>1</v>
      </c>
      <c r="K109">
        <v>0.23</v>
      </c>
      <c r="L109">
        <v>2.6</v>
      </c>
      <c r="M109">
        <v>1.0009999999999999E-3</v>
      </c>
      <c r="N109">
        <v>0.04</v>
      </c>
      <c r="O109">
        <v>1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 s="1">
        <v>32</v>
      </c>
      <c r="W109">
        <v>10.3</v>
      </c>
      <c r="X109" s="8" t="s">
        <v>44</v>
      </c>
      <c r="Y109" s="1">
        <f>IFERROR(IF(ISNUMBER(SEARCH("Appui",C109)),V109+X109*V109,IF(#REF!&lt;A109,V109-X110*V110/2,IF(A109&lt;A110,V109-(#REF!*#REF!)/2,V109-(X110*V110+#REF!*#REF!)/2))),0)</f>
        <v>0</v>
      </c>
      <c r="Z109" s="1">
        <f>IFERROR(IF(ISNUMBER(SEARCH("Appui",C109)),W109+X109*W109,IF(#REF!&lt;A109,W109-X110*W110/2,IF(A109&lt;A110,W109-(#REF!*#REF!)/2,W109-(X110*W110+#REF!*#REF!)/2))),0)</f>
        <v>0</v>
      </c>
      <c r="AA109" s="2">
        <v>0</v>
      </c>
      <c r="AB109" s="1">
        <f t="shared" si="42"/>
        <v>0</v>
      </c>
      <c r="AC109" s="1">
        <f t="shared" si="43"/>
        <v>0</v>
      </c>
      <c r="AD109" s="3">
        <f t="shared" si="44"/>
        <v>0</v>
      </c>
      <c r="AE109" s="3"/>
      <c r="AF109">
        <f t="shared" si="45"/>
        <v>0</v>
      </c>
    </row>
    <row r="110" spans="1:32" x14ac:dyDescent="0.35">
      <c r="A110">
        <f t="shared" si="49"/>
        <v>10</v>
      </c>
      <c r="B110" t="s">
        <v>56</v>
      </c>
      <c r="C110" t="s">
        <v>20</v>
      </c>
      <c r="D110">
        <v>25</v>
      </c>
      <c r="E110" t="s">
        <v>18</v>
      </c>
      <c r="F110">
        <v>500</v>
      </c>
      <c r="G110" s="14">
        <v>215000</v>
      </c>
      <c r="H110" s="15">
        <v>1412.67</v>
      </c>
      <c r="I110" s="14">
        <v>1828</v>
      </c>
      <c r="J110">
        <v>1</v>
      </c>
      <c r="K110">
        <v>0.23</v>
      </c>
      <c r="L110">
        <v>2.6</v>
      </c>
      <c r="M110">
        <v>1.3078E-3</v>
      </c>
      <c r="N110">
        <v>7.0000000000000007E-2</v>
      </c>
      <c r="O110">
        <v>1</v>
      </c>
      <c r="P110">
        <v>0</v>
      </c>
      <c r="Q110">
        <v>0</v>
      </c>
      <c r="R110">
        <v>1</v>
      </c>
      <c r="S110" s="14">
        <v>9.1650000000000005E-5</v>
      </c>
      <c r="T110">
        <v>0</v>
      </c>
      <c r="U110">
        <v>2</v>
      </c>
      <c r="V110" s="1">
        <v>63</v>
      </c>
      <c r="W110">
        <v>18.5</v>
      </c>
      <c r="X110" s="8">
        <v>0</v>
      </c>
      <c r="Y110" s="1">
        <f>IFERROR(IF(ISNUMBER(SEARCH("Appui",C110)),V110+X110*V110,IF(A109&lt;A110,V110-X111*V111/2,IF(A110&lt;A111,V110-(X109*V109)/2,V110-(X111*V111+X109*V109)/2))),0)</f>
        <v>63</v>
      </c>
      <c r="Z110" s="1">
        <f t="shared" ref="Z110" si="51">IFERROR(IF(ISNUMBER(SEARCH("Appui",C110)),W110+X110*W110,IF(A109&lt;A110,W110-X111*W111/2,IF(A110&lt;A111,W110-(X109*W109)/2,W110-(X111*W111+X109*W109)/2))),0)</f>
        <v>18.5</v>
      </c>
      <c r="AA110" s="2">
        <v>0</v>
      </c>
      <c r="AB110" s="1">
        <f t="shared" si="42"/>
        <v>63</v>
      </c>
      <c r="AC110" s="1">
        <f t="shared" si="43"/>
        <v>18.5</v>
      </c>
      <c r="AD110" s="3">
        <f t="shared" si="44"/>
        <v>112.80000000000001</v>
      </c>
      <c r="AE110" s="3"/>
      <c r="AF110">
        <f t="shared" si="45"/>
        <v>81.5</v>
      </c>
    </row>
    <row r="111" spans="1:32" x14ac:dyDescent="0.35">
      <c r="A111">
        <f t="shared" si="49"/>
        <v>10</v>
      </c>
      <c r="B111" t="s">
        <v>56</v>
      </c>
      <c r="C111" t="s">
        <v>23</v>
      </c>
      <c r="D111" s="5">
        <v>25</v>
      </c>
      <c r="E111" s="5" t="s">
        <v>18</v>
      </c>
      <c r="F111" s="5">
        <v>500</v>
      </c>
      <c r="G111" s="6">
        <v>220000</v>
      </c>
      <c r="H111" s="5">
        <v>1576</v>
      </c>
      <c r="I111" s="5">
        <v>1870</v>
      </c>
      <c r="J111" s="5">
        <v>1</v>
      </c>
      <c r="K111" s="5">
        <v>0.2</v>
      </c>
      <c r="L111" s="5">
        <v>2.2000000000000002</v>
      </c>
      <c r="M111" s="10">
        <v>1E-3</v>
      </c>
      <c r="N111" s="5">
        <v>0.03</v>
      </c>
      <c r="O111" s="5">
        <v>1</v>
      </c>
      <c r="P111" s="5">
        <v>0</v>
      </c>
      <c r="Q111" s="5">
        <v>0</v>
      </c>
      <c r="R111" s="5">
        <v>1</v>
      </c>
      <c r="S111" s="5">
        <v>0</v>
      </c>
      <c r="T111" s="5">
        <v>0</v>
      </c>
      <c r="U111" s="5">
        <v>0</v>
      </c>
      <c r="V111" s="7">
        <v>0</v>
      </c>
      <c r="W111" s="7">
        <v>0</v>
      </c>
      <c r="X111" s="5" t="s">
        <v>44</v>
      </c>
      <c r="Y111" s="5">
        <v>0</v>
      </c>
      <c r="Z111" s="5">
        <v>0</v>
      </c>
      <c r="AA111" s="13">
        <v>0</v>
      </c>
      <c r="AB111" s="1">
        <f t="shared" si="42"/>
        <v>0</v>
      </c>
      <c r="AC111" s="1">
        <f t="shared" si="43"/>
        <v>0</v>
      </c>
      <c r="AD111" s="3">
        <f t="shared" si="44"/>
        <v>0</v>
      </c>
      <c r="AE111" s="3"/>
      <c r="AF111">
        <f t="shared" si="45"/>
        <v>0</v>
      </c>
    </row>
    <row r="112" spans="1:32" x14ac:dyDescent="0.35">
      <c r="A112">
        <f t="shared" si="49"/>
        <v>10</v>
      </c>
      <c r="B112" t="s">
        <v>56</v>
      </c>
      <c r="C112" t="s">
        <v>24</v>
      </c>
      <c r="D112">
        <v>25</v>
      </c>
      <c r="E112" t="s">
        <v>18</v>
      </c>
      <c r="F112">
        <v>500</v>
      </c>
      <c r="G112" s="14">
        <v>215000</v>
      </c>
      <c r="H112" s="15">
        <v>1412.67</v>
      </c>
      <c r="I112" s="14">
        <v>1828</v>
      </c>
      <c r="J112">
        <v>1</v>
      </c>
      <c r="K112">
        <v>0.23</v>
      </c>
      <c r="L112">
        <v>2.6</v>
      </c>
      <c r="M112" s="10">
        <f>0.0013286 + 12*1.131*0.0001</f>
        <v>2.6858000000000003E-3</v>
      </c>
      <c r="N112">
        <v>0.06</v>
      </c>
      <c r="O112">
        <v>1</v>
      </c>
      <c r="P112" s="10">
        <f>3.14*10^(-4)</f>
        <v>3.1400000000000004E-4</v>
      </c>
      <c r="Q112" s="10">
        <v>0.04</v>
      </c>
      <c r="R112" s="10">
        <f>4*0</f>
        <v>0</v>
      </c>
      <c r="S112" s="14">
        <v>9.1650000000000005E-5</v>
      </c>
      <c r="T112">
        <v>0</v>
      </c>
      <c r="U112" s="10">
        <f>10*0</f>
        <v>0</v>
      </c>
      <c r="V112" s="1">
        <v>107.5</v>
      </c>
      <c r="W112">
        <v>34</v>
      </c>
      <c r="X112" s="12">
        <v>0.1</v>
      </c>
      <c r="Y112" s="1">
        <f t="shared" ref="Y112:Y124" si="52">IFERROR(IF(ISNUMBER(SEARCH("Appui",C112)),V112+X112*V112,IF(A111&lt;A112,V112-X113*V113/2,IF(A112&lt;A113,V112-(X111*V111)/2,V112-(X113*V113+X111*V111)/2))),0)</f>
        <v>118.25</v>
      </c>
      <c r="Z112" s="1">
        <f t="shared" ref="Z112:Z124" si="53">IFERROR(IF(ISNUMBER(SEARCH("Appui",C112)),W112+X112*W112,IF(A111&lt;A112,W112-X113*W113/2,IF(A112&lt;A113,W112-(X111*W111)/2,W112-(X113*W113+X111*W111)/2))),0)</f>
        <v>37.4</v>
      </c>
      <c r="AA112" s="13">
        <v>0</v>
      </c>
      <c r="AB112" s="1">
        <f t="shared" si="42"/>
        <v>118.25</v>
      </c>
      <c r="AC112" s="1">
        <f t="shared" si="43"/>
        <v>37.4</v>
      </c>
      <c r="AD112" s="3">
        <f t="shared" si="44"/>
        <v>215.73750000000001</v>
      </c>
      <c r="AE112" s="3"/>
      <c r="AF112">
        <f t="shared" si="45"/>
        <v>155.65</v>
      </c>
    </row>
    <row r="113" spans="1:32" x14ac:dyDescent="0.35">
      <c r="A113">
        <f t="shared" si="49"/>
        <v>10</v>
      </c>
      <c r="B113" t="s">
        <v>56</v>
      </c>
      <c r="C113" t="s">
        <v>25</v>
      </c>
      <c r="D113">
        <v>25</v>
      </c>
      <c r="E113" t="s">
        <v>18</v>
      </c>
      <c r="F113">
        <v>500</v>
      </c>
      <c r="G113" s="14">
        <v>215000</v>
      </c>
      <c r="H113" s="15">
        <v>1412.67</v>
      </c>
      <c r="I113" s="14">
        <v>1828</v>
      </c>
      <c r="J113">
        <v>1</v>
      </c>
      <c r="K113">
        <v>0.23</v>
      </c>
      <c r="L113">
        <v>2.6</v>
      </c>
      <c r="M113">
        <v>3.3280000000000001E-4</v>
      </c>
      <c r="N113">
        <v>0.03</v>
      </c>
      <c r="O113">
        <v>1</v>
      </c>
      <c r="P113">
        <v>0</v>
      </c>
      <c r="Q113">
        <v>0</v>
      </c>
      <c r="R113">
        <v>1</v>
      </c>
      <c r="S113" s="14">
        <v>9.1650000000000005E-5</v>
      </c>
      <c r="T113">
        <v>0</v>
      </c>
      <c r="U113">
        <v>3</v>
      </c>
      <c r="V113" s="1">
        <v>35.4</v>
      </c>
      <c r="W113">
        <v>15.9</v>
      </c>
      <c r="X113" s="8" t="s">
        <v>44</v>
      </c>
      <c r="Y113" s="1">
        <f t="shared" si="52"/>
        <v>24.574999999999999</v>
      </c>
      <c r="Z113" s="1">
        <f t="shared" si="53"/>
        <v>12.1</v>
      </c>
      <c r="AA113" s="11">
        <v>0</v>
      </c>
      <c r="AB113" s="1">
        <f t="shared" si="42"/>
        <v>24.574999999999999</v>
      </c>
      <c r="AC113" s="1">
        <f t="shared" si="43"/>
        <v>12.1</v>
      </c>
      <c r="AD113" s="3">
        <f t="shared" si="44"/>
        <v>51.326250000000002</v>
      </c>
      <c r="AE113" s="3"/>
      <c r="AF113">
        <f t="shared" si="45"/>
        <v>36.674999999999997</v>
      </c>
    </row>
    <row r="114" spans="1:32" x14ac:dyDescent="0.35">
      <c r="A114">
        <f t="shared" si="49"/>
        <v>10</v>
      </c>
      <c r="B114" t="s">
        <v>56</v>
      </c>
      <c r="C114" t="s">
        <v>26</v>
      </c>
      <c r="D114">
        <v>25</v>
      </c>
      <c r="E114" t="s">
        <v>18</v>
      </c>
      <c r="F114">
        <v>500</v>
      </c>
      <c r="G114" s="14">
        <v>215000</v>
      </c>
      <c r="H114" s="15">
        <v>1412.67</v>
      </c>
      <c r="I114" s="14">
        <v>1828</v>
      </c>
      <c r="J114">
        <v>1</v>
      </c>
      <c r="K114">
        <v>0.23</v>
      </c>
      <c r="L114">
        <v>2.6</v>
      </c>
      <c r="M114">
        <v>2.1032999999999998E-3</v>
      </c>
      <c r="N114">
        <v>0.06</v>
      </c>
      <c r="O114">
        <v>1</v>
      </c>
      <c r="P114" s="10">
        <v>2.0110000000000001E-4</v>
      </c>
      <c r="Q114" s="10">
        <v>0.04</v>
      </c>
      <c r="R114" s="10">
        <v>4</v>
      </c>
      <c r="S114" s="14">
        <v>9.1650000000000005E-5</v>
      </c>
      <c r="T114">
        <v>0</v>
      </c>
      <c r="U114" s="10">
        <f>5*0</f>
        <v>0</v>
      </c>
      <c r="V114" s="1">
        <v>109</v>
      </c>
      <c r="W114">
        <v>42</v>
      </c>
      <c r="X114" s="12">
        <v>0.1</v>
      </c>
      <c r="Y114" s="1">
        <f t="shared" si="52"/>
        <v>119.9</v>
      </c>
      <c r="Z114" s="1">
        <f t="shared" si="53"/>
        <v>46.2</v>
      </c>
      <c r="AA114" s="13">
        <v>0</v>
      </c>
      <c r="AB114" s="1">
        <f t="shared" si="42"/>
        <v>119.9</v>
      </c>
      <c r="AC114" s="1">
        <f t="shared" si="43"/>
        <v>46.2</v>
      </c>
      <c r="AD114" s="3">
        <f t="shared" si="44"/>
        <v>231.16500000000002</v>
      </c>
      <c r="AE114" s="3"/>
      <c r="AF114">
        <f t="shared" si="45"/>
        <v>166.10000000000002</v>
      </c>
    </row>
    <row r="115" spans="1:32" x14ac:dyDescent="0.35">
      <c r="A115">
        <f t="shared" si="49"/>
        <v>10</v>
      </c>
      <c r="B115" t="s">
        <v>56</v>
      </c>
      <c r="C115" t="s">
        <v>27</v>
      </c>
      <c r="D115">
        <v>25</v>
      </c>
      <c r="E115" t="s">
        <v>18</v>
      </c>
      <c r="F115">
        <v>500</v>
      </c>
      <c r="G115" s="14">
        <v>215000</v>
      </c>
      <c r="H115" s="15">
        <v>1412.67</v>
      </c>
      <c r="I115" s="14">
        <v>1828</v>
      </c>
      <c r="J115">
        <v>1</v>
      </c>
      <c r="K115">
        <v>0.23</v>
      </c>
      <c r="L115">
        <v>2.6</v>
      </c>
      <c r="M115">
        <v>1E-3</v>
      </c>
      <c r="N115">
        <v>0.05</v>
      </c>
      <c r="O115">
        <v>1</v>
      </c>
      <c r="P115">
        <v>0</v>
      </c>
      <c r="Q115">
        <v>0</v>
      </c>
      <c r="R115">
        <v>1</v>
      </c>
      <c r="S115" s="14">
        <v>9.1650000000000005E-5</v>
      </c>
      <c r="T115">
        <v>0</v>
      </c>
      <c r="U115">
        <v>2</v>
      </c>
      <c r="V115" s="1">
        <v>38.9</v>
      </c>
      <c r="W115">
        <v>18.2</v>
      </c>
      <c r="X115" s="8" t="s">
        <v>44</v>
      </c>
      <c r="Y115" s="1">
        <f t="shared" si="52"/>
        <v>27.574999999999999</v>
      </c>
      <c r="Z115" s="1">
        <f t="shared" si="53"/>
        <v>13.924999999999999</v>
      </c>
      <c r="AA115" s="13">
        <v>0</v>
      </c>
      <c r="AB115" s="1">
        <f t="shared" si="42"/>
        <v>27.574999999999999</v>
      </c>
      <c r="AC115" s="1">
        <f t="shared" si="43"/>
        <v>13.924999999999999</v>
      </c>
      <c r="AD115" s="3">
        <f t="shared" si="44"/>
        <v>58.113749999999996</v>
      </c>
      <c r="AE115" s="3"/>
      <c r="AF115">
        <f t="shared" si="45"/>
        <v>41.5</v>
      </c>
    </row>
    <row r="116" spans="1:32" x14ac:dyDescent="0.35">
      <c r="A116">
        <f t="shared" si="49"/>
        <v>10</v>
      </c>
      <c r="B116" t="s">
        <v>56</v>
      </c>
      <c r="C116" t="s">
        <v>28</v>
      </c>
      <c r="D116">
        <v>25</v>
      </c>
      <c r="E116" t="s">
        <v>18</v>
      </c>
      <c r="F116">
        <v>500</v>
      </c>
      <c r="G116" s="14">
        <v>215000</v>
      </c>
      <c r="H116" s="15">
        <v>1412.67</v>
      </c>
      <c r="I116" s="14">
        <v>1828</v>
      </c>
      <c r="J116">
        <v>1</v>
      </c>
      <c r="K116">
        <v>0.23</v>
      </c>
      <c r="L116">
        <v>2.6</v>
      </c>
      <c r="M116">
        <v>2.0999999999999999E-3</v>
      </c>
      <c r="N116">
        <v>0.06</v>
      </c>
      <c r="O116">
        <v>1</v>
      </c>
      <c r="P116" s="10">
        <v>2.0110000000000001E-4</v>
      </c>
      <c r="Q116" s="10">
        <v>0.04</v>
      </c>
      <c r="R116" s="10">
        <v>4</v>
      </c>
      <c r="S116" s="14">
        <v>9.1650000000000005E-5</v>
      </c>
      <c r="T116">
        <v>0</v>
      </c>
      <c r="U116" s="10">
        <f>5*0</f>
        <v>0</v>
      </c>
      <c r="V116" s="1">
        <v>117.5</v>
      </c>
      <c r="W116">
        <v>43.5</v>
      </c>
      <c r="X116" s="12">
        <v>0.1</v>
      </c>
      <c r="Y116" s="1">
        <f t="shared" si="52"/>
        <v>129.25</v>
      </c>
      <c r="Z116" s="1">
        <f t="shared" si="53"/>
        <v>47.85</v>
      </c>
      <c r="AA116" s="13">
        <v>0</v>
      </c>
      <c r="AB116" s="1">
        <f t="shared" si="42"/>
        <v>129.25</v>
      </c>
      <c r="AC116" s="1">
        <f t="shared" si="43"/>
        <v>47.85</v>
      </c>
      <c r="AD116" s="3">
        <f t="shared" si="44"/>
        <v>246.26250000000002</v>
      </c>
      <c r="AE116" s="3"/>
      <c r="AF116">
        <f t="shared" si="45"/>
        <v>177.1</v>
      </c>
    </row>
    <row r="117" spans="1:32" x14ac:dyDescent="0.35">
      <c r="A117">
        <f t="shared" si="49"/>
        <v>10</v>
      </c>
      <c r="B117" t="s">
        <v>56</v>
      </c>
      <c r="C117" t="s">
        <v>29</v>
      </c>
      <c r="D117">
        <v>25</v>
      </c>
      <c r="E117" t="s">
        <v>18</v>
      </c>
      <c r="F117">
        <v>500</v>
      </c>
      <c r="G117" s="14">
        <v>215000</v>
      </c>
      <c r="H117" s="15">
        <v>1412.67</v>
      </c>
      <c r="I117" s="14">
        <v>1828</v>
      </c>
      <c r="J117">
        <v>1</v>
      </c>
      <c r="K117">
        <v>0.23</v>
      </c>
      <c r="L117">
        <v>2.6</v>
      </c>
      <c r="M117">
        <v>3.3E-4</v>
      </c>
      <c r="N117">
        <v>0.03</v>
      </c>
      <c r="O117">
        <v>1</v>
      </c>
      <c r="P117">
        <v>0</v>
      </c>
      <c r="Q117">
        <v>0</v>
      </c>
      <c r="R117">
        <v>1</v>
      </c>
      <c r="S117" s="14">
        <v>9.1650000000000005E-5</v>
      </c>
      <c r="T117">
        <v>0</v>
      </c>
      <c r="U117">
        <v>4</v>
      </c>
      <c r="V117" s="1">
        <v>38.5</v>
      </c>
      <c r="W117">
        <v>18.7</v>
      </c>
      <c r="X117" s="8" t="s">
        <v>44</v>
      </c>
      <c r="Y117" s="1">
        <f t="shared" si="52"/>
        <v>26.5</v>
      </c>
      <c r="Z117" s="1">
        <f t="shared" si="53"/>
        <v>14.307499999999999</v>
      </c>
      <c r="AA117" s="13">
        <v>0</v>
      </c>
      <c r="AB117" s="1">
        <f t="shared" si="42"/>
        <v>26.5</v>
      </c>
      <c r="AC117" s="1">
        <f t="shared" si="43"/>
        <v>14.307499999999999</v>
      </c>
      <c r="AD117" s="3">
        <f t="shared" si="44"/>
        <v>57.236250000000005</v>
      </c>
      <c r="AE117" s="3"/>
      <c r="AF117">
        <f t="shared" si="45"/>
        <v>40.807499999999997</v>
      </c>
    </row>
    <row r="118" spans="1:32" x14ac:dyDescent="0.35">
      <c r="A118">
        <f t="shared" si="49"/>
        <v>10</v>
      </c>
      <c r="B118" t="s">
        <v>56</v>
      </c>
      <c r="C118" t="s">
        <v>30</v>
      </c>
      <c r="D118">
        <v>25</v>
      </c>
      <c r="E118" t="s">
        <v>18</v>
      </c>
      <c r="F118">
        <v>500</v>
      </c>
      <c r="G118" s="14">
        <v>215000</v>
      </c>
      <c r="H118" s="15">
        <v>1412.67</v>
      </c>
      <c r="I118" s="14">
        <v>1828</v>
      </c>
      <c r="J118">
        <v>1</v>
      </c>
      <c r="K118">
        <v>0.23</v>
      </c>
      <c r="L118">
        <v>2.6</v>
      </c>
      <c r="M118">
        <v>2.0999999999999999E-3</v>
      </c>
      <c r="N118">
        <v>0.06</v>
      </c>
      <c r="O118">
        <v>1</v>
      </c>
      <c r="P118" s="10">
        <f>3.14*10^(-4)</f>
        <v>3.1400000000000004E-4</v>
      </c>
      <c r="Q118" s="10">
        <v>0.04</v>
      </c>
      <c r="R118" s="10">
        <v>4</v>
      </c>
      <c r="S118" s="14">
        <v>9.1650000000000005E-5</v>
      </c>
      <c r="T118">
        <v>0</v>
      </c>
      <c r="U118" s="10">
        <f>10*0</f>
        <v>0</v>
      </c>
      <c r="V118" s="1">
        <v>122.5</v>
      </c>
      <c r="W118">
        <v>44.35</v>
      </c>
      <c r="X118" s="12">
        <v>0.1</v>
      </c>
      <c r="Y118" s="1">
        <f t="shared" si="52"/>
        <v>134.75</v>
      </c>
      <c r="Z118" s="1">
        <f t="shared" si="53"/>
        <v>48.785000000000004</v>
      </c>
      <c r="AA118" s="13">
        <v>0</v>
      </c>
      <c r="AB118" s="1">
        <f t="shared" si="42"/>
        <v>134.75</v>
      </c>
      <c r="AC118" s="1">
        <f t="shared" si="43"/>
        <v>48.785000000000004</v>
      </c>
      <c r="AD118" s="3">
        <f t="shared" si="44"/>
        <v>255.09000000000003</v>
      </c>
      <c r="AE118" s="3"/>
      <c r="AF118">
        <f t="shared" si="45"/>
        <v>183.535</v>
      </c>
    </row>
    <row r="119" spans="1:32" x14ac:dyDescent="0.35">
      <c r="A119">
        <f t="shared" si="49"/>
        <v>10</v>
      </c>
      <c r="B119" t="s">
        <v>56</v>
      </c>
      <c r="C119" t="s">
        <v>31</v>
      </c>
      <c r="D119">
        <v>25</v>
      </c>
      <c r="E119" t="s">
        <v>18</v>
      </c>
      <c r="F119">
        <v>500</v>
      </c>
      <c r="G119" s="14">
        <v>215000</v>
      </c>
      <c r="H119" s="15">
        <v>1412.67</v>
      </c>
      <c r="I119" s="14">
        <v>1828</v>
      </c>
      <c r="J119">
        <v>1</v>
      </c>
      <c r="K119">
        <v>0.23</v>
      </c>
      <c r="L119">
        <v>2.6</v>
      </c>
      <c r="M119">
        <v>3.3E-4</v>
      </c>
      <c r="N119">
        <v>3.5000000000000003E-2</v>
      </c>
      <c r="O119">
        <v>1</v>
      </c>
      <c r="P119">
        <v>0</v>
      </c>
      <c r="Q119">
        <v>0</v>
      </c>
      <c r="R119">
        <v>1</v>
      </c>
      <c r="S119" s="14">
        <v>9.1650000000000005E-5</v>
      </c>
      <c r="T119">
        <v>0</v>
      </c>
      <c r="U119">
        <v>4</v>
      </c>
      <c r="V119" s="1">
        <v>39.5</v>
      </c>
      <c r="W119">
        <v>18.100000000000001</v>
      </c>
      <c r="X119" s="8" t="s">
        <v>44</v>
      </c>
      <c r="Y119" s="1">
        <f t="shared" si="52"/>
        <v>28.25</v>
      </c>
      <c r="Z119" s="1">
        <f t="shared" si="53"/>
        <v>13.807500000000001</v>
      </c>
      <c r="AA119" s="13">
        <v>0</v>
      </c>
      <c r="AB119" s="1">
        <f t="shared" si="42"/>
        <v>28.25</v>
      </c>
      <c r="AC119" s="1">
        <f t="shared" si="43"/>
        <v>13.807500000000001</v>
      </c>
      <c r="AD119" s="3">
        <f t="shared" si="44"/>
        <v>58.848750000000003</v>
      </c>
      <c r="AE119" s="3"/>
      <c r="AF119">
        <f t="shared" si="45"/>
        <v>42.057500000000005</v>
      </c>
    </row>
    <row r="120" spans="1:32" x14ac:dyDescent="0.35">
      <c r="A120">
        <f t="shared" si="49"/>
        <v>10</v>
      </c>
      <c r="B120" t="s">
        <v>56</v>
      </c>
      <c r="C120" t="s">
        <v>46</v>
      </c>
      <c r="D120">
        <v>25</v>
      </c>
      <c r="E120" t="s">
        <v>18</v>
      </c>
      <c r="F120">
        <v>500</v>
      </c>
      <c r="G120" s="14">
        <v>215000</v>
      </c>
      <c r="H120" s="15">
        <v>1412.67</v>
      </c>
      <c r="I120" s="14">
        <v>1828</v>
      </c>
      <c r="J120">
        <v>1</v>
      </c>
      <c r="K120">
        <v>0.23</v>
      </c>
      <c r="L120">
        <v>2.6</v>
      </c>
      <c r="M120">
        <v>2.0999999999999999E-3</v>
      </c>
      <c r="N120">
        <v>0.06</v>
      </c>
      <c r="O120">
        <v>1</v>
      </c>
      <c r="P120" s="10">
        <v>2.0110000000000001E-4</v>
      </c>
      <c r="Q120" s="10">
        <v>0.04</v>
      </c>
      <c r="R120" s="10">
        <v>4</v>
      </c>
      <c r="S120" s="14">
        <v>9.1650000000000005E-5</v>
      </c>
      <c r="T120">
        <v>0</v>
      </c>
      <c r="U120" s="10">
        <f>5*0</f>
        <v>0</v>
      </c>
      <c r="V120" s="1">
        <v>102.5</v>
      </c>
      <c r="W120">
        <v>41.5</v>
      </c>
      <c r="X120" s="12">
        <v>0.1</v>
      </c>
      <c r="Y120" s="1">
        <f t="shared" si="52"/>
        <v>112.75</v>
      </c>
      <c r="Z120" s="1">
        <f t="shared" si="53"/>
        <v>45.65</v>
      </c>
      <c r="AA120" s="11">
        <v>0</v>
      </c>
      <c r="AB120" s="1">
        <f t="shared" si="42"/>
        <v>112.75</v>
      </c>
      <c r="AC120" s="1">
        <f t="shared" si="43"/>
        <v>45.65</v>
      </c>
      <c r="AD120" s="3">
        <f t="shared" si="44"/>
        <v>220.6875</v>
      </c>
      <c r="AE120" s="3"/>
      <c r="AF120">
        <f t="shared" si="45"/>
        <v>158.4</v>
      </c>
    </row>
    <row r="121" spans="1:32" x14ac:dyDescent="0.35">
      <c r="A121">
        <f t="shared" si="49"/>
        <v>10</v>
      </c>
      <c r="B121" t="s">
        <v>56</v>
      </c>
      <c r="C121" t="s">
        <v>47</v>
      </c>
      <c r="D121">
        <v>25</v>
      </c>
      <c r="E121" t="s">
        <v>18</v>
      </c>
      <c r="F121">
        <v>500</v>
      </c>
      <c r="G121" s="14">
        <v>215000</v>
      </c>
      <c r="H121" s="15">
        <v>1412.67</v>
      </c>
      <c r="I121" s="14">
        <v>1828</v>
      </c>
      <c r="J121">
        <v>1</v>
      </c>
      <c r="K121">
        <v>0.23</v>
      </c>
      <c r="L121">
        <v>2.6</v>
      </c>
      <c r="M121">
        <v>3.3E-4</v>
      </c>
      <c r="N121">
        <v>0.03</v>
      </c>
      <c r="O121">
        <v>1</v>
      </c>
      <c r="P121">
        <v>0</v>
      </c>
      <c r="Q121">
        <v>0</v>
      </c>
      <c r="R121">
        <v>1</v>
      </c>
      <c r="S121" s="14">
        <v>9.1650000000000005E-5</v>
      </c>
      <c r="T121">
        <v>0</v>
      </c>
      <c r="U121">
        <v>4</v>
      </c>
      <c r="V121" s="1">
        <v>31.7</v>
      </c>
      <c r="W121">
        <v>15.3</v>
      </c>
      <c r="X121" s="8" t="s">
        <v>44</v>
      </c>
      <c r="Y121" s="1">
        <f t="shared" si="52"/>
        <v>21.324999999999999</v>
      </c>
      <c r="Z121" s="1">
        <f t="shared" si="53"/>
        <v>11.324999999999999</v>
      </c>
      <c r="AA121" s="11">
        <v>0</v>
      </c>
      <c r="AB121" s="1">
        <f t="shared" si="42"/>
        <v>21.324999999999999</v>
      </c>
      <c r="AC121" s="1">
        <f t="shared" si="43"/>
        <v>11.324999999999999</v>
      </c>
      <c r="AD121" s="3">
        <f t="shared" si="44"/>
        <v>45.776249999999997</v>
      </c>
      <c r="AE121" s="3"/>
      <c r="AF121">
        <f t="shared" si="45"/>
        <v>32.65</v>
      </c>
    </row>
    <row r="122" spans="1:32" x14ac:dyDescent="0.35">
      <c r="A122">
        <f t="shared" si="49"/>
        <v>10</v>
      </c>
      <c r="B122" t="s">
        <v>56</v>
      </c>
      <c r="C122" t="s">
        <v>48</v>
      </c>
      <c r="D122">
        <v>25</v>
      </c>
      <c r="E122" t="s">
        <v>18</v>
      </c>
      <c r="F122">
        <v>500</v>
      </c>
      <c r="G122" s="14">
        <v>215000</v>
      </c>
      <c r="H122" s="15">
        <v>1412.67</v>
      </c>
      <c r="I122" s="14">
        <v>1828</v>
      </c>
      <c r="J122">
        <v>1</v>
      </c>
      <c r="K122">
        <v>0.23</v>
      </c>
      <c r="L122">
        <v>2.6</v>
      </c>
      <c r="M122">
        <v>1.8993E-3</v>
      </c>
      <c r="N122">
        <v>7.0000000000000007E-2</v>
      </c>
      <c r="O122">
        <v>1</v>
      </c>
      <c r="P122">
        <v>0</v>
      </c>
      <c r="Q122">
        <v>0</v>
      </c>
      <c r="R122">
        <v>1</v>
      </c>
      <c r="S122" s="14">
        <v>9.1650000000000005E-5</v>
      </c>
      <c r="T122">
        <v>0</v>
      </c>
      <c r="U122">
        <v>2</v>
      </c>
      <c r="V122" s="1">
        <v>105</v>
      </c>
      <c r="W122">
        <v>38</v>
      </c>
      <c r="X122" s="12">
        <v>0.1</v>
      </c>
      <c r="Y122" s="1">
        <f t="shared" si="52"/>
        <v>115.5</v>
      </c>
      <c r="Z122" s="1">
        <f t="shared" si="53"/>
        <v>41.8</v>
      </c>
      <c r="AA122" s="13">
        <v>0</v>
      </c>
      <c r="AB122" s="1">
        <f t="shared" si="42"/>
        <v>115.5</v>
      </c>
      <c r="AC122" s="1">
        <f t="shared" si="43"/>
        <v>41.8</v>
      </c>
      <c r="AD122" s="3">
        <f t="shared" si="44"/>
        <v>218.625</v>
      </c>
      <c r="AE122" s="3"/>
      <c r="AF122">
        <f t="shared" si="45"/>
        <v>157.30000000000001</v>
      </c>
    </row>
    <row r="123" spans="1:32" x14ac:dyDescent="0.35">
      <c r="A123">
        <f t="shared" si="49"/>
        <v>10</v>
      </c>
      <c r="B123" t="s">
        <v>56</v>
      </c>
      <c r="C123" t="s">
        <v>49</v>
      </c>
      <c r="D123">
        <v>25</v>
      </c>
      <c r="E123" t="s">
        <v>18</v>
      </c>
      <c r="F123">
        <v>500</v>
      </c>
      <c r="G123" s="14">
        <v>215000</v>
      </c>
      <c r="H123" s="15">
        <v>1412.67</v>
      </c>
      <c r="I123" s="14">
        <v>1828</v>
      </c>
      <c r="J123">
        <v>1</v>
      </c>
      <c r="K123">
        <v>0.23</v>
      </c>
      <c r="L123">
        <v>2.6</v>
      </c>
      <c r="M123">
        <v>1.3338E-3</v>
      </c>
      <c r="N123">
        <v>0.03</v>
      </c>
      <c r="O123">
        <v>1</v>
      </c>
      <c r="P123">
        <v>0</v>
      </c>
      <c r="Q123">
        <v>0</v>
      </c>
      <c r="R123">
        <v>1</v>
      </c>
      <c r="S123" s="14">
        <v>9.1650000000000005E-5</v>
      </c>
      <c r="T123">
        <v>0</v>
      </c>
      <c r="U123">
        <v>1</v>
      </c>
      <c r="V123" s="1">
        <v>40.4</v>
      </c>
      <c r="W123">
        <v>15.6</v>
      </c>
      <c r="X123" s="8" t="s">
        <v>44</v>
      </c>
      <c r="Y123" s="1">
        <f t="shared" si="52"/>
        <v>35.15</v>
      </c>
      <c r="Z123" s="1">
        <f t="shared" si="53"/>
        <v>13.7</v>
      </c>
      <c r="AA123" s="2">
        <v>0</v>
      </c>
      <c r="AB123" s="1">
        <f t="shared" si="42"/>
        <v>35.15</v>
      </c>
      <c r="AC123" s="1">
        <f t="shared" si="43"/>
        <v>13.7</v>
      </c>
      <c r="AD123" s="3">
        <f t="shared" si="44"/>
        <v>68.002499999999998</v>
      </c>
      <c r="AE123" s="3"/>
      <c r="AF123">
        <f t="shared" si="45"/>
        <v>48.849999999999994</v>
      </c>
    </row>
    <row r="124" spans="1:32" x14ac:dyDescent="0.35">
      <c r="A124">
        <f t="shared" si="49"/>
        <v>10</v>
      </c>
      <c r="B124" t="s">
        <v>56</v>
      </c>
      <c r="C124" t="s">
        <v>55</v>
      </c>
      <c r="D124" s="5">
        <v>25</v>
      </c>
      <c r="E124" s="5" t="s">
        <v>18</v>
      </c>
      <c r="F124" s="5">
        <v>500</v>
      </c>
      <c r="G124" s="6">
        <v>220000</v>
      </c>
      <c r="H124" s="5">
        <v>1576</v>
      </c>
      <c r="I124" s="5">
        <v>1870</v>
      </c>
      <c r="J124" s="5">
        <v>1</v>
      </c>
      <c r="K124" s="5">
        <v>0.2</v>
      </c>
      <c r="L124" s="5">
        <v>2.2000000000000002</v>
      </c>
      <c r="M124" s="5">
        <v>1E-4</v>
      </c>
      <c r="N124" s="5">
        <v>0.03</v>
      </c>
      <c r="O124" s="5">
        <v>1</v>
      </c>
      <c r="P124" s="5">
        <v>0</v>
      </c>
      <c r="Q124" s="5">
        <v>0</v>
      </c>
      <c r="R124" s="5">
        <v>1</v>
      </c>
      <c r="S124" s="5">
        <v>0</v>
      </c>
      <c r="T124" s="5">
        <v>0</v>
      </c>
      <c r="U124" s="5">
        <v>0</v>
      </c>
      <c r="V124" s="7">
        <v>0</v>
      </c>
      <c r="W124" s="7">
        <v>0</v>
      </c>
      <c r="X124" s="5" t="s">
        <v>44</v>
      </c>
      <c r="Y124" s="1">
        <f t="shared" si="52"/>
        <v>0</v>
      </c>
      <c r="Z124" s="1">
        <f t="shared" si="53"/>
        <v>0</v>
      </c>
      <c r="AA124" s="2"/>
      <c r="AB124" s="1">
        <f t="shared" si="42"/>
        <v>0</v>
      </c>
      <c r="AC124" s="1">
        <f t="shared" si="43"/>
        <v>0</v>
      </c>
      <c r="AD124" s="3">
        <f t="shared" si="44"/>
        <v>0</v>
      </c>
      <c r="AE124" s="3"/>
      <c r="AF124">
        <f t="shared" si="45"/>
        <v>0</v>
      </c>
    </row>
    <row r="125" spans="1:32" x14ac:dyDescent="0.35">
      <c r="A125">
        <f t="shared" si="49"/>
        <v>11</v>
      </c>
      <c r="B125" t="s">
        <v>57</v>
      </c>
      <c r="C125" t="s">
        <v>19</v>
      </c>
      <c r="D125">
        <v>25</v>
      </c>
      <c r="E125" t="s">
        <v>18</v>
      </c>
      <c r="F125">
        <v>500</v>
      </c>
      <c r="G125" s="14">
        <v>215000</v>
      </c>
      <c r="H125" s="15">
        <v>1412.67</v>
      </c>
      <c r="I125" s="14">
        <v>1828</v>
      </c>
      <c r="J125">
        <v>1</v>
      </c>
      <c r="K125">
        <v>0.23</v>
      </c>
      <c r="L125">
        <v>2.6</v>
      </c>
      <c r="M125">
        <v>1.0009999999999999E-3</v>
      </c>
      <c r="N125">
        <v>0.04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 s="1">
        <v>32</v>
      </c>
      <c r="W125">
        <v>10.3</v>
      </c>
      <c r="X125" s="8" t="s">
        <v>44</v>
      </c>
      <c r="Y125" s="1">
        <f>IFERROR(IF(ISNUMBER(SEARCH("Appui",C125)),V125+X125*V125,IF(#REF!&lt;A125,V125-X126*V126/2,IF(A125&lt;A126,V125-(#REF!*#REF!)/2,V125-(X126*V126+#REF!*#REF!)/2))),0)</f>
        <v>0</v>
      </c>
      <c r="Z125" s="1">
        <f>IFERROR(IF(ISNUMBER(SEARCH("Appui",C125)),W125+X125*W125,IF(#REF!&lt;A125,W125-X126*W126/2,IF(A125&lt;A126,W125-(#REF!*#REF!)/2,W125-(X126*W126+#REF!*#REF!)/2))),0)</f>
        <v>0</v>
      </c>
      <c r="AA125" s="2">
        <v>0</v>
      </c>
      <c r="AB125" s="1">
        <f t="shared" ref="AB125:AB140" si="54">Y125*(1-AA125)</f>
        <v>0</v>
      </c>
      <c r="AC125" s="1">
        <f t="shared" ref="AC125:AC140" si="55">Y125*AA125 + Z125</f>
        <v>0</v>
      </c>
      <c r="AD125" s="3">
        <f t="shared" ref="AD125:AD140" si="56">1.35*Y125+1.5*Z125</f>
        <v>0</v>
      </c>
      <c r="AE125" s="3"/>
      <c r="AF125">
        <f t="shared" ref="AF125:AF140" si="57">AB125+AC125</f>
        <v>0</v>
      </c>
    </row>
    <row r="126" spans="1:32" x14ac:dyDescent="0.35">
      <c r="A126">
        <f t="shared" si="49"/>
        <v>11</v>
      </c>
      <c r="B126" t="s">
        <v>57</v>
      </c>
      <c r="C126" t="s">
        <v>20</v>
      </c>
      <c r="D126">
        <v>25</v>
      </c>
      <c r="E126" t="s">
        <v>18</v>
      </c>
      <c r="F126">
        <v>500</v>
      </c>
      <c r="G126" s="14">
        <v>215000</v>
      </c>
      <c r="H126" s="15">
        <v>1412.67</v>
      </c>
      <c r="I126" s="14">
        <v>1828</v>
      </c>
      <c r="J126">
        <v>1</v>
      </c>
      <c r="K126">
        <v>0.23</v>
      </c>
      <c r="L126">
        <v>2.6</v>
      </c>
      <c r="M126">
        <v>1.3078E-3</v>
      </c>
      <c r="N126">
        <v>7.0000000000000007E-2</v>
      </c>
      <c r="O126">
        <v>1</v>
      </c>
      <c r="P126">
        <v>0</v>
      </c>
      <c r="Q126">
        <v>0</v>
      </c>
      <c r="R126">
        <v>1</v>
      </c>
      <c r="S126" s="14">
        <v>9.1650000000000005E-5</v>
      </c>
      <c r="T126">
        <v>0</v>
      </c>
      <c r="U126">
        <v>2</v>
      </c>
      <c r="V126" s="1">
        <v>63</v>
      </c>
      <c r="W126">
        <v>18.5</v>
      </c>
      <c r="X126" s="8">
        <v>0</v>
      </c>
      <c r="Y126" s="1">
        <f>IFERROR(IF(ISNUMBER(SEARCH("Appui",C126)),V126+X126*V126,IF(A125&lt;A126,V126-X127*V127/2,IF(A126&lt;A127,V126-(X125*V125)/2,V126-(X127*V127+X125*V125)/2))),0)</f>
        <v>63</v>
      </c>
      <c r="Z126" s="1">
        <f t="shared" ref="Z126" si="58">IFERROR(IF(ISNUMBER(SEARCH("Appui",C126)),W126+X126*W126,IF(A125&lt;A126,W126-X127*W127/2,IF(A126&lt;A127,W126-(X125*W125)/2,W126-(X127*W127+X125*W125)/2))),0)</f>
        <v>18.5</v>
      </c>
      <c r="AA126" s="2">
        <v>0</v>
      </c>
      <c r="AB126" s="1">
        <f t="shared" si="54"/>
        <v>63</v>
      </c>
      <c r="AC126" s="1">
        <f t="shared" si="55"/>
        <v>18.5</v>
      </c>
      <c r="AD126" s="3">
        <f t="shared" si="56"/>
        <v>112.80000000000001</v>
      </c>
      <c r="AE126" s="3"/>
      <c r="AF126">
        <f t="shared" si="57"/>
        <v>81.5</v>
      </c>
    </row>
    <row r="127" spans="1:32" x14ac:dyDescent="0.35">
      <c r="A127">
        <f t="shared" si="49"/>
        <v>11</v>
      </c>
      <c r="B127" t="s">
        <v>57</v>
      </c>
      <c r="C127" t="s">
        <v>23</v>
      </c>
      <c r="D127" s="5">
        <v>25</v>
      </c>
      <c r="E127" s="5" t="s">
        <v>18</v>
      </c>
      <c r="F127" s="5">
        <v>500</v>
      </c>
      <c r="G127" s="6">
        <v>220000</v>
      </c>
      <c r="H127" s="5">
        <v>1576</v>
      </c>
      <c r="I127" s="5">
        <v>1870</v>
      </c>
      <c r="J127" s="5">
        <v>1</v>
      </c>
      <c r="K127" s="5">
        <v>0.2</v>
      </c>
      <c r="L127" s="5">
        <v>2.2000000000000002</v>
      </c>
      <c r="M127" s="10">
        <v>1E-3</v>
      </c>
      <c r="N127" s="5">
        <v>0.03</v>
      </c>
      <c r="O127" s="5">
        <v>1</v>
      </c>
      <c r="P127" s="5">
        <v>0</v>
      </c>
      <c r="Q127" s="5">
        <v>0</v>
      </c>
      <c r="R127" s="5">
        <v>1</v>
      </c>
      <c r="S127" s="5">
        <v>0</v>
      </c>
      <c r="T127" s="5">
        <v>0</v>
      </c>
      <c r="U127" s="5">
        <v>0</v>
      </c>
      <c r="V127" s="7">
        <v>0</v>
      </c>
      <c r="W127" s="7">
        <v>0</v>
      </c>
      <c r="X127" s="5" t="s">
        <v>44</v>
      </c>
      <c r="Y127" s="5">
        <v>0</v>
      </c>
      <c r="Z127" s="5">
        <v>0</v>
      </c>
      <c r="AA127" s="13">
        <v>0</v>
      </c>
      <c r="AB127" s="1">
        <f t="shared" si="54"/>
        <v>0</v>
      </c>
      <c r="AC127" s="1">
        <f t="shared" si="55"/>
        <v>0</v>
      </c>
      <c r="AD127" s="3">
        <f t="shared" si="56"/>
        <v>0</v>
      </c>
      <c r="AE127" s="3"/>
      <c r="AF127">
        <f t="shared" si="57"/>
        <v>0</v>
      </c>
    </row>
    <row r="128" spans="1:32" x14ac:dyDescent="0.35">
      <c r="A128">
        <f t="shared" si="49"/>
        <v>11</v>
      </c>
      <c r="B128" t="s">
        <v>57</v>
      </c>
      <c r="C128" t="s">
        <v>24</v>
      </c>
      <c r="D128">
        <v>25</v>
      </c>
      <c r="E128" t="s">
        <v>18</v>
      </c>
      <c r="F128">
        <v>500</v>
      </c>
      <c r="G128" s="14">
        <v>215000</v>
      </c>
      <c r="H128" s="15">
        <v>1412.67</v>
      </c>
      <c r="I128" s="14">
        <v>1828</v>
      </c>
      <c r="J128">
        <v>1</v>
      </c>
      <c r="K128">
        <v>0.23</v>
      </c>
      <c r="L128">
        <v>2.6</v>
      </c>
      <c r="M128" s="10">
        <f>0.0013286 + 12*1.131*0.0001</f>
        <v>2.6858000000000003E-3</v>
      </c>
      <c r="N128">
        <v>0.06</v>
      </c>
      <c r="O128">
        <v>1</v>
      </c>
      <c r="P128" s="10">
        <f>3.14*10^(-4)</f>
        <v>3.1400000000000004E-4</v>
      </c>
      <c r="Q128" s="10">
        <v>0.04</v>
      </c>
      <c r="R128" s="10">
        <f>4*0</f>
        <v>0</v>
      </c>
      <c r="S128" s="14">
        <v>9.1650000000000005E-5</v>
      </c>
      <c r="T128">
        <v>0</v>
      </c>
      <c r="U128" s="10">
        <v>4</v>
      </c>
      <c r="V128" s="1">
        <v>107.5</v>
      </c>
      <c r="W128">
        <v>34</v>
      </c>
      <c r="X128" s="12">
        <v>0</v>
      </c>
      <c r="Y128" s="1">
        <f t="shared" ref="Y128:Y140" si="59">IFERROR(IF(ISNUMBER(SEARCH("Appui",C128)),V128+X128*V128,IF(A127&lt;A128,V128-X129*V129/2,IF(A128&lt;A129,V128-(X127*V127)/2,V128-(X129*V129+X127*V127)/2))),0)</f>
        <v>107.5</v>
      </c>
      <c r="Z128" s="1">
        <f t="shared" ref="Z128:Z140" si="60">IFERROR(IF(ISNUMBER(SEARCH("Appui",C128)),W128+X128*W128,IF(A127&lt;A128,W128-X129*W129/2,IF(A128&lt;A129,W128-(X127*W127)/2,W128-(X129*W129+X127*W127)/2))),0)</f>
        <v>34</v>
      </c>
      <c r="AA128" s="13">
        <v>0</v>
      </c>
      <c r="AB128" s="1">
        <f t="shared" si="54"/>
        <v>107.5</v>
      </c>
      <c r="AC128" s="1">
        <f t="shared" si="55"/>
        <v>34</v>
      </c>
      <c r="AD128" s="3">
        <f t="shared" si="56"/>
        <v>196.125</v>
      </c>
      <c r="AE128" s="3"/>
      <c r="AF128">
        <f t="shared" si="57"/>
        <v>141.5</v>
      </c>
    </row>
    <row r="129" spans="1:32" x14ac:dyDescent="0.35">
      <c r="A129">
        <f t="shared" si="49"/>
        <v>11</v>
      </c>
      <c r="B129" t="s">
        <v>57</v>
      </c>
      <c r="C129" t="s">
        <v>25</v>
      </c>
      <c r="D129">
        <v>25</v>
      </c>
      <c r="E129" t="s">
        <v>18</v>
      </c>
      <c r="F129">
        <v>500</v>
      </c>
      <c r="G129" s="14">
        <v>215000</v>
      </c>
      <c r="H129" s="15">
        <v>1412.67</v>
      </c>
      <c r="I129" s="14">
        <v>1828</v>
      </c>
      <c r="J129">
        <v>1</v>
      </c>
      <c r="K129">
        <v>0.23</v>
      </c>
      <c r="L129">
        <v>2.6</v>
      </c>
      <c r="M129">
        <v>3.3280000000000001E-4</v>
      </c>
      <c r="N129">
        <v>0.03</v>
      </c>
      <c r="O129">
        <v>1</v>
      </c>
      <c r="P129">
        <v>0</v>
      </c>
      <c r="Q129">
        <v>0</v>
      </c>
      <c r="R129">
        <v>1</v>
      </c>
      <c r="S129" s="14">
        <v>9.1650000000000005E-5</v>
      </c>
      <c r="T129">
        <v>0</v>
      </c>
      <c r="U129">
        <v>3</v>
      </c>
      <c r="V129" s="1">
        <v>35.4</v>
      </c>
      <c r="W129">
        <v>15.9</v>
      </c>
      <c r="X129" s="8" t="s">
        <v>44</v>
      </c>
      <c r="Y129" s="1">
        <f t="shared" si="59"/>
        <v>29.95</v>
      </c>
      <c r="Z129" s="1">
        <f t="shared" si="60"/>
        <v>13.8</v>
      </c>
      <c r="AA129" s="11">
        <v>0</v>
      </c>
      <c r="AB129" s="1">
        <f t="shared" si="54"/>
        <v>29.95</v>
      </c>
      <c r="AC129" s="1">
        <f t="shared" si="55"/>
        <v>13.8</v>
      </c>
      <c r="AD129" s="3">
        <f t="shared" si="56"/>
        <v>61.132500000000007</v>
      </c>
      <c r="AE129" s="3"/>
      <c r="AF129">
        <f t="shared" si="57"/>
        <v>43.75</v>
      </c>
    </row>
    <row r="130" spans="1:32" x14ac:dyDescent="0.35">
      <c r="A130">
        <f t="shared" si="49"/>
        <v>11</v>
      </c>
      <c r="B130" t="s">
        <v>57</v>
      </c>
      <c r="C130" t="s">
        <v>26</v>
      </c>
      <c r="D130">
        <v>25</v>
      </c>
      <c r="E130" t="s">
        <v>18</v>
      </c>
      <c r="F130">
        <v>500</v>
      </c>
      <c r="G130" s="14">
        <v>215000</v>
      </c>
      <c r="H130" s="15">
        <v>1412.67</v>
      </c>
      <c r="I130" s="14">
        <v>1828</v>
      </c>
      <c r="J130">
        <v>1</v>
      </c>
      <c r="K130" s="10">
        <f>0.23+0.21</f>
        <v>0.44</v>
      </c>
      <c r="L130" s="10">
        <f>2.6*0+1.4*1</f>
        <v>1.4</v>
      </c>
      <c r="M130">
        <v>2.1032999999999998E-3</v>
      </c>
      <c r="N130">
        <v>0.06</v>
      </c>
      <c r="O130">
        <v>1</v>
      </c>
      <c r="P130" s="10">
        <v>2.0110000000000001E-4</v>
      </c>
      <c r="Q130" s="10">
        <v>0.04</v>
      </c>
      <c r="R130" s="10">
        <f>4*0</f>
        <v>0</v>
      </c>
      <c r="S130" s="14">
        <v>9.1650000000000005E-5</v>
      </c>
      <c r="T130">
        <v>0</v>
      </c>
      <c r="U130" s="10">
        <v>2</v>
      </c>
      <c r="V130" s="1">
        <v>109</v>
      </c>
      <c r="W130">
        <v>42</v>
      </c>
      <c r="X130" s="12">
        <v>0.1</v>
      </c>
      <c r="Y130" s="1">
        <f t="shared" si="59"/>
        <v>119.9</v>
      </c>
      <c r="Z130" s="1">
        <f t="shared" si="60"/>
        <v>46.2</v>
      </c>
      <c r="AA130" s="13">
        <v>0</v>
      </c>
      <c r="AB130" s="1">
        <f t="shared" si="54"/>
        <v>119.9</v>
      </c>
      <c r="AC130" s="1">
        <f t="shared" si="55"/>
        <v>46.2</v>
      </c>
      <c r="AD130" s="3">
        <f t="shared" si="56"/>
        <v>231.16500000000002</v>
      </c>
      <c r="AE130" s="3"/>
      <c r="AF130">
        <f t="shared" si="57"/>
        <v>166.10000000000002</v>
      </c>
    </row>
    <row r="131" spans="1:32" x14ac:dyDescent="0.35">
      <c r="A131">
        <f t="shared" si="49"/>
        <v>11</v>
      </c>
      <c r="B131" t="s">
        <v>57</v>
      </c>
      <c r="C131" t="s">
        <v>27</v>
      </c>
      <c r="D131">
        <v>25</v>
      </c>
      <c r="E131" t="s">
        <v>18</v>
      </c>
      <c r="F131">
        <v>500</v>
      </c>
      <c r="G131" s="14">
        <v>215000</v>
      </c>
      <c r="H131" s="15">
        <v>1412.67</v>
      </c>
      <c r="I131" s="14">
        <v>1828</v>
      </c>
      <c r="J131">
        <v>1</v>
      </c>
      <c r="K131">
        <v>0.23</v>
      </c>
      <c r="L131">
        <v>2.6</v>
      </c>
      <c r="M131">
        <v>1E-3</v>
      </c>
      <c r="N131">
        <v>0.05</v>
      </c>
      <c r="O131">
        <v>1</v>
      </c>
      <c r="P131">
        <v>0</v>
      </c>
      <c r="Q131">
        <v>0</v>
      </c>
      <c r="R131">
        <v>1</v>
      </c>
      <c r="S131" s="14">
        <v>9.1650000000000005E-5</v>
      </c>
      <c r="T131">
        <v>0</v>
      </c>
      <c r="U131">
        <v>2</v>
      </c>
      <c r="V131" s="1">
        <v>38.9</v>
      </c>
      <c r="W131">
        <v>18.2</v>
      </c>
      <c r="X131" s="8" t="s">
        <v>44</v>
      </c>
      <c r="Y131" s="1">
        <f t="shared" si="59"/>
        <v>27.574999999999999</v>
      </c>
      <c r="Z131" s="1">
        <f t="shared" si="60"/>
        <v>13.924999999999999</v>
      </c>
      <c r="AA131" s="13">
        <v>0</v>
      </c>
      <c r="AB131" s="1">
        <f t="shared" si="54"/>
        <v>27.574999999999999</v>
      </c>
      <c r="AC131" s="1">
        <f t="shared" si="55"/>
        <v>13.924999999999999</v>
      </c>
      <c r="AD131" s="3">
        <f t="shared" si="56"/>
        <v>58.113749999999996</v>
      </c>
      <c r="AE131" s="3"/>
      <c r="AF131">
        <f t="shared" si="57"/>
        <v>41.5</v>
      </c>
    </row>
    <row r="132" spans="1:32" x14ac:dyDescent="0.35">
      <c r="A132">
        <f t="shared" si="49"/>
        <v>11</v>
      </c>
      <c r="B132" t="s">
        <v>57</v>
      </c>
      <c r="C132" t="s">
        <v>28</v>
      </c>
      <c r="D132">
        <v>25</v>
      </c>
      <c r="E132" t="s">
        <v>18</v>
      </c>
      <c r="F132">
        <v>500</v>
      </c>
      <c r="G132" s="14">
        <v>215000</v>
      </c>
      <c r="H132" s="15">
        <v>1412.67</v>
      </c>
      <c r="I132" s="14">
        <v>1828</v>
      </c>
      <c r="J132">
        <v>1</v>
      </c>
      <c r="K132" s="10">
        <f>0.23+0.21</f>
        <v>0.44</v>
      </c>
      <c r="L132" s="10">
        <f>2.6*0+2*1</f>
        <v>2</v>
      </c>
      <c r="M132">
        <v>2.0999999999999999E-3</v>
      </c>
      <c r="N132">
        <v>0.06</v>
      </c>
      <c r="O132">
        <v>1</v>
      </c>
      <c r="P132" s="10">
        <v>2.0110000000000001E-4</v>
      </c>
      <c r="Q132" s="10">
        <v>0.04</v>
      </c>
      <c r="R132" s="10">
        <f>4*0</f>
        <v>0</v>
      </c>
      <c r="S132" s="14">
        <v>9.1650000000000005E-5</v>
      </c>
      <c r="T132">
        <v>0</v>
      </c>
      <c r="U132" s="10">
        <v>2</v>
      </c>
      <c r="V132" s="1">
        <v>117.5</v>
      </c>
      <c r="W132">
        <v>43.5</v>
      </c>
      <c r="X132" s="12">
        <v>0.1</v>
      </c>
      <c r="Y132" s="1">
        <f t="shared" si="59"/>
        <v>129.25</v>
      </c>
      <c r="Z132" s="1">
        <f t="shared" si="60"/>
        <v>47.85</v>
      </c>
      <c r="AA132" s="13">
        <v>0</v>
      </c>
      <c r="AB132" s="1">
        <f t="shared" si="54"/>
        <v>129.25</v>
      </c>
      <c r="AC132" s="1">
        <f t="shared" si="55"/>
        <v>47.85</v>
      </c>
      <c r="AD132" s="3">
        <f t="shared" si="56"/>
        <v>246.26250000000002</v>
      </c>
      <c r="AE132" s="3"/>
      <c r="AF132">
        <f t="shared" si="57"/>
        <v>177.1</v>
      </c>
    </row>
    <row r="133" spans="1:32" x14ac:dyDescent="0.35">
      <c r="A133">
        <f t="shared" si="49"/>
        <v>11</v>
      </c>
      <c r="B133" t="s">
        <v>57</v>
      </c>
      <c r="C133" t="s">
        <v>29</v>
      </c>
      <c r="D133">
        <v>25</v>
      </c>
      <c r="E133" t="s">
        <v>18</v>
      </c>
      <c r="F133">
        <v>500</v>
      </c>
      <c r="G133" s="14">
        <v>215000</v>
      </c>
      <c r="H133" s="15">
        <v>1412.67</v>
      </c>
      <c r="I133" s="14">
        <v>1828</v>
      </c>
      <c r="J133">
        <v>1</v>
      </c>
      <c r="K133">
        <v>0.23</v>
      </c>
      <c r="L133">
        <v>2.6</v>
      </c>
      <c r="M133">
        <v>3.3E-4</v>
      </c>
      <c r="N133">
        <v>0.03</v>
      </c>
      <c r="O133">
        <v>1</v>
      </c>
      <c r="P133">
        <v>0</v>
      </c>
      <c r="Q133">
        <v>0</v>
      </c>
      <c r="R133">
        <v>1</v>
      </c>
      <c r="S133" s="14">
        <v>9.1650000000000005E-5</v>
      </c>
      <c r="T133">
        <v>0</v>
      </c>
      <c r="U133">
        <v>4</v>
      </c>
      <c r="V133" s="1">
        <v>38.5</v>
      </c>
      <c r="W133">
        <v>18.7</v>
      </c>
      <c r="X133" s="8" t="s">
        <v>44</v>
      </c>
      <c r="Y133" s="1">
        <f t="shared" si="59"/>
        <v>26.5</v>
      </c>
      <c r="Z133" s="1">
        <f t="shared" si="60"/>
        <v>14.307499999999999</v>
      </c>
      <c r="AA133" s="13">
        <v>0</v>
      </c>
      <c r="AB133" s="1">
        <f t="shared" si="54"/>
        <v>26.5</v>
      </c>
      <c r="AC133" s="1">
        <f t="shared" si="55"/>
        <v>14.307499999999999</v>
      </c>
      <c r="AD133" s="3">
        <f t="shared" si="56"/>
        <v>57.236250000000005</v>
      </c>
      <c r="AE133" s="3"/>
      <c r="AF133">
        <f t="shared" si="57"/>
        <v>40.807499999999997</v>
      </c>
    </row>
    <row r="134" spans="1:32" x14ac:dyDescent="0.35">
      <c r="A134">
        <f t="shared" si="49"/>
        <v>11</v>
      </c>
      <c r="B134" t="s">
        <v>57</v>
      </c>
      <c r="C134" t="s">
        <v>30</v>
      </c>
      <c r="D134">
        <v>25</v>
      </c>
      <c r="E134" t="s">
        <v>18</v>
      </c>
      <c r="F134">
        <v>500</v>
      </c>
      <c r="G134" s="14">
        <v>215000</v>
      </c>
      <c r="H134" s="15">
        <v>1412.67</v>
      </c>
      <c r="I134" s="14">
        <v>1828</v>
      </c>
      <c r="J134">
        <v>1</v>
      </c>
      <c r="K134" s="10">
        <f>0.23+0.21</f>
        <v>0.44</v>
      </c>
      <c r="L134" s="10">
        <f>2.6*0+2*1</f>
        <v>2</v>
      </c>
      <c r="M134">
        <v>2.0999999999999999E-3</v>
      </c>
      <c r="N134">
        <v>0.06</v>
      </c>
      <c r="O134">
        <v>1</v>
      </c>
      <c r="P134" s="10">
        <f>3.14*10^(-4)</f>
        <v>3.1400000000000004E-4</v>
      </c>
      <c r="Q134" s="10">
        <v>0.04</v>
      </c>
      <c r="R134" s="10">
        <f>4*0</f>
        <v>0</v>
      </c>
      <c r="S134" s="14">
        <v>9.1650000000000005E-5</v>
      </c>
      <c r="T134">
        <v>0</v>
      </c>
      <c r="U134" s="10">
        <v>2</v>
      </c>
      <c r="V134" s="1">
        <v>122.5</v>
      </c>
      <c r="W134">
        <v>44.35</v>
      </c>
      <c r="X134" s="12">
        <v>0.1</v>
      </c>
      <c r="Y134" s="1">
        <f t="shared" si="59"/>
        <v>134.75</v>
      </c>
      <c r="Z134" s="1">
        <f t="shared" si="60"/>
        <v>48.785000000000004</v>
      </c>
      <c r="AA134" s="13">
        <v>0</v>
      </c>
      <c r="AB134" s="1">
        <f t="shared" si="54"/>
        <v>134.75</v>
      </c>
      <c r="AC134" s="1">
        <f t="shared" si="55"/>
        <v>48.785000000000004</v>
      </c>
      <c r="AD134" s="3">
        <f t="shared" si="56"/>
        <v>255.09000000000003</v>
      </c>
      <c r="AE134" s="3"/>
      <c r="AF134">
        <f t="shared" si="57"/>
        <v>183.535</v>
      </c>
    </row>
    <row r="135" spans="1:32" x14ac:dyDescent="0.35">
      <c r="A135">
        <f t="shared" si="49"/>
        <v>11</v>
      </c>
      <c r="B135" t="s">
        <v>57</v>
      </c>
      <c r="C135" t="s">
        <v>31</v>
      </c>
      <c r="D135">
        <v>25</v>
      </c>
      <c r="E135" t="s">
        <v>18</v>
      </c>
      <c r="F135">
        <v>500</v>
      </c>
      <c r="G135" s="14">
        <v>215000</v>
      </c>
      <c r="H135" s="15">
        <v>1412.67</v>
      </c>
      <c r="I135" s="14">
        <v>1828</v>
      </c>
      <c r="J135">
        <v>1</v>
      </c>
      <c r="K135">
        <v>0.23</v>
      </c>
      <c r="L135">
        <v>2.6</v>
      </c>
      <c r="M135">
        <v>3.3E-4</v>
      </c>
      <c r="N135">
        <v>3.5000000000000003E-2</v>
      </c>
      <c r="O135">
        <v>1</v>
      </c>
      <c r="P135">
        <v>0</v>
      </c>
      <c r="Q135">
        <v>0</v>
      </c>
      <c r="R135">
        <v>1</v>
      </c>
      <c r="S135" s="14">
        <v>9.1650000000000005E-5</v>
      </c>
      <c r="T135">
        <v>0</v>
      </c>
      <c r="U135">
        <v>4</v>
      </c>
      <c r="V135" s="1">
        <v>39.5</v>
      </c>
      <c r="W135">
        <v>18.100000000000001</v>
      </c>
      <c r="X135" s="8" t="s">
        <v>44</v>
      </c>
      <c r="Y135" s="1">
        <f t="shared" si="59"/>
        <v>28.25</v>
      </c>
      <c r="Z135" s="1">
        <f t="shared" si="60"/>
        <v>13.807500000000001</v>
      </c>
      <c r="AA135" s="13">
        <v>0</v>
      </c>
      <c r="AB135" s="1">
        <f t="shared" si="54"/>
        <v>28.25</v>
      </c>
      <c r="AC135" s="1">
        <f t="shared" si="55"/>
        <v>13.807500000000001</v>
      </c>
      <c r="AD135" s="3">
        <f t="shared" si="56"/>
        <v>58.848750000000003</v>
      </c>
      <c r="AE135" s="3"/>
      <c r="AF135">
        <f t="shared" si="57"/>
        <v>42.057500000000005</v>
      </c>
    </row>
    <row r="136" spans="1:32" x14ac:dyDescent="0.35">
      <c r="A136">
        <f t="shared" si="49"/>
        <v>11</v>
      </c>
      <c r="B136" t="s">
        <v>57</v>
      </c>
      <c r="C136" t="s">
        <v>46</v>
      </c>
      <c r="D136">
        <v>25</v>
      </c>
      <c r="E136" t="s">
        <v>18</v>
      </c>
      <c r="F136">
        <v>500</v>
      </c>
      <c r="G136" s="14">
        <v>215000</v>
      </c>
      <c r="H136" s="15">
        <v>1412.67</v>
      </c>
      <c r="I136" s="14">
        <v>1828</v>
      </c>
      <c r="J136">
        <v>1</v>
      </c>
      <c r="K136" s="10">
        <f>0.23+0.21</f>
        <v>0.44</v>
      </c>
      <c r="L136" s="10">
        <f>2.6*0+2*1</f>
        <v>2</v>
      </c>
      <c r="M136">
        <v>2.0999999999999999E-3</v>
      </c>
      <c r="N136">
        <v>0.06</v>
      </c>
      <c r="O136">
        <v>1</v>
      </c>
      <c r="P136" s="10">
        <v>2.0110000000000001E-4</v>
      </c>
      <c r="Q136" s="10">
        <v>0.04</v>
      </c>
      <c r="R136" s="10">
        <f>4*0</f>
        <v>0</v>
      </c>
      <c r="S136" s="14">
        <v>9.1650000000000005E-5</v>
      </c>
      <c r="T136">
        <v>0</v>
      </c>
      <c r="U136" s="10">
        <v>2</v>
      </c>
      <c r="V136" s="1">
        <v>102.5</v>
      </c>
      <c r="W136">
        <v>41.5</v>
      </c>
      <c r="X136" s="12">
        <v>0.1</v>
      </c>
      <c r="Y136" s="1">
        <f t="shared" si="59"/>
        <v>112.75</v>
      </c>
      <c r="Z136" s="1">
        <f t="shared" si="60"/>
        <v>45.65</v>
      </c>
      <c r="AA136" s="11">
        <v>0</v>
      </c>
      <c r="AB136" s="1">
        <f t="shared" si="54"/>
        <v>112.75</v>
      </c>
      <c r="AC136" s="1">
        <f t="shared" si="55"/>
        <v>45.65</v>
      </c>
      <c r="AD136" s="3">
        <f t="shared" si="56"/>
        <v>220.6875</v>
      </c>
      <c r="AE136" s="3"/>
      <c r="AF136">
        <f t="shared" si="57"/>
        <v>158.4</v>
      </c>
    </row>
    <row r="137" spans="1:32" x14ac:dyDescent="0.35">
      <c r="A137">
        <f t="shared" si="49"/>
        <v>11</v>
      </c>
      <c r="B137" t="s">
        <v>57</v>
      </c>
      <c r="C137" t="s">
        <v>47</v>
      </c>
      <c r="D137">
        <v>25</v>
      </c>
      <c r="E137" t="s">
        <v>18</v>
      </c>
      <c r="F137">
        <v>500</v>
      </c>
      <c r="G137" s="14">
        <v>215000</v>
      </c>
      <c r="H137" s="15">
        <v>1412.67</v>
      </c>
      <c r="I137" s="14">
        <v>1828</v>
      </c>
      <c r="J137">
        <v>1</v>
      </c>
      <c r="K137">
        <v>0.23</v>
      </c>
      <c r="L137">
        <v>2.6</v>
      </c>
      <c r="M137">
        <v>3.3E-4</v>
      </c>
      <c r="N137">
        <v>0.03</v>
      </c>
      <c r="O137">
        <v>1</v>
      </c>
      <c r="P137">
        <v>0</v>
      </c>
      <c r="Q137">
        <v>0</v>
      </c>
      <c r="R137">
        <v>1</v>
      </c>
      <c r="S137" s="14">
        <v>9.1650000000000005E-5</v>
      </c>
      <c r="T137">
        <v>0</v>
      </c>
      <c r="U137">
        <v>4</v>
      </c>
      <c r="V137" s="1">
        <v>31.7</v>
      </c>
      <c r="W137">
        <v>15.3</v>
      </c>
      <c r="X137" s="8" t="s">
        <v>44</v>
      </c>
      <c r="Y137" s="1">
        <f t="shared" si="59"/>
        <v>21.324999999999999</v>
      </c>
      <c r="Z137" s="1">
        <f t="shared" si="60"/>
        <v>11.324999999999999</v>
      </c>
      <c r="AA137" s="11">
        <v>0</v>
      </c>
      <c r="AB137" s="1">
        <f t="shared" si="54"/>
        <v>21.324999999999999</v>
      </c>
      <c r="AC137" s="1">
        <f t="shared" si="55"/>
        <v>11.324999999999999</v>
      </c>
      <c r="AD137" s="3">
        <f t="shared" si="56"/>
        <v>45.776249999999997</v>
      </c>
      <c r="AE137" s="3"/>
      <c r="AF137">
        <f t="shared" si="57"/>
        <v>32.65</v>
      </c>
    </row>
    <row r="138" spans="1:32" x14ac:dyDescent="0.35">
      <c r="A138">
        <f t="shared" si="49"/>
        <v>11</v>
      </c>
      <c r="B138" t="s">
        <v>57</v>
      </c>
      <c r="C138" t="s">
        <v>48</v>
      </c>
      <c r="D138">
        <v>25</v>
      </c>
      <c r="E138" t="s">
        <v>18</v>
      </c>
      <c r="F138">
        <v>500</v>
      </c>
      <c r="G138" s="14">
        <v>215000</v>
      </c>
      <c r="H138" s="15">
        <v>1412.67</v>
      </c>
      <c r="I138" s="14">
        <v>1828</v>
      </c>
      <c r="J138">
        <v>1</v>
      </c>
      <c r="K138" s="10">
        <f>0.23+0.21</f>
        <v>0.44</v>
      </c>
      <c r="L138" s="10">
        <f>2.6*0+2*1</f>
        <v>2</v>
      </c>
      <c r="M138">
        <v>1.8993E-3</v>
      </c>
      <c r="N138">
        <v>7.0000000000000007E-2</v>
      </c>
      <c r="O138">
        <v>1</v>
      </c>
      <c r="P138">
        <v>0</v>
      </c>
      <c r="Q138">
        <v>0</v>
      </c>
      <c r="R138">
        <v>1</v>
      </c>
      <c r="S138" s="14">
        <v>9.1650000000000005E-5</v>
      </c>
      <c r="T138">
        <v>0</v>
      </c>
      <c r="U138">
        <v>2</v>
      </c>
      <c r="V138" s="1">
        <v>105</v>
      </c>
      <c r="W138">
        <v>38</v>
      </c>
      <c r="X138" s="12">
        <v>0.1</v>
      </c>
      <c r="Y138" s="1">
        <f t="shared" si="59"/>
        <v>115.5</v>
      </c>
      <c r="Z138" s="1">
        <f t="shared" si="60"/>
        <v>41.8</v>
      </c>
      <c r="AA138" s="13">
        <v>0</v>
      </c>
      <c r="AB138" s="1">
        <f t="shared" si="54"/>
        <v>115.5</v>
      </c>
      <c r="AC138" s="1">
        <f t="shared" si="55"/>
        <v>41.8</v>
      </c>
      <c r="AD138" s="3">
        <f t="shared" si="56"/>
        <v>218.625</v>
      </c>
      <c r="AE138" s="3"/>
      <c r="AF138">
        <f t="shared" si="57"/>
        <v>157.30000000000001</v>
      </c>
    </row>
    <row r="139" spans="1:32" x14ac:dyDescent="0.35">
      <c r="A139">
        <f t="shared" si="49"/>
        <v>11</v>
      </c>
      <c r="B139" t="s">
        <v>57</v>
      </c>
      <c r="C139" t="s">
        <v>49</v>
      </c>
      <c r="D139">
        <v>25</v>
      </c>
      <c r="E139" t="s">
        <v>18</v>
      </c>
      <c r="F139">
        <v>500</v>
      </c>
      <c r="G139" s="14">
        <v>215000</v>
      </c>
      <c r="H139" s="15">
        <v>1412.67</v>
      </c>
      <c r="I139" s="14">
        <v>1828</v>
      </c>
      <c r="J139">
        <v>1</v>
      </c>
      <c r="K139">
        <v>0.23</v>
      </c>
      <c r="L139">
        <v>2.6</v>
      </c>
      <c r="M139">
        <v>1.3338E-3</v>
      </c>
      <c r="N139">
        <v>0.03</v>
      </c>
      <c r="O139">
        <v>1</v>
      </c>
      <c r="P139">
        <v>0</v>
      </c>
      <c r="Q139">
        <v>0</v>
      </c>
      <c r="R139">
        <v>1</v>
      </c>
      <c r="S139" s="14">
        <v>9.1650000000000005E-5</v>
      </c>
      <c r="T139">
        <v>0</v>
      </c>
      <c r="U139">
        <v>1</v>
      </c>
      <c r="V139" s="1">
        <v>40.4</v>
      </c>
      <c r="W139">
        <v>15.6</v>
      </c>
      <c r="X139" s="8" t="s">
        <v>44</v>
      </c>
      <c r="Y139" s="1">
        <f t="shared" si="59"/>
        <v>35.15</v>
      </c>
      <c r="Z139" s="1">
        <f t="shared" si="60"/>
        <v>13.7</v>
      </c>
      <c r="AA139" s="2">
        <v>0</v>
      </c>
      <c r="AB139" s="1">
        <f t="shared" si="54"/>
        <v>35.15</v>
      </c>
      <c r="AC139" s="1">
        <f t="shared" si="55"/>
        <v>13.7</v>
      </c>
      <c r="AD139" s="3">
        <f t="shared" si="56"/>
        <v>68.002499999999998</v>
      </c>
      <c r="AE139" s="3"/>
      <c r="AF139">
        <f t="shared" si="57"/>
        <v>48.849999999999994</v>
      </c>
    </row>
    <row r="140" spans="1:32" x14ac:dyDescent="0.35">
      <c r="A140">
        <f t="shared" si="49"/>
        <v>11</v>
      </c>
      <c r="B140" t="s">
        <v>57</v>
      </c>
      <c r="C140" t="s">
        <v>55</v>
      </c>
      <c r="D140" s="5">
        <v>25</v>
      </c>
      <c r="E140" s="5" t="s">
        <v>18</v>
      </c>
      <c r="F140" s="5">
        <v>500</v>
      </c>
      <c r="G140" s="6">
        <v>220000</v>
      </c>
      <c r="H140" s="5">
        <v>1576</v>
      </c>
      <c r="I140" s="5">
        <v>1870</v>
      </c>
      <c r="J140" s="5">
        <v>1</v>
      </c>
      <c r="K140" s="5">
        <v>0.2</v>
      </c>
      <c r="L140" s="5">
        <v>2.2000000000000002</v>
      </c>
      <c r="M140" s="5">
        <v>1E-4</v>
      </c>
      <c r="N140" s="5">
        <v>0.03</v>
      </c>
      <c r="O140" s="5">
        <v>1</v>
      </c>
      <c r="P140" s="5">
        <v>0</v>
      </c>
      <c r="Q140" s="5">
        <v>0</v>
      </c>
      <c r="R140" s="5">
        <v>1</v>
      </c>
      <c r="S140" s="5">
        <v>0</v>
      </c>
      <c r="T140" s="5">
        <v>0</v>
      </c>
      <c r="U140" s="5">
        <v>0</v>
      </c>
      <c r="V140" s="7">
        <v>0</v>
      </c>
      <c r="W140" s="7">
        <v>0</v>
      </c>
      <c r="X140" s="5" t="s">
        <v>44</v>
      </c>
      <c r="Y140" s="1">
        <f t="shared" si="59"/>
        <v>0</v>
      </c>
      <c r="Z140" s="1">
        <f t="shared" si="60"/>
        <v>0</v>
      </c>
      <c r="AA140" s="2"/>
      <c r="AB140" s="1">
        <f t="shared" si="54"/>
        <v>0</v>
      </c>
      <c r="AC140" s="1">
        <f t="shared" si="55"/>
        <v>0</v>
      </c>
      <c r="AD140" s="3">
        <f t="shared" si="56"/>
        <v>0</v>
      </c>
      <c r="AE140" s="3"/>
      <c r="AF140">
        <f t="shared" si="57"/>
        <v>0</v>
      </c>
    </row>
  </sheetData>
  <phoneticPr fontId="18" type="noConversion"/>
  <conditionalFormatting sqref="X2:X17 X19:X47 X51:X56 X60:X75 Y63:Z63">
    <cfRule type="expression" dxfId="4" priority="5">
      <formula>$A2="Travée"</formula>
    </cfRule>
  </conditionalFormatting>
  <conditionalFormatting sqref="X77:X91 Y79:Z79">
    <cfRule type="expression" dxfId="3" priority="4">
      <formula>$A77="Travée"</formula>
    </cfRule>
  </conditionalFormatting>
  <conditionalFormatting sqref="X93:X107">
    <cfRule type="expression" dxfId="2" priority="3">
      <formula>$A93="Travée"</formula>
    </cfRule>
  </conditionalFormatting>
  <conditionalFormatting sqref="X109:X123 Y111:Z111">
    <cfRule type="expression" dxfId="1" priority="2">
      <formula>$A109="Travée"</formula>
    </cfRule>
  </conditionalFormatting>
  <conditionalFormatting sqref="X125:X139 Y127:Z127">
    <cfRule type="expression" dxfId="0" priority="1">
      <formula>$A125="Travée"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2025-12-12T15:14:14Z</dcterms:modified>
</cp:coreProperties>
</file>