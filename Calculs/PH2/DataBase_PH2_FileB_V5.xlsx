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48D532B2-F81F-41F8-B521-FEAFC280ACB7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Y2" i="1" l="1"/>
  <c r="Z46" i="1"/>
  <c r="Y46" i="1"/>
  <c r="AB46" i="1" s="1"/>
  <c r="Z44" i="1"/>
  <c r="Y44" i="1"/>
  <c r="AB44" i="1" s="1"/>
  <c r="Z40" i="1"/>
  <c r="Y40" i="1"/>
  <c r="AB40" i="1" s="1"/>
  <c r="Z38" i="1"/>
  <c r="Y38" i="1"/>
  <c r="AB38" i="1" s="1"/>
  <c r="Z36" i="1"/>
  <c r="Y32" i="1"/>
  <c r="AB32" i="1" s="1"/>
  <c r="Z28" i="1"/>
  <c r="Y28" i="1"/>
  <c r="AD28" i="1" s="1"/>
  <c r="Z26" i="1"/>
  <c r="Y60" i="1"/>
  <c r="AB60" i="1" s="1"/>
  <c r="Y26" i="1"/>
  <c r="AB26" i="1" s="1"/>
  <c r="Z58" i="1"/>
  <c r="Z24" i="1"/>
  <c r="Y58" i="1"/>
  <c r="Y22" i="1"/>
  <c r="AB22" i="1" s="1"/>
  <c r="Z56" i="1"/>
  <c r="Z22" i="1"/>
  <c r="Y56" i="1"/>
  <c r="AB56" i="1" s="1"/>
  <c r="Z20" i="1"/>
  <c r="Z52" i="1"/>
  <c r="Y20" i="1"/>
  <c r="AB20" i="1" s="1"/>
  <c r="Y52" i="1"/>
  <c r="AB52" i="1" s="1"/>
  <c r="Z16" i="1"/>
  <c r="Z50" i="1"/>
  <c r="Y16" i="1"/>
  <c r="AB16" i="1" s="1"/>
  <c r="Y50" i="1"/>
  <c r="AB50" i="1" s="1"/>
  <c r="Z14" i="1"/>
  <c r="Z48" i="1"/>
  <c r="Y14" i="1"/>
  <c r="AC14" i="1" s="1"/>
  <c r="Y48" i="1"/>
  <c r="AB48" i="1" s="1"/>
  <c r="Z12" i="1"/>
  <c r="Y12" i="1"/>
  <c r="AB12" i="1" s="1"/>
  <c r="Z10" i="1"/>
  <c r="Y10" i="1"/>
  <c r="Z8" i="1"/>
  <c r="Y8" i="1"/>
  <c r="AB8" i="1" s="1"/>
  <c r="Y36" i="1"/>
  <c r="AB36" i="1" s="1"/>
  <c r="Z5" i="1"/>
  <c r="Z34" i="1"/>
  <c r="AB5" i="1"/>
  <c r="Y34" i="1"/>
  <c r="Z3" i="1"/>
  <c r="Z60" i="1"/>
  <c r="Z32" i="1"/>
  <c r="Y3" i="1"/>
  <c r="AB3" i="1" s="1"/>
  <c r="Z61" i="1"/>
  <c r="Y61" i="1"/>
  <c r="AB61" i="1" s="1"/>
  <c r="Z57" i="1"/>
  <c r="Y53" i="1"/>
  <c r="Z49" i="1"/>
  <c r="Z45" i="1"/>
  <c r="Y42" i="1"/>
  <c r="AB42" i="1" s="1"/>
  <c r="Z19" i="1"/>
  <c r="Z6" i="1"/>
  <c r="Y57" i="1"/>
  <c r="AB57" i="1" s="1"/>
  <c r="Y49" i="1"/>
  <c r="Y45" i="1"/>
  <c r="Z25" i="1"/>
  <c r="Y19" i="1"/>
  <c r="Y6" i="1"/>
  <c r="Z23" i="1"/>
  <c r="Z9" i="1"/>
  <c r="Z35" i="1"/>
  <c r="Z31" i="1"/>
  <c r="Y9" i="1"/>
  <c r="Z53" i="1"/>
  <c r="Z39" i="1"/>
  <c r="Y35" i="1"/>
  <c r="Y31" i="1"/>
  <c r="AB31" i="1" s="1"/>
  <c r="Z27" i="1"/>
  <c r="Z18" i="1"/>
  <c r="Y13" i="1"/>
  <c r="AB13" i="1" s="1"/>
  <c r="Z4" i="1"/>
  <c r="Z59" i="1"/>
  <c r="Z55" i="1"/>
  <c r="Y39" i="1"/>
  <c r="Y27" i="1"/>
  <c r="Y18" i="1"/>
  <c r="AB18" i="1" s="1"/>
  <c r="Y41" i="1"/>
  <c r="AB41" i="1" s="1"/>
  <c r="Y59" i="1"/>
  <c r="Y55" i="1"/>
  <c r="AB55" i="1" s="1"/>
  <c r="Z51" i="1"/>
  <c r="Z47" i="1"/>
  <c r="Z43" i="1"/>
  <c r="Z30" i="1"/>
  <c r="Z21" i="1"/>
  <c r="Y17" i="1"/>
  <c r="AB17" i="1" s="1"/>
  <c r="Y15" i="1"/>
  <c r="AB15" i="1" s="1"/>
  <c r="Y51" i="1"/>
  <c r="Y47" i="1"/>
  <c r="Y43" i="1"/>
  <c r="Y30" i="1"/>
  <c r="Z54" i="1"/>
  <c r="Z11" i="1"/>
  <c r="Y33" i="1"/>
  <c r="Y54" i="1"/>
  <c r="Z42" i="1"/>
  <c r="Z37" i="1"/>
  <c r="Z29" i="1"/>
  <c r="Y11" i="1"/>
  <c r="Z7" i="1"/>
  <c r="Z2" i="1"/>
  <c r="Z41" i="1"/>
  <c r="Y37" i="1"/>
  <c r="Z33" i="1"/>
  <c r="Y29" i="1"/>
  <c r="Y25" i="1"/>
  <c r="AB25" i="1" s="1"/>
  <c r="Z15" i="1"/>
  <c r="Y7" i="1"/>
  <c r="Y24" i="1"/>
  <c r="Y21" i="1"/>
  <c r="Z17" i="1"/>
  <c r="Y23" i="1"/>
  <c r="Z13" i="1"/>
  <c r="AD44" i="1"/>
  <c r="AD16" i="1" l="1"/>
  <c r="AD3" i="1"/>
  <c r="AC20" i="1"/>
  <c r="AF20" i="1" s="1"/>
  <c r="AC16" i="1"/>
  <c r="AF16" i="1" s="1"/>
  <c r="AD52" i="1"/>
  <c r="AD10" i="1"/>
  <c r="AD38" i="1"/>
  <c r="AC46" i="1"/>
  <c r="AF46" i="1" s="1"/>
  <c r="AD58" i="1"/>
  <c r="AD50" i="1"/>
  <c r="AD48" i="1"/>
  <c r="AD46" i="1"/>
  <c r="AC40" i="1"/>
  <c r="AF40" i="1" s="1"/>
  <c r="AC3" i="1"/>
  <c r="AF3" i="1" s="1"/>
  <c r="AC8" i="1"/>
  <c r="AF8" i="1" s="1"/>
  <c r="AC28" i="1"/>
  <c r="AC10" i="1"/>
  <c r="AC12" i="1"/>
  <c r="AF12" i="1" s="1"/>
  <c r="AD26" i="1"/>
  <c r="AD20" i="1"/>
  <c r="AB28" i="1"/>
  <c r="AF28" i="1" s="1"/>
  <c r="AC4" i="1"/>
  <c r="AC44" i="1"/>
  <c r="AF44" i="1" s="1"/>
  <c r="AB10" i="1"/>
  <c r="AF10" i="1" s="1"/>
  <c r="AC38" i="1"/>
  <c r="AF38" i="1" s="1"/>
  <c r="AD40" i="1"/>
  <c r="AC50" i="1"/>
  <c r="AF50" i="1" s="1"/>
  <c r="AD56" i="1"/>
  <c r="AD5" i="1"/>
  <c r="AC52" i="1"/>
  <c r="AF52" i="1" s="1"/>
  <c r="AC56" i="1"/>
  <c r="AF56" i="1" s="1"/>
  <c r="AD12" i="1"/>
  <c r="AD14" i="1"/>
  <c r="AB14" i="1"/>
  <c r="AF14" i="1" s="1"/>
  <c r="AD8" i="1"/>
  <c r="AC60" i="1"/>
  <c r="AF60" i="1" s="1"/>
  <c r="AD22" i="1"/>
  <c r="AC32" i="1"/>
  <c r="AF32" i="1" s="1"/>
  <c r="AC58" i="1"/>
  <c r="AB58" i="1"/>
  <c r="AD60" i="1"/>
  <c r="AC48" i="1"/>
  <c r="AF48" i="1" s="1"/>
  <c r="AC22" i="1"/>
  <c r="AF22" i="1" s="1"/>
  <c r="AC26" i="1"/>
  <c r="AF26" i="1" s="1"/>
  <c r="AC36" i="1"/>
  <c r="AF36" i="1" s="1"/>
  <c r="AD36" i="1"/>
  <c r="AC5" i="1"/>
  <c r="AF5" i="1" s="1"/>
  <c r="AD32" i="1"/>
  <c r="AB34" i="1"/>
  <c r="AC34" i="1"/>
  <c r="AD34" i="1"/>
  <c r="AD49" i="1"/>
  <c r="AD2" i="1"/>
  <c r="AD15" i="1"/>
  <c r="AC15" i="1"/>
  <c r="AF15" i="1" s="1"/>
  <c r="AC61" i="1"/>
  <c r="AF61" i="1" s="1"/>
  <c r="AD61" i="1"/>
  <c r="AD13" i="1"/>
  <c r="AD59" i="1"/>
  <c r="AC31" i="1"/>
  <c r="AF31" i="1" s="1"/>
  <c r="AD42" i="1"/>
  <c r="AC42" i="1"/>
  <c r="AF42" i="1" s="1"/>
  <c r="AC55" i="1"/>
  <c r="AF55" i="1" s="1"/>
  <c r="AD55" i="1"/>
  <c r="AC57" i="1"/>
  <c r="AF57" i="1" s="1"/>
  <c r="AB54" i="1"/>
  <c r="AD54" i="1"/>
  <c r="AC54" i="1"/>
  <c r="AD45" i="1"/>
  <c r="AC45" i="1"/>
  <c r="AB45" i="1"/>
  <c r="AF45" i="1" s="1"/>
  <c r="AB35" i="1"/>
  <c r="AC35" i="1"/>
  <c r="AD35" i="1"/>
  <c r="AD17" i="1"/>
  <c r="AB4" i="1"/>
  <c r="AD4" i="1"/>
  <c r="AB29" i="1"/>
  <c r="AC29" i="1"/>
  <c r="AD29" i="1"/>
  <c r="AB37" i="1"/>
  <c r="AD37" i="1"/>
  <c r="AC37" i="1"/>
  <c r="AC41" i="1"/>
  <c r="AF41" i="1" s="1"/>
  <c r="AB27" i="1"/>
  <c r="AC27" i="1"/>
  <c r="AF27" i="1" s="1"/>
  <c r="AD27" i="1"/>
  <c r="AB9" i="1"/>
  <c r="AD9" i="1"/>
  <c r="AC9" i="1"/>
  <c r="AD25" i="1"/>
  <c r="AB39" i="1"/>
  <c r="AC39" i="1"/>
  <c r="AD39" i="1"/>
  <c r="AC25" i="1"/>
  <c r="AF25" i="1" s="1"/>
  <c r="AB11" i="1"/>
  <c r="AC11" i="1"/>
  <c r="AD11" i="1"/>
  <c r="AC18" i="1"/>
  <c r="AF18" i="1" s="1"/>
  <c r="AB30" i="1"/>
  <c r="AD30" i="1"/>
  <c r="AC30" i="1"/>
  <c r="AB53" i="1"/>
  <c r="AC53" i="1"/>
  <c r="AD53" i="1"/>
  <c r="AB33" i="1"/>
  <c r="AD33" i="1"/>
  <c r="AC33" i="1"/>
  <c r="AB2" i="1"/>
  <c r="AC2" i="1"/>
  <c r="AC43" i="1"/>
  <c r="AB43" i="1"/>
  <c r="AF43" i="1" s="1"/>
  <c r="AD43" i="1"/>
  <c r="AB6" i="1"/>
  <c r="AD6" i="1"/>
  <c r="AC6" i="1"/>
  <c r="AD57" i="1"/>
  <c r="AB7" i="1"/>
  <c r="AC7" i="1"/>
  <c r="AF7" i="1" s="1"/>
  <c r="AD7" i="1"/>
  <c r="AB47" i="1"/>
  <c r="AC47" i="1"/>
  <c r="AD47" i="1"/>
  <c r="AB59" i="1"/>
  <c r="AC59" i="1"/>
  <c r="AD18" i="1"/>
  <c r="AB19" i="1"/>
  <c r="AC19" i="1"/>
  <c r="AD19" i="1"/>
  <c r="AC49" i="1"/>
  <c r="AB49" i="1"/>
  <c r="AD41" i="1"/>
  <c r="AD31" i="1"/>
  <c r="AD51" i="1"/>
  <c r="AB51" i="1"/>
  <c r="AC51" i="1"/>
  <c r="AC13" i="1"/>
  <c r="AF13" i="1" s="1"/>
  <c r="AC17" i="1"/>
  <c r="AF17" i="1" s="1"/>
  <c r="AB21" i="1"/>
  <c r="AD21" i="1"/>
  <c r="AC21" i="1"/>
  <c r="AC24" i="1"/>
  <c r="AD24" i="1"/>
  <c r="AB24" i="1"/>
  <c r="AC23" i="1"/>
  <c r="AD23" i="1"/>
  <c r="AB23" i="1"/>
  <c r="AF4" i="1" l="1"/>
  <c r="AF58" i="1"/>
  <c r="AF34" i="1"/>
  <c r="AF11" i="1"/>
  <c r="AF35" i="1"/>
  <c r="AF33" i="1"/>
  <c r="AF29" i="1"/>
  <c r="AF54" i="1"/>
  <c r="AF59" i="1"/>
  <c r="AF37" i="1"/>
  <c r="AF39" i="1"/>
  <c r="AF19" i="1"/>
  <c r="AF30" i="1"/>
  <c r="AF49" i="1"/>
  <c r="AF53" i="1"/>
  <c r="AF6" i="1"/>
  <c r="AF47" i="1"/>
  <c r="AF2" i="1"/>
  <c r="AF9" i="1"/>
  <c r="AF51" i="1"/>
  <c r="AF24" i="1"/>
  <c r="AF23" i="1"/>
  <c r="AF21" i="1"/>
</calcChain>
</file>

<file path=xl/sharedStrings.xml><?xml version="1.0" encoding="utf-8"?>
<sst xmlns="http://schemas.openxmlformats.org/spreadsheetml/2006/main" count="244" uniqueCount="56">
  <si>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</si>
  <si>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</si>
  <si>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</si>
  <si>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</si>
  <si>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</si>
  <si>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</si>
  <si>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</si>
  <si>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</si>
  <si>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</si>
  <si>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</si>
  <si>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</si>
  <si>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</si>
  <si>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</si>
  <si>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</si>
  <si>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</si>
  <si>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</si>
  <si>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</si>
  <si>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</si>
  <si>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</si>
  <si>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</si>
  <si>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</si>
  <si>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</si>
  <si>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</si>
  <si>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</si>
  <si>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</si>
  <si>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</si>
  <si>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</si>
  <si>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</si>
  <si>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</si>
  <si>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</si>
  <si>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</si>
  <si>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</si>
  <si>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</si>
  <si>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</si>
  <si>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</si>
  <si>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</si>
  <si>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</si>
  <si>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</si>
  <si>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</si>
  <si>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</si>
  <si>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</si>
  <si>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</si>
  <si>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</si>
  <si>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</si>
  <si>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</si>
  <si>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</si>
  <si>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</si>
  <si>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</si>
  <si>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</si>
  <si>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</si>
  <si>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</si>
  <si>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</si>
  <si>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</si>
  <si>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</si>
  <si>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- 0</t>
  </si>
  <si>
    <t>File B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</si>
</sst>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1"/>
  <sheetViews>
    <sheetView tabSelected="1" zoomScale="70" zoomScaleNormal="70" workbookViewId="0">
      <pane xSplit="3" topLeftCell="D1" activePane="topRight" state="frozen"/>
      <selection pane="topRight" activeCell="X9" sqref="X9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40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42</v>
      </c>
      <c r="W1" t="s">
        <v>43</v>
      </c>
      <c r="X1" t="s">
        <v>41</v>
      </c>
      <c r="Y1" t="s">
        <v>37</v>
      </c>
      <c r="Z1" t="s">
        <v>38</v>
      </c>
      <c r="AA1" t="s">
        <v>39</v>
      </c>
      <c r="AB1" t="s">
        <v>34</v>
      </c>
      <c r="AC1" t="s">
        <v>36</v>
      </c>
      <c r="AD1" t="s">
        <v>32</v>
      </c>
      <c r="AE1" t="s">
        <v>35</v>
      </c>
      <c r="AF1" t="s">
        <v>33</v>
      </c>
    </row>
    <row r="2" spans="1:46" x14ac:dyDescent="0.35">
      <c r="A2">
        <v>1</v>
      </c>
      <c r="B2" t="s">
        <v>54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44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61" si="0">IF(B3=B2,A2,A2+1)</f>
        <v>2</v>
      </c>
      <c r="B3" t="s">
        <v>45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</v>
      </c>
      <c r="L3">
        <v>2.6</v>
      </c>
      <c r="M3">
        <v>1.0009999999999999E-3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 s="2">
        <v>32</v>
      </c>
      <c r="W3">
        <v>10.3</v>
      </c>
      <c r="X3" s="9" t="s">
        <v>44</v>
      </c>
      <c r="Y3" s="2">
        <f t="shared" ref="Y3:Y60" si="1">IFERROR(IF(ISNUMBER(SEARCH("Appui",C3)),V3+X3*V3,IF(A2&lt;A3,V3-X4*V4/2,IF(A3&lt;A4,V3-(X2*V2)/2,V3-(X4*V4+X2*V2)/2))),0)</f>
        <v>32</v>
      </c>
      <c r="Z3" s="2">
        <f t="shared" ref="Z3:Z60" si="2">IFERROR(IF(ISNUMBER(SEARCH("Appui",C3)),W3+X3*W3,IF(A2&lt;A3,W3-X4*W4/2,IF(A3&lt;A4,W3-(X2*W2)/2,W3-(X4*W4+X2*W2)/2))),0)</f>
        <v>10.3</v>
      </c>
      <c r="AA3" s="3">
        <v>0</v>
      </c>
      <c r="AB3" s="2">
        <f t="shared" ref="AB3:AB6" si="3">Y3*(1-AA3)</f>
        <v>32</v>
      </c>
      <c r="AC3" s="2">
        <f t="shared" ref="AC3:AC6" si="4">Y3*AA3 + Z3</f>
        <v>10.3</v>
      </c>
      <c r="AD3" s="4">
        <f t="shared" ref="AD3:AD6" si="5">1.35*Y3+1.5*Z3</f>
        <v>58.650000000000006</v>
      </c>
      <c r="AE3" s="4"/>
      <c r="AF3">
        <f t="shared" ref="AF3:AF6" si="6">AB3+AC3</f>
        <v>42.3</v>
      </c>
      <c r="AT3" s="10"/>
    </row>
    <row r="4" spans="1:46" x14ac:dyDescent="0.35">
      <c r="A4">
        <f t="shared" si="0"/>
        <v>2</v>
      </c>
      <c r="B4" t="s">
        <v>45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</v>
      </c>
      <c r="L4">
        <v>2.6</v>
      </c>
      <c r="M4">
        <v>1.3078E-3</v>
      </c>
      <c r="N4">
        <v>7.0000000000000007E-2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5</v>
      </c>
      <c r="V4" s="2">
        <v>63</v>
      </c>
      <c r="W4">
        <v>18.5</v>
      </c>
      <c r="X4" s="9">
        <v>0</v>
      </c>
      <c r="Y4" s="2">
        <f>IFERROR(IF(ISNUMBER(SEARCH("Appui",C4)),V4+X4*V4,IF(A3&lt;A4,V4-X5*V5/2,IF(A4&lt;A5,V4-(X3*V3)/2,V4-(X5*V5+X3*V3)/2))),0)</f>
        <v>63</v>
      </c>
      <c r="Z4" s="2">
        <f t="shared" si="2"/>
        <v>18.5</v>
      </c>
      <c r="AA4" s="3">
        <v>0</v>
      </c>
      <c r="AB4" s="2">
        <f t="shared" si="3"/>
        <v>63</v>
      </c>
      <c r="AC4" s="2">
        <f t="shared" si="4"/>
        <v>18.5</v>
      </c>
      <c r="AD4" s="4">
        <f t="shared" si="5"/>
        <v>112.80000000000001</v>
      </c>
      <c r="AE4" s="4"/>
      <c r="AF4">
        <f t="shared" si="6"/>
        <v>81.5</v>
      </c>
      <c r="AT4" s="10"/>
    </row>
    <row r="5" spans="1:46" x14ac:dyDescent="0.35">
      <c r="A5">
        <f t="shared" si="0"/>
        <v>2</v>
      </c>
      <c r="B5" t="s">
        <v>45</v>
      </c>
      <c r="C5" t="s">
        <v>23</v>
      </c>
      <c r="D5" s="6">
        <v>25</v>
      </c>
      <c r="E5" s="6" t="s">
        <v>18</v>
      </c>
      <c r="F5" s="6">
        <v>500</v>
      </c>
      <c r="G5" s="7">
        <v>220000</v>
      </c>
      <c r="H5" s="6">
        <v>1576</v>
      </c>
      <c r="I5" s="6">
        <v>1870</v>
      </c>
      <c r="J5" s="6">
        <v>1</v>
      </c>
      <c r="K5" s="6">
        <v>0.2</v>
      </c>
      <c r="L5" s="6">
        <v>2.2000000000000002</v>
      </c>
      <c r="M5" s="6">
        <v>1</v>
      </c>
      <c r="N5" s="6">
        <v>0.03</v>
      </c>
      <c r="O5" s="6">
        <v>1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8">
        <v>0</v>
      </c>
      <c r="W5" s="8">
        <v>0</v>
      </c>
      <c r="X5" s="6" t="s">
        <v>44</v>
      </c>
      <c r="Y5" s="2">
        <f>IFERROR(IF(ISNUMBER(SEARCH("Appui",C5)),V5+X5*V5,IF(A4&lt;A5,V5-X6*V6/2,IF(A5&lt;A6,V5-(X4*V4)/2,V5-(X6*V6+X4*V4)/2))),0)</f>
        <v>8.0625</v>
      </c>
      <c r="Z5" s="2">
        <f t="shared" si="2"/>
        <v>2.5499999999999998</v>
      </c>
      <c r="AA5" s="3"/>
      <c r="AB5" s="2">
        <f t="shared" si="3"/>
        <v>8.0625</v>
      </c>
      <c r="AC5" s="2">
        <f t="shared" si="4"/>
        <v>2.5499999999999998</v>
      </c>
      <c r="AD5" s="4">
        <f t="shared" si="5"/>
        <v>14.709375</v>
      </c>
      <c r="AE5" s="4"/>
      <c r="AF5">
        <f t="shared" si="6"/>
        <v>10.612500000000001</v>
      </c>
      <c r="AT5" s="10"/>
    </row>
    <row r="6" spans="1:46" x14ac:dyDescent="0.35">
      <c r="A6">
        <f t="shared" si="0"/>
        <v>2</v>
      </c>
      <c r="B6" t="s">
        <v>45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0.23</v>
      </c>
      <c r="L6">
        <v>2.6</v>
      </c>
      <c r="M6">
        <v>1.3286000000000001E-3</v>
      </c>
      <c r="N6">
        <v>0.06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10</v>
      </c>
      <c r="V6" s="2">
        <v>107.5</v>
      </c>
      <c r="W6">
        <v>34</v>
      </c>
      <c r="X6" s="9">
        <v>-0.15</v>
      </c>
      <c r="Y6" s="2">
        <f t="shared" si="1"/>
        <v>91.375</v>
      </c>
      <c r="Z6" s="2">
        <f t="shared" si="2"/>
        <v>28.9</v>
      </c>
      <c r="AA6" s="3">
        <v>0</v>
      </c>
      <c r="AB6" s="2">
        <f t="shared" si="3"/>
        <v>91.375</v>
      </c>
      <c r="AC6" s="2">
        <f t="shared" si="4"/>
        <v>28.9</v>
      </c>
      <c r="AD6" s="4">
        <f t="shared" si="5"/>
        <v>166.70625000000001</v>
      </c>
      <c r="AE6" s="4"/>
      <c r="AF6">
        <f t="shared" si="6"/>
        <v>120.27500000000001</v>
      </c>
      <c r="AT6" s="10"/>
    </row>
    <row r="7" spans="1:46" x14ac:dyDescent="0.35">
      <c r="A7">
        <f t="shared" si="0"/>
        <v>2</v>
      </c>
      <c r="B7" t="s">
        <v>45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</v>
      </c>
      <c r="L7">
        <v>2.6</v>
      </c>
      <c r="M7">
        <v>3.3280000000000001E-4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 s="2">
        <v>35.4</v>
      </c>
      <c r="W7">
        <v>15.9</v>
      </c>
      <c r="X7" s="9" t="s">
        <v>44</v>
      </c>
      <c r="Y7" s="2">
        <f t="shared" si="1"/>
        <v>44.552499999999995</v>
      </c>
      <c r="Z7" s="2">
        <f t="shared" si="2"/>
        <v>18.87</v>
      </c>
      <c r="AA7" s="5">
        <v>0</v>
      </c>
      <c r="AB7" s="2">
        <f t="shared" ref="AB7:AB13" si="7">Y7*(1-AA7)</f>
        <v>44.552499999999995</v>
      </c>
      <c r="AC7" s="2">
        <f t="shared" ref="AC7:AC13" si="8">Y7*AA7 + Z7</f>
        <v>18.87</v>
      </c>
      <c r="AD7" s="4">
        <f t="shared" ref="AD7:AD13" si="9">1.35*Y7+1.5*Z7</f>
        <v>88.450874999999996</v>
      </c>
      <c r="AE7" s="4"/>
      <c r="AF7">
        <f t="shared" ref="AF7:AF13" si="10">AB7+AC7</f>
        <v>63.422499999999999</v>
      </c>
      <c r="AT7" s="10"/>
    </row>
    <row r="8" spans="1:46" x14ac:dyDescent="0.35">
      <c r="A8">
        <f t="shared" si="0"/>
        <v>2</v>
      </c>
      <c r="B8" t="s">
        <v>45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2.6</v>
      </c>
      <c r="M8">
        <v>2.1032999999999998E-3</v>
      </c>
      <c r="N8">
        <v>0.06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5</v>
      </c>
      <c r="V8" s="2">
        <v>109</v>
      </c>
      <c r="W8">
        <v>42</v>
      </c>
      <c r="X8" s="9">
        <v>-0.02</v>
      </c>
      <c r="Y8" s="2">
        <f t="shared" si="1"/>
        <v>106.82</v>
      </c>
      <c r="Z8" s="2">
        <f t="shared" si="2"/>
        <v>41.16</v>
      </c>
      <c r="AA8" s="3">
        <v>0</v>
      </c>
      <c r="AB8" s="2">
        <f t="shared" si="7"/>
        <v>106.82</v>
      </c>
      <c r="AC8" s="2">
        <f t="shared" si="8"/>
        <v>41.16</v>
      </c>
      <c r="AD8" s="4">
        <f t="shared" si="9"/>
        <v>205.947</v>
      </c>
      <c r="AE8" s="4"/>
      <c r="AF8">
        <f t="shared" si="10"/>
        <v>147.97999999999999</v>
      </c>
      <c r="AT8" s="10"/>
    </row>
    <row r="9" spans="1:46" x14ac:dyDescent="0.35">
      <c r="A9">
        <f t="shared" si="0"/>
        <v>2</v>
      </c>
      <c r="B9" t="s">
        <v>45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</v>
      </c>
      <c r="L9">
        <v>2.6</v>
      </c>
      <c r="M9">
        <v>1E-3</v>
      </c>
      <c r="N9">
        <v>0.05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5</v>
      </c>
      <c r="V9" s="2">
        <v>38.9</v>
      </c>
      <c r="W9">
        <v>18.2</v>
      </c>
      <c r="X9" s="9" t="s">
        <v>44</v>
      </c>
      <c r="Y9" s="2">
        <f t="shared" si="1"/>
        <v>39.99</v>
      </c>
      <c r="Z9" s="2">
        <f t="shared" si="2"/>
        <v>18.62</v>
      </c>
      <c r="AA9" s="3">
        <v>0</v>
      </c>
      <c r="AB9" s="2">
        <f t="shared" si="7"/>
        <v>39.99</v>
      </c>
      <c r="AC9" s="2">
        <f t="shared" si="8"/>
        <v>18.62</v>
      </c>
      <c r="AD9" s="4">
        <f t="shared" si="9"/>
        <v>81.916500000000013</v>
      </c>
      <c r="AE9" s="4"/>
      <c r="AF9">
        <f t="shared" si="10"/>
        <v>58.61</v>
      </c>
      <c r="AT9" s="10"/>
    </row>
    <row r="10" spans="1:46" x14ac:dyDescent="0.35">
      <c r="A10">
        <f t="shared" si="0"/>
        <v>2</v>
      </c>
      <c r="B10" t="s">
        <v>45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5</v>
      </c>
      <c r="V10" s="2">
        <v>117.5</v>
      </c>
      <c r="W10">
        <v>43.5</v>
      </c>
      <c r="X10" s="9">
        <v>0</v>
      </c>
      <c r="Y10" s="2">
        <f t="shared" si="1"/>
        <v>117.5</v>
      </c>
      <c r="Z10" s="2">
        <f t="shared" si="2"/>
        <v>43.5</v>
      </c>
      <c r="AA10" s="3">
        <v>0</v>
      </c>
      <c r="AB10" s="2">
        <f t="shared" si="7"/>
        <v>117.5</v>
      </c>
      <c r="AC10" s="2">
        <f t="shared" si="8"/>
        <v>43.5</v>
      </c>
      <c r="AD10" s="4">
        <f t="shared" si="9"/>
        <v>223.875</v>
      </c>
      <c r="AE10" s="4"/>
      <c r="AF10">
        <f t="shared" si="10"/>
        <v>161</v>
      </c>
      <c r="AT10" s="10"/>
    </row>
    <row r="11" spans="1:46" x14ac:dyDescent="0.35">
      <c r="A11">
        <f t="shared" si="0"/>
        <v>2</v>
      </c>
      <c r="B11" t="s">
        <v>45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</v>
      </c>
      <c r="L11">
        <v>2.6</v>
      </c>
      <c r="M11">
        <v>3.3E-4</v>
      </c>
      <c r="N11">
        <v>0.03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10</v>
      </c>
      <c r="V11" s="2">
        <v>38.5</v>
      </c>
      <c r="W11">
        <v>18.7</v>
      </c>
      <c r="X11" s="9" t="s">
        <v>44</v>
      </c>
      <c r="Y11" s="2">
        <f t="shared" si="1"/>
        <v>38.5</v>
      </c>
      <c r="Z11" s="2">
        <f t="shared" si="2"/>
        <v>18.7</v>
      </c>
      <c r="AA11" s="3">
        <v>0</v>
      </c>
      <c r="AB11" s="2">
        <f t="shared" si="7"/>
        <v>38.5</v>
      </c>
      <c r="AC11" s="2">
        <f t="shared" si="8"/>
        <v>18.7</v>
      </c>
      <c r="AD11" s="4">
        <f t="shared" si="9"/>
        <v>80.025000000000006</v>
      </c>
      <c r="AE11" s="4"/>
      <c r="AF11">
        <f t="shared" si="10"/>
        <v>57.2</v>
      </c>
      <c r="AT11" s="10"/>
    </row>
    <row r="12" spans="1:46" x14ac:dyDescent="0.35">
      <c r="A12">
        <f t="shared" si="0"/>
        <v>2</v>
      </c>
      <c r="B12" t="s">
        <v>45</v>
      </c>
      <c r="C12" t="s">
        <v>30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2.6</v>
      </c>
      <c r="M12">
        <v>2.0999999999999999E-3</v>
      </c>
      <c r="N12">
        <v>0.06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10</v>
      </c>
      <c r="V12" s="2">
        <v>122.5</v>
      </c>
      <c r="W12">
        <v>44.35</v>
      </c>
      <c r="X12" s="9">
        <v>0</v>
      </c>
      <c r="Y12" s="2">
        <f t="shared" si="1"/>
        <v>122.5</v>
      </c>
      <c r="Z12" s="2">
        <f t="shared" si="2"/>
        <v>44.35</v>
      </c>
      <c r="AA12" s="3">
        <v>0</v>
      </c>
      <c r="AB12" s="2">
        <f t="shared" si="7"/>
        <v>122.5</v>
      </c>
      <c r="AC12" s="2">
        <f t="shared" si="8"/>
        <v>44.35</v>
      </c>
      <c r="AD12" s="4">
        <f t="shared" si="9"/>
        <v>231.9</v>
      </c>
      <c r="AE12" s="4"/>
      <c r="AF12">
        <f t="shared" si="10"/>
        <v>166.85</v>
      </c>
      <c r="AT12" s="10"/>
    </row>
    <row r="13" spans="1:46" x14ac:dyDescent="0.35">
      <c r="A13">
        <f t="shared" si="0"/>
        <v>2</v>
      </c>
      <c r="B13" t="s">
        <v>45</v>
      </c>
      <c r="C13" t="s">
        <v>31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</v>
      </c>
      <c r="L13">
        <v>2.6</v>
      </c>
      <c r="M13">
        <v>3.3E-4</v>
      </c>
      <c r="N13">
        <v>3.5000000000000003E-2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10</v>
      </c>
      <c r="V13" s="2">
        <v>39.5</v>
      </c>
      <c r="W13">
        <v>18.100000000000001</v>
      </c>
      <c r="X13" s="9" t="s">
        <v>44</v>
      </c>
      <c r="Y13" s="2">
        <f t="shared" si="1"/>
        <v>39.5</v>
      </c>
      <c r="Z13" s="2">
        <f t="shared" si="2"/>
        <v>18.100000000000001</v>
      </c>
      <c r="AA13" s="3">
        <v>0</v>
      </c>
      <c r="AB13" s="2">
        <f t="shared" si="7"/>
        <v>39.5</v>
      </c>
      <c r="AC13" s="2">
        <f t="shared" si="8"/>
        <v>18.100000000000001</v>
      </c>
      <c r="AD13" s="4">
        <f t="shared" si="9"/>
        <v>80.475000000000009</v>
      </c>
      <c r="AE13" s="4"/>
      <c r="AF13">
        <f t="shared" si="10"/>
        <v>57.6</v>
      </c>
      <c r="AT13" s="10"/>
    </row>
    <row r="14" spans="1:46" x14ac:dyDescent="0.35">
      <c r="A14">
        <f t="shared" si="0"/>
        <v>2</v>
      </c>
      <c r="B14" t="s">
        <v>45</v>
      </c>
      <c r="C14" t="s">
        <v>46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0.23</v>
      </c>
      <c r="L14">
        <v>2.6</v>
      </c>
      <c r="M14">
        <v>2.0999999999999999E-3</v>
      </c>
      <c r="N14">
        <v>0.06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>
        <v>5</v>
      </c>
      <c r="V14" s="2">
        <v>102.5</v>
      </c>
      <c r="W14">
        <v>41.5</v>
      </c>
      <c r="X14" s="9">
        <v>0</v>
      </c>
      <c r="Y14" s="2">
        <f t="shared" si="1"/>
        <v>102.5</v>
      </c>
      <c r="Z14" s="2">
        <f t="shared" si="2"/>
        <v>41.5</v>
      </c>
      <c r="AA14" s="5">
        <v>0</v>
      </c>
      <c r="AB14" s="2">
        <f t="shared" ref="AB14:AB18" si="11">Y14*(1-AA14)</f>
        <v>102.5</v>
      </c>
      <c r="AC14" s="2">
        <f t="shared" ref="AC14:AC18" si="12">Y14*AA14 + Z14</f>
        <v>41.5</v>
      </c>
      <c r="AD14" s="4">
        <f t="shared" ref="AD14:AD18" si="13">1.35*Y14+1.5*Z14</f>
        <v>200.625</v>
      </c>
      <c r="AE14" s="4"/>
      <c r="AF14">
        <f t="shared" ref="AF14:AF18" si="14">AB14+AC14</f>
        <v>144</v>
      </c>
      <c r="AT14" s="10"/>
    </row>
    <row r="15" spans="1:46" x14ac:dyDescent="0.35">
      <c r="A15">
        <f t="shared" si="0"/>
        <v>2</v>
      </c>
      <c r="B15" t="s">
        <v>45</v>
      </c>
      <c r="C15" t="s">
        <v>47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</v>
      </c>
      <c r="L15">
        <v>2.6</v>
      </c>
      <c r="M15">
        <v>3.3E-4</v>
      </c>
      <c r="N15">
        <v>0.03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10</v>
      </c>
      <c r="V15" s="2">
        <v>31.7</v>
      </c>
      <c r="W15">
        <v>15.3</v>
      </c>
      <c r="X15" s="9" t="s">
        <v>44</v>
      </c>
      <c r="Y15" s="2">
        <f t="shared" si="1"/>
        <v>31.7</v>
      </c>
      <c r="Z15" s="2">
        <f t="shared" si="2"/>
        <v>15.3</v>
      </c>
      <c r="AA15" s="3">
        <v>0</v>
      </c>
      <c r="AB15" s="2">
        <f t="shared" si="11"/>
        <v>31.7</v>
      </c>
      <c r="AC15" s="2">
        <f t="shared" si="12"/>
        <v>15.3</v>
      </c>
      <c r="AD15" s="4">
        <f t="shared" si="13"/>
        <v>65.745000000000005</v>
      </c>
      <c r="AE15" s="4"/>
      <c r="AF15">
        <f t="shared" si="14"/>
        <v>47</v>
      </c>
      <c r="AT15" s="10"/>
    </row>
    <row r="16" spans="1:46" x14ac:dyDescent="0.35">
      <c r="A16">
        <f t="shared" si="0"/>
        <v>2</v>
      </c>
      <c r="B16" t="s">
        <v>45</v>
      </c>
      <c r="C16" t="s">
        <v>48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2.6</v>
      </c>
      <c r="M16">
        <v>1.8993E-3</v>
      </c>
      <c r="N16">
        <v>7.0000000000000007E-2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 s="2">
        <v>105</v>
      </c>
      <c r="W16">
        <v>38</v>
      </c>
      <c r="X16" s="9">
        <v>0</v>
      </c>
      <c r="Y16" s="2">
        <f t="shared" si="1"/>
        <v>105</v>
      </c>
      <c r="Z16" s="2">
        <f t="shared" si="2"/>
        <v>38</v>
      </c>
      <c r="AA16" s="3">
        <v>0</v>
      </c>
      <c r="AB16" s="2">
        <f t="shared" si="11"/>
        <v>105</v>
      </c>
      <c r="AC16" s="2">
        <f t="shared" si="12"/>
        <v>38</v>
      </c>
      <c r="AD16" s="4">
        <f t="shared" si="13"/>
        <v>198.75</v>
      </c>
      <c r="AE16" s="4"/>
      <c r="AF16">
        <f t="shared" si="14"/>
        <v>143</v>
      </c>
      <c r="AT16" s="10"/>
    </row>
    <row r="17" spans="1:46" x14ac:dyDescent="0.35">
      <c r="A17">
        <f t="shared" si="0"/>
        <v>2</v>
      </c>
      <c r="B17" t="s">
        <v>45</v>
      </c>
      <c r="C17" t="s">
        <v>49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</v>
      </c>
      <c r="L17">
        <v>2.6</v>
      </c>
      <c r="M17">
        <v>1.3338E-3</v>
      </c>
      <c r="N17">
        <v>0.03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2</v>
      </c>
      <c r="V17" s="2">
        <v>40.4</v>
      </c>
      <c r="W17">
        <v>15.6</v>
      </c>
      <c r="X17" s="9" t="s">
        <v>44</v>
      </c>
      <c r="Y17" s="2">
        <f t="shared" si="1"/>
        <v>40.4</v>
      </c>
      <c r="Z17" s="2">
        <f t="shared" si="2"/>
        <v>15.6</v>
      </c>
      <c r="AA17" s="3">
        <v>0</v>
      </c>
      <c r="AB17" s="2">
        <f t="shared" si="11"/>
        <v>40.4</v>
      </c>
      <c r="AC17" s="2">
        <f t="shared" si="12"/>
        <v>15.6</v>
      </c>
      <c r="AD17" s="4">
        <f t="shared" si="13"/>
        <v>77.94</v>
      </c>
      <c r="AE17" s="4"/>
      <c r="AF17">
        <f t="shared" si="14"/>
        <v>56</v>
      </c>
      <c r="AT17" s="10"/>
    </row>
    <row r="18" spans="1:46" x14ac:dyDescent="0.35">
      <c r="A18">
        <f t="shared" si="0"/>
        <v>2</v>
      </c>
      <c r="B18" t="s">
        <v>45</v>
      </c>
      <c r="D18" s="6">
        <v>25</v>
      </c>
      <c r="E18" s="6" t="s">
        <v>18</v>
      </c>
      <c r="F18" s="6">
        <v>500</v>
      </c>
      <c r="G18" s="7">
        <v>220000</v>
      </c>
      <c r="H18" s="6">
        <v>1576</v>
      </c>
      <c r="I18" s="6">
        <v>1870</v>
      </c>
      <c r="J18" s="6">
        <v>1</v>
      </c>
      <c r="K18" s="6">
        <v>0.2</v>
      </c>
      <c r="L18" s="6">
        <v>2.2000000000000002</v>
      </c>
      <c r="M18" s="6">
        <v>1</v>
      </c>
      <c r="N18" s="6">
        <v>0.03</v>
      </c>
      <c r="O18" s="6">
        <v>1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8">
        <v>0</v>
      </c>
      <c r="W18" s="8">
        <v>0</v>
      </c>
      <c r="X18" s="6" t="s">
        <v>44</v>
      </c>
      <c r="Y18" s="2">
        <f t="shared" si="1"/>
        <v>0</v>
      </c>
      <c r="Z18" s="2">
        <f t="shared" si="2"/>
        <v>0</v>
      </c>
      <c r="AA18" s="3"/>
      <c r="AB18" s="2">
        <f t="shared" si="11"/>
        <v>0</v>
      </c>
      <c r="AC18" s="2">
        <f t="shared" si="12"/>
        <v>0</v>
      </c>
      <c r="AD18" s="4">
        <f t="shared" si="13"/>
        <v>0</v>
      </c>
      <c r="AE18" s="4"/>
      <c r="AF18">
        <f t="shared" si="14"/>
        <v>0</v>
      </c>
      <c r="AT18" s="10"/>
    </row>
    <row r="19" spans="1:46" x14ac:dyDescent="0.35">
      <c r="A19">
        <f t="shared" si="0"/>
        <v>3</v>
      </c>
      <c r="B19" t="s">
        <v>50</v>
      </c>
      <c r="C19" t="s">
        <v>19</v>
      </c>
      <c r="D19" s="6">
        <v>25</v>
      </c>
      <c r="E19" s="6" t="s">
        <v>18</v>
      </c>
      <c r="F19" s="6">
        <v>500</v>
      </c>
      <c r="G19" s="7">
        <v>220000</v>
      </c>
      <c r="H19" s="6">
        <v>1576</v>
      </c>
      <c r="I19" s="6">
        <v>1870</v>
      </c>
      <c r="J19" s="6">
        <v>1</v>
      </c>
      <c r="K19" s="6">
        <v>0.2</v>
      </c>
      <c r="L19" s="6">
        <v>2.2000000000000002</v>
      </c>
      <c r="M19" s="6">
        <v>1</v>
      </c>
      <c r="N19" s="6">
        <v>0.03</v>
      </c>
      <c r="O19" s="6">
        <v>1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8">
        <v>0</v>
      </c>
      <c r="W19" s="8">
        <v>0</v>
      </c>
      <c r="X19" s="6" t="s">
        <v>44</v>
      </c>
      <c r="Y19" s="2">
        <f t="shared" si="1"/>
        <v>0</v>
      </c>
      <c r="Z19" s="2">
        <f t="shared" si="2"/>
        <v>0</v>
      </c>
      <c r="AA19" s="5"/>
      <c r="AB19" s="2">
        <f t="shared" ref="AB19:AB29" si="15">Y19*(1-AA19)</f>
        <v>0</v>
      </c>
      <c r="AC19" s="2">
        <f t="shared" ref="AC19:AC29" si="16">Y19*AA19 + Z19</f>
        <v>0</v>
      </c>
      <c r="AD19" s="4">
        <f t="shared" ref="AD19:AD29" si="17">1.35*Y19+1.5*Z19</f>
        <v>0</v>
      </c>
      <c r="AE19" s="4"/>
      <c r="AF19">
        <f t="shared" ref="AF19:AF29" si="18">AB19+AC19</f>
        <v>0</v>
      </c>
      <c r="AT19" s="10"/>
    </row>
    <row r="20" spans="1:46" x14ac:dyDescent="0.35">
      <c r="A20">
        <f t="shared" si="0"/>
        <v>3</v>
      </c>
      <c r="B20" t="s">
        <v>50</v>
      </c>
      <c r="C20" t="s">
        <v>20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</v>
      </c>
      <c r="L20">
        <v>2.33</v>
      </c>
      <c r="M20">
        <v>1.1950000000000001E-3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35.5</v>
      </c>
      <c r="W20">
        <v>16</v>
      </c>
      <c r="X20" s="9">
        <v>0</v>
      </c>
      <c r="Y20" s="2">
        <f t="shared" si="1"/>
        <v>35.5</v>
      </c>
      <c r="Z20" s="2">
        <f t="shared" si="2"/>
        <v>16</v>
      </c>
      <c r="AA20" s="3">
        <v>0</v>
      </c>
      <c r="AB20" s="2">
        <f t="shared" si="15"/>
        <v>35.5</v>
      </c>
      <c r="AC20" s="2">
        <f t="shared" si="16"/>
        <v>16</v>
      </c>
      <c r="AD20" s="4">
        <f t="shared" si="17"/>
        <v>71.925000000000011</v>
      </c>
      <c r="AE20" s="4"/>
      <c r="AF20">
        <f t="shared" si="18"/>
        <v>51.5</v>
      </c>
      <c r="AT20" s="10"/>
    </row>
    <row r="21" spans="1:46" x14ac:dyDescent="0.35">
      <c r="A21">
        <f t="shared" si="0"/>
        <v>3</v>
      </c>
      <c r="B21" t="s">
        <v>50</v>
      </c>
      <c r="C21" t="s">
        <v>23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</v>
      </c>
      <c r="L21">
        <v>2.33</v>
      </c>
      <c r="M21">
        <v>5.9881000000000008E-4</v>
      </c>
      <c r="N21">
        <v>0.03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2</v>
      </c>
      <c r="V21" s="2">
        <v>17</v>
      </c>
      <c r="W21">
        <v>11</v>
      </c>
      <c r="X21" s="9" t="s">
        <v>44</v>
      </c>
      <c r="Y21" s="2">
        <f t="shared" si="1"/>
        <v>17</v>
      </c>
      <c r="Z21" s="2">
        <f t="shared" si="2"/>
        <v>11</v>
      </c>
      <c r="AA21" s="3">
        <v>0</v>
      </c>
      <c r="AB21" s="2">
        <f t="shared" si="15"/>
        <v>17</v>
      </c>
      <c r="AC21" s="2">
        <f t="shared" si="16"/>
        <v>11</v>
      </c>
      <c r="AD21" s="4">
        <f t="shared" si="17"/>
        <v>39.450000000000003</v>
      </c>
      <c r="AE21" s="4"/>
      <c r="AF21">
        <f t="shared" si="18"/>
        <v>28</v>
      </c>
      <c r="AT21" s="10"/>
    </row>
    <row r="22" spans="1:46" x14ac:dyDescent="0.35">
      <c r="A22">
        <f t="shared" si="0"/>
        <v>3</v>
      </c>
      <c r="B22" t="s">
        <v>50</v>
      </c>
      <c r="C22" t="s">
        <v>24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2.33</v>
      </c>
      <c r="M22">
        <v>1.8500000000000001E-3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80</v>
      </c>
      <c r="W22">
        <v>33</v>
      </c>
      <c r="X22" s="9">
        <v>0</v>
      </c>
      <c r="Y22" s="2">
        <f t="shared" si="1"/>
        <v>80</v>
      </c>
      <c r="Z22" s="2">
        <f t="shared" si="2"/>
        <v>33</v>
      </c>
      <c r="AA22" s="3">
        <v>0</v>
      </c>
      <c r="AB22" s="2">
        <f t="shared" si="15"/>
        <v>80</v>
      </c>
      <c r="AC22" s="2">
        <f t="shared" si="16"/>
        <v>33</v>
      </c>
      <c r="AD22" s="4">
        <f t="shared" si="17"/>
        <v>157.5</v>
      </c>
      <c r="AE22" s="4"/>
      <c r="AF22">
        <f t="shared" si="18"/>
        <v>113</v>
      </c>
      <c r="AT22" s="10"/>
    </row>
    <row r="23" spans="1:46" x14ac:dyDescent="0.35">
      <c r="A23">
        <f t="shared" si="0"/>
        <v>3</v>
      </c>
      <c r="B23" t="s">
        <v>50</v>
      </c>
      <c r="C23" t="s">
        <v>25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</v>
      </c>
      <c r="L23">
        <v>2.33</v>
      </c>
      <c r="M23">
        <v>8.9700000000000012E-4</v>
      </c>
      <c r="N23">
        <v>3.5000000000000003E-2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10</v>
      </c>
      <c r="V23" s="2">
        <v>36</v>
      </c>
      <c r="W23">
        <v>18.5</v>
      </c>
      <c r="X23" s="9" t="s">
        <v>44</v>
      </c>
      <c r="Y23" s="2">
        <f t="shared" si="1"/>
        <v>44.215000000000003</v>
      </c>
      <c r="Z23" s="2">
        <f t="shared" si="2"/>
        <v>21.754999999999999</v>
      </c>
      <c r="AA23" s="3">
        <v>0</v>
      </c>
      <c r="AB23" s="2">
        <f t="shared" si="15"/>
        <v>44.215000000000003</v>
      </c>
      <c r="AC23" s="2">
        <f t="shared" si="16"/>
        <v>21.754999999999999</v>
      </c>
      <c r="AD23" s="4">
        <f t="shared" si="17"/>
        <v>92.322750000000013</v>
      </c>
      <c r="AE23" s="4"/>
      <c r="AF23">
        <f t="shared" si="18"/>
        <v>65.97</v>
      </c>
      <c r="AT23" s="10"/>
    </row>
    <row r="24" spans="1:46" x14ac:dyDescent="0.35">
      <c r="A24">
        <f t="shared" si="0"/>
        <v>3</v>
      </c>
      <c r="B24" t="s">
        <v>50</v>
      </c>
      <c r="C24" t="s">
        <v>26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</v>
      </c>
      <c r="L24">
        <v>2.33</v>
      </c>
      <c r="M24">
        <v>2.0950000000000001E-3</v>
      </c>
      <c r="N24">
        <v>5.2999999999999999E-2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5</v>
      </c>
      <c r="V24" s="2">
        <v>106</v>
      </c>
      <c r="W24">
        <v>42</v>
      </c>
      <c r="X24" s="9">
        <v>-0.155</v>
      </c>
      <c r="Y24" s="2">
        <f t="shared" si="1"/>
        <v>89.57</v>
      </c>
      <c r="Z24" s="2">
        <f t="shared" si="2"/>
        <v>35.49</v>
      </c>
      <c r="AA24" s="3">
        <v>0</v>
      </c>
      <c r="AB24" s="2">
        <f t="shared" si="15"/>
        <v>89.57</v>
      </c>
      <c r="AC24" s="2">
        <f t="shared" si="16"/>
        <v>35.49</v>
      </c>
      <c r="AD24" s="4">
        <f t="shared" si="17"/>
        <v>174.15449999999998</v>
      </c>
      <c r="AE24" s="4"/>
      <c r="AF24">
        <f t="shared" si="18"/>
        <v>125.06</v>
      </c>
      <c r="AT24" s="10"/>
    </row>
    <row r="25" spans="1:46" x14ac:dyDescent="0.35">
      <c r="A25">
        <f t="shared" si="0"/>
        <v>3</v>
      </c>
      <c r="B25" t="s">
        <v>50</v>
      </c>
      <c r="C25" t="s">
        <v>27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</v>
      </c>
      <c r="L25">
        <v>2.33</v>
      </c>
      <c r="M25">
        <v>9.0000000000000008E-4</v>
      </c>
      <c r="N25">
        <v>0.03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10</v>
      </c>
      <c r="V25" s="2">
        <v>32.799999999999997</v>
      </c>
      <c r="W25">
        <v>18.2</v>
      </c>
      <c r="X25" s="9" t="s">
        <v>44</v>
      </c>
      <c r="Y25" s="2">
        <f t="shared" si="1"/>
        <v>38.702500000000001</v>
      </c>
      <c r="Z25" s="2">
        <f t="shared" si="2"/>
        <v>20.517499999999998</v>
      </c>
      <c r="AA25" s="3">
        <v>0</v>
      </c>
      <c r="AB25" s="2">
        <f t="shared" si="15"/>
        <v>38.702500000000001</v>
      </c>
      <c r="AC25" s="2">
        <f t="shared" si="16"/>
        <v>20.517499999999998</v>
      </c>
      <c r="AD25" s="4">
        <f t="shared" si="17"/>
        <v>83.024625</v>
      </c>
      <c r="AE25" s="4"/>
      <c r="AF25">
        <f t="shared" si="18"/>
        <v>59.22</v>
      </c>
      <c r="AT25" s="10"/>
    </row>
    <row r="26" spans="1:46" x14ac:dyDescent="0.35">
      <c r="A26">
        <f t="shared" si="0"/>
        <v>3</v>
      </c>
      <c r="B26" t="s">
        <v>50</v>
      </c>
      <c r="C26" t="s">
        <v>28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</v>
      </c>
      <c r="L26">
        <v>2.33</v>
      </c>
      <c r="M26">
        <v>2.3900000000000002E-3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 s="2">
        <v>92.5</v>
      </c>
      <c r="W26">
        <v>37.5</v>
      </c>
      <c r="X26" s="9">
        <v>0.05</v>
      </c>
      <c r="Y26" s="2">
        <f t="shared" si="1"/>
        <v>97.125</v>
      </c>
      <c r="Z26" s="2">
        <f t="shared" si="2"/>
        <v>39.375</v>
      </c>
      <c r="AA26" s="3">
        <v>0</v>
      </c>
      <c r="AB26" s="2">
        <f t="shared" si="15"/>
        <v>97.125</v>
      </c>
      <c r="AC26" s="2">
        <f t="shared" si="16"/>
        <v>39.375</v>
      </c>
      <c r="AD26" s="4">
        <f t="shared" si="17"/>
        <v>190.18125000000001</v>
      </c>
      <c r="AE26" s="4"/>
      <c r="AF26">
        <f t="shared" si="18"/>
        <v>136.5</v>
      </c>
      <c r="AT26" s="10"/>
    </row>
    <row r="27" spans="1:46" x14ac:dyDescent="0.35">
      <c r="A27">
        <f t="shared" si="0"/>
        <v>3</v>
      </c>
      <c r="B27" t="s">
        <v>50</v>
      </c>
      <c r="C27" t="s">
        <v>29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</v>
      </c>
      <c r="L27">
        <v>2.33</v>
      </c>
      <c r="M27">
        <v>9.0000000000000008E-4</v>
      </c>
      <c r="N27">
        <v>0.03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5</v>
      </c>
      <c r="V27" s="2">
        <v>28</v>
      </c>
      <c r="W27">
        <v>14.3</v>
      </c>
      <c r="X27" s="9" t="s">
        <v>44</v>
      </c>
      <c r="Y27" s="2">
        <f t="shared" si="1"/>
        <v>25.6875</v>
      </c>
      <c r="Z27" s="2">
        <f t="shared" si="2"/>
        <v>13.362500000000001</v>
      </c>
      <c r="AA27" s="3">
        <v>0</v>
      </c>
      <c r="AB27" s="2">
        <f t="shared" si="15"/>
        <v>25.6875</v>
      </c>
      <c r="AC27" s="2">
        <f t="shared" si="16"/>
        <v>13.362500000000001</v>
      </c>
      <c r="AD27" s="4">
        <f t="shared" si="17"/>
        <v>54.721875000000004</v>
      </c>
      <c r="AE27" s="4"/>
      <c r="AF27">
        <f t="shared" si="18"/>
        <v>39.049999999999997</v>
      </c>
      <c r="AT27" s="10"/>
    </row>
    <row r="28" spans="1:46" x14ac:dyDescent="0.35">
      <c r="A28">
        <f t="shared" si="0"/>
        <v>3</v>
      </c>
      <c r="B28" t="s">
        <v>50</v>
      </c>
      <c r="D28" s="6">
        <v>25</v>
      </c>
      <c r="E28" s="6" t="s">
        <v>18</v>
      </c>
      <c r="F28" s="6">
        <v>500</v>
      </c>
      <c r="G28" s="7">
        <v>220000</v>
      </c>
      <c r="H28" s="6">
        <v>1576</v>
      </c>
      <c r="I28" s="6">
        <v>1870</v>
      </c>
      <c r="J28" s="6">
        <v>1</v>
      </c>
      <c r="K28" s="6">
        <v>0.2</v>
      </c>
      <c r="L28" s="6">
        <v>2.2000000000000002</v>
      </c>
      <c r="M28" s="6">
        <v>1</v>
      </c>
      <c r="N28" s="6">
        <v>0.03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6" t="s">
        <v>44</v>
      </c>
      <c r="Y28" s="2">
        <f t="shared" si="1"/>
        <v>0</v>
      </c>
      <c r="Z28" s="2">
        <f t="shared" si="2"/>
        <v>0</v>
      </c>
      <c r="AA28" s="5"/>
      <c r="AB28" s="2">
        <f t="shared" si="15"/>
        <v>0</v>
      </c>
      <c r="AC28" s="2">
        <f t="shared" si="16"/>
        <v>0</v>
      </c>
      <c r="AD28" s="4">
        <f t="shared" si="17"/>
        <v>0</v>
      </c>
      <c r="AE28" s="4"/>
      <c r="AF28">
        <f t="shared" si="18"/>
        <v>0</v>
      </c>
      <c r="AT28" s="10"/>
    </row>
    <row r="29" spans="1:46" x14ac:dyDescent="0.35">
      <c r="A29">
        <f t="shared" si="0"/>
        <v>4</v>
      </c>
      <c r="B29" t="s">
        <v>51</v>
      </c>
      <c r="C29" t="s">
        <v>19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</v>
      </c>
      <c r="L29">
        <v>2.33</v>
      </c>
      <c r="M29">
        <v>9.0000000000000008E-4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 s="2">
        <v>7.7</v>
      </c>
      <c r="W29">
        <v>3</v>
      </c>
      <c r="X29" s="9" t="s">
        <v>44</v>
      </c>
      <c r="Y29" s="2">
        <f t="shared" si="1"/>
        <v>7.7</v>
      </c>
      <c r="Z29" s="2">
        <f t="shared" si="2"/>
        <v>3</v>
      </c>
      <c r="AA29" s="5">
        <v>0</v>
      </c>
      <c r="AB29" s="2">
        <f t="shared" si="15"/>
        <v>7.7</v>
      </c>
      <c r="AC29" s="2">
        <f t="shared" si="16"/>
        <v>3</v>
      </c>
      <c r="AD29" s="4">
        <f t="shared" si="17"/>
        <v>14.895000000000001</v>
      </c>
      <c r="AE29" s="4"/>
      <c r="AF29">
        <f t="shared" si="18"/>
        <v>10.7</v>
      </c>
      <c r="AT29" s="10"/>
    </row>
    <row r="30" spans="1:46" x14ac:dyDescent="0.35">
      <c r="A30">
        <f t="shared" si="0"/>
        <v>4</v>
      </c>
      <c r="B30" t="s">
        <v>51</v>
      </c>
      <c r="C30" t="s">
        <v>20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0.23</v>
      </c>
      <c r="L30">
        <v>2.33</v>
      </c>
      <c r="M30">
        <v>1.1999999999999999E-3</v>
      </c>
      <c r="N30">
        <v>0.06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 s="2">
        <v>11</v>
      </c>
      <c r="W30">
        <v>8</v>
      </c>
      <c r="X30" s="9">
        <v>0</v>
      </c>
      <c r="Y30" s="2">
        <f t="shared" si="1"/>
        <v>11</v>
      </c>
      <c r="Z30" s="2">
        <f t="shared" si="2"/>
        <v>8</v>
      </c>
      <c r="AA30" s="5">
        <v>0</v>
      </c>
      <c r="AB30" s="2">
        <f t="shared" ref="AB30" si="19">Y30*(1-AA30)</f>
        <v>11</v>
      </c>
      <c r="AC30" s="2">
        <f t="shared" ref="AC30" si="20">Y30*AA30 + Z30</f>
        <v>8</v>
      </c>
      <c r="AD30" s="4">
        <f t="shared" ref="AD30" si="21">1.35*Y30+1.5*Z30</f>
        <v>26.85</v>
      </c>
      <c r="AE30" s="4"/>
      <c r="AF30">
        <f t="shared" ref="AF30" si="22">AB30+AC30</f>
        <v>19</v>
      </c>
      <c r="AT30" s="10"/>
    </row>
    <row r="31" spans="1:46" x14ac:dyDescent="0.35">
      <c r="A31">
        <f t="shared" si="0"/>
        <v>4</v>
      </c>
      <c r="B31" t="s">
        <v>51</v>
      </c>
      <c r="C31" t="s">
        <v>23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0.23</v>
      </c>
      <c r="L31">
        <v>2.33</v>
      </c>
      <c r="M31">
        <v>6.0000000000000006E-4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 s="2">
        <v>8</v>
      </c>
      <c r="W31">
        <v>6.5</v>
      </c>
      <c r="X31" s="9" t="s">
        <v>44</v>
      </c>
      <c r="Y31" s="2">
        <f t="shared" si="1"/>
        <v>8</v>
      </c>
      <c r="Z31" s="2">
        <f t="shared" si="2"/>
        <v>6.5</v>
      </c>
      <c r="AA31" s="5">
        <v>0</v>
      </c>
      <c r="AB31" s="2">
        <f t="shared" ref="AB31:AB42" si="23">Y31*(1-AA31)</f>
        <v>8</v>
      </c>
      <c r="AC31" s="2">
        <f t="shared" ref="AC31:AC42" si="24">Y31*AA31 + Z31</f>
        <v>6.5</v>
      </c>
      <c r="AD31" s="4">
        <f t="shared" ref="AD31:AD42" si="25">1.35*Y31+1.5*Z31</f>
        <v>20.55</v>
      </c>
      <c r="AE31" s="4"/>
      <c r="AF31">
        <f t="shared" ref="AF31:AF42" si="26">AB31+AC31</f>
        <v>14.5</v>
      </c>
      <c r="AT31" s="10"/>
    </row>
    <row r="32" spans="1:46" x14ac:dyDescent="0.35">
      <c r="A32">
        <f t="shared" si="0"/>
        <v>4</v>
      </c>
      <c r="B32" t="s">
        <v>51</v>
      </c>
      <c r="C32" t="s">
        <v>24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2.33</v>
      </c>
      <c r="M32">
        <v>1.1720000000000001E-3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 s="2">
        <v>36</v>
      </c>
      <c r="W32">
        <v>18.5</v>
      </c>
      <c r="X32" s="9">
        <v>0</v>
      </c>
      <c r="Y32" s="2">
        <f t="shared" si="1"/>
        <v>36</v>
      </c>
      <c r="Z32" s="2">
        <f t="shared" si="2"/>
        <v>18.5</v>
      </c>
      <c r="AA32" s="5">
        <v>0</v>
      </c>
      <c r="AB32" s="2">
        <f t="shared" si="23"/>
        <v>36</v>
      </c>
      <c r="AC32" s="2">
        <f t="shared" si="24"/>
        <v>18.5</v>
      </c>
      <c r="AD32" s="4">
        <f t="shared" si="25"/>
        <v>76.349999999999994</v>
      </c>
      <c r="AE32" s="4"/>
      <c r="AF32">
        <f t="shared" si="26"/>
        <v>54.5</v>
      </c>
      <c r="AT32" s="10"/>
    </row>
    <row r="33" spans="1:46" x14ac:dyDescent="0.35">
      <c r="A33">
        <f t="shared" si="0"/>
        <v>4</v>
      </c>
      <c r="B33" t="s">
        <v>51</v>
      </c>
      <c r="C33" t="s">
        <v>25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0.23</v>
      </c>
      <c r="L33">
        <v>2.33</v>
      </c>
      <c r="M33">
        <v>9.0000000000000008E-4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 s="2">
        <v>24</v>
      </c>
      <c r="W33">
        <v>13.3</v>
      </c>
      <c r="X33" s="9" t="s">
        <v>44</v>
      </c>
      <c r="Y33" s="2">
        <f t="shared" si="1"/>
        <v>24</v>
      </c>
      <c r="Z33" s="2">
        <f t="shared" si="2"/>
        <v>13.3</v>
      </c>
      <c r="AA33" s="5">
        <v>0</v>
      </c>
      <c r="AB33" s="2">
        <f t="shared" si="23"/>
        <v>24</v>
      </c>
      <c r="AC33" s="2">
        <f t="shared" si="24"/>
        <v>13.3</v>
      </c>
      <c r="AD33" s="4">
        <f t="shared" si="25"/>
        <v>52.350000000000009</v>
      </c>
      <c r="AE33" s="4"/>
      <c r="AF33">
        <f t="shared" si="26"/>
        <v>37.299999999999997</v>
      </c>
      <c r="AT33" s="10"/>
    </row>
    <row r="34" spans="1:46" x14ac:dyDescent="0.35">
      <c r="A34">
        <f t="shared" si="0"/>
        <v>4</v>
      </c>
      <c r="B34" t="s">
        <v>51</v>
      </c>
      <c r="C34" t="s">
        <v>26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0.23</v>
      </c>
      <c r="L34">
        <v>2.33</v>
      </c>
      <c r="M34">
        <v>1.47E-3</v>
      </c>
      <c r="N34">
        <v>0.06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 s="2">
        <v>47.5</v>
      </c>
      <c r="W34">
        <v>23</v>
      </c>
      <c r="X34" s="9">
        <v>0</v>
      </c>
      <c r="Y34" s="2">
        <f t="shared" si="1"/>
        <v>47.5</v>
      </c>
      <c r="Z34" s="2">
        <f t="shared" si="2"/>
        <v>23</v>
      </c>
      <c r="AA34" s="5">
        <v>0</v>
      </c>
      <c r="AB34" s="2">
        <f t="shared" si="23"/>
        <v>47.5</v>
      </c>
      <c r="AC34" s="2">
        <f t="shared" si="24"/>
        <v>23</v>
      </c>
      <c r="AD34" s="4">
        <f t="shared" si="25"/>
        <v>98.625</v>
      </c>
      <c r="AE34" s="4"/>
      <c r="AF34">
        <f t="shared" si="26"/>
        <v>70.5</v>
      </c>
      <c r="AT34" s="10"/>
    </row>
    <row r="35" spans="1:46" x14ac:dyDescent="0.35">
      <c r="A35">
        <f t="shared" si="0"/>
        <v>4</v>
      </c>
      <c r="B35" t="s">
        <v>51</v>
      </c>
      <c r="C35" t="s">
        <v>27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</v>
      </c>
      <c r="L35">
        <v>2.33</v>
      </c>
      <c r="M35">
        <v>9.0000000000000008E-4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 s="2">
        <v>22</v>
      </c>
      <c r="W35">
        <v>13.8</v>
      </c>
      <c r="X35" s="9" t="s">
        <v>44</v>
      </c>
      <c r="Y35" s="2">
        <f t="shared" si="1"/>
        <v>22</v>
      </c>
      <c r="Z35" s="2">
        <f t="shared" si="2"/>
        <v>13.8</v>
      </c>
      <c r="AA35" s="5">
        <v>0</v>
      </c>
      <c r="AB35" s="2">
        <f t="shared" si="23"/>
        <v>22</v>
      </c>
      <c r="AC35" s="2">
        <f t="shared" si="24"/>
        <v>13.8</v>
      </c>
      <c r="AD35" s="4">
        <f t="shared" si="25"/>
        <v>50.400000000000006</v>
      </c>
      <c r="AE35" s="4"/>
      <c r="AF35">
        <f t="shared" si="26"/>
        <v>35.799999999999997</v>
      </c>
      <c r="AT35" s="10"/>
    </row>
    <row r="36" spans="1:46" x14ac:dyDescent="0.35">
      <c r="A36">
        <f t="shared" si="0"/>
        <v>4</v>
      </c>
      <c r="B36" t="s">
        <v>51</v>
      </c>
      <c r="C36" t="s">
        <v>28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2.33</v>
      </c>
      <c r="M36">
        <v>1.47E-3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 s="2">
        <v>35.5</v>
      </c>
      <c r="W36">
        <v>19</v>
      </c>
      <c r="X36" s="9">
        <v>0</v>
      </c>
      <c r="Y36" s="2">
        <f t="shared" si="1"/>
        <v>35.5</v>
      </c>
      <c r="Z36" s="2">
        <f t="shared" si="2"/>
        <v>19</v>
      </c>
      <c r="AA36" s="5">
        <v>0</v>
      </c>
      <c r="AB36" s="2">
        <f t="shared" si="23"/>
        <v>35.5</v>
      </c>
      <c r="AC36" s="2">
        <f t="shared" si="24"/>
        <v>19</v>
      </c>
      <c r="AD36" s="4">
        <f t="shared" si="25"/>
        <v>76.425000000000011</v>
      </c>
      <c r="AE36" s="4"/>
      <c r="AF36">
        <f t="shared" si="26"/>
        <v>54.5</v>
      </c>
      <c r="AT36" s="10"/>
    </row>
    <row r="37" spans="1:46" x14ac:dyDescent="0.35">
      <c r="A37">
        <f t="shared" si="0"/>
        <v>4</v>
      </c>
      <c r="B37" t="s">
        <v>51</v>
      </c>
      <c r="C37" t="s">
        <v>29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</v>
      </c>
      <c r="L37">
        <v>2.33</v>
      </c>
      <c r="M37">
        <v>9.0000000000000008E-4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 s="2">
        <v>15</v>
      </c>
      <c r="W37">
        <v>9.5</v>
      </c>
      <c r="X37" s="9" t="s">
        <v>44</v>
      </c>
      <c r="Y37" s="2">
        <f t="shared" si="1"/>
        <v>15</v>
      </c>
      <c r="Z37" s="2">
        <f t="shared" si="2"/>
        <v>9.5</v>
      </c>
      <c r="AA37" s="5">
        <v>0</v>
      </c>
      <c r="AB37" s="2">
        <f t="shared" si="23"/>
        <v>15</v>
      </c>
      <c r="AC37" s="2">
        <f t="shared" si="24"/>
        <v>9.5</v>
      </c>
      <c r="AD37" s="4">
        <f t="shared" si="25"/>
        <v>34.5</v>
      </c>
      <c r="AE37" s="4"/>
      <c r="AF37">
        <f t="shared" si="26"/>
        <v>24.5</v>
      </c>
      <c r="AT37" s="10"/>
    </row>
    <row r="38" spans="1:46" x14ac:dyDescent="0.35">
      <c r="A38">
        <f t="shared" si="0"/>
        <v>4</v>
      </c>
      <c r="B38" t="s">
        <v>51</v>
      </c>
      <c r="D38" s="6">
        <v>25</v>
      </c>
      <c r="E38" s="6" t="s">
        <v>18</v>
      </c>
      <c r="F38" s="6">
        <v>500</v>
      </c>
      <c r="G38" s="7">
        <v>220000</v>
      </c>
      <c r="H38" s="6">
        <v>1576</v>
      </c>
      <c r="I38" s="6">
        <v>1870</v>
      </c>
      <c r="J38" s="6">
        <v>1</v>
      </c>
      <c r="K38" s="6">
        <v>0.2</v>
      </c>
      <c r="L38" s="6">
        <v>2.2000000000000002</v>
      </c>
      <c r="M38" s="6">
        <v>1</v>
      </c>
      <c r="N38" s="6">
        <v>0.03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8">
        <v>0</v>
      </c>
      <c r="W38" s="8">
        <v>0</v>
      </c>
      <c r="X38" s="6" t="s">
        <v>44</v>
      </c>
      <c r="Y38" s="2">
        <f t="shared" si="1"/>
        <v>0</v>
      </c>
      <c r="Z38" s="2">
        <f t="shared" si="2"/>
        <v>0</v>
      </c>
      <c r="AA38" s="5"/>
      <c r="AB38" s="2">
        <f t="shared" si="23"/>
        <v>0</v>
      </c>
      <c r="AC38" s="2">
        <f t="shared" si="24"/>
        <v>0</v>
      </c>
      <c r="AD38" s="4">
        <f t="shared" si="25"/>
        <v>0</v>
      </c>
      <c r="AE38" s="4"/>
      <c r="AF38">
        <f t="shared" si="26"/>
        <v>0</v>
      </c>
      <c r="AT38" s="10"/>
    </row>
    <row r="39" spans="1:46" x14ac:dyDescent="0.35">
      <c r="A39">
        <f t="shared" si="0"/>
        <v>5</v>
      </c>
      <c r="B39" t="s">
        <v>52</v>
      </c>
      <c r="C39" t="s">
        <v>19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</v>
      </c>
      <c r="L39">
        <v>2.33</v>
      </c>
      <c r="M39">
        <v>9.0000000000000008E-4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 s="2">
        <v>0</v>
      </c>
      <c r="W39">
        <v>2</v>
      </c>
      <c r="X39" s="9" t="s">
        <v>44</v>
      </c>
      <c r="Y39" s="2">
        <f t="shared" si="1"/>
        <v>0</v>
      </c>
      <c r="Z39" s="2">
        <f t="shared" si="2"/>
        <v>2</v>
      </c>
      <c r="AA39" s="5">
        <v>0</v>
      </c>
      <c r="AB39" s="2">
        <f t="shared" si="23"/>
        <v>0</v>
      </c>
      <c r="AC39" s="2">
        <f t="shared" si="24"/>
        <v>2</v>
      </c>
      <c r="AD39" s="4">
        <f t="shared" si="25"/>
        <v>3</v>
      </c>
      <c r="AE39" s="4"/>
      <c r="AF39">
        <f t="shared" si="26"/>
        <v>2</v>
      </c>
      <c r="AT39" s="10"/>
    </row>
    <row r="40" spans="1:46" x14ac:dyDescent="0.35">
      <c r="A40">
        <f t="shared" si="0"/>
        <v>5</v>
      </c>
      <c r="B40" t="s">
        <v>52</v>
      </c>
      <c r="C40" t="s">
        <v>20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</v>
      </c>
      <c r="L40">
        <v>2.33</v>
      </c>
      <c r="M40">
        <v>3.8999999999999999E-4</v>
      </c>
      <c r="N40">
        <v>0.03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 s="2">
        <v>16</v>
      </c>
      <c r="W40">
        <v>8</v>
      </c>
      <c r="X40" s="9">
        <v>0</v>
      </c>
      <c r="Y40" s="2">
        <f t="shared" si="1"/>
        <v>16</v>
      </c>
      <c r="Z40" s="2">
        <f t="shared" si="2"/>
        <v>8</v>
      </c>
      <c r="AA40" s="5">
        <v>0</v>
      </c>
      <c r="AB40" s="2">
        <f t="shared" si="23"/>
        <v>16</v>
      </c>
      <c r="AC40" s="2">
        <f t="shared" si="24"/>
        <v>8</v>
      </c>
      <c r="AD40" s="4">
        <f t="shared" si="25"/>
        <v>33.6</v>
      </c>
      <c r="AE40" s="4"/>
      <c r="AF40">
        <f t="shared" si="26"/>
        <v>24</v>
      </c>
      <c r="AT40" s="10"/>
    </row>
    <row r="41" spans="1:46" x14ac:dyDescent="0.35">
      <c r="A41">
        <f t="shared" si="0"/>
        <v>5</v>
      </c>
      <c r="B41" t="s">
        <v>52</v>
      </c>
      <c r="C41" t="s">
        <v>23</v>
      </c>
      <c r="D41" s="6">
        <v>25</v>
      </c>
      <c r="E41" s="6" t="s">
        <v>18</v>
      </c>
      <c r="F41" s="6">
        <v>500</v>
      </c>
      <c r="G41" s="7">
        <v>220000</v>
      </c>
      <c r="H41" s="6">
        <v>1576</v>
      </c>
      <c r="I41" s="6">
        <v>1870</v>
      </c>
      <c r="J41" s="6">
        <v>1</v>
      </c>
      <c r="K41" s="6">
        <v>0.2</v>
      </c>
      <c r="L41" s="6">
        <v>2.2000000000000002</v>
      </c>
      <c r="M41" s="6">
        <v>1</v>
      </c>
      <c r="N41" s="6">
        <v>0.03</v>
      </c>
      <c r="O41" s="6">
        <v>1</v>
      </c>
      <c r="P41" s="6">
        <v>0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8">
        <v>0</v>
      </c>
      <c r="W41" s="8">
        <v>0</v>
      </c>
      <c r="X41" s="6" t="s">
        <v>44</v>
      </c>
      <c r="Y41" s="2">
        <f t="shared" si="1"/>
        <v>0</v>
      </c>
      <c r="Z41" s="2">
        <f t="shared" si="2"/>
        <v>0</v>
      </c>
      <c r="AA41" s="5"/>
      <c r="AB41" s="2">
        <f t="shared" si="23"/>
        <v>0</v>
      </c>
      <c r="AC41" s="2">
        <f t="shared" si="24"/>
        <v>0</v>
      </c>
      <c r="AD41" s="4">
        <f t="shared" si="25"/>
        <v>0</v>
      </c>
      <c r="AE41" s="4"/>
      <c r="AF41">
        <f t="shared" si="26"/>
        <v>0</v>
      </c>
      <c r="AT41" s="10"/>
    </row>
    <row r="42" spans="1:46" x14ac:dyDescent="0.35">
      <c r="A42">
        <f t="shared" si="0"/>
        <v>5</v>
      </c>
      <c r="B42" t="s">
        <v>52</v>
      </c>
      <c r="C42" t="s">
        <v>24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</v>
      </c>
      <c r="L42">
        <v>2.33</v>
      </c>
      <c r="M42">
        <v>2.4868300000000002E-3</v>
      </c>
      <c r="N42">
        <v>0.03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 s="2">
        <v>86</v>
      </c>
      <c r="W42">
        <v>30</v>
      </c>
      <c r="X42" s="9">
        <v>0</v>
      </c>
      <c r="Y42" s="2">
        <f t="shared" si="1"/>
        <v>86</v>
      </c>
      <c r="Z42" s="2">
        <f t="shared" si="2"/>
        <v>30</v>
      </c>
      <c r="AA42" s="5">
        <v>0</v>
      </c>
      <c r="AB42" s="2">
        <f t="shared" si="23"/>
        <v>86</v>
      </c>
      <c r="AC42" s="2">
        <f t="shared" si="24"/>
        <v>30</v>
      </c>
      <c r="AD42" s="4">
        <f t="shared" si="25"/>
        <v>161.10000000000002</v>
      </c>
      <c r="AE42" s="4"/>
      <c r="AF42">
        <f t="shared" si="26"/>
        <v>116</v>
      </c>
      <c r="AT42" s="10"/>
    </row>
    <row r="43" spans="1:46" x14ac:dyDescent="0.35">
      <c r="A43">
        <f t="shared" si="0"/>
        <v>5</v>
      </c>
      <c r="B43" t="s">
        <v>52</v>
      </c>
      <c r="C43" t="s">
        <v>25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</v>
      </c>
      <c r="L43">
        <v>2.33</v>
      </c>
      <c r="M43">
        <v>1.495E-3</v>
      </c>
      <c r="N43">
        <v>0.03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5</v>
      </c>
      <c r="V43" s="2">
        <v>34.200000000000003</v>
      </c>
      <c r="W43">
        <v>16.100000000000001</v>
      </c>
      <c r="X43" s="9" t="s">
        <v>44</v>
      </c>
      <c r="Y43" s="2">
        <f t="shared" si="1"/>
        <v>34.200000000000003</v>
      </c>
      <c r="Z43" s="2">
        <f t="shared" si="2"/>
        <v>16.100000000000001</v>
      </c>
      <c r="AA43" s="5">
        <v>0</v>
      </c>
      <c r="AB43" s="2">
        <f t="shared" ref="AB43:AB54" si="27">Y43*(1-AA43)</f>
        <v>34.200000000000003</v>
      </c>
      <c r="AC43" s="2">
        <f t="shared" ref="AC43:AC54" si="28">Y43*AA43 + Z43</f>
        <v>16.100000000000001</v>
      </c>
      <c r="AD43" s="4">
        <f t="shared" ref="AD43:AD54" si="29">1.35*Y43+1.5*Z43</f>
        <v>70.320000000000007</v>
      </c>
      <c r="AE43" s="4"/>
      <c r="AF43">
        <f t="shared" ref="AF43:AF54" si="30">AB43+AC43</f>
        <v>50.300000000000004</v>
      </c>
      <c r="AT43" s="10"/>
    </row>
    <row r="44" spans="1:46" x14ac:dyDescent="0.35">
      <c r="A44">
        <f t="shared" si="0"/>
        <v>5</v>
      </c>
      <c r="B44" t="s">
        <v>52</v>
      </c>
      <c r="C44" t="s">
        <v>26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</v>
      </c>
      <c r="L44">
        <v>2.33</v>
      </c>
      <c r="M44">
        <v>2.3900000000000002E-3</v>
      </c>
      <c r="N44">
        <v>0.03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 s="2">
        <v>97</v>
      </c>
      <c r="W44">
        <v>36.5</v>
      </c>
      <c r="X44" s="9">
        <v>0</v>
      </c>
      <c r="Y44" s="2">
        <f t="shared" si="1"/>
        <v>97</v>
      </c>
      <c r="Z44" s="2">
        <f t="shared" si="2"/>
        <v>36.5</v>
      </c>
      <c r="AA44" s="5">
        <v>0</v>
      </c>
      <c r="AB44" s="2">
        <f t="shared" si="27"/>
        <v>97</v>
      </c>
      <c r="AC44" s="2">
        <f t="shared" si="28"/>
        <v>36.5</v>
      </c>
      <c r="AD44" s="4">
        <f t="shared" si="29"/>
        <v>185.70000000000002</v>
      </c>
      <c r="AE44" s="4"/>
      <c r="AF44">
        <f t="shared" si="30"/>
        <v>133.5</v>
      </c>
      <c r="AT44" s="10"/>
    </row>
    <row r="45" spans="1:46" x14ac:dyDescent="0.35">
      <c r="A45">
        <f t="shared" si="0"/>
        <v>5</v>
      </c>
      <c r="B45" t="s">
        <v>52</v>
      </c>
      <c r="C45" t="s">
        <v>27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</v>
      </c>
      <c r="L45">
        <v>2.33</v>
      </c>
      <c r="M45">
        <v>9.0000000000000008E-4</v>
      </c>
      <c r="N45">
        <v>0.03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5</v>
      </c>
      <c r="V45" s="2">
        <v>31</v>
      </c>
      <c r="W45">
        <v>16.3</v>
      </c>
      <c r="X45" s="9" t="s">
        <v>44</v>
      </c>
      <c r="Y45" s="2">
        <f t="shared" si="1"/>
        <v>31</v>
      </c>
      <c r="Z45" s="2">
        <f t="shared" si="2"/>
        <v>16.3</v>
      </c>
      <c r="AA45" s="5">
        <v>0</v>
      </c>
      <c r="AB45" s="2">
        <f t="shared" si="27"/>
        <v>31</v>
      </c>
      <c r="AC45" s="2">
        <f t="shared" si="28"/>
        <v>16.3</v>
      </c>
      <c r="AD45" s="4">
        <f t="shared" si="29"/>
        <v>66.300000000000011</v>
      </c>
      <c r="AE45" s="4"/>
      <c r="AF45">
        <f t="shared" si="30"/>
        <v>47.3</v>
      </c>
      <c r="AT45" s="10"/>
    </row>
    <row r="46" spans="1:46" x14ac:dyDescent="0.35">
      <c r="A46">
        <f t="shared" si="0"/>
        <v>5</v>
      </c>
      <c r="B46" t="s">
        <v>52</v>
      </c>
      <c r="C46" t="s">
        <v>28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2.33</v>
      </c>
      <c r="M46">
        <v>2.3900000000000002E-3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 s="2">
        <v>80</v>
      </c>
      <c r="W46">
        <v>31.5</v>
      </c>
      <c r="X46" s="9">
        <v>0</v>
      </c>
      <c r="Y46" s="2">
        <f t="shared" si="1"/>
        <v>80</v>
      </c>
      <c r="Z46" s="2">
        <f t="shared" si="2"/>
        <v>31.5</v>
      </c>
      <c r="AA46" s="5">
        <v>0</v>
      </c>
      <c r="AB46" s="2">
        <f t="shared" si="27"/>
        <v>80</v>
      </c>
      <c r="AC46" s="2">
        <f t="shared" si="28"/>
        <v>31.5</v>
      </c>
      <c r="AD46" s="4">
        <f t="shared" si="29"/>
        <v>155.25</v>
      </c>
      <c r="AE46" s="4"/>
      <c r="AF46">
        <f t="shared" si="30"/>
        <v>111.5</v>
      </c>
      <c r="AT46" s="10"/>
    </row>
    <row r="47" spans="1:46" x14ac:dyDescent="0.35">
      <c r="A47">
        <f t="shared" si="0"/>
        <v>5</v>
      </c>
      <c r="B47" t="s">
        <v>52</v>
      </c>
      <c r="C47" t="s">
        <v>29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</v>
      </c>
      <c r="L47">
        <v>2.33</v>
      </c>
      <c r="M47">
        <v>9.0000000000000008E-4</v>
      </c>
      <c r="N47">
        <v>0.03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5</v>
      </c>
      <c r="V47" s="2">
        <v>22.2</v>
      </c>
      <c r="W47">
        <v>11.5</v>
      </c>
      <c r="X47" s="9" t="s">
        <v>44</v>
      </c>
      <c r="Y47" s="2">
        <f t="shared" si="1"/>
        <v>22.2</v>
      </c>
      <c r="Z47" s="2">
        <f t="shared" si="2"/>
        <v>11.5</v>
      </c>
      <c r="AA47" s="5">
        <v>0</v>
      </c>
      <c r="AB47" s="2">
        <f t="shared" si="27"/>
        <v>22.2</v>
      </c>
      <c r="AC47" s="2">
        <f t="shared" si="28"/>
        <v>11.5</v>
      </c>
      <c r="AD47" s="4">
        <f t="shared" si="29"/>
        <v>47.22</v>
      </c>
      <c r="AE47" s="4"/>
      <c r="AF47">
        <f t="shared" si="30"/>
        <v>33.700000000000003</v>
      </c>
      <c r="AT47" s="10"/>
    </row>
    <row r="48" spans="1:46" x14ac:dyDescent="0.35">
      <c r="A48">
        <f t="shared" si="0"/>
        <v>5</v>
      </c>
      <c r="B48" t="s">
        <v>52</v>
      </c>
      <c r="D48" s="6">
        <v>25</v>
      </c>
      <c r="E48" s="6" t="s">
        <v>18</v>
      </c>
      <c r="F48" s="6">
        <v>500</v>
      </c>
      <c r="G48" s="7">
        <v>220000</v>
      </c>
      <c r="H48" s="6">
        <v>1576</v>
      </c>
      <c r="I48" s="6">
        <v>1870</v>
      </c>
      <c r="J48" s="6">
        <v>1</v>
      </c>
      <c r="K48" s="6">
        <v>0.2</v>
      </c>
      <c r="L48" s="6">
        <v>2.2000000000000002</v>
      </c>
      <c r="M48" s="6">
        <v>1</v>
      </c>
      <c r="N48" s="6">
        <v>0.03</v>
      </c>
      <c r="O48" s="6">
        <v>1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0</v>
      </c>
      <c r="V48" s="8">
        <v>0</v>
      </c>
      <c r="W48" s="8">
        <v>0</v>
      </c>
      <c r="X48" s="6" t="s">
        <v>44</v>
      </c>
      <c r="Y48" s="2">
        <f t="shared" si="1"/>
        <v>0</v>
      </c>
      <c r="Z48" s="2">
        <f t="shared" si="2"/>
        <v>0</v>
      </c>
      <c r="AA48" s="5"/>
      <c r="AB48" s="2">
        <f t="shared" si="27"/>
        <v>0</v>
      </c>
      <c r="AC48" s="2">
        <f t="shared" si="28"/>
        <v>0</v>
      </c>
      <c r="AD48" s="4">
        <f t="shared" si="29"/>
        <v>0</v>
      </c>
      <c r="AE48" s="4"/>
      <c r="AF48">
        <f t="shared" si="30"/>
        <v>0</v>
      </c>
      <c r="AT48" s="10"/>
    </row>
    <row r="49" spans="1:46" x14ac:dyDescent="0.35">
      <c r="A49">
        <f t="shared" si="0"/>
        <v>6</v>
      </c>
      <c r="B49" t="s">
        <v>53</v>
      </c>
      <c r="C49" t="s">
        <v>19</v>
      </c>
      <c r="D49" s="6">
        <v>25</v>
      </c>
      <c r="E49" s="6" t="s">
        <v>18</v>
      </c>
      <c r="F49" s="6">
        <v>500</v>
      </c>
      <c r="G49" s="7">
        <v>220000</v>
      </c>
      <c r="H49" s="6">
        <v>1576</v>
      </c>
      <c r="I49" s="6">
        <v>1870</v>
      </c>
      <c r="J49" s="6">
        <v>1</v>
      </c>
      <c r="K49" s="6">
        <v>0.2</v>
      </c>
      <c r="L49" s="6">
        <v>2.2000000000000002</v>
      </c>
      <c r="M49" s="6">
        <v>1</v>
      </c>
      <c r="N49" s="6">
        <v>0.03</v>
      </c>
      <c r="O49" s="6">
        <v>1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8">
        <v>0</v>
      </c>
      <c r="W49" s="8">
        <v>0</v>
      </c>
      <c r="X49" s="6" t="s">
        <v>44</v>
      </c>
      <c r="Y49" s="2">
        <f t="shared" si="1"/>
        <v>0</v>
      </c>
      <c r="Z49" s="2">
        <f t="shared" si="2"/>
        <v>0</v>
      </c>
      <c r="AA49" s="5"/>
      <c r="AB49" s="2">
        <f t="shared" si="27"/>
        <v>0</v>
      </c>
      <c r="AC49" s="2">
        <f t="shared" si="28"/>
        <v>0</v>
      </c>
      <c r="AD49" s="4">
        <f t="shared" si="29"/>
        <v>0</v>
      </c>
      <c r="AE49" s="4"/>
      <c r="AF49">
        <f t="shared" si="30"/>
        <v>0</v>
      </c>
      <c r="AT49" s="10"/>
    </row>
    <row r="50" spans="1:46" x14ac:dyDescent="0.35">
      <c r="A50">
        <f t="shared" si="0"/>
        <v>6</v>
      </c>
      <c r="B50" t="s">
        <v>53</v>
      </c>
      <c r="C50" t="s">
        <v>20</v>
      </c>
      <c r="D50" s="6">
        <v>25</v>
      </c>
      <c r="E50" s="6" t="s">
        <v>18</v>
      </c>
      <c r="F50" s="6">
        <v>500</v>
      </c>
      <c r="G50" s="7">
        <v>220000</v>
      </c>
      <c r="H50" s="6">
        <v>1576</v>
      </c>
      <c r="I50" s="6">
        <v>1870</v>
      </c>
      <c r="J50" s="6">
        <v>1</v>
      </c>
      <c r="K50" s="6">
        <v>0.2</v>
      </c>
      <c r="L50" s="6">
        <v>2.2000000000000002</v>
      </c>
      <c r="M50" s="6">
        <v>1</v>
      </c>
      <c r="N50" s="6">
        <v>0.03</v>
      </c>
      <c r="O50" s="6">
        <v>1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0</v>
      </c>
      <c r="V50" s="8">
        <v>0</v>
      </c>
      <c r="W50" s="8">
        <v>0</v>
      </c>
      <c r="X50" s="6" t="s">
        <v>44</v>
      </c>
      <c r="Y50" s="2">
        <f t="shared" si="1"/>
        <v>0</v>
      </c>
      <c r="Z50" s="2">
        <f t="shared" si="2"/>
        <v>0</v>
      </c>
      <c r="AA50" s="5"/>
      <c r="AB50" s="2">
        <f t="shared" si="27"/>
        <v>0</v>
      </c>
      <c r="AC50" s="2">
        <f t="shared" si="28"/>
        <v>0</v>
      </c>
      <c r="AD50" s="4">
        <f t="shared" si="29"/>
        <v>0</v>
      </c>
      <c r="AE50" s="4"/>
      <c r="AF50">
        <f t="shared" si="30"/>
        <v>0</v>
      </c>
      <c r="AT50" s="10"/>
    </row>
    <row r="51" spans="1:46" x14ac:dyDescent="0.35">
      <c r="A51">
        <f t="shared" si="0"/>
        <v>6</v>
      </c>
      <c r="B51" t="s">
        <v>53</v>
      </c>
      <c r="C51" t="s">
        <v>23</v>
      </c>
      <c r="D51" s="6">
        <v>25</v>
      </c>
      <c r="E51" s="6" t="s">
        <v>18</v>
      </c>
      <c r="F51" s="6">
        <v>500</v>
      </c>
      <c r="G51" s="7">
        <v>220000</v>
      </c>
      <c r="H51" s="6">
        <v>1576</v>
      </c>
      <c r="I51" s="6">
        <v>1870</v>
      </c>
      <c r="J51" s="6">
        <v>1</v>
      </c>
      <c r="K51" s="6">
        <v>0.2</v>
      </c>
      <c r="L51" s="6">
        <v>2.2000000000000002</v>
      </c>
      <c r="M51" s="6">
        <v>1</v>
      </c>
      <c r="N51" s="6">
        <v>0.03</v>
      </c>
      <c r="O51" s="6">
        <v>1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8">
        <v>0</v>
      </c>
      <c r="W51" s="8">
        <v>0</v>
      </c>
      <c r="X51" s="6" t="s">
        <v>44</v>
      </c>
      <c r="Y51" s="2">
        <f t="shared" si="1"/>
        <v>2.9050000000000002</v>
      </c>
      <c r="Z51" s="2">
        <f t="shared" si="2"/>
        <v>0.80500000000000005</v>
      </c>
      <c r="AA51" s="5"/>
      <c r="AB51" s="2">
        <f t="shared" si="27"/>
        <v>2.9050000000000002</v>
      </c>
      <c r="AC51" s="2">
        <f t="shared" si="28"/>
        <v>0.80500000000000005</v>
      </c>
      <c r="AD51" s="4">
        <f t="shared" si="29"/>
        <v>5.1292500000000008</v>
      </c>
      <c r="AE51" s="4"/>
      <c r="AF51">
        <f t="shared" si="30"/>
        <v>3.7100000000000004</v>
      </c>
      <c r="AT51" s="10"/>
    </row>
    <row r="52" spans="1:46" x14ac:dyDescent="0.35">
      <c r="A52">
        <f t="shared" si="0"/>
        <v>6</v>
      </c>
      <c r="B52" t="s">
        <v>53</v>
      </c>
      <c r="C52" t="s">
        <v>24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2.6</v>
      </c>
      <c r="M52">
        <v>1.3338E-3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 s="2">
        <v>83</v>
      </c>
      <c r="W52">
        <v>23</v>
      </c>
      <c r="X52" s="9">
        <v>-7.0000000000000007E-2</v>
      </c>
      <c r="Y52" s="2">
        <f t="shared" si="1"/>
        <v>77.19</v>
      </c>
      <c r="Z52" s="2">
        <f t="shared" si="2"/>
        <v>21.39</v>
      </c>
      <c r="AA52" s="5">
        <v>0.25</v>
      </c>
      <c r="AB52" s="2">
        <f t="shared" si="27"/>
        <v>57.892499999999998</v>
      </c>
      <c r="AC52" s="2">
        <f t="shared" si="28"/>
        <v>40.6875</v>
      </c>
      <c r="AD52" s="4">
        <f t="shared" si="29"/>
        <v>136.29150000000001</v>
      </c>
      <c r="AE52" s="4"/>
      <c r="AF52">
        <f t="shared" si="30"/>
        <v>98.58</v>
      </c>
      <c r="AT52" s="10"/>
    </row>
    <row r="53" spans="1:46" ht="13.5" customHeight="1" x14ac:dyDescent="0.35">
      <c r="A53">
        <f t="shared" si="0"/>
        <v>6</v>
      </c>
      <c r="B53" t="s">
        <v>53</v>
      </c>
      <c r="C53" t="s">
        <v>25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</v>
      </c>
      <c r="L53">
        <v>2.6</v>
      </c>
      <c r="M53">
        <v>3.3250000000000011E-4</v>
      </c>
      <c r="N53">
        <v>0.03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7</v>
      </c>
      <c r="V53" s="2">
        <v>35.299999999999997</v>
      </c>
      <c r="W53">
        <v>14.7</v>
      </c>
      <c r="X53" s="9" t="s">
        <v>44</v>
      </c>
      <c r="Y53" s="2">
        <f t="shared" si="1"/>
        <v>38.204999999999998</v>
      </c>
      <c r="Z53" s="2">
        <f t="shared" si="2"/>
        <v>15.504999999999999</v>
      </c>
      <c r="AA53" s="5">
        <v>0.5</v>
      </c>
      <c r="AB53" s="2">
        <f t="shared" si="27"/>
        <v>19.102499999999999</v>
      </c>
      <c r="AC53" s="2">
        <f t="shared" si="28"/>
        <v>34.607500000000002</v>
      </c>
      <c r="AD53" s="4">
        <f t="shared" si="29"/>
        <v>74.834249999999997</v>
      </c>
      <c r="AE53" s="4"/>
      <c r="AF53">
        <f t="shared" si="30"/>
        <v>53.71</v>
      </c>
      <c r="AT53" s="10"/>
    </row>
    <row r="54" spans="1:46" x14ac:dyDescent="0.35">
      <c r="A54">
        <f t="shared" si="0"/>
        <v>6</v>
      </c>
      <c r="B54" t="s">
        <v>53</v>
      </c>
      <c r="C54" t="s">
        <v>26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0.23</v>
      </c>
      <c r="L54">
        <v>2.6</v>
      </c>
      <c r="M54">
        <v>2.1029999999999998E-3</v>
      </c>
      <c r="N54">
        <v>0.06</v>
      </c>
      <c r="O54">
        <v>1</v>
      </c>
      <c r="P54">
        <v>1.275586206896552E-3</v>
      </c>
      <c r="Q54">
        <v>0.04</v>
      </c>
      <c r="R54">
        <v>1</v>
      </c>
      <c r="S54">
        <v>0</v>
      </c>
      <c r="T54">
        <v>0</v>
      </c>
      <c r="U54">
        <v>0</v>
      </c>
      <c r="V54" s="2">
        <v>111.5</v>
      </c>
      <c r="W54">
        <v>39</v>
      </c>
      <c r="X54" s="9">
        <v>0</v>
      </c>
      <c r="Y54" s="2">
        <f t="shared" si="1"/>
        <v>111.5</v>
      </c>
      <c r="Z54" s="2">
        <f t="shared" si="2"/>
        <v>39</v>
      </c>
      <c r="AA54" s="5">
        <v>0.5</v>
      </c>
      <c r="AB54" s="2">
        <f t="shared" si="27"/>
        <v>55.75</v>
      </c>
      <c r="AC54" s="2">
        <f t="shared" si="28"/>
        <v>94.75</v>
      </c>
      <c r="AD54" s="4">
        <f t="shared" si="29"/>
        <v>209.02500000000001</v>
      </c>
      <c r="AE54" s="4"/>
      <c r="AF54">
        <f t="shared" si="30"/>
        <v>150.5</v>
      </c>
      <c r="AT54" s="10"/>
    </row>
    <row r="55" spans="1:46" x14ac:dyDescent="0.35">
      <c r="A55">
        <f t="shared" si="0"/>
        <v>6</v>
      </c>
      <c r="B55" t="s">
        <v>53</v>
      </c>
      <c r="C55" t="s">
        <v>27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0.23</v>
      </c>
      <c r="L55">
        <v>2.6</v>
      </c>
      <c r="M55">
        <v>6.6799999999999997E-4</v>
      </c>
      <c r="N55">
        <v>3.5000000000000003E-2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10</v>
      </c>
      <c r="V55" s="2">
        <v>39.6</v>
      </c>
      <c r="W55">
        <v>17</v>
      </c>
      <c r="X55" s="9" t="s">
        <v>44</v>
      </c>
      <c r="Y55" s="2">
        <f t="shared" si="1"/>
        <v>71.912499999999994</v>
      </c>
      <c r="Z55" s="2">
        <f t="shared" si="2"/>
        <v>28.0825</v>
      </c>
      <c r="AA55" s="5">
        <v>0.5</v>
      </c>
      <c r="AB55" s="2">
        <f t="shared" ref="AB55:AB58" si="31">Y55*(1-AA55)</f>
        <v>35.956249999999997</v>
      </c>
      <c r="AC55" s="2">
        <f t="shared" ref="AC55:AC58" si="32">Y55*AA55 + Z55</f>
        <v>64.038749999999993</v>
      </c>
      <c r="AD55" s="4">
        <f t="shared" ref="AD55:AD58" si="33">1.35*Y55+1.5*Z55</f>
        <v>139.205625</v>
      </c>
      <c r="AE55" s="4"/>
      <c r="AF55">
        <f t="shared" ref="AF55:AF58" si="34">AB55+AC55</f>
        <v>99.99499999999999</v>
      </c>
      <c r="AT55" s="10"/>
    </row>
    <row r="56" spans="1:46" x14ac:dyDescent="0.35">
      <c r="A56">
        <f t="shared" si="0"/>
        <v>6</v>
      </c>
      <c r="B56" t="s">
        <v>53</v>
      </c>
      <c r="C56" t="s">
        <v>28</v>
      </c>
      <c r="D56">
        <v>25</v>
      </c>
      <c r="E56" t="s">
        <v>18</v>
      </c>
      <c r="F56">
        <v>500</v>
      </c>
      <c r="G56" s="1">
        <v>220000</v>
      </c>
      <c r="H56">
        <v>1576</v>
      </c>
      <c r="I56">
        <v>1870</v>
      </c>
      <c r="J56">
        <v>1</v>
      </c>
      <c r="K56">
        <v>0.23</v>
      </c>
      <c r="L56">
        <v>2.6</v>
      </c>
      <c r="M56">
        <v>0</v>
      </c>
      <c r="N56">
        <v>0.06</v>
      </c>
      <c r="O56">
        <v>1</v>
      </c>
      <c r="P56">
        <v>6.2800297931034485E-4</v>
      </c>
      <c r="Q56">
        <v>0.04</v>
      </c>
      <c r="R56">
        <v>1</v>
      </c>
      <c r="S56">
        <v>2.9099999999999999E-5</v>
      </c>
      <c r="T56">
        <v>0</v>
      </c>
      <c r="U56">
        <v>10</v>
      </c>
      <c r="V56" s="2">
        <v>117.5</v>
      </c>
      <c r="W56">
        <v>40.299999999999997</v>
      </c>
      <c r="X56" s="9">
        <v>-0.55000000000000004</v>
      </c>
      <c r="Y56" s="2">
        <f t="shared" si="1"/>
        <v>52.875</v>
      </c>
      <c r="Z56" s="2">
        <f t="shared" si="2"/>
        <v>18.134999999999998</v>
      </c>
      <c r="AA56" s="5">
        <v>0.5</v>
      </c>
      <c r="AB56" s="2">
        <f t="shared" si="31"/>
        <v>26.4375</v>
      </c>
      <c r="AC56" s="2">
        <f t="shared" si="32"/>
        <v>44.572499999999998</v>
      </c>
      <c r="AD56" s="4">
        <f t="shared" si="33"/>
        <v>98.583750000000009</v>
      </c>
      <c r="AE56" s="4"/>
      <c r="AF56">
        <f t="shared" si="34"/>
        <v>71.009999999999991</v>
      </c>
      <c r="AT56" s="10"/>
    </row>
    <row r="57" spans="1:46" x14ac:dyDescent="0.35">
      <c r="A57">
        <f t="shared" si="0"/>
        <v>6</v>
      </c>
      <c r="B57" t="s">
        <v>53</v>
      </c>
      <c r="C57" t="s">
        <v>29</v>
      </c>
      <c r="D57" s="6">
        <v>25</v>
      </c>
      <c r="E57" s="6" t="s">
        <v>18</v>
      </c>
      <c r="F57" s="6">
        <v>500</v>
      </c>
      <c r="G57" s="7">
        <v>220000</v>
      </c>
      <c r="H57" s="6">
        <v>1576</v>
      </c>
      <c r="I57" s="6">
        <v>1870</v>
      </c>
      <c r="J57" s="6">
        <v>1</v>
      </c>
      <c r="K57" s="6">
        <v>0.2</v>
      </c>
      <c r="L57" s="6">
        <v>2.2000000000000002</v>
      </c>
      <c r="M57" s="6">
        <v>1</v>
      </c>
      <c r="N57" s="6">
        <v>0.03</v>
      </c>
      <c r="O57" s="6">
        <v>1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  <c r="U57" s="6">
        <v>0</v>
      </c>
      <c r="V57" s="8">
        <v>0</v>
      </c>
      <c r="W57" s="8">
        <v>0</v>
      </c>
      <c r="X57" s="6" t="s">
        <v>44</v>
      </c>
      <c r="Y57" s="2">
        <f t="shared" si="1"/>
        <v>32.3125</v>
      </c>
      <c r="Z57" s="2">
        <f t="shared" si="2"/>
        <v>11.0825</v>
      </c>
      <c r="AA57" s="5">
        <v>0</v>
      </c>
      <c r="AB57" s="2">
        <f t="shared" si="31"/>
        <v>32.3125</v>
      </c>
      <c r="AC57" s="2">
        <f t="shared" si="32"/>
        <v>11.0825</v>
      </c>
      <c r="AD57" s="4">
        <f t="shared" si="33"/>
        <v>60.245625000000004</v>
      </c>
      <c r="AE57" s="4"/>
      <c r="AF57">
        <f t="shared" si="34"/>
        <v>43.394999999999996</v>
      </c>
      <c r="AT57" s="10"/>
    </row>
    <row r="58" spans="1:46" x14ac:dyDescent="0.35">
      <c r="A58">
        <f t="shared" si="0"/>
        <v>6</v>
      </c>
      <c r="B58" t="s">
        <v>53</v>
      </c>
      <c r="C58" t="s">
        <v>30</v>
      </c>
      <c r="D58" s="6">
        <v>25</v>
      </c>
      <c r="E58" s="6" t="s">
        <v>18</v>
      </c>
      <c r="F58" s="6">
        <v>500</v>
      </c>
      <c r="G58" s="7">
        <v>220000</v>
      </c>
      <c r="H58" s="6">
        <v>1576</v>
      </c>
      <c r="I58" s="6">
        <v>1870</v>
      </c>
      <c r="J58" s="6">
        <v>1</v>
      </c>
      <c r="K58" s="6">
        <v>0.2</v>
      </c>
      <c r="L58" s="6">
        <v>2.2000000000000002</v>
      </c>
      <c r="M58" s="6">
        <v>1</v>
      </c>
      <c r="N58" s="6">
        <v>0.03</v>
      </c>
      <c r="O58" s="6">
        <v>1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8">
        <v>0</v>
      </c>
      <c r="W58" s="8">
        <v>0</v>
      </c>
      <c r="X58" s="6" t="s">
        <v>44</v>
      </c>
      <c r="Y58" s="2">
        <f t="shared" si="1"/>
        <v>0</v>
      </c>
      <c r="Z58" s="2">
        <f t="shared" si="2"/>
        <v>0</v>
      </c>
      <c r="AA58" s="5">
        <v>0</v>
      </c>
      <c r="AB58" s="2">
        <f t="shared" si="31"/>
        <v>0</v>
      </c>
      <c r="AC58" s="2">
        <f t="shared" si="32"/>
        <v>0</v>
      </c>
      <c r="AD58" s="4">
        <f t="shared" si="33"/>
        <v>0</v>
      </c>
      <c r="AE58" s="4"/>
      <c r="AF58">
        <f t="shared" si="34"/>
        <v>0</v>
      </c>
      <c r="AT58" s="10"/>
    </row>
    <row r="59" spans="1:46" x14ac:dyDescent="0.35">
      <c r="A59">
        <f t="shared" si="0"/>
        <v>6</v>
      </c>
      <c r="B59" t="s">
        <v>53</v>
      </c>
      <c r="C59" t="s">
        <v>31</v>
      </c>
      <c r="D59" s="6">
        <v>25</v>
      </c>
      <c r="E59" s="6" t="s">
        <v>18</v>
      </c>
      <c r="F59" s="6">
        <v>500</v>
      </c>
      <c r="G59" s="7">
        <v>220000</v>
      </c>
      <c r="H59" s="6">
        <v>1576</v>
      </c>
      <c r="I59" s="6">
        <v>1870</v>
      </c>
      <c r="J59" s="6">
        <v>1</v>
      </c>
      <c r="K59" s="6">
        <v>0.2</v>
      </c>
      <c r="L59" s="6">
        <v>2.2000000000000002</v>
      </c>
      <c r="M59" s="6">
        <v>1</v>
      </c>
      <c r="N59" s="6">
        <v>0.03</v>
      </c>
      <c r="O59" s="6">
        <v>1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8">
        <v>0</v>
      </c>
      <c r="W59" s="8">
        <v>0</v>
      </c>
      <c r="X59" s="6" t="s">
        <v>44</v>
      </c>
      <c r="Y59" s="2">
        <f t="shared" si="1"/>
        <v>0</v>
      </c>
      <c r="Z59" s="2">
        <f t="shared" si="2"/>
        <v>0</v>
      </c>
      <c r="AA59" s="5">
        <v>0</v>
      </c>
      <c r="AB59" s="2">
        <f t="shared" ref="AB59:AB61" si="35">Y59*(1-AA59)</f>
        <v>0</v>
      </c>
      <c r="AC59" s="2">
        <f t="shared" ref="AC59:AC61" si="36">Y59*AA59 + Z59</f>
        <v>0</v>
      </c>
      <c r="AD59" s="4">
        <f t="shared" ref="AD59:AD61" si="37">1.35*Y59+1.5*Z59</f>
        <v>0</v>
      </c>
      <c r="AE59" s="4"/>
      <c r="AF59">
        <f t="shared" ref="AF59:AF61" si="38">AB59+AC59</f>
        <v>0</v>
      </c>
      <c r="AT59" s="10"/>
    </row>
    <row r="60" spans="1:46" x14ac:dyDescent="0.35">
      <c r="A60">
        <f t="shared" si="0"/>
        <v>6</v>
      </c>
      <c r="B60" t="s">
        <v>53</v>
      </c>
      <c r="C60" t="s">
        <v>46</v>
      </c>
      <c r="D60" s="6">
        <v>25</v>
      </c>
      <c r="E60" s="6" t="s">
        <v>18</v>
      </c>
      <c r="F60" s="6">
        <v>500</v>
      </c>
      <c r="G60" s="7">
        <v>220000</v>
      </c>
      <c r="H60" s="6">
        <v>1576</v>
      </c>
      <c r="I60" s="6">
        <v>1870</v>
      </c>
      <c r="J60" s="6">
        <v>1</v>
      </c>
      <c r="K60" s="6">
        <v>0.2</v>
      </c>
      <c r="L60" s="6">
        <v>2.2000000000000002</v>
      </c>
      <c r="M60" s="6">
        <v>1</v>
      </c>
      <c r="N60" s="6">
        <v>0.03</v>
      </c>
      <c r="O60" s="6">
        <v>1</v>
      </c>
      <c r="P60" s="6">
        <v>0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8">
        <v>0</v>
      </c>
      <c r="W60" s="8">
        <v>0</v>
      </c>
      <c r="X60" s="6" t="s">
        <v>44</v>
      </c>
      <c r="Y60" s="2">
        <f t="shared" si="1"/>
        <v>0</v>
      </c>
      <c r="Z60" s="2">
        <f t="shared" si="2"/>
        <v>0</v>
      </c>
      <c r="AA60" s="5">
        <v>0</v>
      </c>
      <c r="AB60" s="2">
        <f t="shared" si="35"/>
        <v>0</v>
      </c>
      <c r="AC60" s="2">
        <f t="shared" si="36"/>
        <v>0</v>
      </c>
      <c r="AD60" s="4">
        <f t="shared" si="37"/>
        <v>0</v>
      </c>
      <c r="AE60" s="4"/>
      <c r="AF60">
        <f t="shared" si="38"/>
        <v>0</v>
      </c>
      <c r="AT60" s="10"/>
    </row>
    <row r="61" spans="1:46" x14ac:dyDescent="0.35">
      <c r="A61">
        <f t="shared" si="0"/>
        <v>7</v>
      </c>
      <c r="B61" t="s">
        <v>55</v>
      </c>
      <c r="D61" s="6">
        <v>25</v>
      </c>
      <c r="E61" s="6" t="s">
        <v>18</v>
      </c>
      <c r="F61" s="6">
        <v>500</v>
      </c>
      <c r="G61" s="7">
        <v>220000</v>
      </c>
      <c r="H61" s="6">
        <v>1576</v>
      </c>
      <c r="I61" s="6">
        <v>1870</v>
      </c>
      <c r="J61" s="6">
        <v>1</v>
      </c>
      <c r="K61" s="6">
        <v>0.2</v>
      </c>
      <c r="L61" s="6">
        <v>2.2000000000000002</v>
      </c>
      <c r="M61" s="6">
        <v>1</v>
      </c>
      <c r="N61" s="6">
        <v>0.03</v>
      </c>
      <c r="O61" s="6">
        <v>1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8">
        <v>0</v>
      </c>
      <c r="W61" s="8">
        <v>0</v>
      </c>
      <c r="X61" s="6" t="s">
        <v>44</v>
      </c>
      <c r="Y61" s="2">
        <f>IFERROR(IF(ISNUMBER(SEARCH("Appui",C61)),V61+X61*V61,IF(A60&lt;A61,V61-#REF!*#REF!/2,IF(A61&lt;#REF!,V61-(X60*V60)/2,V61-(#REF!*#REF!+X60*V60)/2))),0)</f>
        <v>0</v>
      </c>
      <c r="Z61" s="2">
        <f>IFERROR(IF(ISNUMBER(SEARCH("Appui",C61)),W61+X61*W61,IF(A60&lt;A61,W61-#REF!*#REF!/2,IF(A61&lt;#REF!,W61-(X60*W60)/2,W61-(#REF!*#REF!+X60*W60)/2))),0)</f>
        <v>0</v>
      </c>
      <c r="AA61" s="5">
        <v>0</v>
      </c>
      <c r="AB61" s="2">
        <f t="shared" si="35"/>
        <v>0</v>
      </c>
      <c r="AC61" s="2">
        <f t="shared" si="36"/>
        <v>0</v>
      </c>
      <c r="AD61" s="4">
        <f t="shared" si="37"/>
        <v>0</v>
      </c>
      <c r="AE61" s="4"/>
      <c r="AF61">
        <f t="shared" si="38"/>
        <v>0</v>
      </c>
      <c r="AT61" s="10"/>
    </row>
  </sheetData>
  <phoneticPr fontId="18" type="noConversion"/>
  <conditionalFormatting sqref="X2:X17 X19:X47 X51:X56 X60:X61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2025-11-19T11:34:21Z</dcterms:modified>
</cp:coreProperties>
</file>