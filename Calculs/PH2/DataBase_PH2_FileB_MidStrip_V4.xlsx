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845A4C92-3D4A-4E1F-BFDB-C529B5D95F34}" xr6:coauthVersionLast="47" xr6:coauthVersionMax="47" xr10:uidLastSave="{00000000-0000-0000-0000-000000000000}"/>
  <bookViews>
    <workbookView xWindow="-110" yWindow="-110" windowWidth="38620" windowHeight="211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2" i="1"/>
  <c r="Y2" i="1"/>
  <c r="X2" i="1"/>
  <c r="AB2" i="1" s="1"/>
  <c r="Y33" i="1"/>
  <c r="X29" i="1"/>
  <c r="X25" i="1"/>
  <c r="Y24" i="1"/>
  <c r="X19" i="1"/>
  <c r="X20" i="1"/>
  <c r="Y20" i="1"/>
  <c r="X21" i="1"/>
  <c r="Y21" i="1"/>
  <c r="X22" i="1"/>
  <c r="Y22" i="1"/>
  <c r="X23" i="1"/>
  <c r="Y23" i="1"/>
  <c r="X24" i="1"/>
  <c r="X26" i="1"/>
  <c r="Y26" i="1"/>
  <c r="X27" i="1"/>
  <c r="Y27" i="1"/>
  <c r="X28" i="1"/>
  <c r="Y28" i="1"/>
  <c r="X30" i="1"/>
  <c r="Y30" i="1"/>
  <c r="X31" i="1"/>
  <c r="Y31" i="1"/>
  <c r="AB31" i="1" s="1"/>
  <c r="X32" i="1"/>
  <c r="Y32" i="1"/>
  <c r="X33" i="1"/>
  <c r="AB27" i="1" l="1"/>
  <c r="AB26" i="1"/>
  <c r="AB28" i="1"/>
  <c r="AB30" i="1"/>
  <c r="AB21" i="1"/>
  <c r="AB20" i="1"/>
  <c r="Y29" i="1"/>
  <c r="AB29" i="1" s="1"/>
  <c r="Y19" i="1"/>
  <c r="AB19" i="1" s="1"/>
  <c r="AB32" i="1"/>
  <c r="AB24" i="1"/>
  <c r="AB22" i="1"/>
  <c r="Y25" i="1"/>
  <c r="AB25" i="1" s="1"/>
  <c r="AB33" i="1"/>
  <c r="AB23" i="1"/>
  <c r="X3" i="1"/>
  <c r="Y3" i="1"/>
  <c r="X4" i="1"/>
  <c r="Y4" i="1"/>
  <c r="X5" i="1"/>
  <c r="Y5" i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AB12" i="1" s="1"/>
  <c r="X13" i="1"/>
  <c r="Y13" i="1"/>
  <c r="X14" i="1"/>
  <c r="Y14" i="1"/>
  <c r="AB14" i="1" s="1"/>
  <c r="X15" i="1"/>
  <c r="Y15" i="1"/>
  <c r="X16" i="1"/>
  <c r="Y16" i="1"/>
  <c r="X17" i="1"/>
  <c r="Y17" i="1"/>
  <c r="X18" i="1"/>
  <c r="Y18" i="1"/>
  <c r="AB4" i="1" l="1"/>
  <c r="AB18" i="1"/>
  <c r="AB11" i="1"/>
  <c r="AB7" i="1"/>
  <c r="AB15" i="1"/>
  <c r="AB13" i="1"/>
  <c r="AB8" i="1"/>
  <c r="AB9" i="1"/>
  <c r="AB16" i="1"/>
  <c r="AB10" i="1"/>
  <c r="AB3" i="1"/>
  <c r="AB17" i="1"/>
  <c r="AB6" i="1"/>
  <c r="AB5" i="1"/>
</calcChain>
</file>

<file path=xl/sharedStrings.xml><?xml version="1.0" encoding="utf-8"?>
<sst xmlns="http://schemas.openxmlformats.org/spreadsheetml/2006/main" count="124" uniqueCount="42">
  <si>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</si>
  <si>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</si>
  <si>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</si>
  <si>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</si>
  <si>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</si>
  <si>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</si>
  <si>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</si>
  <si>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</si>
  <si>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</si>
  <si>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</si>
  <si>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</si>
  <si>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</si>
  <si>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</si>
  <si>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</si>
  <si>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</si>
  <si>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</si>
  <si>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</si>
  <si>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</si>
  <si>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</si>
  <si>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</si>
  <si>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</si>
  <si>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</si>
  <si>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</si>
  <si>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</si>
  <si>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</si>
  <si>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</si>
  <si>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</si>
  <si>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</si>
  <si>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</si>
  <si>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</si>
  <si>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</si>
  <si>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</si>
  <si>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</si>
  <si>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</si>
  <si>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</si>
  <si>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</si>
  <si>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</si>
  <si>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</si>
  <si>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B' - 1</t>
  </si>
  <si>
    <t>File B' - 2</t>
  </si>
  <si>
    <t>File B' - 3</t>
  </si>
  <si>
    <t>File B' 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</si>
</sst>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  <xf numFmtId="2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42"/>
  <sheetViews>
    <sheetView tabSelected="1" zoomScale="55" zoomScaleNormal="55" workbookViewId="0">
      <pane xSplit="2" topLeftCell="C1" activePane="topRight" state="frozen"/>
      <selection pane="topRight" activeCell="AE30" sqref="AE30:AF38"/>
    </sheetView>
  </sheetViews>
  <sheetFormatPr baseColWidth="10" defaultRowHeight="14.5" x14ac:dyDescent="0.35"/>
  <sheetData>
    <row r="1" spans="1:39" x14ac:dyDescent="0.35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35</v>
      </c>
      <c r="V1" t="s">
        <v>36</v>
      </c>
      <c r="W1" t="s">
        <v>37</v>
      </c>
      <c r="X1" t="s">
        <v>32</v>
      </c>
      <c r="Y1" t="s">
        <v>34</v>
      </c>
      <c r="Z1" t="s">
        <v>30</v>
      </c>
      <c r="AA1" t="s">
        <v>33</v>
      </c>
      <c r="AB1" t="s">
        <v>31</v>
      </c>
    </row>
    <row r="2" spans="1:39" x14ac:dyDescent="0.35">
      <c r="A2" t="s">
        <v>38</v>
      </c>
      <c r="B2" t="s">
        <v>19</v>
      </c>
      <c r="C2">
        <v>25</v>
      </c>
      <c r="D2" t="s">
        <v>18</v>
      </c>
      <c r="E2">
        <v>500</v>
      </c>
      <c r="F2" s="1">
        <v>170000</v>
      </c>
      <c r="G2">
        <v>1300</v>
      </c>
      <c r="H2">
        <v>1445</v>
      </c>
      <c r="I2">
        <v>1</v>
      </c>
      <c r="J2">
        <v>0.215</v>
      </c>
      <c r="K2">
        <v>4</v>
      </c>
      <c r="L2">
        <v>1.5400000000000001E-3</v>
      </c>
      <c r="M2">
        <v>0.04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26</v>
      </c>
      <c r="V2">
        <v>10</v>
      </c>
      <c r="W2" s="3">
        <v>0</v>
      </c>
      <c r="X2" s="2">
        <f>U2*(1-W2)</f>
        <v>26</v>
      </c>
      <c r="Y2" s="2">
        <f>U2*W2 + V2</f>
        <v>10</v>
      </c>
      <c r="Z2" s="6">
        <f>1.35*U2+1.5*V2</f>
        <v>50.1</v>
      </c>
      <c r="AA2" s="4"/>
      <c r="AB2" s="2">
        <f>X2+Y2</f>
        <v>36</v>
      </c>
      <c r="AL2" s="2"/>
      <c r="AM2" s="2"/>
    </row>
    <row r="3" spans="1:39" x14ac:dyDescent="0.35">
      <c r="A3" t="s">
        <v>38</v>
      </c>
      <c r="B3" t="s">
        <v>20</v>
      </c>
      <c r="C3">
        <v>25</v>
      </c>
      <c r="D3" t="s">
        <v>18</v>
      </c>
      <c r="E3">
        <v>500</v>
      </c>
      <c r="F3" s="1">
        <v>170000</v>
      </c>
      <c r="G3">
        <v>1300</v>
      </c>
      <c r="H3">
        <v>1445</v>
      </c>
      <c r="I3">
        <v>1</v>
      </c>
      <c r="J3">
        <v>0.215</v>
      </c>
      <c r="K3">
        <v>4</v>
      </c>
      <c r="L3">
        <v>1E-4</v>
      </c>
      <c r="M3">
        <v>5.5E-2</v>
      </c>
      <c r="N3">
        <v>1</v>
      </c>
      <c r="O3">
        <v>0</v>
      </c>
      <c r="P3">
        <v>0</v>
      </c>
      <c r="Q3">
        <v>1</v>
      </c>
      <c r="R3">
        <v>2.9099999999999999E-5</v>
      </c>
      <c r="S3">
        <v>0</v>
      </c>
      <c r="T3">
        <v>12</v>
      </c>
      <c r="U3">
        <v>25</v>
      </c>
      <c r="V3">
        <v>11</v>
      </c>
      <c r="W3" s="3">
        <v>0</v>
      </c>
      <c r="X3" s="2">
        <f t="shared" ref="X3:X18" si="0">U3*(1-W3)</f>
        <v>25</v>
      </c>
      <c r="Y3" s="2">
        <f t="shared" ref="Y3:Y18" si="1">U3*W3 + V3</f>
        <v>11</v>
      </c>
      <c r="Z3" s="6">
        <f t="shared" ref="Z3:Z33" si="2">1.35*U3+1.5*V3</f>
        <v>50.25</v>
      </c>
      <c r="AA3" s="4"/>
      <c r="AB3">
        <f t="shared" ref="AB3:AB18" si="3">X3+Y3</f>
        <v>36</v>
      </c>
      <c r="AL3" s="2"/>
      <c r="AM3" s="2"/>
    </row>
    <row r="4" spans="1:39" x14ac:dyDescent="0.35">
      <c r="A4" t="s">
        <v>38</v>
      </c>
      <c r="B4" t="s">
        <v>23</v>
      </c>
      <c r="C4">
        <v>25</v>
      </c>
      <c r="D4" t="s">
        <v>18</v>
      </c>
      <c r="E4">
        <v>500</v>
      </c>
      <c r="F4" s="1">
        <v>170000</v>
      </c>
      <c r="G4">
        <v>1300</v>
      </c>
      <c r="H4">
        <v>1445</v>
      </c>
      <c r="I4">
        <v>1</v>
      </c>
      <c r="J4">
        <v>0.215</v>
      </c>
      <c r="K4">
        <v>4</v>
      </c>
      <c r="L4">
        <v>5.1200000000000009E-4</v>
      </c>
      <c r="M4">
        <v>0.04</v>
      </c>
      <c r="N4">
        <v>1</v>
      </c>
      <c r="O4">
        <v>0</v>
      </c>
      <c r="P4">
        <v>0</v>
      </c>
      <c r="Q4">
        <v>1</v>
      </c>
      <c r="R4">
        <v>2.9099999999999999E-5</v>
      </c>
      <c r="S4">
        <v>0</v>
      </c>
      <c r="T4">
        <v>7</v>
      </c>
      <c r="U4">
        <v>33</v>
      </c>
      <c r="V4">
        <v>22</v>
      </c>
      <c r="W4" s="3">
        <v>0</v>
      </c>
      <c r="X4" s="2">
        <f t="shared" si="0"/>
        <v>33</v>
      </c>
      <c r="Y4" s="2">
        <f t="shared" si="1"/>
        <v>22</v>
      </c>
      <c r="Z4" s="6">
        <f t="shared" si="2"/>
        <v>77.550000000000011</v>
      </c>
      <c r="AA4" s="4"/>
      <c r="AB4">
        <f t="shared" si="3"/>
        <v>55</v>
      </c>
      <c r="AL4" s="2"/>
      <c r="AM4" s="2"/>
    </row>
    <row r="5" spans="1:39" x14ac:dyDescent="0.35">
      <c r="A5" t="s">
        <v>38</v>
      </c>
      <c r="B5" t="s">
        <v>24</v>
      </c>
      <c r="C5">
        <v>25</v>
      </c>
      <c r="D5" t="s">
        <v>18</v>
      </c>
      <c r="E5">
        <v>500</v>
      </c>
      <c r="F5" s="1">
        <v>170000</v>
      </c>
      <c r="G5">
        <v>1300</v>
      </c>
      <c r="H5">
        <v>1445</v>
      </c>
      <c r="I5">
        <v>1</v>
      </c>
      <c r="J5">
        <v>0.215</v>
      </c>
      <c r="K5">
        <v>4</v>
      </c>
      <c r="L5">
        <v>1E-4</v>
      </c>
      <c r="M5">
        <v>5.5E-2</v>
      </c>
      <c r="N5">
        <v>1</v>
      </c>
      <c r="O5">
        <v>0</v>
      </c>
      <c r="P5">
        <v>0</v>
      </c>
      <c r="Q5">
        <v>1</v>
      </c>
      <c r="R5">
        <v>2.9099999999999999E-5</v>
      </c>
      <c r="S5">
        <v>0</v>
      </c>
      <c r="T5">
        <v>12</v>
      </c>
      <c r="U5">
        <v>25</v>
      </c>
      <c r="V5">
        <v>15</v>
      </c>
      <c r="W5" s="3">
        <v>0</v>
      </c>
      <c r="X5" s="2">
        <f t="shared" si="0"/>
        <v>25</v>
      </c>
      <c r="Y5" s="2">
        <f t="shared" si="1"/>
        <v>15</v>
      </c>
      <c r="Z5" s="6">
        <f t="shared" si="2"/>
        <v>56.25</v>
      </c>
      <c r="AA5" s="4"/>
      <c r="AB5">
        <f t="shared" si="3"/>
        <v>40</v>
      </c>
      <c r="AL5" s="2"/>
      <c r="AM5" s="2"/>
    </row>
    <row r="6" spans="1:39" x14ac:dyDescent="0.35">
      <c r="A6" t="s">
        <v>38</v>
      </c>
      <c r="B6" t="s">
        <v>25</v>
      </c>
      <c r="C6">
        <v>25</v>
      </c>
      <c r="D6" t="s">
        <v>18</v>
      </c>
      <c r="E6">
        <v>500</v>
      </c>
      <c r="F6" s="1">
        <v>170000</v>
      </c>
      <c r="G6">
        <v>1300</v>
      </c>
      <c r="H6">
        <v>1445</v>
      </c>
      <c r="I6">
        <v>1</v>
      </c>
      <c r="J6">
        <v>0.215</v>
      </c>
      <c r="K6">
        <v>4.4000000000000004</v>
      </c>
      <c r="L6">
        <v>1.6940000000000002E-3</v>
      </c>
      <c r="M6">
        <v>0.04</v>
      </c>
      <c r="N6">
        <v>1</v>
      </c>
      <c r="O6">
        <v>0</v>
      </c>
      <c r="P6">
        <v>0</v>
      </c>
      <c r="Q6">
        <v>1</v>
      </c>
      <c r="R6">
        <v>2.9099999999999999E-5</v>
      </c>
      <c r="S6">
        <v>0</v>
      </c>
      <c r="T6">
        <v>7</v>
      </c>
      <c r="U6">
        <v>55</v>
      </c>
      <c r="V6">
        <v>33</v>
      </c>
      <c r="W6" s="3">
        <v>0</v>
      </c>
      <c r="X6" s="2">
        <f t="shared" si="0"/>
        <v>55</v>
      </c>
      <c r="Y6" s="2">
        <f t="shared" si="1"/>
        <v>33</v>
      </c>
      <c r="Z6" s="6">
        <f t="shared" si="2"/>
        <v>123.75</v>
      </c>
      <c r="AA6" s="4"/>
      <c r="AB6">
        <f t="shared" si="3"/>
        <v>88</v>
      </c>
      <c r="AL6" s="2"/>
    </row>
    <row r="7" spans="1:39" x14ac:dyDescent="0.35">
      <c r="A7" t="s">
        <v>38</v>
      </c>
      <c r="B7" t="s">
        <v>26</v>
      </c>
      <c r="C7">
        <v>25</v>
      </c>
      <c r="D7" t="s">
        <v>18</v>
      </c>
      <c r="E7">
        <v>500</v>
      </c>
      <c r="F7" s="1">
        <v>170000</v>
      </c>
      <c r="G7">
        <v>1300</v>
      </c>
      <c r="H7">
        <v>1445</v>
      </c>
      <c r="I7">
        <v>1</v>
      </c>
      <c r="J7">
        <v>0.215</v>
      </c>
      <c r="K7">
        <v>4.4000000000000004</v>
      </c>
      <c r="L7">
        <v>1E-4</v>
      </c>
      <c r="M7">
        <v>7.2000000000000008E-2</v>
      </c>
      <c r="N7">
        <v>1</v>
      </c>
      <c r="O7">
        <v>0</v>
      </c>
      <c r="P7">
        <v>0</v>
      </c>
      <c r="Q7">
        <v>1</v>
      </c>
      <c r="R7">
        <v>2.9099999999999999E-5</v>
      </c>
      <c r="S7">
        <v>0</v>
      </c>
      <c r="T7">
        <v>12</v>
      </c>
      <c r="U7">
        <v>42</v>
      </c>
      <c r="V7">
        <v>16</v>
      </c>
      <c r="W7" s="3">
        <v>0</v>
      </c>
      <c r="X7" s="2">
        <f t="shared" si="0"/>
        <v>42</v>
      </c>
      <c r="Y7" s="2">
        <f t="shared" si="1"/>
        <v>16</v>
      </c>
      <c r="Z7" s="6">
        <f t="shared" si="2"/>
        <v>80.7</v>
      </c>
      <c r="AA7" s="4"/>
      <c r="AB7">
        <f t="shared" si="3"/>
        <v>58</v>
      </c>
      <c r="AL7" s="2"/>
      <c r="AM7" s="2"/>
    </row>
    <row r="8" spans="1:39" x14ac:dyDescent="0.35">
      <c r="A8" t="s">
        <v>38</v>
      </c>
      <c r="B8" t="s">
        <v>27</v>
      </c>
      <c r="C8">
        <v>25</v>
      </c>
      <c r="D8" t="s">
        <v>18</v>
      </c>
      <c r="E8">
        <v>500</v>
      </c>
      <c r="F8" s="1">
        <v>170000</v>
      </c>
      <c r="G8">
        <v>1300</v>
      </c>
      <c r="H8">
        <v>1445</v>
      </c>
      <c r="I8">
        <v>1</v>
      </c>
      <c r="J8">
        <v>0.215</v>
      </c>
      <c r="K8">
        <v>4.4000000000000004</v>
      </c>
      <c r="L8">
        <v>2.2572E-3</v>
      </c>
      <c r="M8">
        <v>0.04</v>
      </c>
      <c r="N8">
        <v>1</v>
      </c>
      <c r="O8">
        <v>0</v>
      </c>
      <c r="P8">
        <v>0</v>
      </c>
      <c r="Q8">
        <v>1</v>
      </c>
      <c r="R8">
        <v>2.9099999999999999E-5</v>
      </c>
      <c r="S8">
        <v>0</v>
      </c>
      <c r="T8">
        <v>7</v>
      </c>
      <c r="U8">
        <v>55</v>
      </c>
      <c r="V8">
        <v>35</v>
      </c>
      <c r="W8" s="3">
        <v>0</v>
      </c>
      <c r="X8" s="2">
        <f t="shared" si="0"/>
        <v>55</v>
      </c>
      <c r="Y8" s="2">
        <f t="shared" si="1"/>
        <v>35</v>
      </c>
      <c r="Z8" s="6">
        <f t="shared" si="2"/>
        <v>126.75</v>
      </c>
      <c r="AA8" s="4"/>
      <c r="AB8">
        <f t="shared" si="3"/>
        <v>90</v>
      </c>
      <c r="AL8" s="2"/>
    </row>
    <row r="9" spans="1:39" x14ac:dyDescent="0.35">
      <c r="A9" t="s">
        <v>38</v>
      </c>
      <c r="B9" t="s">
        <v>28</v>
      </c>
      <c r="C9">
        <v>25</v>
      </c>
      <c r="D9" t="s">
        <v>18</v>
      </c>
      <c r="E9">
        <v>500</v>
      </c>
      <c r="F9" s="1">
        <v>170000</v>
      </c>
      <c r="G9">
        <v>1300</v>
      </c>
      <c r="H9">
        <v>1445</v>
      </c>
      <c r="I9">
        <v>1</v>
      </c>
      <c r="J9">
        <v>0.215</v>
      </c>
      <c r="K9">
        <v>5</v>
      </c>
      <c r="L9">
        <v>1E-4</v>
      </c>
      <c r="M9">
        <v>5.5E-2</v>
      </c>
      <c r="N9">
        <v>1</v>
      </c>
      <c r="O9">
        <v>0</v>
      </c>
      <c r="P9">
        <v>0</v>
      </c>
      <c r="Q9">
        <v>1</v>
      </c>
      <c r="R9">
        <v>2.9099999999999999E-5</v>
      </c>
      <c r="S9">
        <v>0</v>
      </c>
      <c r="T9">
        <v>12</v>
      </c>
      <c r="U9">
        <v>30</v>
      </c>
      <c r="V9">
        <v>16</v>
      </c>
      <c r="W9" s="3">
        <v>0</v>
      </c>
      <c r="X9" s="2">
        <f t="shared" si="0"/>
        <v>30</v>
      </c>
      <c r="Y9" s="2">
        <f t="shared" si="1"/>
        <v>16</v>
      </c>
      <c r="Z9" s="6">
        <f t="shared" si="2"/>
        <v>64.5</v>
      </c>
      <c r="AA9" s="4"/>
      <c r="AB9">
        <f t="shared" si="3"/>
        <v>46</v>
      </c>
      <c r="AL9" s="2"/>
      <c r="AM9" s="2"/>
    </row>
    <row r="10" spans="1:39" x14ac:dyDescent="0.35">
      <c r="A10" t="s">
        <v>38</v>
      </c>
      <c r="B10" t="s">
        <v>29</v>
      </c>
      <c r="C10">
        <v>25</v>
      </c>
      <c r="D10" t="s">
        <v>18</v>
      </c>
      <c r="E10">
        <v>500</v>
      </c>
      <c r="F10" s="1">
        <v>170000</v>
      </c>
      <c r="G10">
        <v>1300</v>
      </c>
      <c r="H10">
        <v>1445</v>
      </c>
      <c r="I10">
        <v>1</v>
      </c>
      <c r="J10">
        <v>0.215</v>
      </c>
      <c r="K10">
        <v>5</v>
      </c>
      <c r="L10">
        <v>2.565E-3</v>
      </c>
      <c r="M10">
        <v>0.04</v>
      </c>
      <c r="N10">
        <v>1</v>
      </c>
      <c r="O10">
        <v>0</v>
      </c>
      <c r="P10">
        <v>0</v>
      </c>
      <c r="Q10">
        <v>1</v>
      </c>
      <c r="R10">
        <v>2.9099999999999999E-5</v>
      </c>
      <c r="S10">
        <v>0</v>
      </c>
      <c r="T10">
        <v>7</v>
      </c>
      <c r="U10">
        <v>60</v>
      </c>
      <c r="V10">
        <v>33</v>
      </c>
      <c r="W10" s="3">
        <v>0</v>
      </c>
      <c r="X10" s="2">
        <f t="shared" si="0"/>
        <v>60</v>
      </c>
      <c r="Y10" s="2">
        <f t="shared" si="1"/>
        <v>33</v>
      </c>
      <c r="Z10" s="6">
        <f t="shared" si="2"/>
        <v>130.5</v>
      </c>
      <c r="AA10" s="4"/>
      <c r="AB10">
        <f t="shared" si="3"/>
        <v>93</v>
      </c>
      <c r="AL10" s="2"/>
      <c r="AM10" s="2"/>
    </row>
    <row r="11" spans="1:39" x14ac:dyDescent="0.35">
      <c r="A11" t="s">
        <v>39</v>
      </c>
      <c r="B11" t="s">
        <v>19</v>
      </c>
      <c r="C11">
        <v>25</v>
      </c>
      <c r="D11" t="s">
        <v>18</v>
      </c>
      <c r="E11">
        <v>500</v>
      </c>
      <c r="F11" s="1">
        <v>170000</v>
      </c>
      <c r="G11">
        <v>1300</v>
      </c>
      <c r="H11">
        <v>1445</v>
      </c>
      <c r="I11">
        <v>1</v>
      </c>
      <c r="J11">
        <v>0.215</v>
      </c>
      <c r="K11">
        <v>2</v>
      </c>
      <c r="L11">
        <v>7.7000000000000007E-4</v>
      </c>
      <c r="M11">
        <v>0.04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11</v>
      </c>
      <c r="V11">
        <v>11</v>
      </c>
      <c r="W11" s="3">
        <v>0</v>
      </c>
      <c r="X11" s="2">
        <f t="shared" si="0"/>
        <v>11</v>
      </c>
      <c r="Y11" s="2">
        <f t="shared" si="1"/>
        <v>11</v>
      </c>
      <c r="Z11" s="6">
        <f t="shared" si="2"/>
        <v>31.35</v>
      </c>
      <c r="AA11" s="4"/>
      <c r="AB11">
        <f t="shared" si="3"/>
        <v>22</v>
      </c>
      <c r="AL11" s="2"/>
      <c r="AM11" s="2"/>
    </row>
    <row r="12" spans="1:39" x14ac:dyDescent="0.35">
      <c r="A12" t="s">
        <v>39</v>
      </c>
      <c r="B12" t="s">
        <v>20</v>
      </c>
      <c r="C12">
        <v>25</v>
      </c>
      <c r="D12" t="s">
        <v>18</v>
      </c>
      <c r="E12">
        <v>500</v>
      </c>
      <c r="F12" s="1">
        <v>170000</v>
      </c>
      <c r="G12">
        <v>1300</v>
      </c>
      <c r="H12">
        <v>1445</v>
      </c>
      <c r="I12">
        <v>1</v>
      </c>
      <c r="J12">
        <v>0.215</v>
      </c>
      <c r="K12">
        <v>2</v>
      </c>
      <c r="L12">
        <v>7.7000000000000007E-4</v>
      </c>
      <c r="M12">
        <v>5.5E-2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33</v>
      </c>
      <c r="V12">
        <v>15</v>
      </c>
      <c r="W12" s="3">
        <v>0</v>
      </c>
      <c r="X12" s="2">
        <f t="shared" si="0"/>
        <v>33</v>
      </c>
      <c r="Y12" s="2">
        <f t="shared" si="1"/>
        <v>15</v>
      </c>
      <c r="Z12" s="6">
        <f t="shared" si="2"/>
        <v>67.050000000000011</v>
      </c>
      <c r="AA12" s="4"/>
      <c r="AB12">
        <f t="shared" si="3"/>
        <v>48</v>
      </c>
      <c r="AL12" s="2"/>
      <c r="AM12" s="2"/>
    </row>
    <row r="13" spans="1:39" x14ac:dyDescent="0.35">
      <c r="A13" t="s">
        <v>39</v>
      </c>
      <c r="B13" t="s">
        <v>23</v>
      </c>
      <c r="C13">
        <v>25</v>
      </c>
      <c r="D13" t="s">
        <v>18</v>
      </c>
      <c r="E13">
        <v>500</v>
      </c>
      <c r="F13" s="1">
        <v>170000</v>
      </c>
      <c r="G13">
        <v>1300</v>
      </c>
      <c r="H13">
        <v>1445</v>
      </c>
      <c r="I13">
        <v>1</v>
      </c>
      <c r="J13">
        <v>0.215</v>
      </c>
      <c r="K13">
        <v>2</v>
      </c>
      <c r="L13">
        <v>5.1400000000000003E-4</v>
      </c>
      <c r="M13">
        <v>0.04</v>
      </c>
      <c r="N13">
        <v>1</v>
      </c>
      <c r="O13">
        <v>0</v>
      </c>
      <c r="P13">
        <v>0</v>
      </c>
      <c r="Q13">
        <v>1</v>
      </c>
      <c r="R13">
        <v>2.9099999999999999E-5</v>
      </c>
      <c r="S13">
        <v>0</v>
      </c>
      <c r="T13">
        <v>7</v>
      </c>
      <c r="U13">
        <v>28</v>
      </c>
      <c r="V13">
        <v>15</v>
      </c>
      <c r="W13" s="3">
        <v>0</v>
      </c>
      <c r="X13" s="2">
        <f t="shared" si="0"/>
        <v>28</v>
      </c>
      <c r="Y13" s="2">
        <f t="shared" si="1"/>
        <v>15</v>
      </c>
      <c r="Z13" s="6">
        <f t="shared" si="2"/>
        <v>60.300000000000004</v>
      </c>
      <c r="AA13" s="4"/>
      <c r="AB13">
        <f t="shared" si="3"/>
        <v>43</v>
      </c>
      <c r="AL13" s="2"/>
      <c r="AM13" s="2"/>
    </row>
    <row r="14" spans="1:39" x14ac:dyDescent="0.35">
      <c r="A14" t="s">
        <v>39</v>
      </c>
      <c r="B14" t="s">
        <v>24</v>
      </c>
      <c r="C14">
        <v>25</v>
      </c>
      <c r="D14" t="s">
        <v>18</v>
      </c>
      <c r="E14">
        <v>500</v>
      </c>
      <c r="F14" s="1">
        <v>170000</v>
      </c>
      <c r="G14">
        <v>1300</v>
      </c>
      <c r="H14">
        <v>1445</v>
      </c>
      <c r="I14">
        <v>1</v>
      </c>
      <c r="J14">
        <v>0.215</v>
      </c>
      <c r="K14">
        <v>2</v>
      </c>
      <c r="L14">
        <v>1.01E-3</v>
      </c>
      <c r="M14">
        <v>5.5E-2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42</v>
      </c>
      <c r="V14">
        <v>18</v>
      </c>
      <c r="W14" s="3">
        <v>0</v>
      </c>
      <c r="X14" s="2">
        <f t="shared" si="0"/>
        <v>42</v>
      </c>
      <c r="Y14" s="2">
        <f t="shared" si="1"/>
        <v>18</v>
      </c>
      <c r="Z14" s="6">
        <f t="shared" si="2"/>
        <v>83.7</v>
      </c>
      <c r="AA14" s="4"/>
      <c r="AB14">
        <f t="shared" si="3"/>
        <v>60</v>
      </c>
      <c r="AL14" s="2"/>
    </row>
    <row r="15" spans="1:39" x14ac:dyDescent="0.35">
      <c r="A15" t="s">
        <v>39</v>
      </c>
      <c r="B15" t="s">
        <v>25</v>
      </c>
      <c r="C15">
        <v>25</v>
      </c>
      <c r="D15" t="s">
        <v>18</v>
      </c>
      <c r="E15">
        <v>500</v>
      </c>
      <c r="F15" s="1">
        <v>170000</v>
      </c>
      <c r="G15">
        <v>1300</v>
      </c>
      <c r="H15">
        <v>1445</v>
      </c>
      <c r="I15">
        <v>1</v>
      </c>
      <c r="J15">
        <v>0.215</v>
      </c>
      <c r="K15">
        <v>2</v>
      </c>
      <c r="L15">
        <v>7.7000000000000007E-4</v>
      </c>
      <c r="M15">
        <v>0.04</v>
      </c>
      <c r="N15">
        <v>1</v>
      </c>
      <c r="O15">
        <v>0</v>
      </c>
      <c r="P15">
        <v>0</v>
      </c>
      <c r="Q15">
        <v>1</v>
      </c>
      <c r="R15">
        <v>2.9099999999999999E-5</v>
      </c>
      <c r="S15">
        <v>0</v>
      </c>
      <c r="T15">
        <v>7</v>
      </c>
      <c r="U15">
        <v>23</v>
      </c>
      <c r="V15">
        <v>14</v>
      </c>
      <c r="W15" s="3">
        <v>0</v>
      </c>
      <c r="X15" s="2">
        <f t="shared" si="0"/>
        <v>23</v>
      </c>
      <c r="Y15" s="2">
        <f t="shared" si="1"/>
        <v>14</v>
      </c>
      <c r="Z15" s="6">
        <f t="shared" si="2"/>
        <v>52.05</v>
      </c>
      <c r="AA15" s="4"/>
      <c r="AB15">
        <f t="shared" si="3"/>
        <v>37</v>
      </c>
      <c r="AL15" s="2"/>
    </row>
    <row r="16" spans="1:39" x14ac:dyDescent="0.35">
      <c r="A16" t="s">
        <v>39</v>
      </c>
      <c r="B16" t="s">
        <v>26</v>
      </c>
      <c r="C16">
        <v>25</v>
      </c>
      <c r="D16" t="s">
        <v>18</v>
      </c>
      <c r="E16">
        <v>500</v>
      </c>
      <c r="F16" s="1">
        <v>170000</v>
      </c>
      <c r="G16">
        <v>1300</v>
      </c>
      <c r="H16">
        <v>1445</v>
      </c>
      <c r="I16">
        <v>1</v>
      </c>
      <c r="J16">
        <v>0.215</v>
      </c>
      <c r="K16">
        <v>2</v>
      </c>
      <c r="L16">
        <v>1.01E-3</v>
      </c>
      <c r="M16">
        <v>5.5E-2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32</v>
      </c>
      <c r="V16">
        <v>14</v>
      </c>
      <c r="W16" s="3">
        <v>0</v>
      </c>
      <c r="X16" s="2">
        <f t="shared" si="0"/>
        <v>32</v>
      </c>
      <c r="Y16" s="2">
        <f t="shared" si="1"/>
        <v>14</v>
      </c>
      <c r="Z16" s="6">
        <f t="shared" si="2"/>
        <v>64.2</v>
      </c>
      <c r="AA16" s="4"/>
      <c r="AB16">
        <f t="shared" si="3"/>
        <v>46</v>
      </c>
      <c r="AL16" s="2"/>
    </row>
    <row r="17" spans="1:38" x14ac:dyDescent="0.35">
      <c r="A17" t="s">
        <v>39</v>
      </c>
      <c r="B17" t="s">
        <v>27</v>
      </c>
      <c r="C17">
        <v>25</v>
      </c>
      <c r="D17" t="s">
        <v>18</v>
      </c>
      <c r="E17">
        <v>500</v>
      </c>
      <c r="F17" s="1">
        <v>170000</v>
      </c>
      <c r="G17">
        <v>1300</v>
      </c>
      <c r="H17">
        <v>1445</v>
      </c>
      <c r="I17">
        <v>1</v>
      </c>
      <c r="J17">
        <v>0.215</v>
      </c>
      <c r="K17">
        <v>1.5</v>
      </c>
      <c r="L17">
        <v>5.7750000000000011E-4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2.9099999999999999E-5</v>
      </c>
      <c r="S17">
        <v>0</v>
      </c>
      <c r="T17">
        <v>2</v>
      </c>
      <c r="U17">
        <v>15</v>
      </c>
      <c r="V17">
        <v>9</v>
      </c>
      <c r="W17" s="3">
        <v>0</v>
      </c>
      <c r="X17" s="2">
        <f t="shared" si="0"/>
        <v>15</v>
      </c>
      <c r="Y17" s="2">
        <f t="shared" si="1"/>
        <v>9</v>
      </c>
      <c r="Z17" s="6">
        <f t="shared" si="2"/>
        <v>33.75</v>
      </c>
      <c r="AA17" s="4"/>
      <c r="AB17">
        <f t="shared" si="3"/>
        <v>24</v>
      </c>
      <c r="AL17" s="2"/>
    </row>
    <row r="18" spans="1:38" x14ac:dyDescent="0.35">
      <c r="A18" t="s">
        <v>40</v>
      </c>
      <c r="B18" t="s">
        <v>19</v>
      </c>
      <c r="C18">
        <v>25</v>
      </c>
      <c r="D18" t="s">
        <v>18</v>
      </c>
      <c r="E18">
        <v>500</v>
      </c>
      <c r="F18" s="1">
        <v>170000</v>
      </c>
      <c r="G18">
        <v>1300</v>
      </c>
      <c r="H18">
        <v>1445</v>
      </c>
      <c r="I18">
        <v>1</v>
      </c>
      <c r="J18">
        <v>0.215</v>
      </c>
      <c r="K18">
        <v>2.5</v>
      </c>
      <c r="L18">
        <v>6.4250000000000006E-4</v>
      </c>
      <c r="M18">
        <v>0.04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8</v>
      </c>
      <c r="V18">
        <v>5</v>
      </c>
      <c r="W18" s="3">
        <v>0</v>
      </c>
      <c r="X18" s="2">
        <f t="shared" si="0"/>
        <v>8</v>
      </c>
      <c r="Y18" s="2">
        <f t="shared" si="1"/>
        <v>5</v>
      </c>
      <c r="Z18" s="6">
        <f t="shared" si="2"/>
        <v>18.3</v>
      </c>
      <c r="AA18" s="4"/>
      <c r="AB18">
        <f t="shared" si="3"/>
        <v>13</v>
      </c>
      <c r="AL18" s="2"/>
    </row>
    <row r="19" spans="1:38" x14ac:dyDescent="0.35">
      <c r="A19" t="s">
        <v>40</v>
      </c>
      <c r="B19" t="s">
        <v>20</v>
      </c>
      <c r="C19">
        <v>25</v>
      </c>
      <c r="D19" t="s">
        <v>18</v>
      </c>
      <c r="E19">
        <v>500</v>
      </c>
      <c r="F19">
        <v>170000</v>
      </c>
      <c r="G19">
        <v>1300</v>
      </c>
      <c r="H19">
        <v>1445</v>
      </c>
      <c r="I19">
        <v>1</v>
      </c>
      <c r="J19">
        <v>0.215</v>
      </c>
      <c r="K19">
        <v>2</v>
      </c>
      <c r="L19">
        <v>1.0060000000000002E-3</v>
      </c>
      <c r="M19">
        <v>5.5E-2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27</v>
      </c>
      <c r="V19">
        <v>12.4</v>
      </c>
      <c r="W19" s="5">
        <v>0</v>
      </c>
      <c r="X19" s="2">
        <f t="shared" ref="X19:X33" si="4">U19*(1-W19)</f>
        <v>27</v>
      </c>
      <c r="Y19" s="2">
        <f t="shared" ref="Y19:Y33" si="5">U19*W19 + V19</f>
        <v>12.4</v>
      </c>
      <c r="Z19" s="6">
        <f t="shared" si="2"/>
        <v>55.050000000000004</v>
      </c>
      <c r="AA19" s="4"/>
      <c r="AB19">
        <f t="shared" ref="AB19:AB33" si="6">X19+Y19</f>
        <v>39.4</v>
      </c>
    </row>
    <row r="20" spans="1:38" x14ac:dyDescent="0.35">
      <c r="A20" t="s">
        <v>40</v>
      </c>
      <c r="B20" t="s">
        <v>23</v>
      </c>
      <c r="C20">
        <v>25</v>
      </c>
      <c r="D20" t="s">
        <v>18</v>
      </c>
      <c r="E20">
        <v>500</v>
      </c>
      <c r="F20">
        <v>170000</v>
      </c>
      <c r="G20">
        <v>1300</v>
      </c>
      <c r="H20">
        <v>1445</v>
      </c>
      <c r="I20">
        <v>1</v>
      </c>
      <c r="J20">
        <v>0.215</v>
      </c>
      <c r="K20">
        <v>2</v>
      </c>
      <c r="L20">
        <v>5.1400000000000003E-4</v>
      </c>
      <c r="M20">
        <v>0.04</v>
      </c>
      <c r="N20">
        <v>1</v>
      </c>
      <c r="O20">
        <v>0</v>
      </c>
      <c r="P20">
        <v>0</v>
      </c>
      <c r="Q20">
        <v>1</v>
      </c>
      <c r="R20">
        <v>2.9099999999999999E-5</v>
      </c>
      <c r="S20">
        <v>0</v>
      </c>
      <c r="T20">
        <v>7</v>
      </c>
      <c r="U20">
        <v>28</v>
      </c>
      <c r="V20">
        <v>15</v>
      </c>
      <c r="W20" s="5">
        <v>0</v>
      </c>
      <c r="X20" s="2">
        <f t="shared" si="4"/>
        <v>28</v>
      </c>
      <c r="Y20" s="2">
        <f t="shared" si="5"/>
        <v>15</v>
      </c>
      <c r="Z20" s="6">
        <f t="shared" si="2"/>
        <v>60.300000000000004</v>
      </c>
      <c r="AA20" s="4"/>
      <c r="AB20">
        <f t="shared" si="6"/>
        <v>43</v>
      </c>
    </row>
    <row r="21" spans="1:38" x14ac:dyDescent="0.35">
      <c r="A21" t="s">
        <v>40</v>
      </c>
      <c r="B21" t="s">
        <v>24</v>
      </c>
      <c r="C21">
        <v>25</v>
      </c>
      <c r="D21" t="s">
        <v>18</v>
      </c>
      <c r="E21">
        <v>500</v>
      </c>
      <c r="F21">
        <v>170000</v>
      </c>
      <c r="G21">
        <v>1300</v>
      </c>
      <c r="H21">
        <v>1445</v>
      </c>
      <c r="I21">
        <v>1</v>
      </c>
      <c r="J21">
        <v>0.215</v>
      </c>
      <c r="K21">
        <v>2</v>
      </c>
      <c r="L21">
        <v>1.0060000000000002E-3</v>
      </c>
      <c r="M21">
        <v>5.5E-2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41</v>
      </c>
      <c r="V21">
        <v>16.7</v>
      </c>
      <c r="W21" s="5">
        <v>0</v>
      </c>
      <c r="X21" s="2">
        <f t="shared" si="4"/>
        <v>41</v>
      </c>
      <c r="Y21" s="2">
        <f t="shared" si="5"/>
        <v>16.7</v>
      </c>
      <c r="Z21" s="6">
        <f t="shared" si="2"/>
        <v>80.400000000000006</v>
      </c>
      <c r="AA21" s="4"/>
      <c r="AB21">
        <f t="shared" si="6"/>
        <v>57.7</v>
      </c>
    </row>
    <row r="22" spans="1:38" x14ac:dyDescent="0.35">
      <c r="A22" t="s">
        <v>40</v>
      </c>
      <c r="B22" t="s">
        <v>25</v>
      </c>
      <c r="C22">
        <v>25</v>
      </c>
      <c r="D22" t="s">
        <v>18</v>
      </c>
      <c r="E22">
        <v>500</v>
      </c>
      <c r="F22">
        <v>170000</v>
      </c>
      <c r="G22">
        <v>1300</v>
      </c>
      <c r="H22">
        <v>1445</v>
      </c>
      <c r="I22">
        <v>1</v>
      </c>
      <c r="J22">
        <v>0.215</v>
      </c>
      <c r="K22">
        <v>2</v>
      </c>
      <c r="L22">
        <v>7.7000000000000007E-4</v>
      </c>
      <c r="M22">
        <v>0.04</v>
      </c>
      <c r="N22">
        <v>1</v>
      </c>
      <c r="O22">
        <v>0</v>
      </c>
      <c r="P22">
        <v>0</v>
      </c>
      <c r="Q22">
        <v>1</v>
      </c>
      <c r="R22">
        <v>2.9099999999999999E-5</v>
      </c>
      <c r="S22">
        <v>0</v>
      </c>
      <c r="T22">
        <v>7</v>
      </c>
      <c r="U22">
        <v>26</v>
      </c>
      <c r="V22">
        <v>15</v>
      </c>
      <c r="W22" s="5">
        <v>0</v>
      </c>
      <c r="X22" s="2">
        <f t="shared" si="4"/>
        <v>26</v>
      </c>
      <c r="Y22" s="2">
        <f t="shared" si="5"/>
        <v>15</v>
      </c>
      <c r="Z22" s="6">
        <f t="shared" si="2"/>
        <v>57.6</v>
      </c>
      <c r="AA22" s="4"/>
      <c r="AB22">
        <f t="shared" si="6"/>
        <v>41</v>
      </c>
    </row>
    <row r="23" spans="1:38" x14ac:dyDescent="0.35">
      <c r="A23" t="s">
        <v>40</v>
      </c>
      <c r="B23" t="s">
        <v>26</v>
      </c>
      <c r="C23">
        <v>25</v>
      </c>
      <c r="D23" t="s">
        <v>18</v>
      </c>
      <c r="E23">
        <v>500</v>
      </c>
      <c r="F23">
        <v>170000</v>
      </c>
      <c r="G23">
        <v>1300</v>
      </c>
      <c r="H23">
        <v>1445</v>
      </c>
      <c r="I23">
        <v>1</v>
      </c>
      <c r="J23">
        <v>0.215</v>
      </c>
      <c r="K23">
        <v>2</v>
      </c>
      <c r="L23">
        <v>1.01E-3</v>
      </c>
      <c r="M23">
        <v>5.5E-2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>
        <v>30</v>
      </c>
      <c r="V23">
        <v>13.5</v>
      </c>
      <c r="W23" s="5">
        <v>0</v>
      </c>
      <c r="X23" s="2">
        <f t="shared" si="4"/>
        <v>30</v>
      </c>
      <c r="Y23" s="2">
        <f t="shared" si="5"/>
        <v>13.5</v>
      </c>
      <c r="Z23" s="6">
        <f t="shared" si="2"/>
        <v>60.75</v>
      </c>
      <c r="AA23" s="4"/>
      <c r="AB23">
        <f t="shared" si="6"/>
        <v>43.5</v>
      </c>
    </row>
    <row r="24" spans="1:38" x14ac:dyDescent="0.35">
      <c r="A24" t="s">
        <v>40</v>
      </c>
      <c r="B24" t="s">
        <v>27</v>
      </c>
      <c r="C24">
        <v>25</v>
      </c>
      <c r="D24" t="s">
        <v>18</v>
      </c>
      <c r="E24">
        <v>500</v>
      </c>
      <c r="F24">
        <v>170000</v>
      </c>
      <c r="G24">
        <v>1300</v>
      </c>
      <c r="H24">
        <v>1445</v>
      </c>
      <c r="I24">
        <v>1</v>
      </c>
      <c r="J24">
        <v>0.215</v>
      </c>
      <c r="K24">
        <v>2</v>
      </c>
      <c r="L24">
        <v>7.7000000000000007E-4</v>
      </c>
      <c r="M24">
        <v>0.04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15</v>
      </c>
      <c r="V24">
        <v>9</v>
      </c>
      <c r="W24" s="5">
        <v>0</v>
      </c>
      <c r="X24" s="2">
        <f t="shared" si="4"/>
        <v>15</v>
      </c>
      <c r="Y24" s="2">
        <f t="shared" si="5"/>
        <v>9</v>
      </c>
      <c r="Z24" s="6">
        <f t="shared" si="2"/>
        <v>33.75</v>
      </c>
      <c r="AA24" s="4"/>
      <c r="AB24">
        <f t="shared" si="6"/>
        <v>24</v>
      </c>
    </row>
    <row r="25" spans="1:38" x14ac:dyDescent="0.35">
      <c r="A25" t="s">
        <v>41</v>
      </c>
      <c r="B25" t="s">
        <v>19</v>
      </c>
      <c r="C25">
        <v>25</v>
      </c>
      <c r="D25" t="s">
        <v>18</v>
      </c>
      <c r="E25">
        <v>500</v>
      </c>
      <c r="F25">
        <v>170000</v>
      </c>
      <c r="G25">
        <v>1300</v>
      </c>
      <c r="H25">
        <v>1445</v>
      </c>
      <c r="I25">
        <v>1</v>
      </c>
      <c r="J25">
        <v>0.215</v>
      </c>
      <c r="K25">
        <v>3.5</v>
      </c>
      <c r="L25">
        <v>4.4800000000000005E-4</v>
      </c>
      <c r="M25">
        <v>0.04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13</v>
      </c>
      <c r="V25">
        <v>3</v>
      </c>
      <c r="W25" s="5">
        <v>0</v>
      </c>
      <c r="X25" s="2">
        <f t="shared" si="4"/>
        <v>13</v>
      </c>
      <c r="Y25" s="2">
        <f t="shared" si="5"/>
        <v>3</v>
      </c>
      <c r="Z25" s="6">
        <f t="shared" si="2"/>
        <v>22.05</v>
      </c>
      <c r="AA25" s="4"/>
      <c r="AB25">
        <f t="shared" si="6"/>
        <v>16</v>
      </c>
    </row>
    <row r="26" spans="1:38" x14ac:dyDescent="0.35">
      <c r="A26" t="s">
        <v>41</v>
      </c>
      <c r="B26" t="s">
        <v>20</v>
      </c>
      <c r="C26">
        <v>25</v>
      </c>
      <c r="D26" t="s">
        <v>18</v>
      </c>
      <c r="E26">
        <v>500</v>
      </c>
      <c r="F26">
        <v>170000</v>
      </c>
      <c r="G26">
        <v>1300</v>
      </c>
      <c r="H26">
        <v>1445</v>
      </c>
      <c r="I26">
        <v>1</v>
      </c>
      <c r="J26">
        <v>0.215</v>
      </c>
      <c r="K26">
        <v>4</v>
      </c>
      <c r="L26">
        <v>1E-4</v>
      </c>
      <c r="M26">
        <v>5.5E-2</v>
      </c>
      <c r="N26">
        <v>1</v>
      </c>
      <c r="O26">
        <v>0</v>
      </c>
      <c r="P26">
        <v>0</v>
      </c>
      <c r="Q26">
        <v>1</v>
      </c>
      <c r="R26">
        <v>2.9099999999999999E-5</v>
      </c>
      <c r="S26">
        <v>0</v>
      </c>
      <c r="T26">
        <v>12</v>
      </c>
      <c r="U26">
        <v>15</v>
      </c>
      <c r="V26">
        <v>0</v>
      </c>
      <c r="W26" s="5">
        <v>0</v>
      </c>
      <c r="X26" s="2">
        <f t="shared" si="4"/>
        <v>15</v>
      </c>
      <c r="Y26" s="2">
        <f t="shared" si="5"/>
        <v>0</v>
      </c>
      <c r="Z26" s="6">
        <f t="shared" si="2"/>
        <v>20.25</v>
      </c>
      <c r="AA26" s="4"/>
      <c r="AB26">
        <f t="shared" si="6"/>
        <v>15</v>
      </c>
    </row>
    <row r="27" spans="1:38" x14ac:dyDescent="0.35">
      <c r="A27" t="s">
        <v>41</v>
      </c>
      <c r="B27" t="s">
        <v>23</v>
      </c>
      <c r="C27">
        <v>25</v>
      </c>
      <c r="D27" t="s">
        <v>18</v>
      </c>
      <c r="E27">
        <v>500</v>
      </c>
      <c r="F27">
        <v>170000</v>
      </c>
      <c r="G27">
        <v>1300</v>
      </c>
      <c r="H27">
        <v>1445</v>
      </c>
      <c r="I27">
        <v>1</v>
      </c>
      <c r="J27">
        <v>0.215</v>
      </c>
      <c r="K27">
        <v>4</v>
      </c>
      <c r="L27">
        <v>2.6680000000000002E-3</v>
      </c>
      <c r="M27">
        <v>0.04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27</v>
      </c>
      <c r="V27">
        <v>15</v>
      </c>
      <c r="W27" s="5">
        <v>0</v>
      </c>
      <c r="X27" s="2">
        <f t="shared" si="4"/>
        <v>27</v>
      </c>
      <c r="Y27" s="2">
        <f t="shared" si="5"/>
        <v>15</v>
      </c>
      <c r="Z27" s="6">
        <f t="shared" si="2"/>
        <v>58.95</v>
      </c>
      <c r="AA27" s="4"/>
      <c r="AB27">
        <f t="shared" si="6"/>
        <v>42</v>
      </c>
    </row>
    <row r="28" spans="1:38" x14ac:dyDescent="0.35">
      <c r="A28" t="s">
        <v>41</v>
      </c>
      <c r="B28" t="s">
        <v>24</v>
      </c>
      <c r="C28">
        <v>25</v>
      </c>
      <c r="D28" t="s">
        <v>18</v>
      </c>
      <c r="E28">
        <v>500</v>
      </c>
      <c r="F28">
        <v>170000</v>
      </c>
      <c r="G28">
        <v>1300</v>
      </c>
      <c r="H28">
        <v>1445</v>
      </c>
      <c r="I28">
        <v>1</v>
      </c>
      <c r="J28">
        <v>0.215</v>
      </c>
      <c r="K28">
        <v>4</v>
      </c>
      <c r="L28">
        <v>2.0120000000000003E-3</v>
      </c>
      <c r="M28">
        <v>5.5E-2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29</v>
      </c>
      <c r="V28">
        <v>14</v>
      </c>
      <c r="W28" s="5">
        <v>0</v>
      </c>
      <c r="X28" s="2">
        <f t="shared" si="4"/>
        <v>29</v>
      </c>
      <c r="Y28" s="2">
        <f t="shared" si="5"/>
        <v>14</v>
      </c>
      <c r="Z28" s="6">
        <f t="shared" si="2"/>
        <v>60.150000000000006</v>
      </c>
      <c r="AA28" s="4"/>
      <c r="AB28">
        <f t="shared" si="6"/>
        <v>43</v>
      </c>
    </row>
    <row r="29" spans="1:38" x14ac:dyDescent="0.35">
      <c r="A29" t="s">
        <v>41</v>
      </c>
      <c r="B29" t="s">
        <v>25</v>
      </c>
      <c r="C29">
        <v>25</v>
      </c>
      <c r="D29" t="s">
        <v>18</v>
      </c>
      <c r="E29">
        <v>500</v>
      </c>
      <c r="F29">
        <v>170000</v>
      </c>
      <c r="G29">
        <v>1300</v>
      </c>
      <c r="H29">
        <v>1445</v>
      </c>
      <c r="I29">
        <v>1</v>
      </c>
      <c r="J29">
        <v>0.215</v>
      </c>
      <c r="K29">
        <v>4</v>
      </c>
      <c r="L29">
        <v>2.052E-3</v>
      </c>
      <c r="M29">
        <v>0.04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55</v>
      </c>
      <c r="V29">
        <v>29</v>
      </c>
      <c r="W29" s="5">
        <v>0</v>
      </c>
      <c r="X29" s="2">
        <f t="shared" si="4"/>
        <v>55</v>
      </c>
      <c r="Y29" s="2">
        <f t="shared" si="5"/>
        <v>29</v>
      </c>
      <c r="Z29" s="6">
        <f t="shared" si="2"/>
        <v>117.75</v>
      </c>
      <c r="AA29" s="4"/>
      <c r="AB29">
        <f t="shared" si="6"/>
        <v>84</v>
      </c>
    </row>
    <row r="30" spans="1:38" x14ac:dyDescent="0.35">
      <c r="A30" t="s">
        <v>41</v>
      </c>
      <c r="B30" t="s">
        <v>26</v>
      </c>
      <c r="C30">
        <v>25</v>
      </c>
      <c r="D30" t="s">
        <v>18</v>
      </c>
      <c r="E30">
        <v>500</v>
      </c>
      <c r="F30">
        <v>170000</v>
      </c>
      <c r="G30">
        <v>1300</v>
      </c>
      <c r="H30">
        <v>1445</v>
      </c>
      <c r="I30">
        <v>1</v>
      </c>
      <c r="J30">
        <v>0.215</v>
      </c>
      <c r="K30">
        <v>4</v>
      </c>
      <c r="L30">
        <v>1E-4</v>
      </c>
      <c r="M30">
        <v>5.5E-2</v>
      </c>
      <c r="N30">
        <v>1</v>
      </c>
      <c r="O30">
        <v>0</v>
      </c>
      <c r="P30">
        <v>0</v>
      </c>
      <c r="Q30">
        <v>1</v>
      </c>
      <c r="R30">
        <v>2.9099999999999999E-5</v>
      </c>
      <c r="S30">
        <v>0</v>
      </c>
      <c r="T30">
        <v>12</v>
      </c>
      <c r="U30">
        <v>35</v>
      </c>
      <c r="V30">
        <v>14</v>
      </c>
      <c r="W30" s="5">
        <v>0</v>
      </c>
      <c r="X30" s="2">
        <f t="shared" si="4"/>
        <v>35</v>
      </c>
      <c r="Y30" s="2">
        <f t="shared" si="5"/>
        <v>14</v>
      </c>
      <c r="Z30" s="6">
        <f t="shared" si="2"/>
        <v>68.25</v>
      </c>
      <c r="AA30" s="4"/>
      <c r="AB30">
        <f t="shared" si="6"/>
        <v>49</v>
      </c>
    </row>
    <row r="31" spans="1:38" x14ac:dyDescent="0.35">
      <c r="A31" t="s">
        <v>41</v>
      </c>
      <c r="B31" t="s">
        <v>27</v>
      </c>
      <c r="C31">
        <v>25</v>
      </c>
      <c r="D31" t="s">
        <v>18</v>
      </c>
      <c r="E31">
        <v>500</v>
      </c>
      <c r="F31">
        <v>170000</v>
      </c>
      <c r="G31">
        <v>1300</v>
      </c>
      <c r="H31">
        <v>1445</v>
      </c>
      <c r="I31">
        <v>1</v>
      </c>
      <c r="J31">
        <v>0.215</v>
      </c>
      <c r="K31">
        <v>4</v>
      </c>
      <c r="L31">
        <v>2.052E-3</v>
      </c>
      <c r="M31">
        <v>0.04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38</v>
      </c>
      <c r="V31">
        <v>22</v>
      </c>
      <c r="W31" s="5">
        <v>0</v>
      </c>
      <c r="X31" s="2">
        <f t="shared" si="4"/>
        <v>38</v>
      </c>
      <c r="Y31" s="2">
        <f t="shared" si="5"/>
        <v>22</v>
      </c>
      <c r="Z31" s="6">
        <f t="shared" si="2"/>
        <v>84.300000000000011</v>
      </c>
      <c r="AA31" s="4"/>
      <c r="AB31">
        <f t="shared" si="6"/>
        <v>60</v>
      </c>
    </row>
    <row r="32" spans="1:38" x14ac:dyDescent="0.35">
      <c r="A32" t="s">
        <v>41</v>
      </c>
      <c r="B32" t="s">
        <v>28</v>
      </c>
      <c r="C32">
        <v>25</v>
      </c>
      <c r="D32" t="s">
        <v>18</v>
      </c>
      <c r="E32">
        <v>500</v>
      </c>
      <c r="F32">
        <v>170000</v>
      </c>
      <c r="G32">
        <v>1300</v>
      </c>
      <c r="H32">
        <v>1445</v>
      </c>
      <c r="I32">
        <v>1</v>
      </c>
      <c r="J32">
        <v>0.215</v>
      </c>
      <c r="K32">
        <v>4</v>
      </c>
      <c r="L32">
        <v>6.7199999999999996E-4</v>
      </c>
      <c r="M32">
        <v>5.5E-2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18</v>
      </c>
      <c r="V32">
        <v>10</v>
      </c>
      <c r="W32" s="5">
        <v>0</v>
      </c>
      <c r="X32" s="2">
        <f t="shared" si="4"/>
        <v>18</v>
      </c>
      <c r="Y32" s="2">
        <f t="shared" si="5"/>
        <v>10</v>
      </c>
      <c r="Z32" s="6">
        <f t="shared" si="2"/>
        <v>39.299999999999997</v>
      </c>
      <c r="AA32" s="4"/>
      <c r="AB32">
        <f t="shared" si="6"/>
        <v>28</v>
      </c>
    </row>
    <row r="33" spans="1:28" x14ac:dyDescent="0.35">
      <c r="A33" t="s">
        <v>41</v>
      </c>
      <c r="B33" t="s">
        <v>29</v>
      </c>
      <c r="C33">
        <v>25</v>
      </c>
      <c r="D33" t="s">
        <v>18</v>
      </c>
      <c r="E33">
        <v>500</v>
      </c>
      <c r="F33">
        <v>170000</v>
      </c>
      <c r="G33">
        <v>1300</v>
      </c>
      <c r="H33">
        <v>1445</v>
      </c>
      <c r="I33">
        <v>1</v>
      </c>
      <c r="J33">
        <v>0.215</v>
      </c>
      <c r="K33">
        <v>4</v>
      </c>
      <c r="L33">
        <v>2.052E-3</v>
      </c>
      <c r="M33">
        <v>0.04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25</v>
      </c>
      <c r="V33">
        <v>14</v>
      </c>
      <c r="W33" s="5">
        <v>0</v>
      </c>
      <c r="X33" s="2">
        <f t="shared" si="4"/>
        <v>25</v>
      </c>
      <c r="Y33" s="2">
        <f t="shared" si="5"/>
        <v>14</v>
      </c>
      <c r="Z33" s="6">
        <f t="shared" si="2"/>
        <v>54.75</v>
      </c>
      <c r="AA33" s="4"/>
      <c r="AB33">
        <f t="shared" si="6"/>
        <v>39</v>
      </c>
    </row>
    <row r="34" spans="1:28" x14ac:dyDescent="0.35">
      <c r="W34" s="5"/>
      <c r="X34" s="2"/>
      <c r="Y34" s="2"/>
      <c r="Z34" s="4"/>
      <c r="AA34" s="4"/>
    </row>
    <row r="35" spans="1:28" x14ac:dyDescent="0.35">
      <c r="W35" s="5"/>
      <c r="X35" s="2"/>
      <c r="Y35" s="2"/>
      <c r="Z35" s="4"/>
      <c r="AA35" s="4"/>
    </row>
    <row r="36" spans="1:28" x14ac:dyDescent="0.35">
      <c r="W36" s="5"/>
      <c r="X36" s="2"/>
      <c r="Y36" s="2"/>
      <c r="Z36" s="4"/>
      <c r="AA36" s="4"/>
    </row>
    <row r="37" spans="1:28" x14ac:dyDescent="0.35">
      <c r="W37" s="5"/>
      <c r="X37" s="2"/>
      <c r="Y37" s="2"/>
      <c r="Z37" s="4"/>
      <c r="AA37" s="4"/>
    </row>
    <row r="38" spans="1:28" x14ac:dyDescent="0.35">
      <c r="W38" s="5"/>
      <c r="X38" s="2"/>
      <c r="Y38" s="2"/>
      <c r="Z38" s="4"/>
      <c r="AA38" s="4"/>
    </row>
    <row r="39" spans="1:28" x14ac:dyDescent="0.35">
      <c r="W39" s="5"/>
      <c r="X39" s="2"/>
      <c r="Y39" s="2"/>
      <c r="Z39" s="4"/>
      <c r="AA39" s="4"/>
    </row>
    <row r="40" spans="1:28" x14ac:dyDescent="0.35">
      <c r="W40" s="5"/>
      <c r="X40" s="2"/>
      <c r="Y40" s="2"/>
      <c r="Z40" s="4"/>
      <c r="AA40" s="4"/>
    </row>
    <row r="41" spans="1:28" x14ac:dyDescent="0.35">
      <c r="W41" s="5"/>
      <c r="X41" s="2"/>
      <c r="Y41" s="2"/>
      <c r="Z41" s="4"/>
      <c r="AA41" s="4"/>
    </row>
    <row r="42" spans="1:28" x14ac:dyDescent="0.35">
      <c r="W42" s="5"/>
      <c r="X42" s="2"/>
      <c r="Y42" s="2"/>
      <c r="Z42" s="4"/>
      <c r="AA42" s="4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2025-11-18T15:09:47Z</dcterms:modified>
</cp:coreProperties>
</file>