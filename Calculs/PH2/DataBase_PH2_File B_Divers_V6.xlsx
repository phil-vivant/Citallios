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FA47E562-93D1-4096-BC19-14B5E180F1EC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" i="1" l="1"/>
  <c r="Y28" i="1"/>
  <c r="D23" i="1"/>
  <c r="E23" i="1"/>
  <c r="F23" i="1"/>
  <c r="G23" i="1"/>
  <c r="H23" i="1"/>
  <c r="I23" i="1"/>
  <c r="J23" i="1"/>
  <c r="K23" i="1"/>
  <c r="L23" i="1"/>
  <c r="M23" i="1"/>
  <c r="N23" i="1"/>
  <c r="P23" i="1"/>
  <c r="P29" i="1" s="1"/>
  <c r="Q23" i="1"/>
  <c r="Q29" i="1" s="1"/>
  <c r="T23" i="1"/>
  <c r="T29" i="1" s="1"/>
  <c r="U23" i="1"/>
  <c r="V23" i="1"/>
  <c r="W23" i="1"/>
  <c r="Y23" i="1"/>
  <c r="Z23" i="1"/>
  <c r="AB23" i="1"/>
  <c r="AF23" i="1" s="1"/>
  <c r="AC23" i="1"/>
  <c r="AD23" i="1"/>
  <c r="D24" i="1"/>
  <c r="E24" i="1"/>
  <c r="F24" i="1"/>
  <c r="G24" i="1"/>
  <c r="H24" i="1"/>
  <c r="I24" i="1"/>
  <c r="J24" i="1"/>
  <c r="K24" i="1"/>
  <c r="L24" i="1"/>
  <c r="M24" i="1"/>
  <c r="N24" i="1"/>
  <c r="P24" i="1"/>
  <c r="Q24" i="1"/>
  <c r="T24" i="1"/>
  <c r="U24" i="1"/>
  <c r="V24" i="1"/>
  <c r="W24" i="1"/>
  <c r="Y24" i="1"/>
  <c r="Z24" i="1"/>
  <c r="AB24" i="1"/>
  <c r="AC24" i="1"/>
  <c r="AD24" i="1"/>
  <c r="AF24" i="1"/>
  <c r="D25" i="1"/>
  <c r="E25" i="1"/>
  <c r="F25" i="1"/>
  <c r="G25" i="1"/>
  <c r="H25" i="1"/>
  <c r="I25" i="1"/>
  <c r="J25" i="1"/>
  <c r="K25" i="1"/>
  <c r="L25" i="1"/>
  <c r="M25" i="1"/>
  <c r="N25" i="1"/>
  <c r="P25" i="1"/>
  <c r="Q25" i="1"/>
  <c r="T25" i="1"/>
  <c r="U25" i="1"/>
  <c r="V25" i="1"/>
  <c r="W25" i="1"/>
  <c r="Y25" i="1"/>
  <c r="Z25" i="1"/>
  <c r="AB25" i="1"/>
  <c r="AC25" i="1"/>
  <c r="AD25" i="1"/>
  <c r="AF25" i="1"/>
  <c r="D26" i="1"/>
  <c r="E26" i="1"/>
  <c r="F26" i="1"/>
  <c r="G26" i="1"/>
  <c r="H26" i="1"/>
  <c r="I26" i="1"/>
  <c r="J26" i="1"/>
  <c r="K26" i="1"/>
  <c r="L26" i="1"/>
  <c r="M26" i="1"/>
  <c r="N26" i="1"/>
  <c r="P26" i="1"/>
  <c r="Q26" i="1"/>
  <c r="T26" i="1"/>
  <c r="U26" i="1"/>
  <c r="V26" i="1"/>
  <c r="W26" i="1"/>
  <c r="Y26" i="1"/>
  <c r="Z26" i="1"/>
  <c r="AB26" i="1"/>
  <c r="AC26" i="1"/>
  <c r="AD26" i="1"/>
  <c r="AF26" i="1"/>
  <c r="D27" i="1"/>
  <c r="E27" i="1"/>
  <c r="F27" i="1"/>
  <c r="G27" i="1"/>
  <c r="H27" i="1"/>
  <c r="I27" i="1"/>
  <c r="J27" i="1"/>
  <c r="K27" i="1"/>
  <c r="L27" i="1"/>
  <c r="M27" i="1"/>
  <c r="N27" i="1"/>
  <c r="P27" i="1"/>
  <c r="Q27" i="1"/>
  <c r="T27" i="1"/>
  <c r="U27" i="1"/>
  <c r="V27" i="1"/>
  <c r="W27" i="1"/>
  <c r="Y27" i="1"/>
  <c r="Z27" i="1"/>
  <c r="AB27" i="1"/>
  <c r="AC27" i="1"/>
  <c r="AD27" i="1"/>
  <c r="AF27" i="1"/>
  <c r="D28" i="1"/>
  <c r="E28" i="1"/>
  <c r="F28" i="1"/>
  <c r="G28" i="1"/>
  <c r="H28" i="1"/>
  <c r="I28" i="1"/>
  <c r="J28" i="1"/>
  <c r="K28" i="1"/>
  <c r="L28" i="1"/>
  <c r="M28" i="1"/>
  <c r="N28" i="1"/>
  <c r="U28" i="1"/>
  <c r="V28" i="1"/>
  <c r="W28" i="1"/>
  <c r="Z28" i="1"/>
  <c r="AB28" i="1"/>
  <c r="AC28" i="1"/>
  <c r="AD28" i="1"/>
  <c r="AF28" i="1"/>
  <c r="D29" i="1"/>
  <c r="E29" i="1"/>
  <c r="F29" i="1"/>
  <c r="G29" i="1"/>
  <c r="H29" i="1"/>
  <c r="I29" i="1"/>
  <c r="J29" i="1"/>
  <c r="K29" i="1"/>
  <c r="L29" i="1"/>
  <c r="M29" i="1"/>
  <c r="N29" i="1"/>
  <c r="U29" i="1"/>
  <c r="V29" i="1"/>
  <c r="W29" i="1"/>
  <c r="Z29" i="1"/>
  <c r="AB29" i="1"/>
  <c r="AC29" i="1"/>
  <c r="AD29" i="1"/>
  <c r="AF29" i="1"/>
  <c r="AC22" i="1"/>
  <c r="AB22" i="1"/>
  <c r="Z22" i="1"/>
  <c r="Y22" i="1"/>
  <c r="AD22" i="1" s="1"/>
  <c r="W22" i="1"/>
  <c r="V22" i="1"/>
  <c r="U22" i="1"/>
  <c r="N22" i="1"/>
  <c r="M22" i="1"/>
  <c r="L22" i="1"/>
  <c r="K22" i="1"/>
  <c r="J22" i="1"/>
  <c r="I22" i="1"/>
  <c r="H22" i="1"/>
  <c r="G22" i="1"/>
  <c r="F22" i="1"/>
  <c r="E22" i="1"/>
  <c r="D22" i="1"/>
  <c r="Z30" i="1"/>
  <c r="Y30" i="1"/>
  <c r="AD30" i="1" s="1"/>
  <c r="T22" i="1"/>
  <c r="T28" i="1" s="1"/>
  <c r="Q22" i="1"/>
  <c r="Q28" i="1" s="1"/>
  <c r="P22" i="1"/>
  <c r="P28" i="1" s="1"/>
  <c r="Z20" i="1"/>
  <c r="Y20" i="1"/>
  <c r="AD20" i="1" s="1"/>
  <c r="A2" i="1"/>
  <c r="A3" i="1" s="1"/>
  <c r="AF22" i="1" l="1"/>
  <c r="AB30" i="1"/>
  <c r="AC30" i="1"/>
  <c r="AB20" i="1"/>
  <c r="AC20" i="1"/>
  <c r="A4" i="1"/>
  <c r="A5" i="1" s="1"/>
  <c r="A6" i="1" s="1"/>
  <c r="A7" i="1" s="1"/>
  <c r="A8" i="1" s="1"/>
  <c r="AF30" i="1" l="1"/>
  <c r="AF20" i="1"/>
  <c r="A9" i="1"/>
  <c r="A10" i="1" s="1"/>
  <c r="A11" i="1" l="1"/>
  <c r="A12" i="1" s="1"/>
  <c r="A13" i="1" l="1"/>
  <c r="A14" i="1" s="1"/>
  <c r="Y11" i="1"/>
  <c r="Z11" i="1"/>
  <c r="A15" i="1"/>
  <c r="A16" i="1" s="1"/>
  <c r="AD11" i="1"/>
  <c r="AB11" i="1"/>
  <c r="AC11" i="1"/>
  <c r="AF11" i="1" l="1"/>
  <c r="A17" i="1"/>
  <c r="A18" i="1" s="1"/>
  <c r="A19" i="1" l="1"/>
  <c r="A20" i="1" l="1"/>
  <c r="A21" i="1" s="1"/>
  <c r="A22" i="1" s="1"/>
  <c r="Y21" i="1" l="1"/>
  <c r="A23" i="1"/>
  <c r="A24" i="1" s="1"/>
  <c r="A25" i="1" s="1"/>
  <c r="A26" i="1" s="1"/>
  <c r="A27" i="1" s="1"/>
  <c r="A28" i="1" s="1"/>
  <c r="A29" i="1" s="1"/>
  <c r="A30" i="1" s="1"/>
  <c r="Z21" i="1"/>
  <c r="AD21" i="1" s="1"/>
  <c r="AC21" i="1"/>
  <c r="AB21" i="1"/>
  <c r="AF21" i="1" l="1"/>
</calcChain>
</file>

<file path=xl/sharedStrings.xml><?xml version="1.0" encoding="utf-8"?>
<sst xmlns="http://schemas.openxmlformats.org/spreadsheetml/2006/main" count="121" uniqueCount="48">
  <si>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</si>
  <si>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</si>
  <si>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</si>
  <si>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</si>
  <si>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</si>
  <si>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</si>
  <si>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</si>
  <si>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</si>
  <si>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</si>
  <si>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</si>
  <si>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</si>
  <si>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</si>
  <si>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</si>
  <si>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</si>
  <si>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</si>
  <si>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</si>
  <si>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</si>
  <si>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</si>
  <si>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</si>
  <si>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</t>
  </si>
  <si>
    <t>ID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</si>
  <si>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</si>
  <si>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</si>
  <si>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</si>
  <si>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</si>
  <si>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</si>
  <si>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</si>
  <si>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</si>
  <si>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</si>
  <si>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</si>
  <si>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</si>
  <si>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</si>
  <si>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</si>
  <si>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</si>
  <si>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</si>
  <si>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</si>
  <si>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</si>
  <si>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</si>
  <si>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</si>
  <si>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Appui 1</t>
  </si>
  <si>
    <t>Travée 2</t>
  </si>
  <si>
    <t>Appui 2</t>
  </si>
  <si>
    <t>Travée 3</t>
  </si>
  <si>
    <t>Appui 3</t>
  </si>
  <si>
    <t>Appui 6</t>
  </si>
  <si>
    <t>File B - 1</t>
  </si>
  <si>
    <t>File B' - 1</t>
  </si>
  <si>
    <t>File B-1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</si>
</sst>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9" fontId="0" fillId="35" borderId="0" xfId="0" applyNumberFormat="1" applyFill="1"/>
    <xf numFmtId="9" fontId="0" fillId="35" borderId="0" xfId="42" applyFon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155"/>
  <sheetViews>
    <sheetView tabSelected="1" zoomScale="70" zoomScaleNormal="70" workbookViewId="0">
      <pane xSplit="3" topLeftCell="D1" activePane="topRight" state="frozen"/>
      <selection pane="topRight" activeCell="O22" sqref="O22:O29"/>
    </sheetView>
  </sheetViews>
  <sheetFormatPr baseColWidth="10" defaultRowHeight="14.5" x14ac:dyDescent="0.35"/>
  <cols>
    <col min="1" max="1" width="9.453125" customWidth="1"/>
    <col min="2" max="2" width="13" customWidth="1"/>
    <col min="3" max="32" width="9.453125" customWidth="1"/>
    <col min="35" max="42" width="11.453125" customWidth="1"/>
    <col min="43" max="43" width="11.453125" collapsed="1"/>
  </cols>
  <sheetData>
    <row r="1" spans="1:46" x14ac:dyDescent="0.35">
      <c r="A1" t="s">
        <v>34</v>
      </c>
      <c r="B1" t="s">
        <v>19</v>
      </c>
      <c r="C1" t="s">
        <v>20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36</v>
      </c>
      <c r="W1" t="s">
        <v>37</v>
      </c>
      <c r="X1" t="s">
        <v>35</v>
      </c>
      <c r="Y1" t="s">
        <v>31</v>
      </c>
      <c r="Z1" t="s">
        <v>32</v>
      </c>
      <c r="AA1" t="s">
        <v>33</v>
      </c>
      <c r="AB1" t="s">
        <v>28</v>
      </c>
      <c r="AC1" t="s">
        <v>30</v>
      </c>
      <c r="AD1" t="s">
        <v>26</v>
      </c>
      <c r="AE1" t="s">
        <v>29</v>
      </c>
      <c r="AF1" t="s">
        <v>27</v>
      </c>
    </row>
    <row r="2" spans="1:46" x14ac:dyDescent="0.35">
      <c r="A2">
        <f>IFERROR(IF(B2=B1,A1,A1+1),1)</f>
        <v>1</v>
      </c>
      <c r="B2" t="s">
        <v>45</v>
      </c>
      <c r="C2" t="s">
        <v>41</v>
      </c>
      <c r="D2">
        <v>25</v>
      </c>
      <c r="E2" t="s">
        <v>18</v>
      </c>
      <c r="F2">
        <v>500</v>
      </c>
      <c r="G2" s="1">
        <v>220000</v>
      </c>
      <c r="H2">
        <v>1576</v>
      </c>
      <c r="I2">
        <v>1870</v>
      </c>
      <c r="J2">
        <v>1</v>
      </c>
      <c r="K2">
        <v>0.23</v>
      </c>
      <c r="L2">
        <v>2.6</v>
      </c>
      <c r="M2">
        <v>1.3286000000000001E-3</v>
      </c>
      <c r="N2">
        <v>0.06</v>
      </c>
      <c r="O2">
        <v>1</v>
      </c>
      <c r="P2">
        <v>0</v>
      </c>
      <c r="Q2">
        <v>0</v>
      </c>
      <c r="R2">
        <v>1</v>
      </c>
      <c r="S2">
        <v>2.9099999999999999E-5</v>
      </c>
      <c r="T2">
        <v>0</v>
      </c>
      <c r="U2">
        <v>10</v>
      </c>
      <c r="V2" s="2">
        <v>107.5</v>
      </c>
      <c r="W2">
        <v>34</v>
      </c>
      <c r="X2" s="9">
        <v>-0.15</v>
      </c>
      <c r="Y2" s="2">
        <v>91.375</v>
      </c>
      <c r="Z2" s="2">
        <v>28.9</v>
      </c>
      <c r="AA2" s="13">
        <v>0.25</v>
      </c>
      <c r="AB2" s="2">
        <v>68.53125</v>
      </c>
      <c r="AC2" s="2">
        <v>51.743749999999999</v>
      </c>
      <c r="AD2" s="4">
        <v>166.70625000000001</v>
      </c>
      <c r="AE2" s="4"/>
      <c r="AF2">
        <v>120.27500000000001</v>
      </c>
      <c r="AT2" s="10"/>
    </row>
    <row r="3" spans="1:46" x14ac:dyDescent="0.35">
      <c r="A3">
        <f t="shared" ref="A3:A30" si="0">IF(B3=B2,A2,A2+1)</f>
        <v>1</v>
      </c>
      <c r="B3" t="s">
        <v>45</v>
      </c>
      <c r="C3" t="s">
        <v>42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</v>
      </c>
      <c r="L3">
        <v>2.6</v>
      </c>
      <c r="M3">
        <v>3.3280000000000001E-4</v>
      </c>
      <c r="N3">
        <v>0.03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7</v>
      </c>
      <c r="V3" s="2">
        <v>35.4</v>
      </c>
      <c r="W3">
        <v>15.9</v>
      </c>
      <c r="X3" s="9" t="s">
        <v>38</v>
      </c>
      <c r="Y3" s="2">
        <v>44.552499999999995</v>
      </c>
      <c r="Z3" s="2">
        <v>18.87</v>
      </c>
      <c r="AA3" s="12">
        <v>0.5</v>
      </c>
      <c r="AB3" s="2">
        <v>22.276249999999997</v>
      </c>
      <c r="AC3" s="2">
        <v>41.146249999999995</v>
      </c>
      <c r="AD3" s="4">
        <v>88.450874999999996</v>
      </c>
      <c r="AE3" s="4"/>
      <c r="AF3">
        <v>63.422499999999992</v>
      </c>
      <c r="AT3" s="10"/>
    </row>
    <row r="4" spans="1:46" x14ac:dyDescent="0.35">
      <c r="A4">
        <f t="shared" si="0"/>
        <v>1</v>
      </c>
      <c r="B4" t="s">
        <v>45</v>
      </c>
      <c r="C4" t="s">
        <v>43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0.23</v>
      </c>
      <c r="L4">
        <v>2.6</v>
      </c>
      <c r="M4">
        <v>2.1032999999999998E-3</v>
      </c>
      <c r="N4">
        <v>0.06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5</v>
      </c>
      <c r="V4" s="2">
        <v>109</v>
      </c>
      <c r="W4">
        <v>42</v>
      </c>
      <c r="X4" s="9">
        <v>-0.02</v>
      </c>
      <c r="Y4" s="2">
        <v>106.82</v>
      </c>
      <c r="Z4" s="2">
        <v>41.16</v>
      </c>
      <c r="AA4" s="13">
        <v>0.5</v>
      </c>
      <c r="AB4" s="2">
        <v>53.41</v>
      </c>
      <c r="AC4" s="2">
        <v>94.57</v>
      </c>
      <c r="AD4" s="4">
        <v>205.947</v>
      </c>
      <c r="AE4" s="4"/>
      <c r="AF4">
        <v>147.97999999999999</v>
      </c>
      <c r="AT4" s="10"/>
    </row>
    <row r="5" spans="1:46" x14ac:dyDescent="0.35">
      <c r="A5">
        <f t="shared" si="0"/>
        <v>1</v>
      </c>
      <c r="B5" t="s">
        <v>45</v>
      </c>
      <c r="C5" t="s">
        <v>21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</v>
      </c>
      <c r="L5">
        <v>2.6</v>
      </c>
      <c r="M5">
        <v>1E-3</v>
      </c>
      <c r="N5">
        <v>0.05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5</v>
      </c>
      <c r="V5" s="2">
        <v>38.9</v>
      </c>
      <c r="W5">
        <v>18.2</v>
      </c>
      <c r="X5" s="9" t="s">
        <v>38</v>
      </c>
      <c r="Y5" s="2">
        <v>39.99</v>
      </c>
      <c r="Z5" s="2">
        <v>18.62</v>
      </c>
      <c r="AA5" s="13">
        <v>0.5</v>
      </c>
      <c r="AB5" s="2">
        <v>19.995000000000001</v>
      </c>
      <c r="AC5" s="2">
        <v>38.615000000000002</v>
      </c>
      <c r="AD5" s="4">
        <v>81.916500000000013</v>
      </c>
      <c r="AE5" s="4"/>
      <c r="AF5">
        <v>58.61</v>
      </c>
      <c r="AT5" s="10"/>
    </row>
    <row r="6" spans="1:46" x14ac:dyDescent="0.35">
      <c r="A6">
        <f t="shared" si="0"/>
        <v>1</v>
      </c>
      <c r="B6" t="s">
        <v>45</v>
      </c>
      <c r="C6" t="s">
        <v>22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0.23</v>
      </c>
      <c r="L6">
        <v>2.6</v>
      </c>
      <c r="M6">
        <v>2.0999999999999999E-3</v>
      </c>
      <c r="N6">
        <v>0.06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5</v>
      </c>
      <c r="V6" s="2">
        <v>117.5</v>
      </c>
      <c r="W6">
        <v>43.5</v>
      </c>
      <c r="X6" s="9">
        <v>0</v>
      </c>
      <c r="Y6" s="2">
        <v>117.5</v>
      </c>
      <c r="Z6" s="2">
        <v>43.5</v>
      </c>
      <c r="AA6" s="13">
        <v>0.5</v>
      </c>
      <c r="AB6" s="2">
        <v>58.75</v>
      </c>
      <c r="AC6" s="2">
        <v>102.25</v>
      </c>
      <c r="AD6" s="4">
        <v>223.875</v>
      </c>
      <c r="AE6" s="4"/>
      <c r="AF6">
        <v>161</v>
      </c>
      <c r="AT6" s="10"/>
    </row>
    <row r="7" spans="1:46" x14ac:dyDescent="0.35">
      <c r="A7">
        <f t="shared" si="0"/>
        <v>1</v>
      </c>
      <c r="B7" t="s">
        <v>45</v>
      </c>
      <c r="C7" t="s">
        <v>23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0.23</v>
      </c>
      <c r="L7">
        <v>2.6</v>
      </c>
      <c r="M7">
        <v>3.3E-4</v>
      </c>
      <c r="N7">
        <v>0.03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10</v>
      </c>
      <c r="V7" s="2">
        <v>38.5</v>
      </c>
      <c r="W7">
        <v>18.7</v>
      </c>
      <c r="X7" s="9" t="s">
        <v>38</v>
      </c>
      <c r="Y7" s="2">
        <v>38.5</v>
      </c>
      <c r="Z7" s="2">
        <v>18.7</v>
      </c>
      <c r="AA7" s="13">
        <v>0.5</v>
      </c>
      <c r="AB7" s="2">
        <v>19.25</v>
      </c>
      <c r="AC7" s="2">
        <v>37.950000000000003</v>
      </c>
      <c r="AD7" s="4">
        <v>80.025000000000006</v>
      </c>
      <c r="AE7" s="4"/>
      <c r="AF7">
        <v>57.2</v>
      </c>
      <c r="AT7" s="10"/>
    </row>
    <row r="8" spans="1:46" x14ac:dyDescent="0.35">
      <c r="A8">
        <f t="shared" si="0"/>
        <v>1</v>
      </c>
      <c r="B8" t="s">
        <v>45</v>
      </c>
      <c r="C8" t="s">
        <v>24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2.6</v>
      </c>
      <c r="M8">
        <v>2.0999999999999999E-3</v>
      </c>
      <c r="N8">
        <v>0.06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10</v>
      </c>
      <c r="V8" s="2">
        <v>122.5</v>
      </c>
      <c r="W8">
        <v>44.35</v>
      </c>
      <c r="X8" s="9">
        <v>0</v>
      </c>
      <c r="Y8" s="2">
        <v>122.5</v>
      </c>
      <c r="Z8" s="2">
        <v>44.35</v>
      </c>
      <c r="AA8" s="13">
        <v>0.5</v>
      </c>
      <c r="AB8" s="2">
        <v>61.25</v>
      </c>
      <c r="AC8" s="2">
        <v>105.6</v>
      </c>
      <c r="AD8" s="4">
        <v>231.9</v>
      </c>
      <c r="AE8" s="4"/>
      <c r="AF8">
        <v>166.85</v>
      </c>
      <c r="AT8" s="10"/>
    </row>
    <row r="9" spans="1:46" x14ac:dyDescent="0.35">
      <c r="A9">
        <f t="shared" si="0"/>
        <v>1</v>
      </c>
      <c r="B9" t="s">
        <v>45</v>
      </c>
      <c r="C9" t="s">
        <v>25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0.23</v>
      </c>
      <c r="L9">
        <v>2.6</v>
      </c>
      <c r="M9">
        <v>3.3E-4</v>
      </c>
      <c r="N9">
        <v>3.5000000000000003E-2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10</v>
      </c>
      <c r="V9" s="2">
        <v>39.5</v>
      </c>
      <c r="W9">
        <v>18.100000000000001</v>
      </c>
      <c r="X9" s="9" t="s">
        <v>38</v>
      </c>
      <c r="Y9" s="2">
        <v>39.5</v>
      </c>
      <c r="Z9" s="2">
        <v>18.100000000000001</v>
      </c>
      <c r="AA9" s="13">
        <v>0.5</v>
      </c>
      <c r="AB9" s="2">
        <v>19.75</v>
      </c>
      <c r="AC9" s="2">
        <v>37.85</v>
      </c>
      <c r="AD9" s="4">
        <v>80.475000000000009</v>
      </c>
      <c r="AE9" s="4"/>
      <c r="AF9">
        <v>57.6</v>
      </c>
      <c r="AT9" s="10"/>
    </row>
    <row r="10" spans="1:46" x14ac:dyDescent="0.35">
      <c r="A10">
        <f t="shared" si="0"/>
        <v>1</v>
      </c>
      <c r="B10" t="s">
        <v>45</v>
      </c>
      <c r="C10" t="s">
        <v>44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0.23</v>
      </c>
      <c r="L10">
        <v>2.6</v>
      </c>
      <c r="M10">
        <v>2.0999999999999999E-3</v>
      </c>
      <c r="N10">
        <v>0.06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5</v>
      </c>
      <c r="V10" s="2">
        <v>102.5</v>
      </c>
      <c r="W10">
        <v>41.5</v>
      </c>
      <c r="X10" s="9">
        <v>0</v>
      </c>
      <c r="Y10" s="2">
        <v>102.5</v>
      </c>
      <c r="Z10" s="2">
        <v>41.5</v>
      </c>
      <c r="AA10" s="12">
        <v>0.5</v>
      </c>
      <c r="AB10" s="2">
        <v>51.25</v>
      </c>
      <c r="AC10" s="2">
        <v>92.75</v>
      </c>
      <c r="AD10" s="4">
        <v>200.625</v>
      </c>
      <c r="AE10" s="4"/>
      <c r="AF10">
        <v>144</v>
      </c>
      <c r="AT10" s="10"/>
    </row>
    <row r="11" spans="1:46" x14ac:dyDescent="0.35">
      <c r="A11">
        <f t="shared" si="0"/>
        <v>1</v>
      </c>
      <c r="B11" t="s">
        <v>45</v>
      </c>
      <c r="D11" s="6">
        <v>25</v>
      </c>
      <c r="E11" s="6" t="s">
        <v>18</v>
      </c>
      <c r="F11" s="6">
        <v>500</v>
      </c>
      <c r="G11" s="7">
        <v>220000</v>
      </c>
      <c r="H11" s="6">
        <v>1576</v>
      </c>
      <c r="I11" s="6">
        <v>1870</v>
      </c>
      <c r="J11" s="6">
        <v>1</v>
      </c>
      <c r="K11" s="6">
        <v>0.2</v>
      </c>
      <c r="L11" s="6">
        <v>2.2000000000000002</v>
      </c>
      <c r="M11" s="6">
        <v>1.0000000000000001E-5</v>
      </c>
      <c r="N11" s="6">
        <v>0.03</v>
      </c>
      <c r="O11" s="6">
        <v>1</v>
      </c>
      <c r="P11" s="6">
        <v>0</v>
      </c>
      <c r="Q11" s="6">
        <v>0</v>
      </c>
      <c r="R11" s="6">
        <v>1</v>
      </c>
      <c r="S11" s="6">
        <v>0</v>
      </c>
      <c r="T11" s="6">
        <v>0</v>
      </c>
      <c r="U11" s="6">
        <v>0</v>
      </c>
      <c r="V11" s="8">
        <v>0</v>
      </c>
      <c r="W11" s="8">
        <v>0</v>
      </c>
      <c r="X11" s="6" t="s">
        <v>38</v>
      </c>
      <c r="Y11" s="2">
        <f t="shared" ref="Y11" si="1">IFERROR(IF(ISNUMBER(SEARCH("Appui",C11)),V11+X11*V11,IF(A10&lt;A11,V11-X12*V12/2,IF(A11&lt;A12,V11-(X10*V10)/2,V11-(X12*V12+X10*V10)/2))),0)</f>
        <v>0</v>
      </c>
      <c r="Z11" s="2">
        <f t="shared" ref="Z11" si="2">IFERROR(IF(ISNUMBER(SEARCH("Appui",C11)),W11+X11*W11,IF(A10&lt;A11,W11-X12*W12/2,IF(A11&lt;A12,W11-(X10*W10)/2,W11-(X12*W12+X10*W10)/2))),0)</f>
        <v>0</v>
      </c>
      <c r="AA11" s="3">
        <v>0</v>
      </c>
      <c r="AB11" s="2">
        <f t="shared" ref="AB11" si="3">Y11*(1-AA11)</f>
        <v>0</v>
      </c>
      <c r="AC11" s="2">
        <f t="shared" ref="AC11" si="4">Y11*AA11 + Z11</f>
        <v>0</v>
      </c>
      <c r="AD11" s="4">
        <f t="shared" ref="AD11" si="5">1.35*Y11+1.5*Z11</f>
        <v>0</v>
      </c>
      <c r="AE11" s="4"/>
      <c r="AF11">
        <f t="shared" ref="AF11" si="6">AB11+AC11</f>
        <v>0</v>
      </c>
      <c r="AT11" s="10"/>
    </row>
    <row r="12" spans="1:46" x14ac:dyDescent="0.35">
      <c r="A12">
        <f t="shared" si="0"/>
        <v>2</v>
      </c>
      <c r="B12" t="s">
        <v>46</v>
      </c>
      <c r="C12" t="s">
        <v>39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0.215</v>
      </c>
      <c r="L12">
        <v>4</v>
      </c>
      <c r="M12">
        <v>1E-4</v>
      </c>
      <c r="N12">
        <v>5.5E-2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 s="11">
        <v>10</v>
      </c>
      <c r="V12">
        <v>25</v>
      </c>
      <c r="W12">
        <v>11</v>
      </c>
      <c r="X12" s="9">
        <v>-0.8</v>
      </c>
      <c r="Y12" s="2">
        <v>5</v>
      </c>
      <c r="Z12" s="2">
        <v>2.1999999999999993</v>
      </c>
      <c r="AA12" s="3">
        <v>0</v>
      </c>
      <c r="AB12" s="2">
        <v>5</v>
      </c>
      <c r="AC12" s="2">
        <v>2.1999999999999993</v>
      </c>
      <c r="AD12" s="4">
        <v>10.049999999999999</v>
      </c>
      <c r="AE12" s="4"/>
      <c r="AF12">
        <v>7.1999999999999993</v>
      </c>
      <c r="AT12" s="10"/>
    </row>
    <row r="13" spans="1:46" x14ac:dyDescent="0.35">
      <c r="A13">
        <f t="shared" si="0"/>
        <v>2</v>
      </c>
      <c r="B13" t="s">
        <v>46</v>
      </c>
      <c r="C13" t="s">
        <v>40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0.215</v>
      </c>
      <c r="L13">
        <v>4</v>
      </c>
      <c r="M13">
        <v>5.1200000000000009E-4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 s="11">
        <v>6</v>
      </c>
      <c r="V13">
        <v>33</v>
      </c>
      <c r="W13">
        <v>22</v>
      </c>
      <c r="X13" s="9" t="s">
        <v>38</v>
      </c>
      <c r="Y13" s="2">
        <v>53.25</v>
      </c>
      <c r="Z13" s="2">
        <v>32.549999999999997</v>
      </c>
      <c r="AA13" s="3">
        <v>0</v>
      </c>
      <c r="AB13" s="2">
        <v>53.25</v>
      </c>
      <c r="AC13" s="2">
        <v>32.549999999999997</v>
      </c>
      <c r="AD13" s="4">
        <v>120.71250000000001</v>
      </c>
      <c r="AE13" s="4"/>
      <c r="AF13">
        <v>85.8</v>
      </c>
      <c r="AT13" s="10"/>
    </row>
    <row r="14" spans="1:46" x14ac:dyDescent="0.35">
      <c r="A14">
        <f t="shared" si="0"/>
        <v>2</v>
      </c>
      <c r="B14" t="s">
        <v>46</v>
      </c>
      <c r="C14" t="s">
        <v>41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0.215</v>
      </c>
      <c r="L14">
        <v>4</v>
      </c>
      <c r="M14">
        <v>1E-4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 s="11">
        <v>10</v>
      </c>
      <c r="V14">
        <v>25</v>
      </c>
      <c r="W14">
        <v>15</v>
      </c>
      <c r="X14" s="9">
        <v>-0.82</v>
      </c>
      <c r="Y14" s="2">
        <v>4.5</v>
      </c>
      <c r="Z14" s="2">
        <v>2.7000000000000011</v>
      </c>
      <c r="AA14" s="5">
        <v>0</v>
      </c>
      <c r="AB14" s="2">
        <v>4.5</v>
      </c>
      <c r="AC14" s="2">
        <v>2.7000000000000011</v>
      </c>
      <c r="AD14" s="4">
        <v>10.125000000000002</v>
      </c>
      <c r="AE14" s="4"/>
      <c r="AF14">
        <v>7.2000000000000011</v>
      </c>
      <c r="AT14" s="10"/>
    </row>
    <row r="15" spans="1:46" x14ac:dyDescent="0.35">
      <c r="A15">
        <f t="shared" si="0"/>
        <v>2</v>
      </c>
      <c r="B15" t="s">
        <v>46</v>
      </c>
      <c r="C15" t="s">
        <v>42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0.215</v>
      </c>
      <c r="L15">
        <v>4.4000000000000004</v>
      </c>
      <c r="M15">
        <v>1.694E-3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 s="11">
        <v>6</v>
      </c>
      <c r="V15">
        <v>55</v>
      </c>
      <c r="W15">
        <v>33</v>
      </c>
      <c r="X15" s="9" t="s">
        <v>38</v>
      </c>
      <c r="Y15" s="2">
        <v>83.94</v>
      </c>
      <c r="Z15" s="2">
        <v>46.269999999999996</v>
      </c>
      <c r="AA15" s="3">
        <v>0</v>
      </c>
      <c r="AB15" s="2">
        <v>83.94</v>
      </c>
      <c r="AC15" s="2">
        <v>46.269999999999996</v>
      </c>
      <c r="AD15" s="4">
        <v>182.72399999999999</v>
      </c>
      <c r="AE15" s="4"/>
      <c r="AF15">
        <v>130.20999999999998</v>
      </c>
      <c r="AT15" s="10"/>
    </row>
    <row r="16" spans="1:46" x14ac:dyDescent="0.35">
      <c r="A16">
        <f t="shared" si="0"/>
        <v>2</v>
      </c>
      <c r="B16" t="s">
        <v>46</v>
      </c>
      <c r="C16" t="s">
        <v>43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0.215</v>
      </c>
      <c r="L16">
        <v>4.4000000000000004</v>
      </c>
      <c r="M16">
        <v>1E-4</v>
      </c>
      <c r="N16">
        <v>7.2000000000000008E-2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 s="11">
        <v>10</v>
      </c>
      <c r="V16">
        <v>42</v>
      </c>
      <c r="W16">
        <v>16</v>
      </c>
      <c r="X16" s="9">
        <v>-0.89</v>
      </c>
      <c r="Y16" s="2">
        <v>4.6199999999999974</v>
      </c>
      <c r="Z16" s="2">
        <v>1.7599999999999998</v>
      </c>
      <c r="AA16" s="3">
        <v>0</v>
      </c>
      <c r="AB16" s="2">
        <v>4.6199999999999974</v>
      </c>
      <c r="AC16" s="2">
        <v>1.7599999999999998</v>
      </c>
      <c r="AD16" s="4">
        <v>8.8769999999999953</v>
      </c>
      <c r="AE16" s="4"/>
      <c r="AF16">
        <v>6.3799999999999972</v>
      </c>
      <c r="AT16" s="10"/>
    </row>
    <row r="17" spans="1:46" x14ac:dyDescent="0.35">
      <c r="A17">
        <f t="shared" si="0"/>
        <v>2</v>
      </c>
      <c r="B17" t="s">
        <v>46</v>
      </c>
      <c r="C17" t="s">
        <v>21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0.215</v>
      </c>
      <c r="L17">
        <v>4.4000000000000004</v>
      </c>
      <c r="M17">
        <v>2.2572E-3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 s="11">
        <v>6</v>
      </c>
      <c r="V17">
        <v>55</v>
      </c>
      <c r="W17">
        <v>35</v>
      </c>
      <c r="X17" s="9" t="s">
        <v>38</v>
      </c>
      <c r="Y17" s="2">
        <v>86.365000000000009</v>
      </c>
      <c r="Z17" s="2">
        <v>48.879999999999995</v>
      </c>
      <c r="AA17" s="3">
        <v>0</v>
      </c>
      <c r="AB17" s="2">
        <v>86.365000000000009</v>
      </c>
      <c r="AC17" s="2">
        <v>48.879999999999995</v>
      </c>
      <c r="AD17" s="4">
        <v>189.91275000000002</v>
      </c>
      <c r="AE17" s="4"/>
      <c r="AF17">
        <v>135.245</v>
      </c>
      <c r="AT17" s="10"/>
    </row>
    <row r="18" spans="1:46" x14ac:dyDescent="0.35">
      <c r="A18">
        <f t="shared" si="0"/>
        <v>2</v>
      </c>
      <c r="B18" t="s">
        <v>46</v>
      </c>
      <c r="C18" t="s">
        <v>22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0.215</v>
      </c>
      <c r="L18">
        <v>5</v>
      </c>
      <c r="M18">
        <v>1E-4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 s="11">
        <v>10</v>
      </c>
      <c r="V18">
        <v>30</v>
      </c>
      <c r="W18">
        <v>16</v>
      </c>
      <c r="X18" s="9">
        <v>-0.84499999999999997</v>
      </c>
      <c r="Y18" s="2">
        <v>4.6500000000000021</v>
      </c>
      <c r="Z18" s="2">
        <v>2.4800000000000004</v>
      </c>
      <c r="AA18" s="3">
        <v>0</v>
      </c>
      <c r="AB18" s="2">
        <v>4.6500000000000021</v>
      </c>
      <c r="AC18" s="2">
        <v>2.4800000000000004</v>
      </c>
      <c r="AD18" s="4">
        <v>9.9975000000000041</v>
      </c>
      <c r="AE18" s="4"/>
      <c r="AF18">
        <v>7.1300000000000026</v>
      </c>
      <c r="AT18" s="10"/>
    </row>
    <row r="19" spans="1:46" x14ac:dyDescent="0.35">
      <c r="A19">
        <f t="shared" si="0"/>
        <v>2</v>
      </c>
      <c r="B19" t="s">
        <v>46</v>
      </c>
      <c r="C19" t="s">
        <v>23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0.215</v>
      </c>
      <c r="L19">
        <v>5</v>
      </c>
      <c r="M19">
        <v>2.565E-3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 s="11">
        <v>6</v>
      </c>
      <c r="V19">
        <v>60</v>
      </c>
      <c r="W19">
        <v>33</v>
      </c>
      <c r="X19" s="9" t="s">
        <v>38</v>
      </c>
      <c r="Y19" s="2">
        <v>72.674999999999997</v>
      </c>
      <c r="Z19" s="2">
        <v>39.76</v>
      </c>
      <c r="AA19" s="5">
        <v>0</v>
      </c>
      <c r="AB19" s="2">
        <v>72.674999999999997</v>
      </c>
      <c r="AC19" s="2">
        <v>39.76</v>
      </c>
      <c r="AD19" s="4">
        <v>157.75125</v>
      </c>
      <c r="AE19" s="4"/>
      <c r="AF19">
        <v>112.435</v>
      </c>
      <c r="AT19" s="10"/>
    </row>
    <row r="20" spans="1:46" x14ac:dyDescent="0.35">
      <c r="A20">
        <f t="shared" ref="A20:A21" si="7">IF(B20=B19,A19,A19+1)</f>
        <v>3</v>
      </c>
      <c r="B20" t="s">
        <v>45</v>
      </c>
      <c r="C20" t="s">
        <v>44</v>
      </c>
      <c r="D20" s="6">
        <v>25</v>
      </c>
      <c r="E20" s="6" t="s">
        <v>18</v>
      </c>
      <c r="F20" s="6">
        <v>500</v>
      </c>
      <c r="G20" s="7">
        <v>220000</v>
      </c>
      <c r="H20" s="6">
        <v>1576</v>
      </c>
      <c r="I20" s="6">
        <v>1870</v>
      </c>
      <c r="J20" s="6">
        <v>1</v>
      </c>
      <c r="K20" s="6">
        <v>0.2</v>
      </c>
      <c r="L20" s="6">
        <v>2.2000000000000002</v>
      </c>
      <c r="M20" s="6">
        <v>1.0000000000000001E-5</v>
      </c>
      <c r="N20" s="6">
        <v>0.03</v>
      </c>
      <c r="O20" s="6">
        <v>1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8">
        <v>0</v>
      </c>
      <c r="W20" s="8">
        <v>0</v>
      </c>
      <c r="X20" s="6" t="s">
        <v>38</v>
      </c>
      <c r="Y20" s="2">
        <f t="shared" ref="Y20:Y21" si="8">IFERROR(IF(ISNUMBER(SEARCH("Appui",C20)),V20+X20*V20,IF(A19&lt;A20,V20-X21*V21/2,IF(A20&lt;A21,V20-(X19*V19)/2,V20-(X21*V21+X19*V19)/2))),0)</f>
        <v>0</v>
      </c>
      <c r="Z20" s="2">
        <f t="shared" ref="Z20:Z21" si="9">IFERROR(IF(ISNUMBER(SEARCH("Appui",C20)),W20+X20*W20,IF(A19&lt;A20,W20-X21*W21/2,IF(A20&lt;A21,W20-(X19*W19)/2,W20-(X21*W21+X19*W19)/2))),0)</f>
        <v>0</v>
      </c>
      <c r="AA20" s="3">
        <v>0</v>
      </c>
      <c r="AB20" s="2">
        <f t="shared" ref="AB20:AB21" si="10">Y20*(1-AA20)</f>
        <v>0</v>
      </c>
      <c r="AC20" s="2">
        <f t="shared" ref="AC20:AC21" si="11">Y20*AA20 + Z20</f>
        <v>0</v>
      </c>
      <c r="AD20" s="4">
        <f t="shared" ref="AD20:AD21" si="12">1.35*Y20+1.5*Z20</f>
        <v>0</v>
      </c>
      <c r="AE20" s="4"/>
      <c r="AF20">
        <f t="shared" ref="AF20:AF22" si="13">AB20+AC20</f>
        <v>0</v>
      </c>
      <c r="AT20" s="10"/>
    </row>
    <row r="21" spans="1:46" x14ac:dyDescent="0.35">
      <c r="A21">
        <f t="shared" si="7"/>
        <v>3</v>
      </c>
      <c r="B21" t="s">
        <v>45</v>
      </c>
      <c r="D21" s="6">
        <v>25</v>
      </c>
      <c r="E21" s="6" t="s">
        <v>18</v>
      </c>
      <c r="F21" s="6">
        <v>500</v>
      </c>
      <c r="G21" s="7">
        <v>220000</v>
      </c>
      <c r="H21" s="6">
        <v>1576</v>
      </c>
      <c r="I21" s="6">
        <v>1870</v>
      </c>
      <c r="J21" s="6">
        <v>1</v>
      </c>
      <c r="K21" s="6">
        <v>0.2</v>
      </c>
      <c r="L21" s="6">
        <v>2.2000000000000002</v>
      </c>
      <c r="M21" s="6">
        <v>1.0000000000000001E-5</v>
      </c>
      <c r="N21" s="6">
        <v>0.03</v>
      </c>
      <c r="O21" s="6">
        <v>1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>
        <v>0</v>
      </c>
      <c r="V21" s="8">
        <v>0</v>
      </c>
      <c r="W21" s="8">
        <v>0</v>
      </c>
      <c r="X21" s="6" t="s">
        <v>38</v>
      </c>
      <c r="Y21" s="2">
        <f t="shared" si="8"/>
        <v>0</v>
      </c>
      <c r="Z21" s="2">
        <f t="shared" si="9"/>
        <v>0</v>
      </c>
      <c r="AA21" s="3">
        <v>0</v>
      </c>
      <c r="AB21" s="2">
        <f t="shared" si="10"/>
        <v>0</v>
      </c>
      <c r="AC21" s="2">
        <f t="shared" si="11"/>
        <v>0</v>
      </c>
      <c r="AD21" s="4">
        <f t="shared" si="12"/>
        <v>0</v>
      </c>
      <c r="AE21" s="4"/>
      <c r="AF21">
        <f t="shared" si="13"/>
        <v>0</v>
      </c>
      <c r="AT21" s="10"/>
    </row>
    <row r="22" spans="1:46" x14ac:dyDescent="0.35">
      <c r="A22">
        <f t="shared" si="0"/>
        <v>4</v>
      </c>
      <c r="B22" t="s">
        <v>47</v>
      </c>
      <c r="C22" t="s">
        <v>41</v>
      </c>
      <c r="D22">
        <f t="shared" ref="D22:K22" si="14">D2</f>
        <v>25</v>
      </c>
      <c r="E22" t="str">
        <f t="shared" si="14"/>
        <v>B</v>
      </c>
      <c r="F22">
        <f t="shared" si="14"/>
        <v>500</v>
      </c>
      <c r="G22" s="1">
        <f t="shared" si="14"/>
        <v>220000</v>
      </c>
      <c r="H22">
        <f t="shared" si="14"/>
        <v>1576</v>
      </c>
      <c r="I22">
        <f t="shared" si="14"/>
        <v>1870</v>
      </c>
      <c r="J22">
        <f t="shared" si="14"/>
        <v>1</v>
      </c>
      <c r="K22">
        <f t="shared" si="14"/>
        <v>0.23</v>
      </c>
      <c r="L22">
        <f>L2+L12/2</f>
        <v>4.5999999999999996</v>
      </c>
      <c r="M22">
        <f>(M2*O2)+(M12*O12)/2</f>
        <v>1.3786E-3</v>
      </c>
      <c r="N22">
        <f>MAX(N2,N12)</f>
        <v>0.06</v>
      </c>
      <c r="O22" s="10">
        <v>1</v>
      </c>
      <c r="P22">
        <f t="shared" ref="P22" si="15">(P6*R6)/2+(P11*R11)+(P16*R16)/2</f>
        <v>0</v>
      </c>
      <c r="Q22">
        <f t="shared" ref="Q22:Q29" si="16">MAX(Q6,Q11,Q16)</f>
        <v>0</v>
      </c>
      <c r="R22" s="10">
        <v>1</v>
      </c>
      <c r="S22">
        <v>2.9099999999999999E-5</v>
      </c>
      <c r="T22">
        <f t="shared" ref="T22:T29" si="17">MAX(T6,T11,T16)</f>
        <v>0</v>
      </c>
      <c r="U22" s="10">
        <f>U2+U12/2</f>
        <v>15</v>
      </c>
      <c r="V22" s="10">
        <f>V2+V12/2</f>
        <v>120</v>
      </c>
      <c r="W22" s="10">
        <f>W2+W12/2</f>
        <v>39.5</v>
      </c>
      <c r="X22" s="9">
        <v>0</v>
      </c>
      <c r="Y22" s="10">
        <f>Y2+Y12/2</f>
        <v>93.875</v>
      </c>
      <c r="Z22" s="10">
        <f>Z2+Z12/2</f>
        <v>30</v>
      </c>
      <c r="AA22" s="3">
        <v>0</v>
      </c>
      <c r="AB22" s="10">
        <f>AB2+AB12/2</f>
        <v>71.03125</v>
      </c>
      <c r="AC22" s="10">
        <f>AC2+AC12/2</f>
        <v>52.84375</v>
      </c>
      <c r="AD22" s="4">
        <f>1.35*Y22+1.5*Z22</f>
        <v>171.73124999999999</v>
      </c>
      <c r="AE22" s="4"/>
      <c r="AF22">
        <f t="shared" si="13"/>
        <v>123.875</v>
      </c>
      <c r="AT22" s="10"/>
    </row>
    <row r="23" spans="1:46" x14ac:dyDescent="0.35">
      <c r="A23">
        <f t="shared" si="0"/>
        <v>4</v>
      </c>
      <c r="B23" t="s">
        <v>47</v>
      </c>
      <c r="C23" t="s">
        <v>42</v>
      </c>
      <c r="D23">
        <f t="shared" ref="D23:K23" si="18">D3</f>
        <v>25</v>
      </c>
      <c r="E23" t="str">
        <f t="shared" si="18"/>
        <v>B</v>
      </c>
      <c r="F23">
        <f t="shared" si="18"/>
        <v>500</v>
      </c>
      <c r="G23" s="1">
        <f t="shared" si="18"/>
        <v>220000</v>
      </c>
      <c r="H23">
        <f t="shared" si="18"/>
        <v>1576</v>
      </c>
      <c r="I23">
        <f t="shared" si="18"/>
        <v>1870</v>
      </c>
      <c r="J23">
        <f t="shared" si="18"/>
        <v>1</v>
      </c>
      <c r="K23">
        <f t="shared" si="18"/>
        <v>0.23</v>
      </c>
      <c r="L23">
        <f t="shared" ref="L23:L29" si="19">L3+L13/2</f>
        <v>4.5999999999999996</v>
      </c>
      <c r="M23">
        <f t="shared" ref="M23:M29" si="20">(M3*O3)+(M13*O13)/2</f>
        <v>5.888E-4</v>
      </c>
      <c r="N23">
        <f t="shared" ref="N23:N29" si="21">MAX(N3,N13)</f>
        <v>0.04</v>
      </c>
      <c r="O23" s="10">
        <v>1</v>
      </c>
      <c r="P23">
        <f t="shared" ref="P23:P29" si="22">(P7*R7)/2+(P12*R12)+(P17*R17)/2</f>
        <v>0</v>
      </c>
      <c r="Q23">
        <f t="shared" si="16"/>
        <v>0</v>
      </c>
      <c r="R23" s="10">
        <v>1</v>
      </c>
      <c r="S23">
        <v>2.9099999999999999E-5</v>
      </c>
      <c r="T23">
        <f t="shared" si="17"/>
        <v>0</v>
      </c>
      <c r="U23" s="10">
        <f t="shared" ref="U23:W23" si="23">U3+U13/2</f>
        <v>10</v>
      </c>
      <c r="V23" s="10">
        <f t="shared" si="23"/>
        <v>51.9</v>
      </c>
      <c r="W23" s="10">
        <f t="shared" si="23"/>
        <v>26.9</v>
      </c>
      <c r="X23" s="9">
        <v>0</v>
      </c>
      <c r="Y23" s="10">
        <f t="shared" ref="Y23:Z23" si="24">Y3+Y13/2</f>
        <v>71.177499999999995</v>
      </c>
      <c r="Z23" s="10">
        <f t="shared" si="24"/>
        <v>35.144999999999996</v>
      </c>
      <c r="AA23" s="3">
        <v>0</v>
      </c>
      <c r="AB23" s="10">
        <f t="shared" ref="AB23:AC23" si="25">AB3+AB13/2</f>
        <v>48.901249999999997</v>
      </c>
      <c r="AC23" s="10">
        <f t="shared" si="25"/>
        <v>57.421249999999993</v>
      </c>
      <c r="AD23" s="4">
        <f t="shared" ref="AD23:AD29" si="26">1.35*Y23+1.5*Z23</f>
        <v>148.80712499999998</v>
      </c>
      <c r="AE23" s="4"/>
      <c r="AF23">
        <f t="shared" ref="AF23:AF29" si="27">AB23+AC23</f>
        <v>106.32249999999999</v>
      </c>
      <c r="AT23" s="10"/>
    </row>
    <row r="24" spans="1:46" x14ac:dyDescent="0.35">
      <c r="A24">
        <f t="shared" si="0"/>
        <v>4</v>
      </c>
      <c r="B24" t="s">
        <v>47</v>
      </c>
      <c r="C24" t="s">
        <v>43</v>
      </c>
      <c r="D24">
        <f t="shared" ref="D24:K24" si="28">D4</f>
        <v>25</v>
      </c>
      <c r="E24" t="str">
        <f t="shared" si="28"/>
        <v>B</v>
      </c>
      <c r="F24">
        <f t="shared" si="28"/>
        <v>500</v>
      </c>
      <c r="G24" s="1">
        <f t="shared" si="28"/>
        <v>220000</v>
      </c>
      <c r="H24">
        <f t="shared" si="28"/>
        <v>1576</v>
      </c>
      <c r="I24">
        <f t="shared" si="28"/>
        <v>1870</v>
      </c>
      <c r="J24">
        <f t="shared" si="28"/>
        <v>1</v>
      </c>
      <c r="K24">
        <f t="shared" si="28"/>
        <v>0.23</v>
      </c>
      <c r="L24">
        <f t="shared" si="19"/>
        <v>4.5999999999999996</v>
      </c>
      <c r="M24">
        <f t="shared" si="20"/>
        <v>2.1532999999999999E-3</v>
      </c>
      <c r="N24">
        <f t="shared" si="21"/>
        <v>0.06</v>
      </c>
      <c r="O24" s="10">
        <v>1</v>
      </c>
      <c r="P24">
        <f t="shared" si="22"/>
        <v>0</v>
      </c>
      <c r="Q24">
        <f t="shared" si="16"/>
        <v>0</v>
      </c>
      <c r="R24" s="10">
        <v>1</v>
      </c>
      <c r="S24">
        <v>2.9099999999999999E-5</v>
      </c>
      <c r="T24">
        <f t="shared" si="17"/>
        <v>0</v>
      </c>
      <c r="U24" s="10">
        <f t="shared" ref="U24:W24" si="29">U4+U14/2</f>
        <v>10</v>
      </c>
      <c r="V24" s="10">
        <f t="shared" si="29"/>
        <v>121.5</v>
      </c>
      <c r="W24" s="10">
        <f t="shared" si="29"/>
        <v>49.5</v>
      </c>
      <c r="X24" s="9">
        <v>0</v>
      </c>
      <c r="Y24" s="10">
        <f t="shared" ref="Y24:Z24" si="30">Y4+Y14/2</f>
        <v>109.07</v>
      </c>
      <c r="Z24" s="10">
        <f t="shared" si="30"/>
        <v>42.51</v>
      </c>
      <c r="AA24" s="3">
        <v>0</v>
      </c>
      <c r="AB24" s="10">
        <f t="shared" ref="AB24:AC24" si="31">AB4+AB14/2</f>
        <v>55.66</v>
      </c>
      <c r="AC24" s="10">
        <f t="shared" si="31"/>
        <v>95.919999999999987</v>
      </c>
      <c r="AD24" s="4">
        <f t="shared" si="26"/>
        <v>211.0095</v>
      </c>
      <c r="AE24" s="4"/>
      <c r="AF24">
        <f t="shared" si="27"/>
        <v>151.57999999999998</v>
      </c>
      <c r="AT24" s="10"/>
    </row>
    <row r="25" spans="1:46" x14ac:dyDescent="0.35">
      <c r="A25">
        <f t="shared" si="0"/>
        <v>4</v>
      </c>
      <c r="B25" t="s">
        <v>47</v>
      </c>
      <c r="C25" t="s">
        <v>21</v>
      </c>
      <c r="D25">
        <f t="shared" ref="D25:K25" si="32">D5</f>
        <v>25</v>
      </c>
      <c r="E25" t="str">
        <f t="shared" si="32"/>
        <v>B</v>
      </c>
      <c r="F25">
        <f t="shared" si="32"/>
        <v>500</v>
      </c>
      <c r="G25" s="1">
        <f t="shared" si="32"/>
        <v>220000</v>
      </c>
      <c r="H25">
        <f t="shared" si="32"/>
        <v>1576</v>
      </c>
      <c r="I25">
        <f t="shared" si="32"/>
        <v>1870</v>
      </c>
      <c r="J25">
        <f t="shared" si="32"/>
        <v>1</v>
      </c>
      <c r="K25">
        <f t="shared" si="32"/>
        <v>0.23</v>
      </c>
      <c r="L25">
        <f t="shared" si="19"/>
        <v>4.8000000000000007</v>
      </c>
      <c r="M25">
        <f t="shared" si="20"/>
        <v>1.8470000000000001E-3</v>
      </c>
      <c r="N25">
        <f t="shared" si="21"/>
        <v>0.05</v>
      </c>
      <c r="O25" s="10">
        <v>1</v>
      </c>
      <c r="P25">
        <f t="shared" si="22"/>
        <v>0</v>
      </c>
      <c r="Q25">
        <f t="shared" si="16"/>
        <v>0</v>
      </c>
      <c r="R25" s="10">
        <v>1</v>
      </c>
      <c r="S25">
        <v>2.9099999999999999E-5</v>
      </c>
      <c r="T25">
        <f t="shared" si="17"/>
        <v>0</v>
      </c>
      <c r="U25" s="10">
        <f t="shared" ref="U25:W25" si="33">U5+U15/2</f>
        <v>8</v>
      </c>
      <c r="V25" s="10">
        <f t="shared" si="33"/>
        <v>66.400000000000006</v>
      </c>
      <c r="W25" s="10">
        <f t="shared" si="33"/>
        <v>34.700000000000003</v>
      </c>
      <c r="X25" s="9">
        <v>0</v>
      </c>
      <c r="Y25" s="10">
        <f t="shared" ref="Y25:Z25" si="34">Y5+Y15/2</f>
        <v>81.960000000000008</v>
      </c>
      <c r="Z25" s="10">
        <f t="shared" si="34"/>
        <v>41.754999999999995</v>
      </c>
      <c r="AA25" s="3">
        <v>0</v>
      </c>
      <c r="AB25" s="10">
        <f t="shared" ref="AB25:AC25" si="35">AB5+AB15/2</f>
        <v>61.965000000000003</v>
      </c>
      <c r="AC25" s="10">
        <f t="shared" si="35"/>
        <v>61.75</v>
      </c>
      <c r="AD25" s="4">
        <f t="shared" si="26"/>
        <v>173.27850000000001</v>
      </c>
      <c r="AE25" s="4"/>
      <c r="AF25">
        <f t="shared" si="27"/>
        <v>123.715</v>
      </c>
      <c r="AT25" s="10"/>
    </row>
    <row r="26" spans="1:46" x14ac:dyDescent="0.35">
      <c r="A26">
        <f t="shared" si="0"/>
        <v>4</v>
      </c>
      <c r="B26" t="s">
        <v>47</v>
      </c>
      <c r="C26" t="s">
        <v>22</v>
      </c>
      <c r="D26">
        <f t="shared" ref="D26:K26" si="36">D6</f>
        <v>25</v>
      </c>
      <c r="E26" t="str">
        <f t="shared" si="36"/>
        <v>B</v>
      </c>
      <c r="F26">
        <f t="shared" si="36"/>
        <v>500</v>
      </c>
      <c r="G26" s="1">
        <f t="shared" si="36"/>
        <v>220000</v>
      </c>
      <c r="H26">
        <f t="shared" si="36"/>
        <v>1576</v>
      </c>
      <c r="I26">
        <f t="shared" si="36"/>
        <v>1870</v>
      </c>
      <c r="J26">
        <f t="shared" si="36"/>
        <v>1</v>
      </c>
      <c r="K26">
        <f t="shared" si="36"/>
        <v>0.23</v>
      </c>
      <c r="L26">
        <f t="shared" si="19"/>
        <v>4.8000000000000007</v>
      </c>
      <c r="M26">
        <f t="shared" si="20"/>
        <v>2.15E-3</v>
      </c>
      <c r="N26">
        <f t="shared" si="21"/>
        <v>7.2000000000000008E-2</v>
      </c>
      <c r="O26" s="10">
        <v>1</v>
      </c>
      <c r="P26">
        <f t="shared" si="22"/>
        <v>0</v>
      </c>
      <c r="Q26">
        <f t="shared" si="16"/>
        <v>0</v>
      </c>
      <c r="R26" s="10">
        <v>1</v>
      </c>
      <c r="S26">
        <v>2.9099999999999999E-5</v>
      </c>
      <c r="T26">
        <f t="shared" si="17"/>
        <v>0</v>
      </c>
      <c r="U26" s="10">
        <f t="shared" ref="U26:W26" si="37">U6+U16/2</f>
        <v>10</v>
      </c>
      <c r="V26" s="10">
        <f t="shared" si="37"/>
        <v>138.5</v>
      </c>
      <c r="W26" s="10">
        <f t="shared" si="37"/>
        <v>51.5</v>
      </c>
      <c r="X26" s="9">
        <v>0</v>
      </c>
      <c r="Y26" s="10">
        <f t="shared" ref="Y26:Z26" si="38">Y6+Y16/2</f>
        <v>119.81</v>
      </c>
      <c r="Z26" s="10">
        <f t="shared" si="38"/>
        <v>44.38</v>
      </c>
      <c r="AA26" s="3">
        <v>0</v>
      </c>
      <c r="AB26" s="10">
        <f t="shared" ref="AB26:AC26" si="39">AB6+AB16/2</f>
        <v>61.06</v>
      </c>
      <c r="AC26" s="10">
        <f t="shared" si="39"/>
        <v>103.13</v>
      </c>
      <c r="AD26" s="4">
        <f t="shared" si="26"/>
        <v>228.31350000000003</v>
      </c>
      <c r="AE26" s="4"/>
      <c r="AF26">
        <f t="shared" si="27"/>
        <v>164.19</v>
      </c>
      <c r="AT26" s="10"/>
    </row>
    <row r="27" spans="1:46" x14ac:dyDescent="0.35">
      <c r="A27">
        <f t="shared" si="0"/>
        <v>4</v>
      </c>
      <c r="B27" t="s">
        <v>47</v>
      </c>
      <c r="C27" t="s">
        <v>23</v>
      </c>
      <c r="D27">
        <f t="shared" ref="D27:K27" si="40">D7</f>
        <v>25</v>
      </c>
      <c r="E27" t="str">
        <f t="shared" si="40"/>
        <v>B</v>
      </c>
      <c r="F27">
        <f t="shared" si="40"/>
        <v>500</v>
      </c>
      <c r="G27" s="1">
        <f t="shared" si="40"/>
        <v>220000</v>
      </c>
      <c r="H27">
        <f t="shared" si="40"/>
        <v>1576</v>
      </c>
      <c r="I27">
        <f t="shared" si="40"/>
        <v>1870</v>
      </c>
      <c r="J27">
        <f t="shared" si="40"/>
        <v>1</v>
      </c>
      <c r="K27">
        <f t="shared" si="40"/>
        <v>0.23</v>
      </c>
      <c r="L27">
        <f t="shared" si="19"/>
        <v>4.8000000000000007</v>
      </c>
      <c r="M27">
        <f t="shared" si="20"/>
        <v>1.4586E-3</v>
      </c>
      <c r="N27">
        <f t="shared" si="21"/>
        <v>0.04</v>
      </c>
      <c r="O27" s="10">
        <v>1</v>
      </c>
      <c r="P27">
        <f t="shared" si="22"/>
        <v>0</v>
      </c>
      <c r="Q27">
        <f t="shared" si="16"/>
        <v>0</v>
      </c>
      <c r="R27" s="10">
        <v>1</v>
      </c>
      <c r="S27">
        <v>2.9099999999999999E-5</v>
      </c>
      <c r="T27">
        <f t="shared" si="17"/>
        <v>0</v>
      </c>
      <c r="U27" s="10">
        <f t="shared" ref="U27:W27" si="41">U7+U17/2</f>
        <v>13</v>
      </c>
      <c r="V27" s="10">
        <f t="shared" si="41"/>
        <v>66</v>
      </c>
      <c r="W27" s="10">
        <f t="shared" si="41"/>
        <v>36.200000000000003</v>
      </c>
      <c r="X27" s="9">
        <v>0</v>
      </c>
      <c r="Y27" s="10">
        <f t="shared" ref="Y27:Z27" si="42">Y7+Y17/2</f>
        <v>81.682500000000005</v>
      </c>
      <c r="Z27" s="10">
        <f t="shared" si="42"/>
        <v>43.14</v>
      </c>
      <c r="AA27" s="3">
        <v>0</v>
      </c>
      <c r="AB27" s="10">
        <f t="shared" ref="AB27:AC27" si="43">AB7+AB17/2</f>
        <v>62.432500000000005</v>
      </c>
      <c r="AC27" s="10">
        <f t="shared" si="43"/>
        <v>62.39</v>
      </c>
      <c r="AD27" s="4">
        <f t="shared" si="26"/>
        <v>174.98137500000001</v>
      </c>
      <c r="AE27" s="4"/>
      <c r="AF27">
        <f t="shared" si="27"/>
        <v>124.82250000000001</v>
      </c>
      <c r="AT27" s="10"/>
    </row>
    <row r="28" spans="1:46" x14ac:dyDescent="0.35">
      <c r="A28">
        <f t="shared" si="0"/>
        <v>4</v>
      </c>
      <c r="B28" t="s">
        <v>47</v>
      </c>
      <c r="C28" t="s">
        <v>24</v>
      </c>
      <c r="D28">
        <f t="shared" ref="D28:K28" si="44">D8</f>
        <v>25</v>
      </c>
      <c r="E28" t="str">
        <f t="shared" si="44"/>
        <v>B</v>
      </c>
      <c r="F28">
        <f t="shared" si="44"/>
        <v>500</v>
      </c>
      <c r="G28" s="1">
        <f t="shared" si="44"/>
        <v>220000</v>
      </c>
      <c r="H28">
        <f t="shared" si="44"/>
        <v>1576</v>
      </c>
      <c r="I28">
        <f t="shared" si="44"/>
        <v>1870</v>
      </c>
      <c r="J28">
        <f t="shared" si="44"/>
        <v>1</v>
      </c>
      <c r="K28">
        <f t="shared" si="44"/>
        <v>0.23</v>
      </c>
      <c r="L28">
        <f t="shared" si="19"/>
        <v>5.0999999999999996</v>
      </c>
      <c r="M28">
        <f t="shared" si="20"/>
        <v>2.15E-3</v>
      </c>
      <c r="N28">
        <f t="shared" si="21"/>
        <v>0.06</v>
      </c>
      <c r="O28" s="10">
        <v>1</v>
      </c>
      <c r="P28">
        <f t="shared" si="22"/>
        <v>0</v>
      </c>
      <c r="Q28">
        <f t="shared" si="16"/>
        <v>0</v>
      </c>
      <c r="R28" s="10">
        <v>1</v>
      </c>
      <c r="S28">
        <v>2.9099999999999999E-5</v>
      </c>
      <c r="T28">
        <f t="shared" si="17"/>
        <v>0</v>
      </c>
      <c r="U28" s="10">
        <f t="shared" ref="U28:W28" si="45">U8+U18/2</f>
        <v>15</v>
      </c>
      <c r="V28" s="10">
        <f t="shared" si="45"/>
        <v>137.5</v>
      </c>
      <c r="W28" s="10">
        <f t="shared" si="45"/>
        <v>52.35</v>
      </c>
      <c r="X28" s="9">
        <v>0</v>
      </c>
      <c r="Y28" s="10">
        <f>Y8+Y18/2</f>
        <v>124.825</v>
      </c>
      <c r="Z28" s="10">
        <f t="shared" ref="Z28" si="46">Z8+Z18/2</f>
        <v>45.59</v>
      </c>
      <c r="AA28" s="3">
        <v>0</v>
      </c>
      <c r="AB28" s="10">
        <f t="shared" ref="AB28:AC28" si="47">AB8+AB18/2</f>
        <v>63.575000000000003</v>
      </c>
      <c r="AC28" s="10">
        <f t="shared" si="47"/>
        <v>106.83999999999999</v>
      </c>
      <c r="AD28" s="4">
        <f t="shared" si="26"/>
        <v>236.89875000000001</v>
      </c>
      <c r="AE28" s="4"/>
      <c r="AF28">
        <f t="shared" si="27"/>
        <v>170.41499999999999</v>
      </c>
      <c r="AT28" s="10"/>
    </row>
    <row r="29" spans="1:46" x14ac:dyDescent="0.35">
      <c r="A29">
        <f t="shared" si="0"/>
        <v>4</v>
      </c>
      <c r="B29" t="s">
        <v>47</v>
      </c>
      <c r="C29" t="s">
        <v>25</v>
      </c>
      <c r="D29">
        <f t="shared" ref="D29:K29" si="48">D9</f>
        <v>25</v>
      </c>
      <c r="E29" t="str">
        <f t="shared" si="48"/>
        <v>B</v>
      </c>
      <c r="F29">
        <f t="shared" si="48"/>
        <v>500</v>
      </c>
      <c r="G29" s="1">
        <f t="shared" si="48"/>
        <v>220000</v>
      </c>
      <c r="H29">
        <f t="shared" si="48"/>
        <v>1576</v>
      </c>
      <c r="I29">
        <f t="shared" si="48"/>
        <v>1870</v>
      </c>
      <c r="J29">
        <f t="shared" si="48"/>
        <v>1</v>
      </c>
      <c r="K29">
        <f t="shared" si="48"/>
        <v>0.23</v>
      </c>
      <c r="L29">
        <f t="shared" si="19"/>
        <v>5.0999999999999996</v>
      </c>
      <c r="M29">
        <f t="shared" si="20"/>
        <v>1.6125E-3</v>
      </c>
      <c r="N29">
        <f t="shared" si="21"/>
        <v>0.04</v>
      </c>
      <c r="O29" s="10">
        <v>1</v>
      </c>
      <c r="P29">
        <f t="shared" si="22"/>
        <v>0</v>
      </c>
      <c r="Q29">
        <f t="shared" si="16"/>
        <v>0</v>
      </c>
      <c r="R29" s="10">
        <v>1</v>
      </c>
      <c r="S29">
        <v>2.9099999999999999E-5</v>
      </c>
      <c r="T29">
        <f t="shared" si="17"/>
        <v>0</v>
      </c>
      <c r="U29" s="10">
        <f t="shared" ref="U29:W29" si="49">U9+U19/2</f>
        <v>13</v>
      </c>
      <c r="V29" s="10">
        <f t="shared" si="49"/>
        <v>69.5</v>
      </c>
      <c r="W29" s="10">
        <f t="shared" si="49"/>
        <v>34.6</v>
      </c>
      <c r="X29" s="9">
        <v>0</v>
      </c>
      <c r="Y29" s="10">
        <f>Y9+Y19/2</f>
        <v>75.837500000000006</v>
      </c>
      <c r="Z29" s="10">
        <f t="shared" ref="Z29" si="50">Z9+Z19/2</f>
        <v>37.980000000000004</v>
      </c>
      <c r="AA29" s="3">
        <v>0</v>
      </c>
      <c r="AB29" s="10">
        <f t="shared" ref="AB29:AC29" si="51">AB9+AB19/2</f>
        <v>56.087499999999999</v>
      </c>
      <c r="AC29" s="10">
        <f t="shared" si="51"/>
        <v>57.730000000000004</v>
      </c>
      <c r="AD29" s="4">
        <f t="shared" si="26"/>
        <v>159.35062500000001</v>
      </c>
      <c r="AE29" s="4"/>
      <c r="AF29">
        <f t="shared" si="27"/>
        <v>113.8175</v>
      </c>
      <c r="AT29" s="10"/>
    </row>
    <row r="30" spans="1:46" x14ac:dyDescent="0.35">
      <c r="A30">
        <f t="shared" si="0"/>
        <v>4</v>
      </c>
      <c r="B30" t="s">
        <v>47</v>
      </c>
      <c r="C30" t="s">
        <v>44</v>
      </c>
      <c r="D30" s="6">
        <v>25</v>
      </c>
      <c r="E30" s="6" t="s">
        <v>18</v>
      </c>
      <c r="F30" s="6">
        <v>500</v>
      </c>
      <c r="G30" s="7">
        <v>220000</v>
      </c>
      <c r="H30" s="6">
        <v>1576</v>
      </c>
      <c r="I30" s="6">
        <v>1870</v>
      </c>
      <c r="J30" s="6">
        <v>1</v>
      </c>
      <c r="K30" s="6">
        <v>0.2</v>
      </c>
      <c r="L30" s="6">
        <v>2.2000000000000002</v>
      </c>
      <c r="M30" s="6">
        <v>1.0000000000000001E-5</v>
      </c>
      <c r="N30" s="6">
        <v>0.03</v>
      </c>
      <c r="O30" s="6">
        <v>1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8">
        <v>0</v>
      </c>
      <c r="W30" s="8">
        <v>0</v>
      </c>
      <c r="X30" s="6" t="s">
        <v>38</v>
      </c>
      <c r="Y30" s="2">
        <f t="shared" ref="Y30" si="52">IFERROR(IF(ISNUMBER(SEARCH("Appui",C30)),V30+X30*V30,IF(A29&lt;A30,V30-X31*V31/2,IF(A30&lt;A31,V30-(X29*V29)/2,V30-(X31*V31+X29*V29)/2))),0)</f>
        <v>0</v>
      </c>
      <c r="Z30" s="2">
        <f t="shared" ref="Z30" si="53">IFERROR(IF(ISNUMBER(SEARCH("Appui",C30)),W30+X30*W30,IF(A29&lt;A30,W30-X31*W31/2,IF(A30&lt;A31,W30-(X29*W29)/2,W30-(X31*W31+X29*W29)/2))),0)</f>
        <v>0</v>
      </c>
      <c r="AA30" s="3">
        <v>0</v>
      </c>
      <c r="AB30" s="2">
        <f t="shared" ref="AB30" si="54">Y30*(1-AA30)</f>
        <v>0</v>
      </c>
      <c r="AC30" s="2">
        <f t="shared" ref="AC30" si="55">Y30*AA30 + Z30</f>
        <v>0</v>
      </c>
      <c r="AD30" s="4">
        <f t="shared" ref="AD30" si="56">1.35*Y30+1.5*Z30</f>
        <v>0</v>
      </c>
      <c r="AE30" s="4"/>
      <c r="AF30">
        <f t="shared" ref="AF30" si="57">AB30+AC30</f>
        <v>0</v>
      </c>
      <c r="AT30" s="10"/>
    </row>
    <row r="31" spans="1:46" x14ac:dyDescent="0.35">
      <c r="O31" s="10"/>
      <c r="R31" s="10"/>
      <c r="U31" s="10"/>
      <c r="V31" s="10"/>
      <c r="W31" s="10"/>
      <c r="X31" s="9"/>
      <c r="Y31" s="10"/>
      <c r="Z31" s="10"/>
      <c r="AA31" s="3"/>
      <c r="AB31" s="10"/>
      <c r="AC31" s="10"/>
      <c r="AD31" s="4"/>
      <c r="AE31" s="4"/>
      <c r="AT31" s="10"/>
    </row>
    <row r="32" spans="1:46" x14ac:dyDescent="0.35">
      <c r="O32" s="10"/>
      <c r="R32" s="10"/>
      <c r="U32" s="10"/>
      <c r="V32" s="10"/>
      <c r="W32" s="10"/>
      <c r="X32" s="9"/>
      <c r="Y32" s="10"/>
      <c r="Z32" s="10"/>
      <c r="AA32" s="3"/>
      <c r="AB32" s="10"/>
      <c r="AC32" s="10"/>
      <c r="AD32" s="4"/>
      <c r="AE32" s="4"/>
      <c r="AT32" s="10"/>
    </row>
    <row r="33" spans="15:46" x14ac:dyDescent="0.35">
      <c r="O33" s="10"/>
      <c r="R33" s="10"/>
      <c r="U33" s="10"/>
      <c r="V33" s="10"/>
      <c r="W33" s="10"/>
      <c r="X33" s="9"/>
      <c r="Y33" s="10"/>
      <c r="Z33" s="10"/>
      <c r="AA33" s="3"/>
      <c r="AB33" s="10"/>
      <c r="AC33" s="10"/>
      <c r="AD33" s="4"/>
      <c r="AE33" s="4"/>
      <c r="AT33" s="10"/>
    </row>
    <row r="34" spans="15:46" x14ac:dyDescent="0.35">
      <c r="O34" s="10"/>
      <c r="R34" s="10"/>
      <c r="U34" s="10"/>
      <c r="V34" s="10"/>
      <c r="W34" s="10"/>
      <c r="X34" s="9"/>
      <c r="Y34" s="10"/>
      <c r="Z34" s="10"/>
      <c r="AA34" s="3"/>
      <c r="AB34" s="10"/>
      <c r="AC34" s="10"/>
      <c r="AD34" s="4"/>
      <c r="AE34" s="4"/>
      <c r="AT34" s="10"/>
    </row>
    <row r="35" spans="15:46" x14ac:dyDescent="0.35">
      <c r="O35" s="10"/>
      <c r="R35" s="10"/>
      <c r="U35" s="10"/>
      <c r="V35" s="10"/>
      <c r="W35" s="10"/>
      <c r="X35" s="9"/>
      <c r="Y35" s="10"/>
      <c r="Z35" s="10"/>
      <c r="AA35" s="3"/>
      <c r="AB35" s="10"/>
      <c r="AC35" s="10"/>
      <c r="AD35" s="4"/>
      <c r="AE35" s="4"/>
      <c r="AT35" s="10"/>
    </row>
    <row r="36" spans="15:46" x14ac:dyDescent="0.35">
      <c r="O36" s="10"/>
      <c r="R36" s="10"/>
      <c r="U36" s="10"/>
      <c r="V36" s="10"/>
      <c r="W36" s="10"/>
      <c r="X36" s="9"/>
      <c r="Y36" s="10"/>
      <c r="Z36" s="10"/>
      <c r="AA36" s="3"/>
      <c r="AB36" s="10"/>
      <c r="AC36" s="10"/>
      <c r="AD36" s="4"/>
      <c r="AE36" s="4"/>
      <c r="AT36" s="10"/>
    </row>
    <row r="37" spans="15:46" x14ac:dyDescent="0.35">
      <c r="O37" s="10"/>
      <c r="R37" s="10"/>
      <c r="U37" s="10"/>
      <c r="V37" s="10"/>
      <c r="W37" s="10"/>
      <c r="X37" s="9"/>
      <c r="Y37" s="10"/>
      <c r="Z37" s="10"/>
      <c r="AA37" s="3"/>
      <c r="AB37" s="10"/>
      <c r="AC37" s="10"/>
      <c r="AD37" s="4"/>
      <c r="AE37" s="4"/>
      <c r="AT37" s="10"/>
    </row>
    <row r="38" spans="15:46" x14ac:dyDescent="0.35">
      <c r="O38" s="10"/>
      <c r="R38" s="10"/>
      <c r="U38" s="10"/>
      <c r="V38" s="10"/>
      <c r="W38" s="10"/>
      <c r="X38" s="9"/>
      <c r="Y38" s="10"/>
      <c r="Z38" s="10"/>
      <c r="AA38" s="3"/>
      <c r="AB38" s="10"/>
      <c r="AC38" s="10"/>
      <c r="AD38" s="4"/>
      <c r="AE38" s="4"/>
      <c r="AT38" s="10"/>
    </row>
    <row r="39" spans="15:46" x14ac:dyDescent="0.35">
      <c r="O39" s="10"/>
      <c r="R39" s="10"/>
      <c r="U39" s="10"/>
      <c r="V39" s="10"/>
      <c r="W39" s="10"/>
      <c r="X39" s="9"/>
      <c r="Y39" s="10"/>
      <c r="Z39" s="10"/>
      <c r="AA39" s="3"/>
      <c r="AB39" s="10"/>
      <c r="AC39" s="10"/>
      <c r="AD39" s="4"/>
      <c r="AE39" s="4"/>
      <c r="AT39" s="10"/>
    </row>
    <row r="40" spans="15:46" x14ac:dyDescent="0.35">
      <c r="O40" s="10"/>
      <c r="R40" s="10"/>
      <c r="U40" s="10"/>
      <c r="V40" s="10"/>
      <c r="W40" s="10"/>
      <c r="X40" s="9"/>
      <c r="Y40" s="10"/>
      <c r="Z40" s="10"/>
      <c r="AA40" s="3"/>
      <c r="AB40" s="10"/>
      <c r="AC40" s="10"/>
      <c r="AD40" s="4"/>
      <c r="AE40" s="4"/>
      <c r="AT40" s="10"/>
    </row>
    <row r="41" spans="15:46" x14ac:dyDescent="0.35">
      <c r="O41" s="10"/>
      <c r="R41" s="10"/>
      <c r="U41" s="10"/>
      <c r="V41" s="10"/>
      <c r="W41" s="10"/>
      <c r="X41" s="9"/>
      <c r="Y41" s="10"/>
      <c r="Z41" s="10"/>
      <c r="AA41" s="3"/>
      <c r="AB41" s="10"/>
      <c r="AC41" s="10"/>
      <c r="AD41" s="4"/>
      <c r="AE41" s="4"/>
      <c r="AT41" s="10"/>
    </row>
    <row r="42" spans="15:46" x14ac:dyDescent="0.35">
      <c r="O42" s="10"/>
      <c r="R42" s="10"/>
      <c r="U42" s="10"/>
      <c r="V42" s="10"/>
      <c r="W42" s="10"/>
      <c r="X42" s="9"/>
      <c r="Y42" s="10"/>
      <c r="Z42" s="10"/>
      <c r="AA42" s="3"/>
      <c r="AB42" s="10"/>
      <c r="AC42" s="10"/>
      <c r="AD42" s="4"/>
      <c r="AE42" s="4"/>
      <c r="AT42" s="10"/>
    </row>
    <row r="43" spans="15:46" x14ac:dyDescent="0.35">
      <c r="O43" s="10"/>
      <c r="R43" s="10"/>
      <c r="U43" s="10"/>
      <c r="V43" s="10"/>
      <c r="W43" s="10"/>
      <c r="X43" s="9"/>
      <c r="Y43" s="10"/>
      <c r="Z43" s="10"/>
      <c r="AA43" s="3"/>
      <c r="AB43" s="10"/>
      <c r="AC43" s="10"/>
      <c r="AD43" s="4"/>
      <c r="AE43" s="4"/>
      <c r="AT43" s="10"/>
    </row>
    <row r="44" spans="15:46" x14ac:dyDescent="0.35">
      <c r="O44" s="10"/>
      <c r="R44" s="10"/>
      <c r="U44" s="10"/>
      <c r="V44" s="10"/>
      <c r="W44" s="10"/>
      <c r="X44" s="9"/>
      <c r="Y44" s="10"/>
      <c r="Z44" s="10"/>
      <c r="AA44" s="3"/>
      <c r="AB44" s="10"/>
      <c r="AC44" s="10"/>
      <c r="AD44" s="4"/>
      <c r="AE44" s="4"/>
      <c r="AT44" s="10"/>
    </row>
    <row r="45" spans="15:46" x14ac:dyDescent="0.35">
      <c r="O45" s="10"/>
      <c r="R45" s="10"/>
      <c r="U45" s="10"/>
      <c r="V45" s="10"/>
      <c r="W45" s="10"/>
      <c r="X45" s="9"/>
      <c r="Y45" s="10"/>
      <c r="Z45" s="10"/>
      <c r="AA45" s="3"/>
      <c r="AB45" s="10"/>
      <c r="AC45" s="10"/>
      <c r="AD45" s="4"/>
      <c r="AE45" s="4"/>
      <c r="AT45" s="10"/>
    </row>
    <row r="46" spans="15:46" x14ac:dyDescent="0.35">
      <c r="O46" s="10"/>
      <c r="R46" s="10"/>
      <c r="U46" s="10"/>
      <c r="V46" s="10"/>
      <c r="W46" s="10"/>
      <c r="X46" s="9"/>
      <c r="Y46" s="10"/>
      <c r="Z46" s="10"/>
      <c r="AA46" s="3"/>
      <c r="AB46" s="10"/>
      <c r="AC46" s="10"/>
      <c r="AD46" s="4"/>
      <c r="AE46" s="4"/>
      <c r="AT46" s="10"/>
    </row>
    <row r="47" spans="15:46" x14ac:dyDescent="0.35">
      <c r="O47" s="10"/>
      <c r="R47" s="10"/>
      <c r="U47" s="10"/>
      <c r="V47" s="10"/>
      <c r="W47" s="10"/>
      <c r="X47" s="9"/>
      <c r="Y47" s="10"/>
      <c r="Z47" s="10"/>
      <c r="AA47" s="3"/>
      <c r="AB47" s="10"/>
      <c r="AC47" s="10"/>
      <c r="AD47" s="4"/>
      <c r="AE47" s="4"/>
      <c r="AT47" s="10"/>
    </row>
    <row r="48" spans="15:46" x14ac:dyDescent="0.35">
      <c r="O48" s="10"/>
      <c r="R48" s="10"/>
      <c r="U48" s="10"/>
      <c r="V48" s="10"/>
      <c r="W48" s="10"/>
      <c r="X48" s="9"/>
      <c r="Y48" s="10"/>
      <c r="Z48" s="10"/>
      <c r="AA48" s="3"/>
      <c r="AB48" s="10"/>
      <c r="AC48" s="10"/>
      <c r="AD48" s="4"/>
      <c r="AE48" s="4"/>
      <c r="AT48" s="10"/>
    </row>
    <row r="49" spans="15:46" x14ac:dyDescent="0.35">
      <c r="O49" s="10"/>
      <c r="R49" s="10"/>
      <c r="U49" s="10"/>
      <c r="V49" s="10"/>
      <c r="W49" s="10"/>
      <c r="X49" s="9"/>
      <c r="Y49" s="10"/>
      <c r="Z49" s="10"/>
      <c r="AA49" s="3"/>
      <c r="AB49" s="10"/>
      <c r="AC49" s="10"/>
      <c r="AD49" s="4"/>
      <c r="AE49" s="4"/>
      <c r="AT49" s="10"/>
    </row>
    <row r="50" spans="15:46" x14ac:dyDescent="0.35">
      <c r="O50" s="10"/>
      <c r="R50" s="10"/>
      <c r="U50" s="10"/>
      <c r="V50" s="10"/>
      <c r="W50" s="10"/>
      <c r="X50" s="9"/>
      <c r="Y50" s="10"/>
      <c r="Z50" s="10"/>
      <c r="AA50" s="3"/>
      <c r="AB50" s="10"/>
      <c r="AC50" s="10"/>
      <c r="AD50" s="4"/>
      <c r="AE50" s="4"/>
      <c r="AT50" s="10"/>
    </row>
    <row r="51" spans="15:46" x14ac:dyDescent="0.35">
      <c r="O51" s="10"/>
      <c r="R51" s="10"/>
      <c r="U51" s="10"/>
      <c r="V51" s="10"/>
      <c r="W51" s="10"/>
      <c r="X51" s="9"/>
      <c r="Y51" s="10"/>
      <c r="Z51" s="10"/>
      <c r="AA51" s="3"/>
      <c r="AB51" s="10"/>
      <c r="AC51" s="10"/>
      <c r="AD51" s="4"/>
      <c r="AE51" s="4"/>
      <c r="AT51" s="10"/>
    </row>
    <row r="52" spans="15:46" x14ac:dyDescent="0.35">
      <c r="O52" s="10"/>
      <c r="R52" s="10"/>
      <c r="U52" s="10"/>
      <c r="V52" s="10"/>
      <c r="W52" s="10"/>
      <c r="X52" s="9"/>
      <c r="Y52" s="10"/>
      <c r="Z52" s="10"/>
      <c r="AA52" s="3"/>
      <c r="AB52" s="10"/>
      <c r="AC52" s="10"/>
      <c r="AD52" s="4"/>
      <c r="AE52" s="4"/>
      <c r="AT52" s="10"/>
    </row>
    <row r="53" spans="15:46" x14ac:dyDescent="0.35">
      <c r="O53" s="10"/>
      <c r="R53" s="10"/>
      <c r="U53" s="10"/>
      <c r="V53" s="10"/>
      <c r="W53" s="10"/>
      <c r="X53" s="9"/>
      <c r="Y53" s="10"/>
      <c r="Z53" s="10"/>
      <c r="AA53" s="3"/>
      <c r="AB53" s="10"/>
      <c r="AC53" s="10"/>
      <c r="AD53" s="4"/>
      <c r="AE53" s="4"/>
      <c r="AT53" s="10"/>
    </row>
    <row r="54" spans="15:46" ht="13.5" customHeight="1" x14ac:dyDescent="0.35">
      <c r="O54" s="10"/>
      <c r="R54" s="10"/>
      <c r="U54" s="10"/>
      <c r="V54" s="10"/>
      <c r="W54" s="10"/>
      <c r="X54" s="9"/>
      <c r="Y54" s="10"/>
      <c r="Z54" s="10"/>
      <c r="AA54" s="3"/>
      <c r="AB54" s="10"/>
      <c r="AC54" s="10"/>
      <c r="AD54" s="4"/>
      <c r="AE54" s="4"/>
      <c r="AT54" s="10"/>
    </row>
    <row r="55" spans="15:46" x14ac:dyDescent="0.35">
      <c r="O55" s="10"/>
      <c r="R55" s="10"/>
      <c r="U55" s="10"/>
      <c r="V55" s="10"/>
      <c r="W55" s="10"/>
      <c r="X55" s="9"/>
      <c r="Y55" s="10"/>
      <c r="Z55" s="10"/>
      <c r="AA55" s="3"/>
      <c r="AB55" s="10"/>
      <c r="AC55" s="10"/>
      <c r="AD55" s="4"/>
      <c r="AE55" s="4"/>
      <c r="AT55" s="10"/>
    </row>
    <row r="56" spans="15:46" x14ac:dyDescent="0.35">
      <c r="O56" s="10"/>
      <c r="R56" s="10"/>
      <c r="U56" s="10"/>
      <c r="V56" s="10"/>
      <c r="W56" s="10"/>
      <c r="X56" s="9"/>
      <c r="Y56" s="10"/>
      <c r="Z56" s="10"/>
      <c r="AA56" s="3"/>
      <c r="AB56" s="10"/>
      <c r="AC56" s="10"/>
      <c r="AD56" s="4"/>
      <c r="AE56" s="4"/>
      <c r="AT56" s="10"/>
    </row>
    <row r="57" spans="15:46" x14ac:dyDescent="0.35">
      <c r="O57" s="10"/>
      <c r="R57" s="10"/>
      <c r="U57" s="10"/>
      <c r="V57" s="10"/>
      <c r="W57" s="10"/>
      <c r="X57" s="9"/>
      <c r="Y57" s="10"/>
      <c r="Z57" s="10"/>
      <c r="AA57" s="3"/>
      <c r="AB57" s="10"/>
      <c r="AC57" s="10"/>
      <c r="AD57" s="4"/>
      <c r="AE57" s="4"/>
      <c r="AT57" s="10"/>
    </row>
    <row r="58" spans="15:46" x14ac:dyDescent="0.35">
      <c r="O58" s="10"/>
      <c r="R58" s="10"/>
      <c r="U58" s="10"/>
      <c r="V58" s="10"/>
      <c r="W58" s="10"/>
      <c r="X58" s="9"/>
      <c r="Y58" s="10"/>
      <c r="Z58" s="10"/>
      <c r="AA58" s="3"/>
      <c r="AB58" s="10"/>
      <c r="AC58" s="10"/>
      <c r="AD58" s="4"/>
      <c r="AE58" s="4"/>
      <c r="AT58" s="10"/>
    </row>
    <row r="59" spans="15:46" x14ac:dyDescent="0.35">
      <c r="O59" s="10"/>
      <c r="R59" s="10"/>
      <c r="U59" s="10"/>
      <c r="V59" s="10"/>
      <c r="W59" s="10"/>
      <c r="X59" s="9"/>
      <c r="Y59" s="10"/>
      <c r="Z59" s="10"/>
      <c r="AA59" s="3"/>
      <c r="AB59" s="10"/>
      <c r="AC59" s="10"/>
      <c r="AD59" s="4"/>
      <c r="AE59" s="4"/>
      <c r="AT59" s="10"/>
    </row>
    <row r="60" spans="15:46" x14ac:dyDescent="0.35">
      <c r="O60" s="10"/>
      <c r="R60" s="10"/>
      <c r="U60" s="10"/>
      <c r="V60" s="10"/>
      <c r="W60" s="10"/>
      <c r="X60" s="9"/>
      <c r="Y60" s="10"/>
      <c r="Z60" s="10"/>
      <c r="AA60" s="3"/>
      <c r="AB60" s="10"/>
      <c r="AC60" s="10"/>
      <c r="AD60" s="4"/>
      <c r="AE60" s="4"/>
      <c r="AT60" s="10"/>
    </row>
    <row r="61" spans="15:46" x14ac:dyDescent="0.35">
      <c r="O61" s="10"/>
      <c r="R61" s="10"/>
      <c r="U61" s="10"/>
      <c r="V61" s="10"/>
      <c r="W61" s="10"/>
      <c r="X61" s="9"/>
      <c r="Y61" s="10"/>
      <c r="Z61" s="10"/>
      <c r="AA61" s="3"/>
      <c r="AB61" s="10"/>
      <c r="AC61" s="10"/>
      <c r="AD61" s="4"/>
      <c r="AE61" s="4"/>
      <c r="AT61" s="10"/>
    </row>
    <row r="62" spans="15:46" x14ac:dyDescent="0.35">
      <c r="O62" s="10"/>
      <c r="R62" s="10"/>
      <c r="U62" s="10"/>
      <c r="V62" s="10"/>
      <c r="W62" s="10"/>
      <c r="X62" s="9"/>
      <c r="Y62" s="10"/>
      <c r="Z62" s="10"/>
      <c r="AA62" s="3"/>
      <c r="AB62" s="10"/>
      <c r="AC62" s="10"/>
      <c r="AD62" s="4"/>
      <c r="AE62" s="4"/>
      <c r="AT62" s="10"/>
    </row>
    <row r="63" spans="15:46" x14ac:dyDescent="0.35">
      <c r="O63" s="10"/>
      <c r="R63" s="10"/>
      <c r="U63" s="10"/>
      <c r="V63" s="10"/>
      <c r="W63" s="10"/>
      <c r="X63" s="9"/>
      <c r="Y63" s="10"/>
      <c r="Z63" s="10"/>
      <c r="AA63" s="3"/>
      <c r="AB63" s="10"/>
      <c r="AC63" s="10"/>
      <c r="AD63" s="4"/>
      <c r="AE63" s="4"/>
      <c r="AT63" s="10"/>
    </row>
    <row r="64" spans="15:46" x14ac:dyDescent="0.35">
      <c r="O64" s="10"/>
      <c r="R64" s="10"/>
      <c r="U64" s="10"/>
      <c r="V64" s="10"/>
      <c r="W64" s="10"/>
      <c r="X64" s="9"/>
      <c r="Y64" s="10"/>
      <c r="Z64" s="10"/>
      <c r="AA64" s="3"/>
      <c r="AB64" s="10"/>
      <c r="AC64" s="10"/>
      <c r="AD64" s="4"/>
      <c r="AE64" s="4"/>
      <c r="AF64" s="10"/>
      <c r="AT64" s="10"/>
    </row>
    <row r="65" spans="15:46" x14ac:dyDescent="0.35">
      <c r="O65" s="10"/>
      <c r="R65" s="10"/>
      <c r="U65" s="10"/>
      <c r="V65" s="10"/>
      <c r="W65" s="10"/>
      <c r="X65" s="9"/>
      <c r="Y65" s="10"/>
      <c r="Z65" s="10"/>
      <c r="AA65" s="3"/>
      <c r="AB65" s="10"/>
      <c r="AC65" s="10"/>
      <c r="AD65" s="4"/>
      <c r="AE65" s="4"/>
      <c r="AF65" s="10"/>
      <c r="AT65" s="10"/>
    </row>
    <row r="66" spans="15:46" x14ac:dyDescent="0.35">
      <c r="O66" s="10"/>
      <c r="R66" s="10"/>
      <c r="U66" s="10"/>
      <c r="V66" s="10"/>
      <c r="W66" s="10"/>
      <c r="X66" s="9"/>
      <c r="Y66" s="10"/>
      <c r="Z66" s="10"/>
      <c r="AA66" s="3"/>
      <c r="AB66" s="10"/>
      <c r="AC66" s="10"/>
      <c r="AD66" s="4"/>
      <c r="AE66" s="4"/>
      <c r="AF66" s="10"/>
    </row>
    <row r="67" spans="15:46" x14ac:dyDescent="0.35">
      <c r="O67" s="10"/>
      <c r="R67" s="10"/>
      <c r="U67" s="10"/>
      <c r="V67" s="10"/>
      <c r="W67" s="10"/>
      <c r="X67" s="9"/>
      <c r="Y67" s="10"/>
      <c r="Z67" s="10"/>
      <c r="AA67" s="3"/>
      <c r="AB67" s="10"/>
      <c r="AC67" s="10"/>
      <c r="AD67" s="4"/>
      <c r="AE67" s="4"/>
      <c r="AF67" s="10"/>
    </row>
    <row r="68" spans="15:46" x14ac:dyDescent="0.35">
      <c r="O68" s="10"/>
      <c r="R68" s="10"/>
      <c r="U68" s="10"/>
      <c r="V68" s="10"/>
      <c r="W68" s="10"/>
      <c r="X68" s="9"/>
      <c r="Y68" s="10"/>
      <c r="Z68" s="10"/>
      <c r="AA68" s="3"/>
      <c r="AB68" s="10"/>
      <c r="AC68" s="10"/>
      <c r="AD68" s="4"/>
      <c r="AE68" s="4"/>
      <c r="AF68" s="10"/>
    </row>
    <row r="69" spans="15:46" x14ac:dyDescent="0.35">
      <c r="O69" s="10"/>
      <c r="R69" s="10"/>
      <c r="U69" s="10"/>
      <c r="V69" s="10"/>
      <c r="W69" s="10"/>
      <c r="X69" s="9"/>
      <c r="Y69" s="10"/>
      <c r="Z69" s="10"/>
      <c r="AA69" s="3"/>
      <c r="AB69" s="10"/>
      <c r="AC69" s="10"/>
      <c r="AD69" s="4"/>
      <c r="AE69" s="4"/>
      <c r="AT69" s="10"/>
    </row>
    <row r="70" spans="15:46" x14ac:dyDescent="0.35">
      <c r="O70" s="10"/>
      <c r="R70" s="10"/>
      <c r="U70" s="10"/>
      <c r="V70" s="10"/>
      <c r="W70" s="10"/>
      <c r="X70" s="9"/>
      <c r="Y70" s="10"/>
      <c r="Z70" s="10"/>
      <c r="AA70" s="3"/>
      <c r="AB70" s="10"/>
      <c r="AC70" s="10"/>
      <c r="AD70" s="4"/>
      <c r="AE70" s="4"/>
    </row>
    <row r="71" spans="15:46" x14ac:dyDescent="0.35">
      <c r="O71" s="10"/>
      <c r="R71" s="10"/>
      <c r="U71" s="10"/>
      <c r="V71" s="10"/>
      <c r="W71" s="10"/>
      <c r="X71" s="9"/>
      <c r="Y71" s="10"/>
      <c r="Z71" s="10"/>
      <c r="AA71" s="3"/>
      <c r="AB71" s="10"/>
      <c r="AC71" s="10"/>
      <c r="AD71" s="4"/>
      <c r="AE71" s="4"/>
    </row>
    <row r="72" spans="15:46" x14ac:dyDescent="0.35">
      <c r="O72" s="10"/>
      <c r="R72" s="10"/>
      <c r="U72" s="10"/>
      <c r="V72" s="10"/>
      <c r="W72" s="10"/>
      <c r="X72" s="9"/>
      <c r="Y72" s="10"/>
      <c r="Z72" s="10"/>
      <c r="AA72" s="3"/>
      <c r="AB72" s="10"/>
      <c r="AC72" s="10"/>
      <c r="AD72" s="4"/>
      <c r="AE72" s="4"/>
    </row>
    <row r="73" spans="15:46" x14ac:dyDescent="0.35">
      <c r="O73" s="10"/>
      <c r="R73" s="10"/>
      <c r="U73" s="10"/>
      <c r="V73" s="10"/>
      <c r="W73" s="10"/>
      <c r="X73" s="9"/>
      <c r="Y73" s="10"/>
      <c r="Z73" s="10"/>
      <c r="AA73" s="3"/>
      <c r="AB73" s="10"/>
      <c r="AC73" s="10"/>
      <c r="AD73" s="4"/>
      <c r="AE73" s="4"/>
    </row>
    <row r="74" spans="15:46" x14ac:dyDescent="0.35">
      <c r="O74" s="10"/>
      <c r="R74" s="10"/>
      <c r="U74" s="10"/>
      <c r="V74" s="10"/>
      <c r="W74" s="10"/>
      <c r="X74" s="9"/>
      <c r="Y74" s="10"/>
      <c r="Z74" s="10"/>
      <c r="AA74" s="3"/>
      <c r="AB74" s="10"/>
      <c r="AC74" s="10"/>
      <c r="AD74" s="4"/>
      <c r="AE74" s="4"/>
    </row>
    <row r="75" spans="15:46" x14ac:dyDescent="0.35">
      <c r="O75" s="10"/>
      <c r="R75" s="10"/>
      <c r="U75" s="10"/>
      <c r="V75" s="10"/>
      <c r="W75" s="10"/>
      <c r="X75" s="9"/>
      <c r="Y75" s="10"/>
      <c r="Z75" s="10"/>
      <c r="AA75" s="3"/>
      <c r="AB75" s="10"/>
      <c r="AC75" s="10"/>
      <c r="AD75" s="4"/>
      <c r="AE75" s="4"/>
      <c r="AT75" s="10"/>
    </row>
    <row r="76" spans="15:46" x14ac:dyDescent="0.35">
      <c r="O76" s="10"/>
      <c r="R76" s="10"/>
      <c r="U76" s="10"/>
      <c r="V76" s="10"/>
      <c r="W76" s="10"/>
      <c r="X76" s="9"/>
      <c r="Y76" s="10"/>
      <c r="Z76" s="10"/>
      <c r="AA76" s="3"/>
      <c r="AB76" s="10"/>
      <c r="AC76" s="10"/>
      <c r="AD76" s="4"/>
      <c r="AE76" s="4"/>
    </row>
    <row r="77" spans="15:46" x14ac:dyDescent="0.35">
      <c r="O77" s="10"/>
      <c r="R77" s="10"/>
      <c r="U77" s="10"/>
      <c r="V77" s="10"/>
      <c r="W77" s="10"/>
      <c r="X77" s="9"/>
      <c r="Y77" s="10"/>
      <c r="Z77" s="10"/>
      <c r="AA77" s="3"/>
      <c r="AB77" s="10"/>
      <c r="AC77" s="10"/>
      <c r="AD77" s="4"/>
      <c r="AE77" s="4"/>
    </row>
    <row r="78" spans="15:46" x14ac:dyDescent="0.35">
      <c r="O78" s="10"/>
      <c r="R78" s="10"/>
      <c r="U78" s="10"/>
      <c r="V78" s="10"/>
      <c r="W78" s="10"/>
      <c r="X78" s="9"/>
      <c r="Y78" s="10"/>
      <c r="Z78" s="10"/>
      <c r="AA78" s="3"/>
      <c r="AB78" s="10"/>
      <c r="AC78" s="10"/>
      <c r="AD78" s="4"/>
      <c r="AE78" s="4"/>
    </row>
    <row r="79" spans="15:46" x14ac:dyDescent="0.35">
      <c r="O79" s="10"/>
      <c r="R79" s="10"/>
      <c r="U79" s="10"/>
      <c r="V79" s="10"/>
      <c r="W79" s="10"/>
      <c r="X79" s="9"/>
      <c r="Y79" s="10"/>
      <c r="Z79" s="10"/>
      <c r="AA79" s="3"/>
      <c r="AB79" s="10"/>
      <c r="AC79" s="10"/>
      <c r="AD79" s="4"/>
      <c r="AE79" s="4"/>
    </row>
    <row r="80" spans="15:46" x14ac:dyDescent="0.35">
      <c r="O80" s="10"/>
      <c r="R80" s="10"/>
      <c r="U80" s="10"/>
      <c r="V80" s="10"/>
      <c r="W80" s="10"/>
      <c r="X80" s="9"/>
      <c r="Y80" s="10"/>
      <c r="Z80" s="10"/>
      <c r="AA80" s="3"/>
      <c r="AB80" s="10"/>
      <c r="AC80" s="10"/>
      <c r="AD80" s="4"/>
      <c r="AE80" s="4"/>
    </row>
    <row r="81" spans="15:46" x14ac:dyDescent="0.35">
      <c r="O81" s="10"/>
      <c r="R81" s="10"/>
      <c r="U81" s="10"/>
      <c r="V81" s="10"/>
      <c r="W81" s="10"/>
      <c r="X81" s="9"/>
      <c r="Y81" s="10"/>
      <c r="Z81" s="10"/>
      <c r="AA81" s="3"/>
      <c r="AB81" s="10"/>
      <c r="AC81" s="10"/>
      <c r="AD81" s="4"/>
      <c r="AE81" s="4"/>
      <c r="AT81" s="10"/>
    </row>
    <row r="82" spans="15:46" x14ac:dyDescent="0.35">
      <c r="O82" s="10"/>
      <c r="R82" s="10"/>
      <c r="U82" s="10"/>
      <c r="V82" s="10"/>
      <c r="W82" s="10"/>
      <c r="X82" s="9"/>
      <c r="Y82" s="10"/>
      <c r="Z82" s="10"/>
      <c r="AA82" s="3"/>
      <c r="AB82" s="10"/>
      <c r="AC82" s="10"/>
      <c r="AD82" s="4"/>
      <c r="AE82" s="4"/>
    </row>
    <row r="83" spans="15:46" x14ac:dyDescent="0.35">
      <c r="O83" s="10"/>
      <c r="R83" s="10"/>
      <c r="U83" s="10"/>
      <c r="V83" s="10"/>
      <c r="W83" s="10"/>
      <c r="X83" s="9"/>
      <c r="Y83" s="10"/>
      <c r="Z83" s="10"/>
      <c r="AA83" s="3"/>
      <c r="AB83" s="10"/>
      <c r="AC83" s="10"/>
      <c r="AD83" s="4"/>
      <c r="AE83" s="4"/>
    </row>
    <row r="84" spans="15:46" x14ac:dyDescent="0.35">
      <c r="O84" s="10"/>
      <c r="R84" s="10"/>
      <c r="U84" s="10"/>
      <c r="V84" s="10"/>
      <c r="W84" s="10"/>
      <c r="X84" s="9"/>
      <c r="Y84" s="10"/>
      <c r="Z84" s="10"/>
      <c r="AA84" s="3"/>
      <c r="AB84" s="10"/>
      <c r="AC84" s="10"/>
      <c r="AD84" s="4"/>
      <c r="AE84" s="4"/>
    </row>
    <row r="85" spans="15:46" x14ac:dyDescent="0.35">
      <c r="O85" s="10"/>
      <c r="R85" s="10"/>
      <c r="U85" s="10"/>
      <c r="V85" s="10"/>
      <c r="W85" s="10"/>
      <c r="X85" s="9"/>
      <c r="Y85" s="10"/>
      <c r="Z85" s="10"/>
      <c r="AA85" s="3"/>
      <c r="AB85" s="10"/>
      <c r="AC85" s="10"/>
      <c r="AD85" s="4"/>
      <c r="AE85" s="4"/>
    </row>
    <row r="86" spans="15:46" x14ac:dyDescent="0.35">
      <c r="O86" s="10"/>
      <c r="R86" s="10"/>
      <c r="U86" s="10"/>
      <c r="V86" s="10"/>
      <c r="W86" s="10"/>
      <c r="X86" s="9"/>
      <c r="Y86" s="10"/>
      <c r="Z86" s="10"/>
      <c r="AA86" s="3"/>
      <c r="AB86" s="10"/>
      <c r="AC86" s="10"/>
      <c r="AD86" s="4"/>
      <c r="AE86" s="4"/>
    </row>
    <row r="87" spans="15:46" x14ac:dyDescent="0.35">
      <c r="O87" s="10"/>
      <c r="R87" s="10"/>
      <c r="U87" s="10"/>
      <c r="V87" s="10"/>
      <c r="W87" s="10"/>
      <c r="X87" s="9"/>
      <c r="Y87" s="10"/>
      <c r="Z87" s="10"/>
      <c r="AA87" s="3"/>
      <c r="AB87" s="10"/>
      <c r="AC87" s="10"/>
      <c r="AD87" s="4"/>
      <c r="AE87" s="4"/>
      <c r="AT87" s="10"/>
    </row>
    <row r="88" spans="15:46" x14ac:dyDescent="0.35">
      <c r="O88" s="10"/>
      <c r="R88" s="10"/>
      <c r="U88" s="10"/>
      <c r="V88" s="10"/>
      <c r="W88" s="10"/>
      <c r="X88" s="9"/>
      <c r="Y88" s="10"/>
      <c r="Z88" s="10"/>
      <c r="AA88" s="3"/>
      <c r="AB88" s="10"/>
      <c r="AC88" s="10"/>
      <c r="AD88" s="4"/>
      <c r="AE88" s="4"/>
      <c r="AF88" s="10"/>
    </row>
    <row r="89" spans="15:46" x14ac:dyDescent="0.35">
      <c r="O89" s="10"/>
      <c r="R89" s="10"/>
      <c r="U89" s="10"/>
      <c r="V89" s="10"/>
      <c r="W89" s="10"/>
      <c r="X89" s="9"/>
      <c r="Y89" s="10"/>
      <c r="Z89" s="10"/>
      <c r="AA89" s="3"/>
      <c r="AB89" s="10"/>
      <c r="AC89" s="10"/>
      <c r="AD89" s="4"/>
      <c r="AE89" s="4"/>
      <c r="AF89" s="10"/>
    </row>
    <row r="90" spans="15:46" x14ac:dyDescent="0.35">
      <c r="O90" s="10"/>
      <c r="R90" s="10"/>
      <c r="U90" s="10"/>
      <c r="V90" s="10"/>
      <c r="W90" s="10"/>
      <c r="X90" s="9"/>
      <c r="Y90" s="10"/>
      <c r="Z90" s="10"/>
      <c r="AA90" s="3"/>
      <c r="AB90" s="10"/>
      <c r="AC90" s="10"/>
      <c r="AD90" s="4"/>
      <c r="AE90" s="4"/>
      <c r="AF90" s="10"/>
    </row>
    <row r="91" spans="15:46" x14ac:dyDescent="0.35">
      <c r="O91" s="10"/>
      <c r="R91" s="10"/>
      <c r="U91" s="10"/>
      <c r="V91" s="10"/>
      <c r="W91" s="10"/>
      <c r="X91" s="9"/>
      <c r="Y91" s="10"/>
      <c r="Z91" s="10"/>
      <c r="AA91" s="3"/>
      <c r="AB91" s="10"/>
      <c r="AC91" s="10"/>
      <c r="AD91" s="4"/>
      <c r="AE91" s="4"/>
      <c r="AF91" s="10"/>
    </row>
    <row r="92" spans="15:46" x14ac:dyDescent="0.35">
      <c r="O92" s="10"/>
      <c r="R92" s="10"/>
      <c r="U92" s="10"/>
      <c r="V92" s="10"/>
      <c r="W92" s="10"/>
      <c r="X92" s="9"/>
      <c r="Y92" s="10"/>
      <c r="Z92" s="10"/>
      <c r="AA92" s="3"/>
      <c r="AB92" s="10"/>
      <c r="AC92" s="10"/>
      <c r="AD92" s="4"/>
      <c r="AE92" s="4"/>
      <c r="AF92" s="10"/>
    </row>
    <row r="93" spans="15:46" x14ac:dyDescent="0.35">
      <c r="O93" s="10"/>
      <c r="R93" s="10"/>
      <c r="U93" s="10"/>
      <c r="V93" s="10"/>
      <c r="W93" s="10"/>
      <c r="X93" s="9"/>
      <c r="Y93" s="10"/>
      <c r="Z93" s="10"/>
      <c r="AA93" s="3"/>
      <c r="AB93" s="10"/>
      <c r="AC93" s="10"/>
      <c r="AD93" s="4"/>
      <c r="AE93" s="4"/>
    </row>
    <row r="94" spans="15:46" x14ac:dyDescent="0.35">
      <c r="O94" s="10"/>
      <c r="R94" s="10"/>
      <c r="U94" s="10"/>
      <c r="V94" s="10"/>
      <c r="W94" s="10"/>
      <c r="X94" s="9"/>
      <c r="Y94" s="10"/>
      <c r="Z94" s="10"/>
      <c r="AA94" s="3"/>
      <c r="AB94" s="10"/>
      <c r="AC94" s="10"/>
      <c r="AD94" s="4"/>
      <c r="AE94" s="4"/>
    </row>
    <row r="95" spans="15:46" x14ac:dyDescent="0.35">
      <c r="O95" s="10"/>
      <c r="R95" s="10"/>
      <c r="U95" s="10"/>
      <c r="V95" s="10"/>
      <c r="W95" s="10"/>
      <c r="X95" s="9"/>
      <c r="Y95" s="10"/>
      <c r="Z95" s="10"/>
      <c r="AA95" s="3"/>
      <c r="AB95" s="10"/>
      <c r="AC95" s="10"/>
      <c r="AD95" s="4"/>
      <c r="AE95" s="4"/>
    </row>
    <row r="96" spans="15:46" x14ac:dyDescent="0.35">
      <c r="O96" s="10"/>
      <c r="R96" s="10"/>
      <c r="U96" s="10"/>
      <c r="V96" s="10"/>
      <c r="W96" s="10"/>
      <c r="X96" s="9"/>
      <c r="Y96" s="10"/>
      <c r="Z96" s="10"/>
      <c r="AA96" s="3"/>
      <c r="AB96" s="10"/>
      <c r="AC96" s="10"/>
      <c r="AD96" s="4"/>
      <c r="AE96" s="4"/>
    </row>
    <row r="97" spans="15:32" x14ac:dyDescent="0.35">
      <c r="O97" s="10"/>
      <c r="R97" s="10"/>
      <c r="U97" s="10"/>
      <c r="V97" s="10"/>
      <c r="W97" s="10"/>
      <c r="X97" s="9"/>
      <c r="Y97" s="10"/>
      <c r="Z97" s="10"/>
      <c r="AA97" s="3"/>
      <c r="AB97" s="10"/>
      <c r="AC97" s="10"/>
      <c r="AD97" s="4"/>
      <c r="AE97" s="4"/>
    </row>
    <row r="98" spans="15:32" x14ac:dyDescent="0.35">
      <c r="O98" s="10"/>
      <c r="R98" s="10"/>
      <c r="U98" s="10"/>
      <c r="V98" s="10"/>
      <c r="W98" s="10"/>
      <c r="X98" s="9"/>
      <c r="Y98" s="10"/>
      <c r="Z98" s="10"/>
      <c r="AA98" s="3"/>
      <c r="AB98" s="10"/>
      <c r="AC98" s="10"/>
      <c r="AD98" s="4"/>
      <c r="AE98" s="4"/>
    </row>
    <row r="99" spans="15:32" x14ac:dyDescent="0.35">
      <c r="O99" s="10"/>
      <c r="R99" s="10"/>
      <c r="U99" s="10"/>
      <c r="V99" s="10"/>
      <c r="W99" s="10"/>
      <c r="X99" s="9"/>
      <c r="Y99" s="10"/>
      <c r="Z99" s="10"/>
      <c r="AA99" s="3"/>
      <c r="AB99" s="10"/>
      <c r="AC99" s="10"/>
      <c r="AD99" s="4"/>
      <c r="AE99" s="4"/>
    </row>
    <row r="100" spans="15:32" x14ac:dyDescent="0.35">
      <c r="O100" s="10"/>
      <c r="R100" s="10"/>
      <c r="U100" s="10"/>
      <c r="V100" s="10"/>
      <c r="W100" s="10"/>
      <c r="X100" s="9"/>
      <c r="Y100" s="10"/>
      <c r="Z100" s="10"/>
      <c r="AA100" s="3"/>
      <c r="AB100" s="10"/>
      <c r="AC100" s="10"/>
      <c r="AD100" s="4"/>
      <c r="AE100" s="4"/>
    </row>
    <row r="101" spans="15:32" x14ac:dyDescent="0.35">
      <c r="O101" s="10"/>
      <c r="R101" s="10"/>
      <c r="U101" s="10"/>
      <c r="V101" s="10"/>
      <c r="W101" s="10"/>
      <c r="X101" s="9"/>
      <c r="Y101" s="10"/>
      <c r="Z101" s="10"/>
      <c r="AA101" s="3"/>
      <c r="AB101" s="10"/>
      <c r="AC101" s="10"/>
      <c r="AD101" s="4"/>
      <c r="AE101" s="4"/>
    </row>
    <row r="102" spans="15:32" x14ac:dyDescent="0.35">
      <c r="O102" s="10"/>
      <c r="R102" s="10"/>
      <c r="U102" s="10"/>
      <c r="V102" s="10"/>
      <c r="W102" s="10"/>
      <c r="X102" s="9"/>
      <c r="Y102" s="10"/>
      <c r="Z102" s="10"/>
      <c r="AA102" s="3"/>
      <c r="AB102" s="10"/>
      <c r="AC102" s="10"/>
      <c r="AD102" s="4"/>
      <c r="AE102" s="4"/>
    </row>
    <row r="103" spans="15:32" x14ac:dyDescent="0.35">
      <c r="O103" s="10"/>
      <c r="R103" s="10"/>
      <c r="U103" s="10"/>
      <c r="V103" s="10"/>
      <c r="W103" s="10"/>
      <c r="X103" s="9"/>
      <c r="Y103" s="10"/>
      <c r="Z103" s="10"/>
      <c r="AA103" s="3"/>
      <c r="AB103" s="10"/>
      <c r="AC103" s="10"/>
      <c r="AD103" s="4"/>
      <c r="AE103" s="4"/>
    </row>
    <row r="104" spans="15:32" x14ac:dyDescent="0.35">
      <c r="O104" s="10"/>
      <c r="R104" s="10"/>
      <c r="U104" s="10"/>
      <c r="V104" s="10"/>
      <c r="W104" s="10"/>
      <c r="X104" s="9"/>
      <c r="Y104" s="10"/>
      <c r="Z104" s="10"/>
      <c r="AA104" s="3"/>
      <c r="AB104" s="10"/>
      <c r="AC104" s="10"/>
      <c r="AD104" s="4"/>
      <c r="AE104" s="4"/>
    </row>
    <row r="105" spans="15:32" x14ac:dyDescent="0.35">
      <c r="O105" s="10"/>
      <c r="R105" s="10"/>
      <c r="U105" s="10"/>
      <c r="V105" s="10"/>
      <c r="W105" s="10"/>
      <c r="X105" s="9"/>
      <c r="Y105" s="10"/>
      <c r="Z105" s="10"/>
      <c r="AA105" s="3"/>
      <c r="AB105" s="10"/>
      <c r="AC105" s="10"/>
      <c r="AD105" s="4"/>
      <c r="AE105" s="4"/>
    </row>
    <row r="106" spans="15:32" x14ac:dyDescent="0.35">
      <c r="O106" s="10"/>
      <c r="R106" s="10"/>
      <c r="U106" s="10"/>
      <c r="V106" s="10"/>
      <c r="W106" s="10"/>
      <c r="X106" s="9"/>
      <c r="Y106" s="10"/>
      <c r="Z106" s="10"/>
      <c r="AA106" s="3"/>
      <c r="AB106" s="10"/>
      <c r="AC106" s="10"/>
      <c r="AD106" s="4"/>
      <c r="AE106" s="4"/>
    </row>
    <row r="107" spans="15:32" x14ac:dyDescent="0.35">
      <c r="O107" s="10"/>
      <c r="R107" s="10"/>
      <c r="U107" s="10"/>
      <c r="V107" s="10"/>
      <c r="W107" s="10"/>
      <c r="X107" s="9"/>
      <c r="Y107" s="10"/>
      <c r="Z107" s="10"/>
      <c r="AA107" s="3"/>
      <c r="AB107" s="10"/>
      <c r="AC107" s="10"/>
      <c r="AD107" s="4"/>
      <c r="AE107" s="4"/>
    </row>
    <row r="108" spans="15:32" x14ac:dyDescent="0.35">
      <c r="O108" s="10"/>
      <c r="R108" s="10"/>
      <c r="U108" s="10"/>
      <c r="V108" s="10"/>
      <c r="W108" s="10"/>
      <c r="X108" s="9"/>
      <c r="Y108" s="10"/>
      <c r="Z108" s="10"/>
      <c r="AA108" s="3"/>
      <c r="AB108" s="10"/>
      <c r="AC108" s="10"/>
      <c r="AD108" s="4"/>
      <c r="AE108" s="4"/>
    </row>
    <row r="109" spans="15:32" x14ac:dyDescent="0.35">
      <c r="O109" s="10"/>
      <c r="R109" s="10"/>
      <c r="U109" s="10"/>
      <c r="V109" s="10"/>
      <c r="W109" s="10"/>
      <c r="X109" s="9"/>
      <c r="Y109" s="10"/>
      <c r="Z109" s="10"/>
      <c r="AA109" s="3"/>
      <c r="AB109" s="10"/>
      <c r="AC109" s="10"/>
      <c r="AD109" s="4"/>
      <c r="AE109" s="4"/>
    </row>
    <row r="110" spans="15:32" x14ac:dyDescent="0.35">
      <c r="O110" s="10"/>
      <c r="R110" s="10"/>
      <c r="U110" s="10"/>
      <c r="V110" s="10"/>
      <c r="W110" s="10"/>
      <c r="X110" s="9"/>
      <c r="Y110" s="10"/>
      <c r="Z110" s="10"/>
      <c r="AA110" s="3"/>
      <c r="AB110" s="10"/>
      <c r="AC110" s="10"/>
      <c r="AD110" s="4"/>
      <c r="AE110" s="4"/>
    </row>
    <row r="111" spans="15:32" x14ac:dyDescent="0.35">
      <c r="O111" s="10"/>
      <c r="R111" s="10"/>
      <c r="U111" s="10"/>
      <c r="V111" s="10"/>
      <c r="W111" s="10"/>
      <c r="X111" s="9"/>
      <c r="Y111" s="10"/>
      <c r="Z111" s="10"/>
      <c r="AA111" s="3"/>
      <c r="AB111" s="10"/>
      <c r="AC111" s="10"/>
      <c r="AD111" s="4"/>
      <c r="AE111" s="4"/>
    </row>
    <row r="112" spans="15:32" x14ac:dyDescent="0.35">
      <c r="O112" s="10"/>
      <c r="R112" s="10"/>
      <c r="U112" s="10"/>
      <c r="V112" s="10"/>
      <c r="W112" s="10"/>
      <c r="X112" s="9"/>
      <c r="Y112" s="10"/>
      <c r="Z112" s="10"/>
      <c r="AA112" s="3"/>
      <c r="AB112" s="10"/>
      <c r="AC112" s="10"/>
      <c r="AD112" s="4"/>
      <c r="AE112" s="4"/>
      <c r="AF112" s="10"/>
    </row>
    <row r="113" spans="15:32" x14ac:dyDescent="0.35">
      <c r="O113" s="10"/>
      <c r="R113" s="10"/>
      <c r="U113" s="10"/>
      <c r="V113" s="10"/>
      <c r="W113" s="10"/>
      <c r="X113" s="9"/>
      <c r="Y113" s="10"/>
      <c r="Z113" s="10"/>
      <c r="AA113" s="3"/>
      <c r="AB113" s="10"/>
      <c r="AC113" s="10"/>
      <c r="AD113" s="4"/>
      <c r="AE113" s="4"/>
      <c r="AF113" s="10"/>
    </row>
    <row r="114" spans="15:32" x14ac:dyDescent="0.35">
      <c r="O114" s="10"/>
      <c r="R114" s="10"/>
      <c r="U114" s="10"/>
      <c r="V114" s="10"/>
      <c r="W114" s="10"/>
      <c r="X114" s="9"/>
      <c r="Y114" s="10"/>
      <c r="Z114" s="10"/>
      <c r="AA114" s="3"/>
      <c r="AB114" s="10"/>
      <c r="AC114" s="10"/>
      <c r="AD114" s="4"/>
      <c r="AE114" s="4"/>
      <c r="AF114" s="10"/>
    </row>
    <row r="115" spans="15:32" x14ac:dyDescent="0.35">
      <c r="O115" s="10"/>
      <c r="R115" s="10"/>
      <c r="U115" s="10"/>
      <c r="V115" s="10"/>
      <c r="W115" s="10"/>
      <c r="X115" s="9"/>
      <c r="Y115" s="10"/>
      <c r="Z115" s="10"/>
      <c r="AA115" s="3"/>
      <c r="AB115" s="10"/>
      <c r="AC115" s="10"/>
      <c r="AD115" s="4"/>
      <c r="AE115" s="4"/>
      <c r="AF115" s="10"/>
    </row>
    <row r="116" spans="15:32" x14ac:dyDescent="0.35">
      <c r="O116" s="10"/>
      <c r="R116" s="10"/>
      <c r="U116" s="10"/>
      <c r="V116" s="10"/>
      <c r="W116" s="10"/>
      <c r="X116" s="9"/>
      <c r="Y116" s="10"/>
      <c r="Z116" s="10"/>
      <c r="AA116" s="3"/>
      <c r="AB116" s="10"/>
      <c r="AC116" s="10"/>
      <c r="AD116" s="4"/>
      <c r="AE116" s="4"/>
      <c r="AF116" s="10"/>
    </row>
    <row r="117" spans="15:32" x14ac:dyDescent="0.35">
      <c r="O117" s="10"/>
      <c r="R117" s="10"/>
      <c r="U117" s="10"/>
      <c r="V117" s="10"/>
      <c r="W117" s="10"/>
      <c r="X117" s="9"/>
      <c r="Y117" s="10"/>
      <c r="Z117" s="10"/>
      <c r="AA117" s="3"/>
      <c r="AB117" s="10"/>
      <c r="AC117" s="10"/>
      <c r="AD117" s="4"/>
      <c r="AE117" s="4"/>
    </row>
    <row r="118" spans="15:32" x14ac:dyDescent="0.35">
      <c r="O118" s="10"/>
      <c r="R118" s="10"/>
      <c r="U118" s="10"/>
      <c r="V118" s="10"/>
      <c r="W118" s="10"/>
      <c r="X118" s="9"/>
      <c r="Y118" s="10"/>
      <c r="Z118" s="10"/>
      <c r="AA118" s="3"/>
      <c r="AB118" s="10"/>
      <c r="AC118" s="10"/>
      <c r="AD118" s="4"/>
      <c r="AE118" s="4"/>
    </row>
    <row r="119" spans="15:32" x14ac:dyDescent="0.35">
      <c r="O119" s="10"/>
      <c r="R119" s="10"/>
      <c r="U119" s="10"/>
      <c r="V119" s="10"/>
      <c r="W119" s="10"/>
      <c r="X119" s="9"/>
      <c r="Y119" s="10"/>
      <c r="Z119" s="10"/>
      <c r="AA119" s="3"/>
      <c r="AB119" s="10"/>
      <c r="AC119" s="10"/>
      <c r="AD119" s="4"/>
      <c r="AE119" s="4"/>
    </row>
    <row r="120" spans="15:32" x14ac:dyDescent="0.35">
      <c r="O120" s="10"/>
      <c r="R120" s="10"/>
      <c r="U120" s="10"/>
      <c r="V120" s="10"/>
      <c r="W120" s="10"/>
      <c r="X120" s="9"/>
      <c r="Y120" s="10"/>
      <c r="Z120" s="10"/>
      <c r="AA120" s="3"/>
      <c r="AB120" s="10"/>
      <c r="AC120" s="10"/>
      <c r="AD120" s="4"/>
      <c r="AE120" s="4"/>
    </row>
    <row r="121" spans="15:32" x14ac:dyDescent="0.35">
      <c r="O121" s="10"/>
      <c r="R121" s="10"/>
      <c r="U121" s="10"/>
      <c r="V121" s="10"/>
      <c r="W121" s="10"/>
      <c r="X121" s="9"/>
      <c r="Y121" s="10"/>
      <c r="Z121" s="10"/>
      <c r="AA121" s="3"/>
      <c r="AB121" s="10"/>
      <c r="AC121" s="10"/>
      <c r="AD121" s="4"/>
      <c r="AE121" s="4"/>
    </row>
    <row r="122" spans="15:32" x14ac:dyDescent="0.35">
      <c r="O122" s="10"/>
      <c r="R122" s="10"/>
      <c r="U122" s="10"/>
      <c r="V122" s="10"/>
      <c r="W122" s="10"/>
      <c r="X122" s="9"/>
      <c r="Y122" s="10"/>
      <c r="Z122" s="10"/>
      <c r="AA122" s="3"/>
      <c r="AB122" s="10"/>
      <c r="AC122" s="10"/>
      <c r="AD122" s="4"/>
      <c r="AE122" s="4"/>
    </row>
    <row r="123" spans="15:32" x14ac:dyDescent="0.35">
      <c r="O123" s="10"/>
      <c r="R123" s="10"/>
      <c r="U123" s="10"/>
      <c r="V123" s="10"/>
      <c r="W123" s="10"/>
      <c r="X123" s="9"/>
      <c r="Y123" s="10"/>
      <c r="Z123" s="10"/>
      <c r="AA123" s="3"/>
      <c r="AB123" s="10"/>
      <c r="AC123" s="10"/>
      <c r="AD123" s="4"/>
      <c r="AE123" s="4"/>
    </row>
    <row r="124" spans="15:32" x14ac:dyDescent="0.35">
      <c r="O124" s="10"/>
      <c r="R124" s="10"/>
      <c r="U124" s="10"/>
      <c r="V124" s="10"/>
      <c r="W124" s="10"/>
      <c r="X124" s="9"/>
      <c r="Y124" s="10"/>
      <c r="Z124" s="10"/>
      <c r="AA124" s="3"/>
      <c r="AB124" s="10"/>
      <c r="AC124" s="10"/>
      <c r="AD124" s="4"/>
      <c r="AE124" s="4"/>
    </row>
    <row r="125" spans="15:32" x14ac:dyDescent="0.35">
      <c r="O125" s="10"/>
      <c r="R125" s="10"/>
      <c r="U125" s="10"/>
      <c r="V125" s="10"/>
      <c r="W125" s="10"/>
      <c r="X125" s="9"/>
      <c r="Y125" s="10"/>
      <c r="Z125" s="10"/>
      <c r="AA125" s="3"/>
      <c r="AB125" s="10"/>
      <c r="AC125" s="10"/>
      <c r="AD125" s="4"/>
      <c r="AE125" s="4"/>
    </row>
    <row r="126" spans="15:32" x14ac:dyDescent="0.35">
      <c r="O126" s="10"/>
      <c r="R126" s="10"/>
      <c r="U126" s="10"/>
      <c r="V126" s="10"/>
      <c r="W126" s="10"/>
      <c r="X126" s="9"/>
      <c r="Y126" s="10"/>
      <c r="Z126" s="10"/>
      <c r="AA126" s="3"/>
      <c r="AB126" s="10"/>
      <c r="AC126" s="10"/>
      <c r="AD126" s="4"/>
      <c r="AE126" s="4"/>
    </row>
    <row r="127" spans="15:32" x14ac:dyDescent="0.35">
      <c r="O127" s="10"/>
      <c r="R127" s="10"/>
      <c r="U127" s="10"/>
      <c r="V127" s="10"/>
      <c r="W127" s="10"/>
      <c r="X127" s="9"/>
      <c r="Y127" s="10"/>
      <c r="Z127" s="10"/>
      <c r="AA127" s="3"/>
      <c r="AB127" s="10"/>
      <c r="AC127" s="10"/>
      <c r="AD127" s="4"/>
      <c r="AE127" s="4"/>
    </row>
    <row r="128" spans="15:32" x14ac:dyDescent="0.35">
      <c r="O128" s="10"/>
      <c r="R128" s="10"/>
      <c r="U128" s="10"/>
      <c r="V128" s="10"/>
      <c r="W128" s="10"/>
      <c r="X128" s="9"/>
      <c r="Y128" s="10"/>
      <c r="Z128" s="10"/>
      <c r="AA128" s="3"/>
      <c r="AB128" s="10"/>
      <c r="AC128" s="10"/>
      <c r="AD128" s="4"/>
      <c r="AE128" s="4"/>
    </row>
    <row r="129" spans="15:32" x14ac:dyDescent="0.35">
      <c r="O129" s="10"/>
      <c r="R129" s="10"/>
      <c r="U129" s="10"/>
      <c r="V129" s="10"/>
      <c r="W129" s="10"/>
      <c r="X129" s="9"/>
      <c r="Y129" s="10"/>
      <c r="Z129" s="10"/>
      <c r="AA129" s="3"/>
      <c r="AB129" s="10"/>
      <c r="AC129" s="10"/>
      <c r="AD129" s="4"/>
      <c r="AE129" s="4"/>
    </row>
    <row r="130" spans="15:32" x14ac:dyDescent="0.35">
      <c r="O130" s="10"/>
      <c r="R130" s="10"/>
      <c r="U130" s="10"/>
      <c r="V130" s="10"/>
      <c r="W130" s="10"/>
      <c r="X130" s="9"/>
      <c r="Y130" s="10"/>
      <c r="Z130" s="10"/>
      <c r="AA130" s="3"/>
      <c r="AB130" s="10"/>
      <c r="AC130" s="10"/>
      <c r="AD130" s="4"/>
      <c r="AE130" s="4"/>
    </row>
    <row r="131" spans="15:32" x14ac:dyDescent="0.35">
      <c r="O131" s="10"/>
      <c r="R131" s="10"/>
      <c r="U131" s="10"/>
      <c r="V131" s="10"/>
      <c r="W131" s="10"/>
      <c r="X131" s="9"/>
      <c r="Y131" s="10"/>
      <c r="Z131" s="10"/>
      <c r="AA131" s="3"/>
      <c r="AB131" s="10"/>
      <c r="AC131" s="10"/>
      <c r="AD131" s="4"/>
      <c r="AE131" s="4"/>
    </row>
    <row r="132" spans="15:32" x14ac:dyDescent="0.35">
      <c r="O132" s="10"/>
      <c r="R132" s="10"/>
      <c r="U132" s="10"/>
      <c r="V132" s="10"/>
      <c r="W132" s="10"/>
      <c r="X132" s="9"/>
      <c r="Y132" s="10"/>
      <c r="Z132" s="10"/>
      <c r="AA132" s="3"/>
      <c r="AB132" s="10"/>
      <c r="AC132" s="10"/>
      <c r="AD132" s="4"/>
      <c r="AE132" s="4"/>
    </row>
    <row r="133" spans="15:32" x14ac:dyDescent="0.35">
      <c r="O133" s="10"/>
      <c r="R133" s="10"/>
      <c r="U133" s="10"/>
      <c r="V133" s="10"/>
      <c r="W133" s="10"/>
      <c r="X133" s="9"/>
      <c r="Y133" s="10"/>
      <c r="Z133" s="10"/>
      <c r="AA133" s="3"/>
      <c r="AB133" s="10"/>
      <c r="AC133" s="10"/>
      <c r="AD133" s="4"/>
      <c r="AE133" s="4"/>
    </row>
    <row r="134" spans="15:32" x14ac:dyDescent="0.35">
      <c r="O134" s="10"/>
      <c r="R134" s="10"/>
      <c r="U134" s="10"/>
      <c r="V134" s="10"/>
      <c r="W134" s="10"/>
      <c r="X134" s="9"/>
      <c r="Y134" s="10"/>
      <c r="Z134" s="10"/>
      <c r="AA134" s="3"/>
      <c r="AB134" s="10"/>
      <c r="AC134" s="10"/>
      <c r="AD134" s="4"/>
      <c r="AE134" s="4"/>
    </row>
    <row r="135" spans="15:32" x14ac:dyDescent="0.35">
      <c r="O135" s="10"/>
      <c r="R135" s="10"/>
      <c r="U135" s="10"/>
      <c r="V135" s="10"/>
      <c r="W135" s="10"/>
      <c r="X135" s="9"/>
      <c r="Y135" s="10"/>
      <c r="Z135" s="10"/>
      <c r="AA135" s="3"/>
      <c r="AB135" s="10"/>
      <c r="AC135" s="10"/>
      <c r="AD135" s="4"/>
      <c r="AE135" s="4"/>
    </row>
    <row r="136" spans="15:32" x14ac:dyDescent="0.35">
      <c r="O136" s="10"/>
      <c r="R136" s="10"/>
      <c r="U136" s="10"/>
      <c r="V136" s="10"/>
      <c r="W136" s="10"/>
      <c r="X136" s="9"/>
      <c r="Y136" s="10"/>
      <c r="Z136" s="10"/>
      <c r="AA136" s="3"/>
      <c r="AB136" s="10"/>
      <c r="AC136" s="10"/>
      <c r="AD136" s="4"/>
      <c r="AE136" s="4"/>
      <c r="AF136" s="10"/>
    </row>
    <row r="137" spans="15:32" x14ac:dyDescent="0.35">
      <c r="O137" s="10"/>
      <c r="R137" s="10"/>
      <c r="U137" s="10"/>
      <c r="V137" s="10"/>
      <c r="W137" s="10"/>
      <c r="X137" s="9"/>
      <c r="Y137" s="10"/>
      <c r="Z137" s="10"/>
      <c r="AA137" s="3"/>
      <c r="AB137" s="10"/>
      <c r="AC137" s="10"/>
      <c r="AD137" s="4"/>
      <c r="AE137" s="4"/>
      <c r="AF137" s="10"/>
    </row>
    <row r="138" spans="15:32" x14ac:dyDescent="0.35">
      <c r="O138" s="10"/>
      <c r="R138" s="10"/>
      <c r="U138" s="10"/>
      <c r="V138" s="10"/>
      <c r="W138" s="10"/>
      <c r="X138" s="9"/>
      <c r="Y138" s="10"/>
      <c r="Z138" s="10"/>
      <c r="AA138" s="3"/>
      <c r="AB138" s="10"/>
      <c r="AC138" s="10"/>
      <c r="AD138" s="4"/>
      <c r="AE138" s="4"/>
      <c r="AF138" s="10"/>
    </row>
    <row r="139" spans="15:32" x14ac:dyDescent="0.35">
      <c r="O139" s="10"/>
      <c r="R139" s="10"/>
      <c r="U139" s="10"/>
      <c r="V139" s="10"/>
      <c r="W139" s="10"/>
      <c r="X139" s="9"/>
      <c r="Y139" s="10"/>
      <c r="Z139" s="10"/>
      <c r="AA139" s="3"/>
      <c r="AB139" s="10"/>
      <c r="AC139" s="10"/>
      <c r="AD139" s="4"/>
      <c r="AE139" s="4"/>
      <c r="AF139" s="10"/>
    </row>
    <row r="140" spans="15:32" x14ac:dyDescent="0.35">
      <c r="O140" s="10"/>
      <c r="R140" s="10"/>
      <c r="U140" s="10"/>
      <c r="V140" s="10"/>
      <c r="W140" s="10"/>
      <c r="X140" s="9"/>
      <c r="Y140" s="10"/>
      <c r="Z140" s="10"/>
      <c r="AA140" s="3"/>
      <c r="AB140" s="10"/>
      <c r="AC140" s="10"/>
      <c r="AD140" s="4"/>
      <c r="AE140" s="4"/>
      <c r="AF140" s="10"/>
    </row>
    <row r="141" spans="15:32" x14ac:dyDescent="0.35">
      <c r="O141" s="10"/>
      <c r="R141" s="10"/>
      <c r="U141" s="10"/>
      <c r="V141" s="10"/>
      <c r="W141" s="10"/>
      <c r="X141" s="9"/>
      <c r="Y141" s="10"/>
      <c r="Z141" s="10"/>
      <c r="AA141" s="3"/>
      <c r="AB141" s="10"/>
      <c r="AC141" s="10"/>
      <c r="AD141" s="4"/>
      <c r="AE141" s="4"/>
    </row>
    <row r="142" spans="15:32" x14ac:dyDescent="0.35">
      <c r="O142" s="10"/>
      <c r="R142" s="10"/>
      <c r="U142" s="10"/>
      <c r="V142" s="10"/>
      <c r="W142" s="10"/>
      <c r="X142" s="9"/>
      <c r="Y142" s="10"/>
      <c r="Z142" s="10"/>
      <c r="AA142" s="3"/>
      <c r="AB142" s="10"/>
      <c r="AC142" s="10"/>
      <c r="AD142" s="4"/>
      <c r="AE142" s="4"/>
    </row>
    <row r="143" spans="15:32" x14ac:dyDescent="0.35">
      <c r="O143" s="10"/>
      <c r="R143" s="10"/>
      <c r="U143" s="10"/>
      <c r="V143" s="10"/>
      <c r="W143" s="10"/>
      <c r="X143" s="9"/>
      <c r="Y143" s="10"/>
      <c r="Z143" s="10"/>
      <c r="AA143" s="3"/>
      <c r="AB143" s="10"/>
      <c r="AC143" s="10"/>
      <c r="AD143" s="4"/>
      <c r="AE143" s="4"/>
    </row>
    <row r="144" spans="15:32" x14ac:dyDescent="0.35">
      <c r="O144" s="10"/>
      <c r="R144" s="10"/>
      <c r="U144" s="10"/>
      <c r="V144" s="10"/>
      <c r="W144" s="10"/>
      <c r="X144" s="9"/>
      <c r="Y144" s="10"/>
      <c r="Z144" s="10"/>
      <c r="AA144" s="3"/>
      <c r="AB144" s="10"/>
      <c r="AC144" s="10"/>
      <c r="AD144" s="4"/>
      <c r="AE144" s="4"/>
    </row>
    <row r="145" spans="15:31" x14ac:dyDescent="0.35">
      <c r="O145" s="10"/>
      <c r="R145" s="10"/>
      <c r="U145" s="10"/>
      <c r="V145" s="10"/>
      <c r="W145" s="10"/>
      <c r="X145" s="9"/>
      <c r="Y145" s="10"/>
      <c r="Z145" s="10"/>
      <c r="AA145" s="3"/>
      <c r="AB145" s="10"/>
      <c r="AC145" s="10"/>
      <c r="AD145" s="4"/>
      <c r="AE145" s="4"/>
    </row>
    <row r="146" spans="15:31" x14ac:dyDescent="0.35">
      <c r="O146" s="10"/>
      <c r="R146" s="10"/>
      <c r="U146" s="10"/>
      <c r="V146" s="10"/>
      <c r="W146" s="10"/>
      <c r="X146" s="9"/>
      <c r="Y146" s="10"/>
      <c r="Z146" s="10"/>
      <c r="AA146" s="3"/>
      <c r="AB146" s="10"/>
      <c r="AC146" s="10"/>
      <c r="AD146" s="4"/>
      <c r="AE146" s="4"/>
    </row>
    <row r="147" spans="15:31" x14ac:dyDescent="0.35">
      <c r="O147" s="10"/>
      <c r="R147" s="10"/>
      <c r="U147" s="10"/>
      <c r="V147" s="10"/>
      <c r="W147" s="10"/>
      <c r="X147" s="9"/>
      <c r="Y147" s="10"/>
      <c r="Z147" s="10"/>
      <c r="AA147" s="3"/>
      <c r="AB147" s="10"/>
      <c r="AC147" s="10"/>
      <c r="AD147" s="4"/>
      <c r="AE147" s="4"/>
    </row>
    <row r="148" spans="15:31" x14ac:dyDescent="0.35">
      <c r="O148" s="10"/>
      <c r="R148" s="10"/>
      <c r="U148" s="10"/>
      <c r="V148" s="10"/>
      <c r="W148" s="10"/>
      <c r="X148" s="9"/>
      <c r="Y148" s="10"/>
      <c r="Z148" s="10"/>
      <c r="AA148" s="3"/>
      <c r="AB148" s="10"/>
      <c r="AC148" s="10"/>
      <c r="AD148" s="4"/>
      <c r="AE148" s="4"/>
    </row>
    <row r="149" spans="15:31" x14ac:dyDescent="0.35">
      <c r="O149" s="10"/>
      <c r="R149" s="10"/>
      <c r="U149" s="10"/>
      <c r="V149" s="10"/>
      <c r="W149" s="10"/>
      <c r="X149" s="9"/>
      <c r="Y149" s="10"/>
      <c r="Z149" s="10"/>
      <c r="AA149" s="3"/>
      <c r="AB149" s="10"/>
      <c r="AC149" s="10"/>
      <c r="AD149" s="4"/>
      <c r="AE149" s="4"/>
    </row>
    <row r="150" spans="15:31" x14ac:dyDescent="0.35">
      <c r="O150" s="10"/>
      <c r="R150" s="10"/>
      <c r="U150" s="10"/>
      <c r="V150" s="10"/>
      <c r="W150" s="10"/>
      <c r="X150" s="9"/>
      <c r="Y150" s="10"/>
      <c r="Z150" s="10"/>
      <c r="AA150" s="3"/>
      <c r="AB150" s="10"/>
      <c r="AC150" s="10"/>
      <c r="AD150" s="4"/>
      <c r="AE150" s="4"/>
    </row>
    <row r="151" spans="15:31" x14ac:dyDescent="0.35">
      <c r="O151" s="10"/>
      <c r="R151" s="10"/>
      <c r="U151" s="10"/>
      <c r="V151" s="10"/>
      <c r="W151" s="10"/>
      <c r="X151" s="9"/>
      <c r="Y151" s="10"/>
      <c r="Z151" s="10"/>
      <c r="AA151" s="3"/>
      <c r="AB151" s="10"/>
      <c r="AC151" s="10"/>
      <c r="AD151" s="4"/>
      <c r="AE151" s="4"/>
    </row>
    <row r="152" spans="15:31" x14ac:dyDescent="0.35">
      <c r="O152" s="10"/>
      <c r="R152" s="10"/>
      <c r="U152" s="10"/>
      <c r="V152" s="10"/>
      <c r="W152" s="10"/>
      <c r="X152" s="9"/>
      <c r="Y152" s="10"/>
      <c r="Z152" s="10"/>
      <c r="AA152" s="3"/>
      <c r="AB152" s="10"/>
      <c r="AC152" s="10"/>
      <c r="AD152" s="4"/>
      <c r="AE152" s="4"/>
    </row>
    <row r="153" spans="15:31" x14ac:dyDescent="0.35">
      <c r="O153" s="10"/>
      <c r="R153" s="10"/>
      <c r="U153" s="10"/>
      <c r="V153" s="10"/>
      <c r="W153" s="10"/>
      <c r="X153" s="9"/>
      <c r="Y153" s="10"/>
      <c r="Z153" s="10"/>
      <c r="AA153" s="3"/>
      <c r="AB153" s="10"/>
      <c r="AC153" s="10"/>
      <c r="AD153" s="4"/>
      <c r="AE153" s="4"/>
    </row>
    <row r="154" spans="15:31" x14ac:dyDescent="0.35">
      <c r="O154" s="10"/>
      <c r="R154" s="10"/>
      <c r="U154" s="10"/>
      <c r="V154" s="10"/>
      <c r="W154" s="10"/>
      <c r="X154" s="9"/>
      <c r="Y154" s="10"/>
      <c r="Z154" s="10"/>
      <c r="AA154" s="3"/>
      <c r="AB154" s="10"/>
      <c r="AC154" s="10"/>
      <c r="AD154" s="4"/>
      <c r="AE154" s="4"/>
    </row>
    <row r="155" spans="15:31" x14ac:dyDescent="0.35">
      <c r="O155" s="10"/>
      <c r="R155" s="10"/>
      <c r="U155" s="10"/>
      <c r="V155" s="10"/>
      <c r="W155" s="10"/>
      <c r="X155" s="9"/>
      <c r="Y155" s="10"/>
      <c r="Z155" s="10"/>
      <c r="AA155" s="3"/>
      <c r="AB155" s="10"/>
      <c r="AC155" s="10"/>
      <c r="AD155" s="4"/>
      <c r="AE155" s="4"/>
    </row>
  </sheetData>
  <phoneticPr fontId="18" type="noConversion"/>
  <conditionalFormatting sqref="X2:X155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2025-12-01T14:56:01Z</dcterms:modified>
</cp:coreProperties>
</file>