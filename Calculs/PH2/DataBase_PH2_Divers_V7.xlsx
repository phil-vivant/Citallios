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A3C0A90D-1284-4153-809A-56C1F133E858}" xr6:coauthVersionLast="47" xr6:coauthVersionMax="47" xr10:uidLastSave="{00000000-0000-0000-0000-000000000000}"/>
  <bookViews>
    <workbookView xWindow="19080" yWindow="16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" l="1"/>
  <c r="AA74" i="1" l="1"/>
  <c r="AA73" i="1"/>
  <c r="AA72" i="1"/>
  <c r="AA71" i="1"/>
  <c r="AA62" i="1"/>
  <c r="AA61" i="1"/>
  <c r="AA60" i="1"/>
  <c r="AA59" i="1"/>
  <c r="A158" i="1"/>
  <c r="A111" i="1"/>
  <c r="A112" i="1" s="1"/>
  <c r="A113" i="1" s="1"/>
  <c r="A114" i="1" s="1"/>
  <c r="A115" i="1" s="1"/>
  <c r="A116" i="1" s="1"/>
  <c r="Z85" i="1"/>
  <c r="Y85" i="1"/>
  <c r="AD85" i="1" s="1"/>
  <c r="AB83" i="1"/>
  <c r="Z83" i="1"/>
  <c r="AC83" i="1" s="1"/>
  <c r="AC89" i="1" s="1"/>
  <c r="Y83" i="1"/>
  <c r="U67" i="1"/>
  <c r="U66" i="1"/>
  <c r="AC65" i="1"/>
  <c r="D112" i="1"/>
  <c r="E112" i="1"/>
  <c r="F112" i="1"/>
  <c r="J112" i="1"/>
  <c r="K112" i="1"/>
  <c r="L112" i="1"/>
  <c r="M112" i="1"/>
  <c r="N112" i="1"/>
  <c r="P112" i="1"/>
  <c r="Q112" i="1"/>
  <c r="T112" i="1"/>
  <c r="U112" i="1"/>
  <c r="V112" i="1"/>
  <c r="W112" i="1"/>
  <c r="Y112" i="1"/>
  <c r="Z112" i="1"/>
  <c r="AB112" i="1"/>
  <c r="AC112" i="1"/>
  <c r="AD112" i="1"/>
  <c r="AF112" i="1"/>
  <c r="D113" i="1"/>
  <c r="E113" i="1"/>
  <c r="F113" i="1"/>
  <c r="J113" i="1"/>
  <c r="K113" i="1"/>
  <c r="L113" i="1"/>
  <c r="M113" i="1"/>
  <c r="N113" i="1"/>
  <c r="P113" i="1"/>
  <c r="Q113" i="1"/>
  <c r="T113" i="1"/>
  <c r="U113" i="1"/>
  <c r="V113" i="1"/>
  <c r="W113" i="1"/>
  <c r="Y113" i="1"/>
  <c r="Z113" i="1"/>
  <c r="AB113" i="1"/>
  <c r="AC113" i="1"/>
  <c r="AD113" i="1"/>
  <c r="AF113" i="1"/>
  <c r="D114" i="1"/>
  <c r="E114" i="1"/>
  <c r="F114" i="1"/>
  <c r="J114" i="1"/>
  <c r="K114" i="1"/>
  <c r="L114" i="1"/>
  <c r="M114" i="1"/>
  <c r="N114" i="1"/>
  <c r="P114" i="1"/>
  <c r="Q114" i="1"/>
  <c r="T114" i="1"/>
  <c r="U114" i="1"/>
  <c r="V114" i="1"/>
  <c r="W114" i="1"/>
  <c r="Y114" i="1"/>
  <c r="Z114" i="1"/>
  <c r="AB114" i="1"/>
  <c r="AC114" i="1"/>
  <c r="AD114" i="1"/>
  <c r="AF114" i="1"/>
  <c r="D115" i="1"/>
  <c r="E115" i="1"/>
  <c r="F115" i="1"/>
  <c r="J115" i="1"/>
  <c r="K115" i="1"/>
  <c r="L115" i="1"/>
  <c r="M115" i="1"/>
  <c r="N115" i="1"/>
  <c r="P115" i="1"/>
  <c r="Q115" i="1"/>
  <c r="T115" i="1"/>
  <c r="U115" i="1"/>
  <c r="V115" i="1"/>
  <c r="W115" i="1"/>
  <c r="Y115" i="1"/>
  <c r="Z115" i="1"/>
  <c r="AB115" i="1"/>
  <c r="AC115" i="1"/>
  <c r="AD115" i="1"/>
  <c r="AF115" i="1"/>
  <c r="D116" i="1"/>
  <c r="E116" i="1"/>
  <c r="F116" i="1"/>
  <c r="J116" i="1"/>
  <c r="K116" i="1"/>
  <c r="L116" i="1"/>
  <c r="M116" i="1"/>
  <c r="N116" i="1"/>
  <c r="P116" i="1"/>
  <c r="Q116" i="1"/>
  <c r="T116" i="1"/>
  <c r="U116" i="1"/>
  <c r="V116" i="1"/>
  <c r="W116" i="1"/>
  <c r="Y116" i="1"/>
  <c r="Z116" i="1"/>
  <c r="AB116" i="1"/>
  <c r="AC116" i="1"/>
  <c r="AD116" i="1"/>
  <c r="AF116" i="1"/>
  <c r="D136" i="1"/>
  <c r="E136" i="1"/>
  <c r="F136" i="1"/>
  <c r="J136" i="1"/>
  <c r="K136" i="1"/>
  <c r="L136" i="1"/>
  <c r="M136" i="1"/>
  <c r="N136" i="1"/>
  <c r="P136" i="1"/>
  <c r="Q136" i="1"/>
  <c r="T136" i="1"/>
  <c r="U136" i="1"/>
  <c r="V136" i="1"/>
  <c r="W136" i="1"/>
  <c r="Y136" i="1"/>
  <c r="Z136" i="1"/>
  <c r="AB136" i="1"/>
  <c r="AC136" i="1"/>
  <c r="AD136" i="1"/>
  <c r="AF136" i="1"/>
  <c r="D137" i="1"/>
  <c r="E137" i="1"/>
  <c r="F137" i="1"/>
  <c r="J137" i="1"/>
  <c r="K137" i="1"/>
  <c r="L137" i="1"/>
  <c r="M137" i="1"/>
  <c r="N137" i="1"/>
  <c r="P137" i="1"/>
  <c r="Q137" i="1"/>
  <c r="T137" i="1"/>
  <c r="U137" i="1"/>
  <c r="V137" i="1"/>
  <c r="W137" i="1"/>
  <c r="Y137" i="1"/>
  <c r="Z137" i="1"/>
  <c r="AB137" i="1"/>
  <c r="AC137" i="1"/>
  <c r="AD137" i="1"/>
  <c r="AF137" i="1"/>
  <c r="D138" i="1"/>
  <c r="E138" i="1"/>
  <c r="F138" i="1"/>
  <c r="J138" i="1"/>
  <c r="K138" i="1"/>
  <c r="L138" i="1"/>
  <c r="M138" i="1"/>
  <c r="N138" i="1"/>
  <c r="P138" i="1"/>
  <c r="Q138" i="1"/>
  <c r="T138" i="1"/>
  <c r="U138" i="1"/>
  <c r="V138" i="1"/>
  <c r="W138" i="1"/>
  <c r="Y138" i="1"/>
  <c r="Z138" i="1"/>
  <c r="AB138" i="1"/>
  <c r="AC138" i="1"/>
  <c r="AD138" i="1"/>
  <c r="AF138" i="1"/>
  <c r="D139" i="1"/>
  <c r="E139" i="1"/>
  <c r="F139" i="1"/>
  <c r="J139" i="1"/>
  <c r="K139" i="1"/>
  <c r="L139" i="1"/>
  <c r="M139" i="1"/>
  <c r="N139" i="1"/>
  <c r="P139" i="1"/>
  <c r="Q139" i="1"/>
  <c r="T139" i="1"/>
  <c r="U139" i="1"/>
  <c r="V139" i="1"/>
  <c r="W139" i="1"/>
  <c r="Y139" i="1"/>
  <c r="Z139" i="1"/>
  <c r="AB139" i="1"/>
  <c r="AC139" i="1"/>
  <c r="AD139" i="1"/>
  <c r="AF139" i="1"/>
  <c r="D140" i="1"/>
  <c r="E140" i="1"/>
  <c r="F140" i="1"/>
  <c r="J140" i="1"/>
  <c r="K140" i="1"/>
  <c r="L140" i="1"/>
  <c r="M140" i="1"/>
  <c r="N140" i="1"/>
  <c r="P140" i="1"/>
  <c r="Q140" i="1"/>
  <c r="T140" i="1"/>
  <c r="U140" i="1"/>
  <c r="V140" i="1"/>
  <c r="W140" i="1"/>
  <c r="Y140" i="1"/>
  <c r="Z140" i="1"/>
  <c r="AB140" i="1"/>
  <c r="AC140" i="1"/>
  <c r="AD140" i="1"/>
  <c r="AF140" i="1"/>
  <c r="D156" i="1"/>
  <c r="E156" i="1"/>
  <c r="F156" i="1"/>
  <c r="J156" i="1"/>
  <c r="K156" i="1"/>
  <c r="L156" i="1"/>
  <c r="M156" i="1"/>
  <c r="N156" i="1"/>
  <c r="P156" i="1"/>
  <c r="Q156" i="1"/>
  <c r="T156" i="1"/>
  <c r="U156" i="1"/>
  <c r="V156" i="1"/>
  <c r="W156" i="1"/>
  <c r="Y156" i="1"/>
  <c r="Z156" i="1"/>
  <c r="AB156" i="1"/>
  <c r="AC156" i="1"/>
  <c r="AD156" i="1"/>
  <c r="AF156" i="1"/>
  <c r="D157" i="1"/>
  <c r="E157" i="1"/>
  <c r="F157" i="1"/>
  <c r="J157" i="1"/>
  <c r="K157" i="1"/>
  <c r="L157" i="1"/>
  <c r="M157" i="1"/>
  <c r="N157" i="1"/>
  <c r="P157" i="1"/>
  <c r="Q157" i="1"/>
  <c r="T157" i="1"/>
  <c r="U157" i="1"/>
  <c r="V157" i="1"/>
  <c r="W157" i="1"/>
  <c r="Y157" i="1"/>
  <c r="Z157" i="1"/>
  <c r="AB157" i="1"/>
  <c r="AC157" i="1"/>
  <c r="AD157" i="1"/>
  <c r="AF157" i="1"/>
  <c r="D158" i="1"/>
  <c r="E158" i="1"/>
  <c r="F158" i="1"/>
  <c r="J158" i="1"/>
  <c r="K158" i="1"/>
  <c r="L158" i="1"/>
  <c r="M158" i="1"/>
  <c r="N158" i="1"/>
  <c r="P158" i="1"/>
  <c r="Q158" i="1"/>
  <c r="T158" i="1"/>
  <c r="U158" i="1"/>
  <c r="V158" i="1"/>
  <c r="W158" i="1"/>
  <c r="Y158" i="1"/>
  <c r="AD158" i="1" s="1"/>
  <c r="Z158" i="1"/>
  <c r="AB158" i="1"/>
  <c r="AC158" i="1"/>
  <c r="AF158" i="1"/>
  <c r="W92" i="1"/>
  <c r="V92" i="1"/>
  <c r="U92" i="1"/>
  <c r="T92" i="1"/>
  <c r="Q92" i="1"/>
  <c r="P92" i="1"/>
  <c r="N92" i="1"/>
  <c r="M92" i="1"/>
  <c r="L92" i="1"/>
  <c r="K92" i="1"/>
  <c r="J92" i="1"/>
  <c r="F92" i="1"/>
  <c r="E92" i="1"/>
  <c r="D92" i="1"/>
  <c r="Z91" i="1"/>
  <c r="Y91" i="1"/>
  <c r="AD91" i="1" s="1"/>
  <c r="W91" i="1"/>
  <c r="V91" i="1"/>
  <c r="U91" i="1"/>
  <c r="T91" i="1"/>
  <c r="Q91" i="1"/>
  <c r="P91" i="1"/>
  <c r="N91" i="1"/>
  <c r="M91" i="1"/>
  <c r="L91" i="1"/>
  <c r="K91" i="1"/>
  <c r="J91" i="1"/>
  <c r="F91" i="1"/>
  <c r="E91" i="1"/>
  <c r="D91" i="1"/>
  <c r="W90" i="1"/>
  <c r="V90" i="1"/>
  <c r="U90" i="1"/>
  <c r="T90" i="1"/>
  <c r="Q90" i="1"/>
  <c r="P90" i="1"/>
  <c r="N90" i="1"/>
  <c r="M90" i="1"/>
  <c r="L90" i="1"/>
  <c r="K90" i="1"/>
  <c r="J90" i="1"/>
  <c r="F90" i="1"/>
  <c r="E90" i="1"/>
  <c r="D90" i="1"/>
  <c r="Y89" i="1"/>
  <c r="W89" i="1"/>
  <c r="V89" i="1"/>
  <c r="U89" i="1"/>
  <c r="T89" i="1"/>
  <c r="Q89" i="1"/>
  <c r="P89" i="1"/>
  <c r="N89" i="1"/>
  <c r="M89" i="1"/>
  <c r="L89" i="1"/>
  <c r="K89" i="1"/>
  <c r="J89" i="1"/>
  <c r="F89" i="1"/>
  <c r="E89" i="1"/>
  <c r="D89" i="1"/>
  <c r="W88" i="1"/>
  <c r="V88" i="1"/>
  <c r="U88" i="1"/>
  <c r="T88" i="1"/>
  <c r="Q88" i="1"/>
  <c r="P88" i="1"/>
  <c r="N88" i="1"/>
  <c r="M88" i="1"/>
  <c r="L88" i="1"/>
  <c r="K88" i="1"/>
  <c r="J88" i="1"/>
  <c r="F88" i="1"/>
  <c r="E88" i="1"/>
  <c r="D88" i="1"/>
  <c r="D64" i="1"/>
  <c r="E64" i="1"/>
  <c r="F64" i="1"/>
  <c r="J64" i="1"/>
  <c r="K64" i="1"/>
  <c r="L64" i="1"/>
  <c r="M64" i="1"/>
  <c r="N64" i="1"/>
  <c r="P64" i="1"/>
  <c r="Q64" i="1"/>
  <c r="T64" i="1"/>
  <c r="U64" i="1"/>
  <c r="V64" i="1"/>
  <c r="W64" i="1"/>
  <c r="D65" i="1"/>
  <c r="E65" i="1"/>
  <c r="F65" i="1"/>
  <c r="J65" i="1"/>
  <c r="K65" i="1"/>
  <c r="L65" i="1"/>
  <c r="M65" i="1"/>
  <c r="N65" i="1"/>
  <c r="P65" i="1"/>
  <c r="Q65" i="1"/>
  <c r="T65" i="1"/>
  <c r="U65" i="1"/>
  <c r="V65" i="1"/>
  <c r="W65" i="1"/>
  <c r="Y65" i="1"/>
  <c r="Z65" i="1"/>
  <c r="D66" i="1"/>
  <c r="E66" i="1"/>
  <c r="F66" i="1"/>
  <c r="J66" i="1"/>
  <c r="K66" i="1"/>
  <c r="L66" i="1"/>
  <c r="M66" i="1"/>
  <c r="N66" i="1"/>
  <c r="P66" i="1"/>
  <c r="Q66" i="1"/>
  <c r="T66" i="1"/>
  <c r="V66" i="1"/>
  <c r="W66" i="1"/>
  <c r="D67" i="1"/>
  <c r="E67" i="1"/>
  <c r="F67" i="1"/>
  <c r="J67" i="1"/>
  <c r="K67" i="1"/>
  <c r="L67" i="1"/>
  <c r="M67" i="1"/>
  <c r="N67" i="1"/>
  <c r="P67" i="1"/>
  <c r="Q67" i="1"/>
  <c r="T67" i="1"/>
  <c r="V67" i="1"/>
  <c r="W67" i="1"/>
  <c r="Y67" i="1"/>
  <c r="Z67" i="1"/>
  <c r="AD67" i="1" s="1"/>
  <c r="D68" i="1"/>
  <c r="E68" i="1"/>
  <c r="F68" i="1"/>
  <c r="J68" i="1"/>
  <c r="K68" i="1"/>
  <c r="L68" i="1"/>
  <c r="M68" i="1"/>
  <c r="N68" i="1"/>
  <c r="P68" i="1"/>
  <c r="Q68" i="1"/>
  <c r="T68" i="1"/>
  <c r="U68" i="1"/>
  <c r="V68" i="1"/>
  <c r="W68" i="1"/>
  <c r="A117" i="1" l="1"/>
  <c r="A118" i="1" s="1"/>
  <c r="A119" i="1" s="1"/>
  <c r="A120" i="1" s="1"/>
  <c r="A121" i="1" s="1"/>
  <c r="A122" i="1" s="1"/>
  <c r="AF83" i="1"/>
  <c r="AD83" i="1"/>
  <c r="AB89" i="1"/>
  <c r="AF89" i="1" s="1"/>
  <c r="AB85" i="1"/>
  <c r="AC85" i="1"/>
  <c r="AC91" i="1" s="1"/>
  <c r="Z89" i="1"/>
  <c r="AD89" i="1"/>
  <c r="AB65" i="1"/>
  <c r="AF65" i="1" s="1"/>
  <c r="AC67" i="1"/>
  <c r="AD65" i="1"/>
  <c r="C40" i="1"/>
  <c r="D40" i="1"/>
  <c r="E40" i="1"/>
  <c r="F40" i="1"/>
  <c r="J40" i="1"/>
  <c r="K40" i="1"/>
  <c r="L40" i="1"/>
  <c r="M40" i="1"/>
  <c r="N40" i="1"/>
  <c r="P40" i="1"/>
  <c r="Q40" i="1"/>
  <c r="T40" i="1"/>
  <c r="U40" i="1"/>
  <c r="V40" i="1"/>
  <c r="W40" i="1"/>
  <c r="Y40" i="1"/>
  <c r="Z40" i="1"/>
  <c r="AB40" i="1"/>
  <c r="AC40" i="1"/>
  <c r="C41" i="1"/>
  <c r="D41" i="1"/>
  <c r="E41" i="1"/>
  <c r="F41" i="1"/>
  <c r="J41" i="1"/>
  <c r="K41" i="1"/>
  <c r="L41" i="1"/>
  <c r="M41" i="1"/>
  <c r="N41" i="1"/>
  <c r="P41" i="1"/>
  <c r="Q41" i="1"/>
  <c r="T41" i="1"/>
  <c r="U41" i="1"/>
  <c r="V41" i="1"/>
  <c r="W41" i="1"/>
  <c r="Y41" i="1"/>
  <c r="Z41" i="1"/>
  <c r="AB41" i="1"/>
  <c r="AC41" i="1"/>
  <c r="C42" i="1"/>
  <c r="D42" i="1"/>
  <c r="E42" i="1"/>
  <c r="F42" i="1"/>
  <c r="J42" i="1"/>
  <c r="K42" i="1"/>
  <c r="L42" i="1"/>
  <c r="M42" i="1"/>
  <c r="N42" i="1"/>
  <c r="P42" i="1"/>
  <c r="Q42" i="1"/>
  <c r="T42" i="1"/>
  <c r="U42" i="1"/>
  <c r="V42" i="1"/>
  <c r="W42" i="1"/>
  <c r="Y42" i="1"/>
  <c r="Z42" i="1"/>
  <c r="AB42" i="1"/>
  <c r="AC42" i="1"/>
  <c r="C43" i="1"/>
  <c r="D43" i="1"/>
  <c r="E43" i="1"/>
  <c r="F43" i="1"/>
  <c r="J43" i="1"/>
  <c r="K43" i="1"/>
  <c r="L43" i="1"/>
  <c r="M43" i="1"/>
  <c r="N43" i="1"/>
  <c r="P43" i="1"/>
  <c r="Q43" i="1"/>
  <c r="T43" i="1"/>
  <c r="U43" i="1"/>
  <c r="V43" i="1"/>
  <c r="W43" i="1"/>
  <c r="C18" i="1"/>
  <c r="D18" i="1"/>
  <c r="E18" i="1"/>
  <c r="F18" i="1"/>
  <c r="J18" i="1"/>
  <c r="K18" i="1"/>
  <c r="L18" i="1"/>
  <c r="M18" i="1"/>
  <c r="N18" i="1"/>
  <c r="P18" i="1"/>
  <c r="Q18" i="1"/>
  <c r="T18" i="1"/>
  <c r="U18" i="1"/>
  <c r="V18" i="1"/>
  <c r="W18" i="1"/>
  <c r="Y18" i="1"/>
  <c r="Z18" i="1"/>
  <c r="AB18" i="1"/>
  <c r="AC18" i="1"/>
  <c r="AF18" i="1"/>
  <c r="C19" i="1"/>
  <c r="D19" i="1"/>
  <c r="E19" i="1"/>
  <c r="F19" i="1"/>
  <c r="J19" i="1"/>
  <c r="K19" i="1"/>
  <c r="L19" i="1"/>
  <c r="M19" i="1"/>
  <c r="N19" i="1"/>
  <c r="P19" i="1"/>
  <c r="Q19" i="1"/>
  <c r="T19" i="1"/>
  <c r="U19" i="1"/>
  <c r="V19" i="1"/>
  <c r="W19" i="1"/>
  <c r="Y19" i="1"/>
  <c r="Z19" i="1"/>
  <c r="AB19" i="1"/>
  <c r="AC19" i="1"/>
  <c r="AF19" i="1"/>
  <c r="C20" i="1"/>
  <c r="D20" i="1"/>
  <c r="E20" i="1"/>
  <c r="F20" i="1"/>
  <c r="J20" i="1"/>
  <c r="K20" i="1"/>
  <c r="L20" i="1"/>
  <c r="M20" i="1"/>
  <c r="N20" i="1"/>
  <c r="P20" i="1"/>
  <c r="Q20" i="1"/>
  <c r="T20" i="1"/>
  <c r="V20" i="1"/>
  <c r="W20" i="1"/>
  <c r="Y20" i="1"/>
  <c r="Z20" i="1"/>
  <c r="AB20" i="1"/>
  <c r="AC20" i="1"/>
  <c r="AF20" i="1"/>
  <c r="C21" i="1"/>
  <c r="D21" i="1"/>
  <c r="E21" i="1"/>
  <c r="F21" i="1"/>
  <c r="J21" i="1"/>
  <c r="K21" i="1"/>
  <c r="L21" i="1"/>
  <c r="M21" i="1"/>
  <c r="N21" i="1"/>
  <c r="P21" i="1"/>
  <c r="Q21" i="1"/>
  <c r="T21" i="1"/>
  <c r="U21" i="1"/>
  <c r="V21" i="1"/>
  <c r="W21" i="1"/>
  <c r="Y21" i="1"/>
  <c r="Z21" i="1"/>
  <c r="AB21" i="1"/>
  <c r="AC21" i="1"/>
  <c r="AF21" i="1"/>
  <c r="Z123" i="1" l="1"/>
  <c r="A123" i="1"/>
  <c r="A124" i="1" s="1"/>
  <c r="A125" i="1" s="1"/>
  <c r="A126" i="1" s="1"/>
  <c r="A127" i="1" s="1"/>
  <c r="A128" i="1" s="1"/>
  <c r="Y123" i="1"/>
  <c r="Y117" i="1"/>
  <c r="Z117" i="1"/>
  <c r="AB91" i="1"/>
  <c r="AF91" i="1" s="1"/>
  <c r="AF85" i="1"/>
  <c r="AB67" i="1"/>
  <c r="AF67" i="1" s="1"/>
  <c r="AD18" i="1"/>
  <c r="AD20" i="1"/>
  <c r="AD21" i="1"/>
  <c r="AD40" i="1"/>
  <c r="AD19" i="1"/>
  <c r="AD42" i="1"/>
  <c r="AD41" i="1"/>
  <c r="AF42" i="1"/>
  <c r="AF40" i="1"/>
  <c r="AF41" i="1"/>
  <c r="A2" i="1"/>
  <c r="AB117" i="1" l="1"/>
  <c r="AC117" i="1"/>
  <c r="AD117" i="1"/>
  <c r="AB123" i="1"/>
  <c r="AD123" i="1"/>
  <c r="AC123" i="1"/>
  <c r="A129" i="1"/>
  <c r="A130" i="1" s="1"/>
  <c r="A131" i="1" s="1"/>
  <c r="A132" i="1" s="1"/>
  <c r="A133" i="1" s="1"/>
  <c r="A134" i="1" s="1"/>
  <c r="A3" i="1"/>
  <c r="A135" i="1" l="1"/>
  <c r="A136" i="1" s="1"/>
  <c r="A137" i="1" s="1"/>
  <c r="A138" i="1" s="1"/>
  <c r="A139" i="1" s="1"/>
  <c r="A140" i="1" s="1"/>
  <c r="Z135" i="1"/>
  <c r="Y135" i="1"/>
  <c r="Z129" i="1"/>
  <c r="Y129" i="1"/>
  <c r="AF123" i="1"/>
  <c r="AF117" i="1"/>
  <c r="A4" i="1"/>
  <c r="A5" i="1" s="1"/>
  <c r="AB129" i="1" l="1"/>
  <c r="AC129" i="1"/>
  <c r="AD129" i="1"/>
  <c r="AC135" i="1"/>
  <c r="AD135" i="1"/>
  <c r="AB135" i="1"/>
  <c r="AF135" i="1" s="1"/>
  <c r="A141" i="1"/>
  <c r="A142" i="1" s="1"/>
  <c r="A143" i="1" s="1"/>
  <c r="A144" i="1" s="1"/>
  <c r="A145" i="1" s="1"/>
  <c r="A146" i="1" s="1"/>
  <c r="A6" i="1"/>
  <c r="A147" i="1" l="1"/>
  <c r="A148" i="1" s="1"/>
  <c r="A149" i="1" s="1"/>
  <c r="A150" i="1" s="1"/>
  <c r="A151" i="1" s="1"/>
  <c r="Y141" i="1"/>
  <c r="Z141" i="1"/>
  <c r="AF129" i="1"/>
  <c r="A7" i="1"/>
  <c r="AB141" i="1" l="1"/>
  <c r="AC141" i="1"/>
  <c r="AD141" i="1"/>
  <c r="Y151" i="1"/>
  <c r="Z151" i="1"/>
  <c r="A152" i="1"/>
  <c r="A153" i="1" s="1"/>
  <c r="A154" i="1" s="1"/>
  <c r="A155" i="1" s="1"/>
  <c r="Z147" i="1"/>
  <c r="Y147" i="1"/>
  <c r="A8" i="1"/>
  <c r="AB147" i="1" l="1"/>
  <c r="AC147" i="1"/>
  <c r="AD147" i="1"/>
  <c r="Z155" i="1"/>
  <c r="Y155" i="1"/>
  <c r="A156" i="1"/>
  <c r="A157" i="1" s="1"/>
  <c r="AD151" i="1"/>
  <c r="AB151" i="1"/>
  <c r="AC151" i="1"/>
  <c r="AF141" i="1"/>
  <c r="A9" i="1"/>
  <c r="A10" i="1" s="1"/>
  <c r="AF151" i="1" l="1"/>
  <c r="AB155" i="1"/>
  <c r="AC155" i="1"/>
  <c r="AD155" i="1"/>
  <c r="AF147" i="1"/>
  <c r="A11" i="1"/>
  <c r="A12" i="1" s="1"/>
  <c r="AF155" i="1" l="1"/>
  <c r="A13" i="1"/>
  <c r="A14" i="1" s="1"/>
  <c r="A15" i="1" l="1"/>
  <c r="A16" i="1" l="1"/>
  <c r="Z16" i="1" s="1"/>
  <c r="Y16" i="1" l="1"/>
  <c r="A17" i="1"/>
  <c r="A18" i="1" s="1"/>
  <c r="A19" i="1" s="1"/>
  <c r="A20" i="1" s="1"/>
  <c r="A21" i="1" s="1"/>
  <c r="A22" i="1" l="1"/>
  <c r="Z22" i="1" s="1"/>
  <c r="AB16" i="1"/>
  <c r="AC16" i="1"/>
  <c r="AD16" i="1"/>
  <c r="Y17" i="1"/>
  <c r="Z17" i="1"/>
  <c r="Y22" i="1" l="1"/>
  <c r="AB22" i="1" s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B17" i="1"/>
  <c r="AD17" i="1"/>
  <c r="AC17" i="1"/>
  <c r="AF16" i="1"/>
  <c r="AC22" i="1" l="1"/>
  <c r="AD22" i="1"/>
  <c r="Z23" i="1"/>
  <c r="Y23" i="1"/>
  <c r="A37" i="1"/>
  <c r="AF22" i="1"/>
  <c r="AF17" i="1"/>
  <c r="Y43" i="1" l="1"/>
  <c r="AB43" i="1"/>
  <c r="A38" i="1"/>
  <c r="AC23" i="1"/>
  <c r="AB23" i="1"/>
  <c r="AD23" i="1"/>
  <c r="A39" i="1" l="1"/>
  <c r="A40" i="1" s="1"/>
  <c r="A41" i="1" s="1"/>
  <c r="A42" i="1" s="1"/>
  <c r="A43" i="1" s="1"/>
  <c r="Z39" i="1"/>
  <c r="Z38" i="1"/>
  <c r="Y38" i="1"/>
  <c r="Z43" i="1"/>
  <c r="AD43" i="1" s="1"/>
  <c r="AC43" i="1"/>
  <c r="AF43" i="1" s="1"/>
  <c r="AF23" i="1"/>
  <c r="Y39" i="1" l="1"/>
  <c r="A44" i="1"/>
  <c r="Z44" i="1" s="1"/>
  <c r="AB38" i="1"/>
  <c r="AC38" i="1"/>
  <c r="AD38" i="1"/>
  <c r="AB39" i="1"/>
  <c r="AC39" i="1"/>
  <c r="AD39" i="1"/>
  <c r="Y44" i="1" l="1"/>
  <c r="AD44" i="1" s="1"/>
  <c r="A45" i="1"/>
  <c r="AF39" i="1"/>
  <c r="AF38" i="1"/>
  <c r="A46" i="1" l="1"/>
  <c r="A47" i="1" s="1"/>
  <c r="A48" i="1" s="1"/>
  <c r="A49" i="1" s="1"/>
  <c r="A50" i="1" s="1"/>
  <c r="AC44" i="1"/>
  <c r="AB44" i="1"/>
  <c r="AF44" i="1"/>
  <c r="Y45" i="1" l="1"/>
  <c r="AB45" i="1" s="1"/>
  <c r="A51" i="1"/>
  <c r="A52" i="1" s="1"/>
  <c r="A53" i="1" s="1"/>
  <c r="A54" i="1" s="1"/>
  <c r="A55" i="1" s="1"/>
  <c r="A56" i="1" s="1"/>
  <c r="Z45" i="1"/>
  <c r="AC45" i="1" s="1"/>
  <c r="AF45" i="1" s="1"/>
  <c r="AD45" i="1" l="1"/>
  <c r="Z51" i="1"/>
  <c r="Y51" i="1"/>
  <c r="A57" i="1"/>
  <c r="A58" i="1" s="1"/>
  <c r="A59" i="1" l="1"/>
  <c r="Z64" i="1"/>
  <c r="AD51" i="1"/>
  <c r="AB51" i="1"/>
  <c r="AC51" i="1"/>
  <c r="Z57" i="1"/>
  <c r="Y57" i="1"/>
  <c r="AC64" i="1" l="1"/>
  <c r="Y64" i="1"/>
  <c r="AD64" i="1" s="1"/>
  <c r="A60" i="1"/>
  <c r="A61" i="1" s="1"/>
  <c r="Z66" i="1"/>
  <c r="AF51" i="1"/>
  <c r="AC57" i="1"/>
  <c r="AD57" i="1"/>
  <c r="AB57" i="1"/>
  <c r="AF57" i="1" l="1"/>
  <c r="Y66" i="1"/>
  <c r="AD66" i="1" s="1"/>
  <c r="AC66" i="1"/>
  <c r="A62" i="1"/>
  <c r="AB64" i="1"/>
  <c r="AF64" i="1" s="1"/>
  <c r="AB66" i="1" l="1"/>
  <c r="AF66" i="1" s="1"/>
  <c r="A63" i="1"/>
  <c r="Z63" i="1" s="1"/>
  <c r="Y63" i="1"/>
  <c r="AD63" i="1" l="1"/>
  <c r="AC63" i="1"/>
  <c r="AB63" i="1"/>
  <c r="AF63" i="1" s="1"/>
  <c r="A64" i="1"/>
  <c r="A65" i="1" s="1"/>
  <c r="A66" i="1" s="1"/>
  <c r="A67" i="1" s="1"/>
  <c r="A68" i="1" s="1"/>
  <c r="Z68" i="1"/>
  <c r="AC68" i="1" l="1"/>
  <c r="Y68" i="1"/>
  <c r="AD68" i="1" s="1"/>
  <c r="A69" i="1"/>
  <c r="A70" i="1" s="1"/>
  <c r="A71" i="1" s="1"/>
  <c r="A72" i="1" s="1"/>
  <c r="A73" i="1" s="1"/>
  <c r="A74" i="1" s="1"/>
  <c r="Y69" i="1"/>
  <c r="Z69" i="1"/>
  <c r="AC69" i="1" l="1"/>
  <c r="AB69" i="1"/>
  <c r="AF69" i="1" s="1"/>
  <c r="AD69" i="1"/>
  <c r="AB68" i="1"/>
  <c r="AF68" i="1" s="1"/>
  <c r="A75" i="1"/>
  <c r="A76" i="1" s="1"/>
  <c r="A77" i="1" s="1"/>
  <c r="A78" i="1" s="1"/>
  <c r="A79" i="1" s="1"/>
  <c r="A80" i="1" s="1"/>
  <c r="Z75" i="1" l="1"/>
  <c r="A81" i="1"/>
  <c r="A82" i="1" s="1"/>
  <c r="Z81" i="1"/>
  <c r="Y81" i="1"/>
  <c r="Y75" i="1"/>
  <c r="A83" i="1" l="1"/>
  <c r="Y82" i="1"/>
  <c r="Z82" i="1"/>
  <c r="Z88" i="1" s="1"/>
  <c r="AD75" i="1"/>
  <c r="AB75" i="1"/>
  <c r="AC75" i="1"/>
  <c r="AD81" i="1"/>
  <c r="AC81" i="1"/>
  <c r="AB81" i="1"/>
  <c r="AC82" i="1" l="1"/>
  <c r="AC88" i="1" s="1"/>
  <c r="AB82" i="1"/>
  <c r="Y88" i="1"/>
  <c r="AD88" i="1" s="1"/>
  <c r="AD82" i="1"/>
  <c r="A84" i="1"/>
  <c r="A85" i="1" s="1"/>
  <c r="Z84" i="1"/>
  <c r="Z90" i="1" s="1"/>
  <c r="Y84" i="1"/>
  <c r="AF81" i="1"/>
  <c r="AF75" i="1"/>
  <c r="AD84" i="1" l="1"/>
  <c r="AB84" i="1"/>
  <c r="AC84" i="1"/>
  <c r="AC90" i="1" s="1"/>
  <c r="Y90" i="1"/>
  <c r="AD90" i="1" s="1"/>
  <c r="A86" i="1"/>
  <c r="AB88" i="1"/>
  <c r="AF88" i="1" s="1"/>
  <c r="AF82" i="1"/>
  <c r="A87" i="1" l="1"/>
  <c r="Z87" i="1"/>
  <c r="Y87" i="1"/>
  <c r="AB90" i="1"/>
  <c r="AF90" i="1" s="1"/>
  <c r="AF84" i="1"/>
  <c r="AB87" i="1" l="1"/>
  <c r="AC87" i="1"/>
  <c r="AF87" i="1" s="1"/>
  <c r="AD87" i="1"/>
  <c r="A88" i="1"/>
  <c r="A89" i="1" s="1"/>
  <c r="A90" i="1" s="1"/>
  <c r="A91" i="1" s="1"/>
  <c r="A92" i="1" s="1"/>
  <c r="Z86" i="1"/>
  <c r="Z92" i="1" s="1"/>
  <c r="Y86" i="1"/>
  <c r="Y92" i="1" l="1"/>
  <c r="AD92" i="1" s="1"/>
  <c r="AD86" i="1"/>
  <c r="AB86" i="1"/>
  <c r="AC86" i="1"/>
  <c r="AC92" i="1" s="1"/>
  <c r="A93" i="1"/>
  <c r="A94" i="1" s="1"/>
  <c r="A95" i="1" s="1"/>
  <c r="A96" i="1" s="1"/>
  <c r="A97" i="1" s="1"/>
  <c r="A98" i="1" s="1"/>
  <c r="Y93" i="1"/>
  <c r="Z93" i="1"/>
  <c r="AD93" i="1" l="1"/>
  <c r="AB93" i="1"/>
  <c r="AC93" i="1"/>
  <c r="AF93" i="1" s="1"/>
  <c r="A99" i="1"/>
  <c r="A100" i="1" s="1"/>
  <c r="A101" i="1" s="1"/>
  <c r="A102" i="1" s="1"/>
  <c r="A103" i="1" s="1"/>
  <c r="A104" i="1" s="1"/>
  <c r="Z99" i="1"/>
  <c r="Y99" i="1"/>
  <c r="AF86" i="1"/>
  <c r="AB92" i="1"/>
  <c r="AF92" i="1" s="1"/>
  <c r="AB99" i="1" l="1"/>
  <c r="AD99" i="1"/>
  <c r="AC99" i="1"/>
  <c r="A105" i="1"/>
  <c r="A106" i="1" s="1"/>
  <c r="A107" i="1" s="1"/>
  <c r="A108" i="1" s="1"/>
  <c r="A109" i="1" s="1"/>
  <c r="A110" i="1" s="1"/>
  <c r="Y105" i="1"/>
  <c r="Z105" i="1"/>
  <c r="AC105" i="1" s="1"/>
  <c r="AB105" i="1" l="1"/>
  <c r="AF105" i="1" s="1"/>
  <c r="AD105" i="1"/>
  <c r="Z111" i="1"/>
  <c r="Y111" i="1"/>
  <c r="AF99" i="1"/>
  <c r="AD111" i="1" l="1"/>
  <c r="AB111" i="1"/>
  <c r="AC111" i="1"/>
  <c r="AF111" i="1" l="1"/>
</calcChain>
</file>

<file path=xl/sharedStrings.xml><?xml version="1.0" encoding="utf-8"?>
<sst xmlns="http://schemas.openxmlformats.org/spreadsheetml/2006/main" count="496" uniqueCount="59">
  <si>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</si>
  <si>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</si>
  <si>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</si>
  <si>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</si>
  <si>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</si>
  <si>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</si>
  <si>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</si>
  <si>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</si>
  <si>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</si>
  <si>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</si>
  <si>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</si>
  <si>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</si>
  <si>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</si>
  <si>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</si>
  <si>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</si>
  <si>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</si>
  <si>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</si>
  <si>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</si>
  <si>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</si>
  <si>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</t>
  </si>
  <si>
    <t>ID</t>
  </si>
  <si>
    <t>Travée 4</t>
  </si>
  <si>
    <t>Appui 4</t>
  </si>
  <si>
    <t>Travée 5</t>
  </si>
  <si>
    <t>Appui 5</t>
  </si>
  <si>
    <t>Travée 6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</si>
  <si>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</si>
  <si>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</si>
  <si>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</si>
  <si>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</si>
  <si>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</si>
  <si>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</si>
  <si>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</si>
  <si>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</si>
  <si>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</si>
  <si>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</si>
  <si>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</t>
  </si>
  <si>
    <t>Redis</t>
  </si>
  <si>
    <t>Mg+g'_Elas</t>
  </si>
  <si>
    <t>Mq_Elas</t>
  </si>
  <si>
    <t>0</t>
  </si>
  <si>
    <t>File A' - 3</t>
  </si>
  <si>
    <t>-</t>
  </si>
  <si>
    <t>Travée 1</t>
  </si>
  <si>
    <t>Appui 1</t>
  </si>
  <si>
    <t>Travée 2</t>
  </si>
  <si>
    <t>Appui 2</t>
  </si>
  <si>
    <t>Travée 3</t>
  </si>
  <si>
    <t>File A' - 4</t>
  </si>
  <si>
    <t>File A'3 Global</t>
  </si>
  <si>
    <t>File A - 4 _ Global</t>
  </si>
  <si>
    <t>File A - 5 _ Global</t>
  </si>
  <si>
    <t>File A - 6 _ Global</t>
  </si>
  <si>
    <t>File A - 5</t>
  </si>
  <si>
    <t>File A' - 5</t>
  </si>
  <si>
    <t>File A - 6</t>
  </si>
  <si>
    <t>File A' - 6</t>
  </si>
  <si>
    <t>File A - 3 _ Global</t>
  </si>
  <si>
    <t>File A'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</si>
</sst>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0" borderId="0" xfId="0" applyNumberFormat="1"/>
    <xf numFmtId="0" fontId="0" fillId="35" borderId="0" xfId="0" applyFill="1"/>
    <xf numFmtId="0" fontId="0" fillId="36" borderId="0" xfId="0" applyFill="1"/>
    <xf numFmtId="10" fontId="0" fillId="35" borderId="0" xfId="0" applyNumberFormat="1" applyFill="1"/>
    <xf numFmtId="9" fontId="0" fillId="35" borderId="0" xfId="0" applyNumberFormat="1" applyFill="1"/>
    <xf numFmtId="0" fontId="0" fillId="37" borderId="0" xfId="0" applyFill="1"/>
    <xf numFmtId="1" fontId="0" fillId="37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T158"/>
  <sheetViews>
    <sheetView tabSelected="1" topLeftCell="A51" zoomScale="55" zoomScaleNormal="55" workbookViewId="0">
      <pane xSplit="3" topLeftCell="G1" activePane="topRight" state="frozen"/>
      <selection pane="topRight" activeCell="A107" sqref="A107:XFD109"/>
    </sheetView>
  </sheetViews>
  <sheetFormatPr baseColWidth="10" defaultRowHeight="14.5" x14ac:dyDescent="0.35"/>
  <cols>
    <col min="1" max="1" width="9.453125" customWidth="1"/>
    <col min="2" max="2" width="13" customWidth="1"/>
    <col min="3" max="32" width="9.453125" customWidth="1"/>
    <col min="35" max="42" width="11.453125" customWidth="1"/>
    <col min="43" max="43" width="11.453125" collapsed="1"/>
  </cols>
  <sheetData>
    <row r="1" spans="1:46" x14ac:dyDescent="0.35">
      <c r="A1" t="s">
        <v>36</v>
      </c>
      <c r="B1" t="s">
        <v>19</v>
      </c>
      <c r="C1" t="s">
        <v>20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38</v>
      </c>
      <c r="W1" t="s">
        <v>39</v>
      </c>
      <c r="X1" t="s">
        <v>37</v>
      </c>
      <c r="Y1" t="s">
        <v>32</v>
      </c>
      <c r="Z1" t="s">
        <v>33</v>
      </c>
      <c r="AA1" t="s">
        <v>34</v>
      </c>
      <c r="AB1" t="s">
        <v>29</v>
      </c>
      <c r="AC1" t="s">
        <v>31</v>
      </c>
      <c r="AD1" t="s">
        <v>27</v>
      </c>
      <c r="AE1" t="s">
        <v>30</v>
      </c>
      <c r="AF1" t="s">
        <v>28</v>
      </c>
    </row>
    <row r="2" spans="1:46" x14ac:dyDescent="0.35">
      <c r="A2">
        <f>IFERROR(IF(B2=B1,A1,A1+1),1)</f>
        <v>1</v>
      </c>
      <c r="B2" t="s">
        <v>26</v>
      </c>
      <c r="C2" t="s">
        <v>21</v>
      </c>
      <c r="D2">
        <v>25</v>
      </c>
      <c r="E2" t="s">
        <v>18</v>
      </c>
      <c r="F2">
        <v>500</v>
      </c>
      <c r="G2" s="14">
        <v>215000</v>
      </c>
      <c r="H2" s="15">
        <v>1412.67</v>
      </c>
      <c r="I2" s="14">
        <v>1828</v>
      </c>
      <c r="J2">
        <v>1</v>
      </c>
      <c r="K2">
        <v>0.215</v>
      </c>
      <c r="L2">
        <v>2.2000000000000002</v>
      </c>
      <c r="M2">
        <v>2.7999999999999998E-4</v>
      </c>
      <c r="N2">
        <v>0.03</v>
      </c>
      <c r="O2">
        <v>1</v>
      </c>
      <c r="P2">
        <v>0</v>
      </c>
      <c r="Q2">
        <v>0</v>
      </c>
      <c r="R2">
        <v>1</v>
      </c>
      <c r="S2" s="14">
        <v>9.1649999999999992E-5</v>
      </c>
      <c r="T2">
        <v>0</v>
      </c>
      <c r="U2">
        <v>2</v>
      </c>
      <c r="V2">
        <v>5</v>
      </c>
      <c r="W2">
        <v>6.2</v>
      </c>
      <c r="X2" s="8" t="s">
        <v>40</v>
      </c>
      <c r="Y2" s="1">
        <v>2.8</v>
      </c>
      <c r="Z2" s="1">
        <v>5.24</v>
      </c>
      <c r="AA2" s="2">
        <v>0</v>
      </c>
      <c r="AB2" s="1">
        <v>2.8</v>
      </c>
      <c r="AC2" s="1">
        <v>5.24</v>
      </c>
      <c r="AD2" s="3">
        <v>11.64</v>
      </c>
      <c r="AE2" s="3"/>
      <c r="AF2">
        <v>8.0399999999999991</v>
      </c>
      <c r="AT2" s="9"/>
    </row>
    <row r="3" spans="1:46" x14ac:dyDescent="0.35">
      <c r="A3">
        <f t="shared" ref="A3:A18" si="0">IF(B3=B2,A2,A2+1)</f>
        <v>1</v>
      </c>
      <c r="B3" t="s">
        <v>26</v>
      </c>
      <c r="C3" t="s">
        <v>22</v>
      </c>
      <c r="D3">
        <v>25</v>
      </c>
      <c r="E3" t="s">
        <v>18</v>
      </c>
      <c r="F3">
        <v>500</v>
      </c>
      <c r="G3" s="14">
        <v>215000</v>
      </c>
      <c r="H3" s="15">
        <v>1412.67</v>
      </c>
      <c r="I3" s="14">
        <v>1828</v>
      </c>
      <c r="J3">
        <v>1</v>
      </c>
      <c r="K3">
        <v>0.2</v>
      </c>
      <c r="L3">
        <v>2.2000000000000002</v>
      </c>
      <c r="M3">
        <v>1.7852E-3</v>
      </c>
      <c r="N3">
        <v>0.03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 s="10">
        <v>0</v>
      </c>
      <c r="V3">
        <v>55</v>
      </c>
      <c r="W3">
        <v>24</v>
      </c>
      <c r="X3" s="8">
        <v>0.08</v>
      </c>
      <c r="Y3" s="1">
        <v>59.4</v>
      </c>
      <c r="Z3" s="1">
        <v>25.92</v>
      </c>
      <c r="AA3" s="2">
        <v>0</v>
      </c>
      <c r="AB3" s="1">
        <v>59.4</v>
      </c>
      <c r="AC3" s="1">
        <v>25.92</v>
      </c>
      <c r="AD3" s="3">
        <v>119.07</v>
      </c>
      <c r="AE3" s="3"/>
      <c r="AF3">
        <v>85.32</v>
      </c>
      <c r="AT3" s="9"/>
    </row>
    <row r="4" spans="1:46" x14ac:dyDescent="0.35">
      <c r="A4">
        <f t="shared" si="0"/>
        <v>1</v>
      </c>
      <c r="B4" t="s">
        <v>26</v>
      </c>
      <c r="C4" t="s">
        <v>23</v>
      </c>
      <c r="D4">
        <v>25</v>
      </c>
      <c r="E4" t="s">
        <v>18</v>
      </c>
      <c r="F4">
        <v>500</v>
      </c>
      <c r="G4" s="14">
        <v>215000</v>
      </c>
      <c r="H4" s="15">
        <v>1412.67</v>
      </c>
      <c r="I4" s="14">
        <v>1828</v>
      </c>
      <c r="J4">
        <v>1</v>
      </c>
      <c r="K4">
        <v>0.215</v>
      </c>
      <c r="L4">
        <v>2.2000000000000002</v>
      </c>
      <c r="M4">
        <v>5.6539999999999997E-4</v>
      </c>
      <c r="N4">
        <v>0.03</v>
      </c>
      <c r="O4">
        <v>1</v>
      </c>
      <c r="P4">
        <v>0</v>
      </c>
      <c r="Q4">
        <v>0</v>
      </c>
      <c r="R4">
        <v>1</v>
      </c>
      <c r="S4" s="14">
        <v>9.1649999999999992E-5</v>
      </c>
      <c r="T4">
        <v>0</v>
      </c>
      <c r="U4" s="10">
        <v>3</v>
      </c>
      <c r="V4">
        <v>36</v>
      </c>
      <c r="W4">
        <v>14.5</v>
      </c>
      <c r="X4" s="8" t="s">
        <v>40</v>
      </c>
      <c r="Y4" s="1">
        <v>33.799999999999997</v>
      </c>
      <c r="Z4" s="1">
        <v>13.54</v>
      </c>
      <c r="AA4" s="2">
        <v>0</v>
      </c>
      <c r="AB4" s="1">
        <v>33.799999999999997</v>
      </c>
      <c r="AC4" s="1">
        <v>13.54</v>
      </c>
      <c r="AD4" s="3">
        <v>65.94</v>
      </c>
      <c r="AE4" s="3"/>
      <c r="AF4">
        <v>47.339999999999996</v>
      </c>
      <c r="AT4" s="9"/>
    </row>
    <row r="5" spans="1:46" x14ac:dyDescent="0.35">
      <c r="A5">
        <f t="shared" si="0"/>
        <v>1</v>
      </c>
      <c r="B5" t="s">
        <v>26</v>
      </c>
      <c r="C5" t="s">
        <v>24</v>
      </c>
      <c r="D5">
        <v>25</v>
      </c>
      <c r="E5" t="s">
        <v>18</v>
      </c>
      <c r="F5">
        <v>500</v>
      </c>
      <c r="G5" s="14">
        <v>215000</v>
      </c>
      <c r="H5" s="15">
        <v>1412.67</v>
      </c>
      <c r="I5" s="14">
        <v>1828</v>
      </c>
      <c r="J5">
        <v>1</v>
      </c>
      <c r="K5">
        <v>0.23</v>
      </c>
      <c r="L5">
        <v>2.2000000000000002</v>
      </c>
      <c r="M5">
        <v>1.8981000000000002E-3</v>
      </c>
      <c r="N5">
        <v>0.06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 s="10">
        <v>0</v>
      </c>
      <c r="V5">
        <v>80.5</v>
      </c>
      <c r="W5">
        <v>28</v>
      </c>
      <c r="X5" s="8">
        <v>0</v>
      </c>
      <c r="Y5" s="1">
        <v>80.5</v>
      </c>
      <c r="Z5" s="1">
        <v>28</v>
      </c>
      <c r="AA5" s="2">
        <v>0</v>
      </c>
      <c r="AB5" s="1">
        <v>80.5</v>
      </c>
      <c r="AC5" s="1">
        <v>28</v>
      </c>
      <c r="AD5" s="3">
        <v>150.67500000000001</v>
      </c>
      <c r="AE5" s="3"/>
      <c r="AF5">
        <v>108.5</v>
      </c>
      <c r="AT5" s="9"/>
    </row>
    <row r="6" spans="1:46" x14ac:dyDescent="0.35">
      <c r="A6">
        <f t="shared" si="0"/>
        <v>1</v>
      </c>
      <c r="B6" t="s">
        <v>26</v>
      </c>
      <c r="C6" t="s">
        <v>25</v>
      </c>
      <c r="D6">
        <v>25</v>
      </c>
      <c r="E6" t="s">
        <v>18</v>
      </c>
      <c r="F6">
        <v>500</v>
      </c>
      <c r="G6" s="14">
        <v>215000</v>
      </c>
      <c r="H6" s="15">
        <v>1412.67</v>
      </c>
      <c r="I6" s="14">
        <v>1828</v>
      </c>
      <c r="J6">
        <v>1</v>
      </c>
      <c r="K6">
        <v>0.24</v>
      </c>
      <c r="L6">
        <v>2.2000000000000002</v>
      </c>
      <c r="M6">
        <v>5.6570000000000004E-4</v>
      </c>
      <c r="N6">
        <v>0.03</v>
      </c>
      <c r="O6">
        <v>1</v>
      </c>
      <c r="P6">
        <v>0</v>
      </c>
      <c r="Q6">
        <v>0</v>
      </c>
      <c r="R6">
        <v>1</v>
      </c>
      <c r="S6" s="14">
        <v>9.1649999999999992E-5</v>
      </c>
      <c r="T6">
        <v>0</v>
      </c>
      <c r="U6">
        <v>1</v>
      </c>
      <c r="V6">
        <v>21.3</v>
      </c>
      <c r="W6">
        <v>10</v>
      </c>
      <c r="X6" s="8" t="s">
        <v>40</v>
      </c>
      <c r="Y6" s="1">
        <v>21.3</v>
      </c>
      <c r="Z6" s="1">
        <v>10</v>
      </c>
      <c r="AA6" s="2">
        <v>0</v>
      </c>
      <c r="AB6" s="1">
        <v>21.3</v>
      </c>
      <c r="AC6" s="1">
        <v>10</v>
      </c>
      <c r="AD6" s="3">
        <v>43.755000000000003</v>
      </c>
      <c r="AE6" s="3"/>
      <c r="AF6">
        <v>31.3</v>
      </c>
      <c r="AT6" s="9"/>
    </row>
    <row r="7" spans="1:46" x14ac:dyDescent="0.35">
      <c r="A7">
        <f t="shared" si="0"/>
        <v>2</v>
      </c>
      <c r="B7" t="s">
        <v>41</v>
      </c>
      <c r="C7" t="s">
        <v>21</v>
      </c>
      <c r="D7">
        <v>25</v>
      </c>
      <c r="E7" t="s">
        <v>18</v>
      </c>
      <c r="F7">
        <v>500</v>
      </c>
      <c r="G7" s="14">
        <v>215000</v>
      </c>
      <c r="H7" s="15">
        <v>1412.67</v>
      </c>
      <c r="I7" s="14">
        <v>1828</v>
      </c>
      <c r="J7">
        <v>1</v>
      </c>
      <c r="K7">
        <v>0.215</v>
      </c>
      <c r="L7">
        <v>5.3</v>
      </c>
      <c r="M7">
        <v>6.7840000000000001E-4</v>
      </c>
      <c r="N7">
        <v>0.04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 s="1">
        <v>2</v>
      </c>
      <c r="W7">
        <v>16</v>
      </c>
      <c r="X7" s="8" t="s">
        <v>40</v>
      </c>
      <c r="Y7" s="1">
        <v>15.68</v>
      </c>
      <c r="Z7" s="1">
        <v>24.204999999999998</v>
      </c>
      <c r="AA7" s="2">
        <v>0</v>
      </c>
      <c r="AB7" s="1">
        <v>15.68</v>
      </c>
      <c r="AC7" s="1">
        <v>24.204999999999998</v>
      </c>
      <c r="AD7" s="3">
        <v>57.475499999999997</v>
      </c>
      <c r="AE7" s="3"/>
      <c r="AF7">
        <v>39.884999999999998</v>
      </c>
      <c r="AT7" s="9"/>
    </row>
    <row r="8" spans="1:46" x14ac:dyDescent="0.35">
      <c r="A8">
        <f t="shared" si="0"/>
        <v>2</v>
      </c>
      <c r="B8" t="s">
        <v>41</v>
      </c>
      <c r="C8" t="s">
        <v>22</v>
      </c>
      <c r="D8">
        <v>25</v>
      </c>
      <c r="E8" t="s">
        <v>18</v>
      </c>
      <c r="F8">
        <v>500</v>
      </c>
      <c r="G8" s="14">
        <v>215000</v>
      </c>
      <c r="H8" s="15">
        <v>1412.67</v>
      </c>
      <c r="I8" s="14">
        <v>1828</v>
      </c>
      <c r="J8">
        <v>1</v>
      </c>
      <c r="K8">
        <v>0.2</v>
      </c>
      <c r="L8">
        <v>5.3</v>
      </c>
      <c r="M8">
        <v>1.8560000000000001E-4</v>
      </c>
      <c r="N8">
        <v>0.04</v>
      </c>
      <c r="O8">
        <v>1</v>
      </c>
      <c r="P8">
        <v>0</v>
      </c>
      <c r="Q8">
        <v>0</v>
      </c>
      <c r="R8">
        <v>1</v>
      </c>
      <c r="S8" s="14">
        <v>9.1649999999999992E-5</v>
      </c>
      <c r="T8">
        <v>0</v>
      </c>
      <c r="U8">
        <v>4</v>
      </c>
      <c r="V8" s="1">
        <v>36</v>
      </c>
      <c r="W8" s="1">
        <v>20</v>
      </c>
      <c r="X8" s="8">
        <v>-0.76</v>
      </c>
      <c r="Y8" s="1">
        <v>8.64</v>
      </c>
      <c r="Z8" s="1">
        <v>4.8000000000000007</v>
      </c>
      <c r="AA8" s="2">
        <v>0.25</v>
      </c>
      <c r="AB8" s="1">
        <v>6.48</v>
      </c>
      <c r="AC8" s="1">
        <v>6.9600000000000009</v>
      </c>
      <c r="AD8" s="3">
        <v>18.864000000000004</v>
      </c>
      <c r="AE8" s="3"/>
      <c r="AF8">
        <v>13.440000000000001</v>
      </c>
      <c r="AT8" s="9"/>
    </row>
    <row r="9" spans="1:46" x14ac:dyDescent="0.35">
      <c r="A9">
        <f t="shared" si="0"/>
        <v>2</v>
      </c>
      <c r="B9" t="s">
        <v>41</v>
      </c>
      <c r="C9" t="s">
        <v>23</v>
      </c>
      <c r="D9">
        <v>25</v>
      </c>
      <c r="E9" t="s">
        <v>18</v>
      </c>
      <c r="F9">
        <v>500</v>
      </c>
      <c r="G9" s="14">
        <v>215000</v>
      </c>
      <c r="H9" s="15">
        <v>1412.67</v>
      </c>
      <c r="I9" s="14">
        <v>1828</v>
      </c>
      <c r="J9">
        <v>1</v>
      </c>
      <c r="K9">
        <v>0.215</v>
      </c>
      <c r="L9">
        <v>5.3</v>
      </c>
      <c r="M9">
        <v>1.3568E-3</v>
      </c>
      <c r="N9">
        <v>0.04</v>
      </c>
      <c r="O9">
        <v>1</v>
      </c>
      <c r="P9">
        <v>0</v>
      </c>
      <c r="Q9">
        <v>0</v>
      </c>
      <c r="R9">
        <v>1</v>
      </c>
      <c r="S9" s="14">
        <v>9.1649999999999992E-5</v>
      </c>
      <c r="T9">
        <v>0</v>
      </c>
      <c r="U9">
        <v>4</v>
      </c>
      <c r="V9" s="1">
        <v>75</v>
      </c>
      <c r="W9">
        <v>34</v>
      </c>
      <c r="X9" s="8" t="s">
        <v>40</v>
      </c>
      <c r="Y9" s="1">
        <v>104.34</v>
      </c>
      <c r="Z9" s="1">
        <v>50.3</v>
      </c>
      <c r="AA9" s="2">
        <v>0.5</v>
      </c>
      <c r="AB9" s="1">
        <v>52.17</v>
      </c>
      <c r="AC9" s="1">
        <v>102.47</v>
      </c>
      <c r="AD9" s="3">
        <v>216.309</v>
      </c>
      <c r="AE9" s="3"/>
      <c r="AF9">
        <v>154.63999999999999</v>
      </c>
      <c r="AT9" s="9"/>
    </row>
    <row r="10" spans="1:46" x14ac:dyDescent="0.35">
      <c r="A10">
        <f t="shared" si="0"/>
        <v>2</v>
      </c>
      <c r="B10" t="s">
        <v>41</v>
      </c>
      <c r="C10" t="s">
        <v>24</v>
      </c>
      <c r="D10">
        <v>25</v>
      </c>
      <c r="E10" t="s">
        <v>18</v>
      </c>
      <c r="F10">
        <v>500</v>
      </c>
      <c r="G10" s="14">
        <v>215000</v>
      </c>
      <c r="H10" s="15">
        <v>1412.67</v>
      </c>
      <c r="I10" s="14">
        <v>1828</v>
      </c>
      <c r="J10">
        <v>1</v>
      </c>
      <c r="K10">
        <v>0.23</v>
      </c>
      <c r="L10">
        <v>5.3</v>
      </c>
      <c r="M10">
        <v>1.024E-4</v>
      </c>
      <c r="N10">
        <v>6.9999999999999993E-2</v>
      </c>
      <c r="O10">
        <v>1</v>
      </c>
      <c r="P10">
        <v>0</v>
      </c>
      <c r="Q10">
        <v>0</v>
      </c>
      <c r="R10">
        <v>1</v>
      </c>
      <c r="S10" s="14">
        <v>9.1649999999999992E-5</v>
      </c>
      <c r="T10">
        <v>0</v>
      </c>
      <c r="U10">
        <v>4</v>
      </c>
      <c r="V10" s="1">
        <v>36</v>
      </c>
      <c r="W10" s="1">
        <v>20</v>
      </c>
      <c r="X10" s="8">
        <v>-0.87</v>
      </c>
      <c r="Y10" s="1">
        <v>4.68</v>
      </c>
      <c r="Z10" s="1">
        <v>2.6000000000000014</v>
      </c>
      <c r="AA10" s="2">
        <v>0.5</v>
      </c>
      <c r="AB10" s="1">
        <v>2.34</v>
      </c>
      <c r="AC10" s="1">
        <v>4.9400000000000013</v>
      </c>
      <c r="AD10" s="3">
        <v>10.218000000000002</v>
      </c>
      <c r="AE10" s="3"/>
      <c r="AF10">
        <v>7.2800000000000011</v>
      </c>
      <c r="AT10" s="9"/>
    </row>
    <row r="11" spans="1:46" x14ac:dyDescent="0.35">
      <c r="A11">
        <f t="shared" si="0"/>
        <v>2</v>
      </c>
      <c r="B11" t="s">
        <v>41</v>
      </c>
      <c r="C11" t="s">
        <v>25</v>
      </c>
      <c r="D11">
        <v>25</v>
      </c>
      <c r="E11" t="s">
        <v>18</v>
      </c>
      <c r="F11">
        <v>500</v>
      </c>
      <c r="G11" s="14">
        <v>215000</v>
      </c>
      <c r="H11" s="15">
        <v>1412.67</v>
      </c>
      <c r="I11" s="14">
        <v>1828</v>
      </c>
      <c r="J11">
        <v>1</v>
      </c>
      <c r="K11">
        <v>0.24</v>
      </c>
      <c r="L11">
        <v>5.3</v>
      </c>
      <c r="M11">
        <v>1.3621E-3</v>
      </c>
      <c r="N11">
        <v>0.04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 s="1">
        <v>42</v>
      </c>
      <c r="W11" s="1">
        <v>23</v>
      </c>
      <c r="X11" s="8" t="s">
        <v>40</v>
      </c>
      <c r="Y11" s="1">
        <v>57.66</v>
      </c>
      <c r="Z11" s="1">
        <v>31.7</v>
      </c>
      <c r="AA11" s="2">
        <v>0.5</v>
      </c>
      <c r="AB11" s="1">
        <v>28.83</v>
      </c>
      <c r="AC11" s="1">
        <v>60.53</v>
      </c>
      <c r="AD11" s="3">
        <v>125.39099999999999</v>
      </c>
      <c r="AE11" s="3"/>
      <c r="AF11">
        <v>89.36</v>
      </c>
      <c r="AT11" s="9"/>
    </row>
    <row r="12" spans="1:46" x14ac:dyDescent="0.35">
      <c r="A12">
        <f t="shared" si="0"/>
        <v>3</v>
      </c>
      <c r="B12" t="s">
        <v>35</v>
      </c>
      <c r="C12" t="s">
        <v>21</v>
      </c>
      <c r="D12">
        <v>25</v>
      </c>
      <c r="E12" t="s">
        <v>18</v>
      </c>
      <c r="F12">
        <v>500</v>
      </c>
      <c r="G12" s="14">
        <v>215000</v>
      </c>
      <c r="H12" s="15">
        <v>1412.67</v>
      </c>
      <c r="I12" s="14">
        <v>1828</v>
      </c>
      <c r="J12">
        <v>1</v>
      </c>
      <c r="K12">
        <v>0.215</v>
      </c>
      <c r="L12">
        <v>2.2000000000000002</v>
      </c>
      <c r="M12">
        <v>2.7999999999999998E-4</v>
      </c>
      <c r="N12">
        <v>0.03</v>
      </c>
      <c r="O12">
        <v>1</v>
      </c>
      <c r="P12">
        <v>0</v>
      </c>
      <c r="Q12">
        <v>0</v>
      </c>
      <c r="R12">
        <v>1</v>
      </c>
      <c r="S12" s="14">
        <v>9.1649999999999992E-5</v>
      </c>
      <c r="T12">
        <v>0</v>
      </c>
      <c r="U12" s="10">
        <v>3</v>
      </c>
      <c r="V12">
        <v>4</v>
      </c>
      <c r="W12">
        <v>6.6</v>
      </c>
      <c r="X12" s="8" t="s">
        <v>40</v>
      </c>
      <c r="Y12" s="1">
        <v>-1.7749999999999995</v>
      </c>
      <c r="Z12" s="1">
        <v>4.5374999999999996</v>
      </c>
      <c r="AA12" s="4">
        <v>0</v>
      </c>
      <c r="AB12" s="1">
        <v>-1.7749999999999995</v>
      </c>
      <c r="AC12" s="1">
        <v>4.5374999999999996</v>
      </c>
      <c r="AD12" s="3">
        <v>4.41</v>
      </c>
      <c r="AE12" s="3"/>
      <c r="AF12">
        <v>2.7625000000000002</v>
      </c>
      <c r="AT12" s="9"/>
    </row>
    <row r="13" spans="1:46" x14ac:dyDescent="0.35">
      <c r="A13">
        <f t="shared" si="0"/>
        <v>3</v>
      </c>
      <c r="B13" t="s">
        <v>35</v>
      </c>
      <c r="C13" t="s">
        <v>22</v>
      </c>
      <c r="D13">
        <v>25</v>
      </c>
      <c r="E13" t="s">
        <v>18</v>
      </c>
      <c r="F13">
        <v>500</v>
      </c>
      <c r="G13" s="14">
        <v>215000</v>
      </c>
      <c r="H13" s="15">
        <v>1412.67</v>
      </c>
      <c r="I13" s="14">
        <v>1828</v>
      </c>
      <c r="J13">
        <v>1</v>
      </c>
      <c r="K13">
        <v>0.2</v>
      </c>
      <c r="L13">
        <v>2.2000000000000002</v>
      </c>
      <c r="M13">
        <v>2.6300000000000004E-3</v>
      </c>
      <c r="N13">
        <v>0.03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77</v>
      </c>
      <c r="W13">
        <v>27.5</v>
      </c>
      <c r="X13" s="12">
        <v>0.15</v>
      </c>
      <c r="Y13" s="1">
        <v>88.55</v>
      </c>
      <c r="Z13" s="1">
        <v>31.625</v>
      </c>
      <c r="AA13" s="4">
        <v>0.25</v>
      </c>
      <c r="AB13" s="1">
        <v>66.412499999999994</v>
      </c>
      <c r="AC13" s="1">
        <v>53.762500000000003</v>
      </c>
      <c r="AD13" s="3">
        <v>166.98000000000002</v>
      </c>
      <c r="AE13" s="3"/>
      <c r="AF13">
        <v>120.175</v>
      </c>
      <c r="AT13" s="9"/>
    </row>
    <row r="14" spans="1:46" x14ac:dyDescent="0.35">
      <c r="A14">
        <f t="shared" si="0"/>
        <v>3</v>
      </c>
      <c r="B14" t="s">
        <v>35</v>
      </c>
      <c r="C14" t="s">
        <v>23</v>
      </c>
      <c r="D14">
        <v>25</v>
      </c>
      <c r="E14" t="s">
        <v>18</v>
      </c>
      <c r="F14">
        <v>500</v>
      </c>
      <c r="G14" s="14">
        <v>215000</v>
      </c>
      <c r="H14" s="15">
        <v>1412.67</v>
      </c>
      <c r="I14" s="14">
        <v>1828</v>
      </c>
      <c r="J14">
        <v>1</v>
      </c>
      <c r="K14">
        <v>0.215</v>
      </c>
      <c r="L14">
        <v>2.2000000000000002</v>
      </c>
      <c r="M14">
        <v>2.7999999999999998E-4</v>
      </c>
      <c r="N14">
        <v>0.03</v>
      </c>
      <c r="O14">
        <v>1</v>
      </c>
      <c r="P14">
        <v>0</v>
      </c>
      <c r="Q14">
        <v>0</v>
      </c>
      <c r="R14">
        <v>1</v>
      </c>
      <c r="S14" s="14">
        <v>9.1649999999999992E-5</v>
      </c>
      <c r="T14">
        <v>0</v>
      </c>
      <c r="U14" s="10">
        <v>3</v>
      </c>
      <c r="V14">
        <v>38.5</v>
      </c>
      <c r="W14">
        <v>15.4</v>
      </c>
      <c r="X14" s="8" t="s">
        <v>40</v>
      </c>
      <c r="Y14" s="1">
        <v>23.1</v>
      </c>
      <c r="Z14" s="1">
        <v>10.025</v>
      </c>
      <c r="AA14" s="4">
        <v>0.5</v>
      </c>
      <c r="AB14" s="1">
        <v>11.55</v>
      </c>
      <c r="AC14" s="1">
        <v>21.575000000000003</v>
      </c>
      <c r="AD14" s="3">
        <v>46.222500000000004</v>
      </c>
      <c r="AE14" s="3"/>
      <c r="AF14">
        <v>33.125</v>
      </c>
      <c r="AT14" s="9"/>
    </row>
    <row r="15" spans="1:46" x14ac:dyDescent="0.35">
      <c r="A15">
        <f t="shared" si="0"/>
        <v>3</v>
      </c>
      <c r="B15" t="s">
        <v>35</v>
      </c>
      <c r="C15" t="s">
        <v>24</v>
      </c>
      <c r="D15">
        <v>25</v>
      </c>
      <c r="E15" t="s">
        <v>18</v>
      </c>
      <c r="F15">
        <v>500</v>
      </c>
      <c r="G15" s="14">
        <v>215000</v>
      </c>
      <c r="H15" s="15">
        <v>1412.67</v>
      </c>
      <c r="I15" s="14">
        <v>1828</v>
      </c>
      <c r="J15">
        <v>1</v>
      </c>
      <c r="K15">
        <v>0.23</v>
      </c>
      <c r="L15">
        <v>2.2000000000000002</v>
      </c>
      <c r="M15" s="11">
        <v>0</v>
      </c>
      <c r="N15" s="11">
        <v>0.06</v>
      </c>
      <c r="O15">
        <v>1</v>
      </c>
      <c r="P15" s="10">
        <v>3.1400000000000004E-4</v>
      </c>
      <c r="Q15">
        <v>0.04</v>
      </c>
      <c r="R15" s="10">
        <v>6</v>
      </c>
      <c r="S15" s="14">
        <v>9.1649999999999992E-5</v>
      </c>
      <c r="T15">
        <v>0</v>
      </c>
      <c r="U15" s="10">
        <v>0</v>
      </c>
      <c r="V15">
        <v>77</v>
      </c>
      <c r="W15">
        <v>26.5</v>
      </c>
      <c r="X15" s="12">
        <v>0.25</v>
      </c>
      <c r="Y15" s="1">
        <v>96.25</v>
      </c>
      <c r="Z15" s="1">
        <v>33.125</v>
      </c>
      <c r="AA15" s="13">
        <v>1</v>
      </c>
      <c r="AB15" s="1">
        <v>0</v>
      </c>
      <c r="AC15" s="1">
        <v>129.375</v>
      </c>
      <c r="AD15" s="3">
        <v>179.625</v>
      </c>
      <c r="AE15" s="3"/>
      <c r="AF15">
        <v>129.375</v>
      </c>
      <c r="AT15" s="9"/>
    </row>
    <row r="16" spans="1:46" x14ac:dyDescent="0.35">
      <c r="A16">
        <f t="shared" si="0"/>
        <v>4</v>
      </c>
      <c r="B16" t="s">
        <v>42</v>
      </c>
      <c r="D16" s="5">
        <v>25</v>
      </c>
      <c r="E16" s="5" t="s">
        <v>18</v>
      </c>
      <c r="F16" s="5">
        <v>500</v>
      </c>
      <c r="G16" s="6">
        <v>220000</v>
      </c>
      <c r="H16" s="5">
        <v>1576</v>
      </c>
      <c r="I16" s="5">
        <v>1870</v>
      </c>
      <c r="J16" s="5">
        <v>1</v>
      </c>
      <c r="K16" s="5">
        <v>0.2</v>
      </c>
      <c r="L16" s="5">
        <v>2.2000000000000002</v>
      </c>
      <c r="M16" s="5">
        <v>1.0000000000000001E-5</v>
      </c>
      <c r="N16" s="5">
        <v>0.03</v>
      </c>
      <c r="O16" s="5">
        <v>1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7">
        <v>0</v>
      </c>
      <c r="W16" s="7">
        <v>0</v>
      </c>
      <c r="X16" s="5"/>
      <c r="Y16" s="1">
        <f t="shared" ref="Y16:Y17" si="1">IFERROR(IF(ISNUMBER(SEARCH("Appui",C16)),V16+X16*V16,IF(A15&lt;A16,V16-X17*V17/2,IF(A16&lt;A17,V16-(X15*V15)/2,V16-(X17*V17+X15*V15)/2))),0)</f>
        <v>0</v>
      </c>
      <c r="Z16" s="1">
        <f t="shared" ref="Z16:Z17" si="2">IFERROR(IF(ISNUMBER(SEARCH("Appui",C16)),W16+X16*W16,IF(A15&lt;A16,W16-X17*W17/2,IF(A16&lt;A17,W16-(X15*W15)/2,W16-(X17*W17+X15*W15)/2))),0)</f>
        <v>0</v>
      </c>
      <c r="AA16" s="2"/>
      <c r="AB16" s="1">
        <f t="shared" ref="AB16:AB17" si="3">Y16*(1-AA16)</f>
        <v>0</v>
      </c>
      <c r="AC16" s="1">
        <f t="shared" ref="AC16:AC17" si="4">Y16*AA16 + Z16</f>
        <v>0</v>
      </c>
      <c r="AD16" s="3">
        <f t="shared" ref="AD16:AD17" si="5">1.35*Y16+1.5*Z16</f>
        <v>0</v>
      </c>
      <c r="AE16" s="3"/>
      <c r="AF16">
        <f t="shared" ref="AF16:AF17" si="6">AB16+AC16</f>
        <v>0</v>
      </c>
      <c r="AT16" s="9"/>
    </row>
    <row r="17" spans="1:46" x14ac:dyDescent="0.35">
      <c r="A17">
        <f t="shared" si="0"/>
        <v>4</v>
      </c>
      <c r="B17" t="s">
        <v>42</v>
      </c>
      <c r="D17" s="5">
        <v>25</v>
      </c>
      <c r="E17" s="5" t="s">
        <v>18</v>
      </c>
      <c r="F17" s="5">
        <v>500</v>
      </c>
      <c r="G17" s="6">
        <v>220000</v>
      </c>
      <c r="H17" s="5">
        <v>1576</v>
      </c>
      <c r="I17" s="5">
        <v>1870</v>
      </c>
      <c r="J17" s="5">
        <v>1</v>
      </c>
      <c r="K17" s="5">
        <v>0.2</v>
      </c>
      <c r="L17" s="5">
        <v>2.2000000000000002</v>
      </c>
      <c r="M17" s="5">
        <v>1.0000000000000001E-5</v>
      </c>
      <c r="N17" s="5">
        <v>0.03</v>
      </c>
      <c r="O17" s="5">
        <v>1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7">
        <v>0</v>
      </c>
      <c r="W17" s="7">
        <v>0</v>
      </c>
      <c r="X17" s="5"/>
      <c r="Y17" s="1">
        <f t="shared" si="1"/>
        <v>0</v>
      </c>
      <c r="Z17" s="1">
        <f t="shared" si="2"/>
        <v>0</v>
      </c>
      <c r="AA17" s="2"/>
      <c r="AB17" s="1">
        <f t="shared" si="3"/>
        <v>0</v>
      </c>
      <c r="AC17" s="1">
        <f t="shared" si="4"/>
        <v>0</v>
      </c>
      <c r="AD17" s="3">
        <f t="shared" si="5"/>
        <v>0</v>
      </c>
      <c r="AE17" s="3"/>
      <c r="AF17">
        <f t="shared" si="6"/>
        <v>0</v>
      </c>
      <c r="AT17" s="9"/>
    </row>
    <row r="18" spans="1:46" x14ac:dyDescent="0.35">
      <c r="A18">
        <f t="shared" si="0"/>
        <v>5</v>
      </c>
      <c r="B18" t="s">
        <v>49</v>
      </c>
      <c r="C18" t="str">
        <f>C2</f>
        <v>Travée 4</v>
      </c>
      <c r="D18">
        <f>D2</f>
        <v>25</v>
      </c>
      <c r="E18" t="str">
        <f t="shared" ref="E18:J18" si="7">E2</f>
        <v>B</v>
      </c>
      <c r="F18">
        <f t="shared" si="7"/>
        <v>500</v>
      </c>
      <c r="G18" s="14">
        <v>215000</v>
      </c>
      <c r="H18" s="15">
        <v>1412.67</v>
      </c>
      <c r="I18" s="14">
        <v>1828</v>
      </c>
      <c r="J18">
        <f t="shared" si="7"/>
        <v>1</v>
      </c>
      <c r="K18">
        <f>K2</f>
        <v>0.215</v>
      </c>
      <c r="L18">
        <f>L2/2+L7+L12/2</f>
        <v>7.5</v>
      </c>
      <c r="M18">
        <f>(M2*O2)/2+(M7*O7)+(M12*O12)/2</f>
        <v>9.5839999999999988E-4</v>
      </c>
      <c r="N18">
        <f>MAX(N2,N7,N12)</f>
        <v>0.04</v>
      </c>
      <c r="O18" s="9">
        <v>1</v>
      </c>
      <c r="P18">
        <f>(P2*R2)/2+(P7*R7)+(P12*R12)/2</f>
        <v>0</v>
      </c>
      <c r="Q18">
        <f>MAX(Q2,Q7,Q12)</f>
        <v>0</v>
      </c>
      <c r="R18" s="9">
        <v>1</v>
      </c>
      <c r="S18" s="14">
        <v>9.1649999999999992E-5</v>
      </c>
      <c r="T18">
        <f>MAX(T2,T7,T12)</f>
        <v>0</v>
      </c>
      <c r="U18" s="9">
        <f>U2/2+U7+U12/2</f>
        <v>2.5</v>
      </c>
      <c r="V18" s="9">
        <f>V2/2+V7+V12/2</f>
        <v>6.5</v>
      </c>
      <c r="W18" s="9">
        <f>W2/2+W7+W12/2</f>
        <v>22.400000000000002</v>
      </c>
      <c r="X18" s="8">
        <v>0</v>
      </c>
      <c r="Y18" s="9">
        <f>Y2/2+Y7+Y12/2</f>
        <v>16.192499999999999</v>
      </c>
      <c r="Z18" s="9">
        <f>Z2/2+Z7+Z12/2</f>
        <v>29.09375</v>
      </c>
      <c r="AA18" s="2"/>
      <c r="AB18" s="9">
        <f>AB2/2+AB7+AB12/2</f>
        <v>16.192499999999999</v>
      </c>
      <c r="AC18" s="9">
        <f>AC2/2+AC7+AC12/2</f>
        <v>29.09375</v>
      </c>
      <c r="AD18" s="3">
        <f t="shared" ref="AD18:AD23" si="8">1.35*Y18+1.5*Z18</f>
        <v>65.500500000000002</v>
      </c>
      <c r="AE18" s="3"/>
      <c r="AF18">
        <f t="shared" ref="AF18:AF23" si="9">AB18+AC18</f>
        <v>45.286249999999995</v>
      </c>
      <c r="AT18" s="9"/>
    </row>
    <row r="19" spans="1:46" x14ac:dyDescent="0.35">
      <c r="A19">
        <f t="shared" ref="A19:A23" si="10">IF(B19=B18,A18,A18+1)</f>
        <v>5</v>
      </c>
      <c r="B19" t="s">
        <v>49</v>
      </c>
      <c r="C19" t="str">
        <f t="shared" ref="C19:J21" si="11">C3</f>
        <v>Appui 4</v>
      </c>
      <c r="D19">
        <f t="shared" si="11"/>
        <v>25</v>
      </c>
      <c r="E19" t="str">
        <f t="shared" si="11"/>
        <v>B</v>
      </c>
      <c r="F19">
        <f t="shared" si="11"/>
        <v>500</v>
      </c>
      <c r="G19" s="14">
        <v>215000</v>
      </c>
      <c r="H19" s="15">
        <v>1412.67</v>
      </c>
      <c r="I19" s="14">
        <v>1828</v>
      </c>
      <c r="J19">
        <f t="shared" si="11"/>
        <v>1</v>
      </c>
      <c r="K19">
        <f>K3</f>
        <v>0.2</v>
      </c>
      <c r="L19">
        <f t="shared" ref="L19" si="12">L3/2+L8+L13/2</f>
        <v>7.5</v>
      </c>
      <c r="M19">
        <f t="shared" ref="M19:M21" si="13">(M3*O3)/2+(M8*O8)+(M13*O13)/2</f>
        <v>2.3932000000000003E-3</v>
      </c>
      <c r="N19">
        <f t="shared" ref="N19:N21" si="14">MAX(N3,N8,N13)</f>
        <v>0.04</v>
      </c>
      <c r="O19" s="9">
        <v>1</v>
      </c>
      <c r="P19">
        <f t="shared" ref="P19:P21" si="15">(P3*R3)/2+(P8*R8)+(P13*R13)/2</f>
        <v>0</v>
      </c>
      <c r="Q19">
        <f t="shared" ref="Q19:Q21" si="16">MAX(Q3,Q8,Q13)</f>
        <v>0</v>
      </c>
      <c r="R19" s="9">
        <v>1</v>
      </c>
      <c r="S19" s="14">
        <v>9.1649999999999992E-5</v>
      </c>
      <c r="T19">
        <f t="shared" ref="T19:T21" si="17">MAX(T3,T8,T13)</f>
        <v>0</v>
      </c>
      <c r="U19" s="9">
        <f t="shared" ref="U19" si="18">U3/2+U8+U13/2</f>
        <v>4</v>
      </c>
      <c r="V19" s="9">
        <f>V3/2+V8+V13/2</f>
        <v>102</v>
      </c>
      <c r="W19" s="9">
        <f>W3/2+W8+W13/2</f>
        <v>45.75</v>
      </c>
      <c r="X19" s="8">
        <v>0</v>
      </c>
      <c r="Y19" s="9">
        <f>Y3/2+Y8+Y13/2</f>
        <v>82.615000000000009</v>
      </c>
      <c r="Z19" s="9">
        <f>Z3/2+Z8+Z13/2</f>
        <v>33.572500000000005</v>
      </c>
      <c r="AA19" s="2"/>
      <c r="AB19" s="9">
        <f>AB3/2+AB8+AB13/2</f>
        <v>69.38624999999999</v>
      </c>
      <c r="AC19" s="9">
        <f>AC3/2+AC8+AC13/2</f>
        <v>46.801250000000003</v>
      </c>
      <c r="AD19" s="3">
        <f t="shared" si="8"/>
        <v>161.88900000000004</v>
      </c>
      <c r="AE19" s="3"/>
      <c r="AF19">
        <f t="shared" si="9"/>
        <v>116.1875</v>
      </c>
      <c r="AT19" s="9"/>
    </row>
    <row r="20" spans="1:46" x14ac:dyDescent="0.35">
      <c r="A20">
        <f t="shared" si="10"/>
        <v>5</v>
      </c>
      <c r="B20" t="s">
        <v>49</v>
      </c>
      <c r="C20" t="str">
        <f t="shared" si="11"/>
        <v>Travée 5</v>
      </c>
      <c r="D20">
        <f t="shared" si="11"/>
        <v>25</v>
      </c>
      <c r="E20" t="str">
        <f t="shared" si="11"/>
        <v>B</v>
      </c>
      <c r="F20">
        <f t="shared" si="11"/>
        <v>500</v>
      </c>
      <c r="G20" s="14">
        <v>215000</v>
      </c>
      <c r="H20" s="15">
        <v>1412.67</v>
      </c>
      <c r="I20" s="14">
        <v>1828</v>
      </c>
      <c r="J20">
        <f t="shared" si="11"/>
        <v>1</v>
      </c>
      <c r="K20">
        <f>K4</f>
        <v>0.215</v>
      </c>
      <c r="L20">
        <f t="shared" ref="L20" si="19">L4/2+L9+L14/2</f>
        <v>7.5</v>
      </c>
      <c r="M20">
        <f t="shared" si="13"/>
        <v>1.7794999999999998E-3</v>
      </c>
      <c r="N20">
        <f t="shared" si="14"/>
        <v>0.04</v>
      </c>
      <c r="O20" s="9">
        <v>1</v>
      </c>
      <c r="P20">
        <f t="shared" si="15"/>
        <v>0</v>
      </c>
      <c r="Q20">
        <f t="shared" si="16"/>
        <v>0</v>
      </c>
      <c r="R20" s="9">
        <v>1</v>
      </c>
      <c r="S20" s="14">
        <v>9.1649999999999992E-5</v>
      </c>
      <c r="T20">
        <f t="shared" si="17"/>
        <v>0</v>
      </c>
      <c r="U20" s="9">
        <f>U4/2+U9+U14/2</f>
        <v>7</v>
      </c>
      <c r="V20" s="9">
        <f t="shared" ref="U20:V20" si="20">V4/2+V9+V14/2</f>
        <v>112.25</v>
      </c>
      <c r="W20" s="9">
        <f t="shared" ref="W20" si="21">W4/2+W9+W14/2</f>
        <v>48.95</v>
      </c>
      <c r="X20" s="8">
        <v>0</v>
      </c>
      <c r="Y20" s="9">
        <f t="shared" ref="Y20:Z21" si="22">Y4/2+Y9+Y14/2</f>
        <v>132.79000000000002</v>
      </c>
      <c r="Z20" s="9">
        <f t="shared" si="22"/>
        <v>62.082499999999996</v>
      </c>
      <c r="AA20" s="2"/>
      <c r="AB20" s="9">
        <f t="shared" ref="AB20:AC20" si="23">AB4/2+AB9+AB14/2</f>
        <v>74.844999999999999</v>
      </c>
      <c r="AC20" s="9">
        <f t="shared" si="23"/>
        <v>120.0275</v>
      </c>
      <c r="AD20" s="3">
        <f t="shared" si="8"/>
        <v>272.39025000000004</v>
      </c>
      <c r="AE20" s="3"/>
      <c r="AF20">
        <f t="shared" si="9"/>
        <v>194.8725</v>
      </c>
      <c r="AT20" s="9"/>
    </row>
    <row r="21" spans="1:46" x14ac:dyDescent="0.35">
      <c r="A21">
        <f t="shared" si="10"/>
        <v>5</v>
      </c>
      <c r="B21" t="s">
        <v>49</v>
      </c>
      <c r="C21" t="str">
        <f t="shared" si="11"/>
        <v>Appui 5</v>
      </c>
      <c r="D21">
        <f t="shared" si="11"/>
        <v>25</v>
      </c>
      <c r="E21" t="str">
        <f t="shared" si="11"/>
        <v>B</v>
      </c>
      <c r="F21">
        <f t="shared" si="11"/>
        <v>500</v>
      </c>
      <c r="G21" s="14">
        <v>215000</v>
      </c>
      <c r="H21" s="15">
        <v>1412.67</v>
      </c>
      <c r="I21" s="14">
        <v>1828</v>
      </c>
      <c r="J21">
        <f t="shared" si="11"/>
        <v>1</v>
      </c>
      <c r="K21">
        <f>K5</f>
        <v>0.23</v>
      </c>
      <c r="L21">
        <f t="shared" ref="L21" si="24">L5/2+L10+L15/2</f>
        <v>7.5</v>
      </c>
      <c r="M21">
        <f t="shared" si="13"/>
        <v>1.0514500000000002E-3</v>
      </c>
      <c r="N21">
        <f t="shared" si="14"/>
        <v>6.9999999999999993E-2</v>
      </c>
      <c r="O21" s="9">
        <v>1</v>
      </c>
      <c r="P21">
        <f t="shared" si="15"/>
        <v>9.4200000000000013E-4</v>
      </c>
      <c r="Q21">
        <f t="shared" si="16"/>
        <v>0.04</v>
      </c>
      <c r="R21" s="9">
        <v>1</v>
      </c>
      <c r="S21" s="14">
        <v>9.1649999999999992E-5</v>
      </c>
      <c r="T21">
        <f t="shared" si="17"/>
        <v>0</v>
      </c>
      <c r="U21" s="9">
        <f t="shared" ref="U21:V21" si="25">U5/2+U10+U15/2</f>
        <v>4</v>
      </c>
      <c r="V21" s="9">
        <f t="shared" si="25"/>
        <v>114.75</v>
      </c>
      <c r="W21" s="9">
        <f t="shared" ref="W21" si="26">W5/2+W10+W15/2</f>
        <v>47.25</v>
      </c>
      <c r="X21" s="8">
        <v>0</v>
      </c>
      <c r="Y21" s="9">
        <f t="shared" ref="Y21" si="27">Y5/2+Y10+Y15/2</f>
        <v>93.055000000000007</v>
      </c>
      <c r="Z21" s="9">
        <f t="shared" si="22"/>
        <v>33.162500000000001</v>
      </c>
      <c r="AA21" s="2"/>
      <c r="AB21" s="9">
        <f t="shared" ref="AB21:AC21" si="28">AB5/2+AB10+AB15/2</f>
        <v>42.59</v>
      </c>
      <c r="AC21" s="9">
        <f t="shared" si="28"/>
        <v>83.627499999999998</v>
      </c>
      <c r="AD21" s="3">
        <f t="shared" si="8"/>
        <v>175.36800000000002</v>
      </c>
      <c r="AE21" s="3"/>
      <c r="AF21">
        <f t="shared" si="9"/>
        <v>126.2175</v>
      </c>
      <c r="AT21" s="9"/>
    </row>
    <row r="22" spans="1:46" x14ac:dyDescent="0.35">
      <c r="A22">
        <f t="shared" si="10"/>
        <v>6</v>
      </c>
      <c r="B22" t="s">
        <v>42</v>
      </c>
      <c r="D22" s="5">
        <v>25</v>
      </c>
      <c r="E22" s="5" t="s">
        <v>18</v>
      </c>
      <c r="F22" s="5">
        <v>500</v>
      </c>
      <c r="G22" s="6">
        <v>220000</v>
      </c>
      <c r="H22" s="5">
        <v>1576</v>
      </c>
      <c r="I22" s="5">
        <v>1870</v>
      </c>
      <c r="J22" s="5">
        <v>1</v>
      </c>
      <c r="K22" s="5">
        <v>0.2</v>
      </c>
      <c r="L22" s="5">
        <v>2.2000000000000002</v>
      </c>
      <c r="M22" s="5">
        <v>1.0000000000000001E-5</v>
      </c>
      <c r="N22" s="5">
        <v>0.03</v>
      </c>
      <c r="O22" s="5">
        <v>1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7">
        <v>0</v>
      </c>
      <c r="W22" s="7">
        <v>0</v>
      </c>
      <c r="X22" s="5"/>
      <c r="Y22" s="1">
        <f t="shared" ref="Y22:Y23" si="29">IFERROR(IF(ISNUMBER(SEARCH("Appui",C22)),V22+X22*V22,IF(A21&lt;A22,V22-X23*V23/2,IF(A22&lt;A23,V22-(X21*V21)/2,V22-(X23*V23+X21*V21)/2))),0)</f>
        <v>0</v>
      </c>
      <c r="Z22" s="1">
        <f t="shared" ref="Z22:Z23" si="30">IFERROR(IF(ISNUMBER(SEARCH("Appui",C22)),W22+X22*W22,IF(A21&lt;A22,W22-X23*W23/2,IF(A22&lt;A23,W22-(X21*W21)/2,W22-(X23*W23+X21*W21)/2))),0)</f>
        <v>0</v>
      </c>
      <c r="AA22" s="2"/>
      <c r="AB22" s="1">
        <f t="shared" ref="AB22:AB23" si="31">Y22*(1-AA22)</f>
        <v>0</v>
      </c>
      <c r="AC22" s="1">
        <f t="shared" ref="AC22:AC23" si="32">Y22*AA22 + Z22</f>
        <v>0</v>
      </c>
      <c r="AD22" s="3">
        <f t="shared" si="8"/>
        <v>0</v>
      </c>
      <c r="AE22" s="3"/>
      <c r="AF22">
        <f t="shared" si="9"/>
        <v>0</v>
      </c>
      <c r="AT22" s="9"/>
    </row>
    <row r="23" spans="1:46" x14ac:dyDescent="0.35">
      <c r="A23">
        <f t="shared" si="10"/>
        <v>6</v>
      </c>
      <c r="B23" t="s">
        <v>42</v>
      </c>
      <c r="D23" s="5">
        <v>25</v>
      </c>
      <c r="E23" s="5" t="s">
        <v>18</v>
      </c>
      <c r="F23" s="5">
        <v>500</v>
      </c>
      <c r="G23" s="6">
        <v>220000</v>
      </c>
      <c r="H23" s="5">
        <v>1576</v>
      </c>
      <c r="I23" s="5">
        <v>1870</v>
      </c>
      <c r="J23" s="5">
        <v>1</v>
      </c>
      <c r="K23" s="5">
        <v>0.2</v>
      </c>
      <c r="L23" s="5">
        <v>2.2000000000000002</v>
      </c>
      <c r="M23" s="5">
        <v>1.0000000000000001E-5</v>
      </c>
      <c r="N23" s="5">
        <v>0.03</v>
      </c>
      <c r="O23" s="5">
        <v>1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7">
        <v>0</v>
      </c>
      <c r="W23" s="7">
        <v>0</v>
      </c>
      <c r="X23" s="5"/>
      <c r="Y23" s="1">
        <f t="shared" si="29"/>
        <v>0</v>
      </c>
      <c r="Z23" s="1">
        <f t="shared" si="30"/>
        <v>0</v>
      </c>
      <c r="AA23" s="2"/>
      <c r="AB23" s="1">
        <f t="shared" si="31"/>
        <v>0</v>
      </c>
      <c r="AC23" s="1">
        <f t="shared" si="32"/>
        <v>0</v>
      </c>
      <c r="AD23" s="3">
        <f t="shared" si="8"/>
        <v>0</v>
      </c>
      <c r="AE23" s="3"/>
      <c r="AF23">
        <f t="shared" si="9"/>
        <v>0</v>
      </c>
      <c r="AT23" s="9"/>
    </row>
    <row r="24" spans="1:46" x14ac:dyDescent="0.35">
      <c r="A24">
        <f>IFERROR(IF(B24=B23,A23,A23+1),1)</f>
        <v>7</v>
      </c>
      <c r="B24" t="s">
        <v>26</v>
      </c>
      <c r="C24" t="s">
        <v>21</v>
      </c>
      <c r="D24">
        <v>25</v>
      </c>
      <c r="E24" t="s">
        <v>18</v>
      </c>
      <c r="F24">
        <v>500</v>
      </c>
      <c r="G24" s="14">
        <v>215000</v>
      </c>
      <c r="H24" s="15">
        <v>1412.67</v>
      </c>
      <c r="I24" s="14">
        <v>1828</v>
      </c>
      <c r="J24">
        <v>1</v>
      </c>
      <c r="K24">
        <v>0.215</v>
      </c>
      <c r="L24">
        <v>2.2000000000000002</v>
      </c>
      <c r="M24">
        <v>2.7999999999999998E-4</v>
      </c>
      <c r="N24">
        <v>0.03</v>
      </c>
      <c r="O24">
        <v>1</v>
      </c>
      <c r="P24">
        <v>0</v>
      </c>
      <c r="Q24">
        <v>0</v>
      </c>
      <c r="R24">
        <v>1</v>
      </c>
      <c r="S24" s="14">
        <v>9.1649999999999992E-5</v>
      </c>
      <c r="T24">
        <v>0</v>
      </c>
      <c r="U24">
        <v>2</v>
      </c>
      <c r="V24">
        <v>5</v>
      </c>
      <c r="W24">
        <v>6.2</v>
      </c>
      <c r="X24" s="8" t="s">
        <v>40</v>
      </c>
      <c r="Y24" s="1">
        <v>2.8</v>
      </c>
      <c r="Z24" s="1">
        <v>5.24</v>
      </c>
      <c r="AA24" s="2">
        <v>0</v>
      </c>
      <c r="AB24" s="1">
        <v>2.8</v>
      </c>
      <c r="AC24" s="1">
        <v>5.24</v>
      </c>
      <c r="AD24" s="3">
        <v>11.64</v>
      </c>
      <c r="AE24" s="3"/>
      <c r="AF24">
        <v>8.0399999999999991</v>
      </c>
      <c r="AT24" s="9"/>
    </row>
    <row r="25" spans="1:46" x14ac:dyDescent="0.35">
      <c r="A25">
        <f t="shared" ref="A25:A88" si="33">IF(B25=B24,A24,A24+1)</f>
        <v>7</v>
      </c>
      <c r="B25" t="s">
        <v>26</v>
      </c>
      <c r="C25" t="s">
        <v>22</v>
      </c>
      <c r="D25">
        <v>25</v>
      </c>
      <c r="E25" t="s">
        <v>18</v>
      </c>
      <c r="F25">
        <v>500</v>
      </c>
      <c r="G25" s="14">
        <v>215000</v>
      </c>
      <c r="H25" s="15">
        <v>1412.67</v>
      </c>
      <c r="I25" s="14">
        <v>1828</v>
      </c>
      <c r="J25">
        <v>1</v>
      </c>
      <c r="K25">
        <v>0.2</v>
      </c>
      <c r="L25">
        <v>2.2000000000000002</v>
      </c>
      <c r="M25">
        <v>1.7852E-3</v>
      </c>
      <c r="N25">
        <v>0.03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 s="10">
        <v>0</v>
      </c>
      <c r="V25">
        <v>55</v>
      </c>
      <c r="W25">
        <v>24</v>
      </c>
      <c r="X25" s="8">
        <v>0.08</v>
      </c>
      <c r="Y25" s="1">
        <v>59.4</v>
      </c>
      <c r="Z25" s="1">
        <v>25.92</v>
      </c>
      <c r="AA25" s="2">
        <v>0</v>
      </c>
      <c r="AB25" s="1">
        <v>59.4</v>
      </c>
      <c r="AC25" s="1">
        <v>25.92</v>
      </c>
      <c r="AD25" s="3">
        <v>119.07</v>
      </c>
      <c r="AE25" s="3"/>
      <c r="AF25">
        <v>85.32</v>
      </c>
      <c r="AT25" s="9"/>
    </row>
    <row r="26" spans="1:46" x14ac:dyDescent="0.35">
      <c r="A26">
        <f t="shared" si="33"/>
        <v>7</v>
      </c>
      <c r="B26" t="s">
        <v>26</v>
      </c>
      <c r="C26" t="s">
        <v>23</v>
      </c>
      <c r="D26">
        <v>25</v>
      </c>
      <c r="E26" t="s">
        <v>18</v>
      </c>
      <c r="F26">
        <v>500</v>
      </c>
      <c r="G26" s="14">
        <v>215000</v>
      </c>
      <c r="H26" s="15">
        <v>1412.67</v>
      </c>
      <c r="I26" s="14">
        <v>1828</v>
      </c>
      <c r="J26">
        <v>1</v>
      </c>
      <c r="K26">
        <v>0.215</v>
      </c>
      <c r="L26">
        <v>2.2000000000000002</v>
      </c>
      <c r="M26">
        <v>5.6539999999999997E-4</v>
      </c>
      <c r="N26">
        <v>0.03</v>
      </c>
      <c r="O26">
        <v>1</v>
      </c>
      <c r="P26">
        <v>0</v>
      </c>
      <c r="Q26">
        <v>0</v>
      </c>
      <c r="R26">
        <v>1</v>
      </c>
      <c r="S26" s="14">
        <v>9.1649999999999992E-5</v>
      </c>
      <c r="T26">
        <v>0</v>
      </c>
      <c r="U26" s="10">
        <v>3</v>
      </c>
      <c r="V26">
        <v>36</v>
      </c>
      <c r="W26">
        <v>14.5</v>
      </c>
      <c r="X26" s="8" t="s">
        <v>40</v>
      </c>
      <c r="Y26" s="1">
        <v>33.799999999999997</v>
      </c>
      <c r="Z26" s="1">
        <v>13.54</v>
      </c>
      <c r="AA26" s="2">
        <v>0</v>
      </c>
      <c r="AB26" s="1">
        <v>33.799999999999997</v>
      </c>
      <c r="AC26" s="1">
        <v>13.54</v>
      </c>
      <c r="AD26" s="3">
        <v>65.94</v>
      </c>
      <c r="AE26" s="3"/>
      <c r="AF26">
        <v>47.339999999999996</v>
      </c>
      <c r="AT26" s="9"/>
    </row>
    <row r="27" spans="1:46" x14ac:dyDescent="0.35">
      <c r="A27">
        <f t="shared" si="33"/>
        <v>7</v>
      </c>
      <c r="B27" t="s">
        <v>26</v>
      </c>
      <c r="C27" t="s">
        <v>24</v>
      </c>
      <c r="D27">
        <v>25</v>
      </c>
      <c r="E27" t="s">
        <v>18</v>
      </c>
      <c r="F27">
        <v>500</v>
      </c>
      <c r="G27" s="14">
        <v>215000</v>
      </c>
      <c r="H27" s="15">
        <v>1412.67</v>
      </c>
      <c r="I27" s="14">
        <v>1828</v>
      </c>
      <c r="J27">
        <v>1</v>
      </c>
      <c r="K27">
        <v>0.23</v>
      </c>
      <c r="L27">
        <v>2.2000000000000002</v>
      </c>
      <c r="M27">
        <v>1.8981000000000002E-3</v>
      </c>
      <c r="N27">
        <v>0.06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 s="10">
        <v>0</v>
      </c>
      <c r="V27">
        <v>80.5</v>
      </c>
      <c r="W27">
        <v>28</v>
      </c>
      <c r="X27" s="8">
        <v>0</v>
      </c>
      <c r="Y27" s="1">
        <v>80.5</v>
      </c>
      <c r="Z27" s="1">
        <v>28</v>
      </c>
      <c r="AA27" s="2">
        <v>0</v>
      </c>
      <c r="AB27" s="1">
        <v>80.5</v>
      </c>
      <c r="AC27" s="1">
        <v>28</v>
      </c>
      <c r="AD27" s="3">
        <v>150.67500000000001</v>
      </c>
      <c r="AE27" s="3"/>
      <c r="AF27">
        <v>108.5</v>
      </c>
      <c r="AT27" s="9"/>
    </row>
    <row r="28" spans="1:46" x14ac:dyDescent="0.35">
      <c r="A28">
        <f t="shared" si="33"/>
        <v>7</v>
      </c>
      <c r="B28" t="s">
        <v>26</v>
      </c>
      <c r="C28" t="s">
        <v>25</v>
      </c>
      <c r="D28">
        <v>25</v>
      </c>
      <c r="E28" t="s">
        <v>18</v>
      </c>
      <c r="F28">
        <v>500</v>
      </c>
      <c r="G28" s="14">
        <v>215000</v>
      </c>
      <c r="H28" s="15">
        <v>1412.67</v>
      </c>
      <c r="I28" s="14">
        <v>1828</v>
      </c>
      <c r="J28">
        <v>1</v>
      </c>
      <c r="K28">
        <v>0.24</v>
      </c>
      <c r="L28">
        <v>2.2000000000000002</v>
      </c>
      <c r="M28">
        <v>5.6570000000000004E-4</v>
      </c>
      <c r="N28">
        <v>0.03</v>
      </c>
      <c r="O28">
        <v>1</v>
      </c>
      <c r="P28">
        <v>0</v>
      </c>
      <c r="Q28">
        <v>0</v>
      </c>
      <c r="R28">
        <v>1</v>
      </c>
      <c r="S28" s="14">
        <v>9.1649999999999992E-5</v>
      </c>
      <c r="T28">
        <v>0</v>
      </c>
      <c r="U28">
        <v>1</v>
      </c>
      <c r="V28">
        <v>21.3</v>
      </c>
      <c r="W28">
        <v>10</v>
      </c>
      <c r="X28" s="8" t="s">
        <v>40</v>
      </c>
      <c r="Y28" s="1">
        <v>21.3</v>
      </c>
      <c r="Z28" s="1">
        <v>10</v>
      </c>
      <c r="AA28" s="2">
        <v>0</v>
      </c>
      <c r="AB28" s="1">
        <v>21.3</v>
      </c>
      <c r="AC28" s="1">
        <v>10</v>
      </c>
      <c r="AD28" s="3">
        <v>43.755000000000003</v>
      </c>
      <c r="AE28" s="3"/>
      <c r="AF28">
        <v>31.3</v>
      </c>
      <c r="AT28" s="9"/>
    </row>
    <row r="29" spans="1:46" x14ac:dyDescent="0.35">
      <c r="A29">
        <f t="shared" si="33"/>
        <v>8</v>
      </c>
      <c r="B29" t="s">
        <v>41</v>
      </c>
      <c r="C29" t="s">
        <v>21</v>
      </c>
      <c r="D29">
        <v>25</v>
      </c>
      <c r="E29" t="s">
        <v>18</v>
      </c>
      <c r="F29">
        <v>500</v>
      </c>
      <c r="G29" s="14">
        <v>215000</v>
      </c>
      <c r="H29" s="15">
        <v>1412.67</v>
      </c>
      <c r="I29" s="14">
        <v>1828</v>
      </c>
      <c r="J29">
        <v>1</v>
      </c>
      <c r="K29">
        <v>0.215</v>
      </c>
      <c r="L29">
        <v>5.3</v>
      </c>
      <c r="M29">
        <v>6.7840000000000001E-4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2</v>
      </c>
      <c r="W29">
        <v>16</v>
      </c>
      <c r="X29" s="8" t="s">
        <v>40</v>
      </c>
      <c r="Y29" s="1">
        <v>2</v>
      </c>
      <c r="Z29" s="1">
        <v>16.605</v>
      </c>
      <c r="AA29" s="2">
        <v>0</v>
      </c>
      <c r="AB29" s="1">
        <v>2</v>
      </c>
      <c r="AC29" s="1">
        <v>16.605</v>
      </c>
      <c r="AD29" s="3">
        <v>27.607499999999998</v>
      </c>
      <c r="AE29" s="3"/>
      <c r="AF29">
        <v>18.605</v>
      </c>
      <c r="AT29" s="9"/>
    </row>
    <row r="30" spans="1:46" x14ac:dyDescent="0.35">
      <c r="A30">
        <f t="shared" si="33"/>
        <v>8</v>
      </c>
      <c r="B30" t="s">
        <v>41</v>
      </c>
      <c r="C30" t="s">
        <v>22</v>
      </c>
      <c r="D30">
        <v>25</v>
      </c>
      <c r="E30" t="s">
        <v>18</v>
      </c>
      <c r="F30">
        <v>500</v>
      </c>
      <c r="G30" s="14">
        <v>215000</v>
      </c>
      <c r="H30" s="15">
        <v>1412.67</v>
      </c>
      <c r="I30" s="14">
        <v>1828</v>
      </c>
      <c r="J30">
        <v>1</v>
      </c>
      <c r="K30">
        <v>0.2</v>
      </c>
      <c r="L30">
        <v>5.3</v>
      </c>
      <c r="M30">
        <v>1.8560000000000001E-4</v>
      </c>
      <c r="N30">
        <v>0.04</v>
      </c>
      <c r="O30">
        <v>1</v>
      </c>
      <c r="P30" s="10">
        <v>1.539E-4</v>
      </c>
      <c r="Q30" s="10">
        <v>0.04</v>
      </c>
      <c r="R30" s="10">
        <v>5</v>
      </c>
      <c r="S30" s="14">
        <v>9.1649999999999992E-5</v>
      </c>
      <c r="T30">
        <v>0</v>
      </c>
      <c r="U30" s="10">
        <v>0</v>
      </c>
      <c r="V30">
        <v>36</v>
      </c>
      <c r="W30">
        <v>20</v>
      </c>
      <c r="X30" s="12">
        <v>0</v>
      </c>
      <c r="Y30" s="1">
        <v>36</v>
      </c>
      <c r="Z30" s="1">
        <v>20</v>
      </c>
      <c r="AA30" s="4">
        <v>0.25</v>
      </c>
      <c r="AB30" s="1">
        <v>27</v>
      </c>
      <c r="AC30" s="1">
        <v>29</v>
      </c>
      <c r="AD30" s="3">
        <v>78.599999999999994</v>
      </c>
      <c r="AE30" s="3"/>
      <c r="AF30">
        <v>56</v>
      </c>
      <c r="AT30" s="9"/>
    </row>
    <row r="31" spans="1:46" x14ac:dyDescent="0.35">
      <c r="A31">
        <f t="shared" si="33"/>
        <v>8</v>
      </c>
      <c r="B31" t="s">
        <v>41</v>
      </c>
      <c r="C31" t="s">
        <v>23</v>
      </c>
      <c r="D31">
        <v>25</v>
      </c>
      <c r="E31" t="s">
        <v>18</v>
      </c>
      <c r="F31">
        <v>500</v>
      </c>
      <c r="G31" s="14">
        <v>215000</v>
      </c>
      <c r="H31" s="15">
        <v>1412.67</v>
      </c>
      <c r="I31" s="14">
        <v>1828</v>
      </c>
      <c r="J31">
        <v>1</v>
      </c>
      <c r="K31">
        <v>0.215</v>
      </c>
      <c r="L31">
        <v>5.3</v>
      </c>
      <c r="M31">
        <v>1.3568E-3</v>
      </c>
      <c r="N31">
        <v>0.04</v>
      </c>
      <c r="O31">
        <v>1</v>
      </c>
      <c r="P31">
        <v>0</v>
      </c>
      <c r="Q31">
        <v>0</v>
      </c>
      <c r="R31">
        <v>1</v>
      </c>
      <c r="S31" s="14">
        <v>9.1649999999999992E-5</v>
      </c>
      <c r="T31">
        <v>0</v>
      </c>
      <c r="U31" s="10">
        <v>4</v>
      </c>
      <c r="V31">
        <v>75</v>
      </c>
      <c r="W31">
        <v>34</v>
      </c>
      <c r="X31" s="8" t="s">
        <v>40</v>
      </c>
      <c r="Y31" s="1">
        <v>75</v>
      </c>
      <c r="Z31" s="1">
        <v>34</v>
      </c>
      <c r="AA31" s="4">
        <v>0.5</v>
      </c>
      <c r="AB31" s="1">
        <v>37.5</v>
      </c>
      <c r="AC31" s="1">
        <v>71.5</v>
      </c>
      <c r="AD31" s="3">
        <v>152.25</v>
      </c>
      <c r="AE31" s="3"/>
      <c r="AF31">
        <v>109</v>
      </c>
      <c r="AT31" s="9"/>
    </row>
    <row r="32" spans="1:46" x14ac:dyDescent="0.35">
      <c r="A32">
        <f t="shared" si="33"/>
        <v>8</v>
      </c>
      <c r="B32" t="s">
        <v>41</v>
      </c>
      <c r="C32" t="s">
        <v>24</v>
      </c>
      <c r="D32">
        <v>25</v>
      </c>
      <c r="E32" t="s">
        <v>18</v>
      </c>
      <c r="F32">
        <v>500</v>
      </c>
      <c r="G32" s="14">
        <v>215000</v>
      </c>
      <c r="H32" s="15">
        <v>1412.67</v>
      </c>
      <c r="I32" s="14">
        <v>1828</v>
      </c>
      <c r="J32">
        <v>1</v>
      </c>
      <c r="K32">
        <v>0.23</v>
      </c>
      <c r="L32">
        <v>5.3</v>
      </c>
      <c r="M32">
        <v>1.024E-4</v>
      </c>
      <c r="N32">
        <v>6.9999999999999993E-2</v>
      </c>
      <c r="O32">
        <v>1</v>
      </c>
      <c r="P32" s="10">
        <v>1.539E-4</v>
      </c>
      <c r="Q32" s="10">
        <v>0.04</v>
      </c>
      <c r="R32" s="10">
        <v>5</v>
      </c>
      <c r="S32" s="14">
        <v>9.1649999999999992E-5</v>
      </c>
      <c r="T32">
        <v>0</v>
      </c>
      <c r="U32" s="10">
        <v>0</v>
      </c>
      <c r="V32">
        <v>36</v>
      </c>
      <c r="W32">
        <v>20</v>
      </c>
      <c r="X32" s="12">
        <v>0</v>
      </c>
      <c r="Y32" s="1">
        <v>36</v>
      </c>
      <c r="Z32" s="1">
        <v>20</v>
      </c>
      <c r="AA32" s="4">
        <v>0.5</v>
      </c>
      <c r="AB32" s="1">
        <v>18</v>
      </c>
      <c r="AC32" s="1">
        <v>38</v>
      </c>
      <c r="AD32" s="3">
        <v>78.599999999999994</v>
      </c>
      <c r="AE32" s="3"/>
      <c r="AF32">
        <v>56</v>
      </c>
      <c r="AT32" s="9"/>
    </row>
    <row r="33" spans="1:46" x14ac:dyDescent="0.35">
      <c r="A33">
        <f t="shared" si="33"/>
        <v>8</v>
      </c>
      <c r="B33" t="s">
        <v>41</v>
      </c>
      <c r="C33" t="s">
        <v>25</v>
      </c>
      <c r="D33">
        <v>25</v>
      </c>
      <c r="E33" t="s">
        <v>18</v>
      </c>
      <c r="F33">
        <v>500</v>
      </c>
      <c r="G33" s="14">
        <v>215000</v>
      </c>
      <c r="H33" s="15">
        <v>1412.67</v>
      </c>
      <c r="I33" s="14">
        <v>1828</v>
      </c>
      <c r="J33">
        <v>1</v>
      </c>
      <c r="K33">
        <v>0.24</v>
      </c>
      <c r="L33">
        <v>5.3</v>
      </c>
      <c r="M33">
        <v>1.3621E-3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42</v>
      </c>
      <c r="W33">
        <v>23</v>
      </c>
      <c r="X33" s="8" t="s">
        <v>40</v>
      </c>
      <c r="Y33" s="1">
        <v>42</v>
      </c>
      <c r="Z33" s="1">
        <v>23</v>
      </c>
      <c r="AA33" s="4">
        <v>0.5</v>
      </c>
      <c r="AB33" s="1">
        <v>21</v>
      </c>
      <c r="AC33" s="1">
        <v>44</v>
      </c>
      <c r="AD33" s="3">
        <v>91.2</v>
      </c>
      <c r="AE33" s="3"/>
      <c r="AF33">
        <v>65</v>
      </c>
      <c r="AT33" s="9"/>
    </row>
    <row r="34" spans="1:46" x14ac:dyDescent="0.35">
      <c r="A34">
        <f t="shared" si="33"/>
        <v>9</v>
      </c>
      <c r="B34" t="s">
        <v>35</v>
      </c>
      <c r="C34" t="s">
        <v>21</v>
      </c>
      <c r="D34">
        <v>25</v>
      </c>
      <c r="E34" t="s">
        <v>18</v>
      </c>
      <c r="F34">
        <v>500</v>
      </c>
      <c r="G34" s="14">
        <v>215000</v>
      </c>
      <c r="H34" s="15">
        <v>1412.67</v>
      </c>
      <c r="I34" s="14">
        <v>1828</v>
      </c>
      <c r="J34">
        <v>1</v>
      </c>
      <c r="K34">
        <v>0.215</v>
      </c>
      <c r="L34">
        <v>2.2000000000000002</v>
      </c>
      <c r="M34">
        <v>2.7999999999999998E-4</v>
      </c>
      <c r="N34">
        <v>0.03</v>
      </c>
      <c r="O34">
        <v>1</v>
      </c>
      <c r="P34">
        <v>0</v>
      </c>
      <c r="Q34">
        <v>0</v>
      </c>
      <c r="R34">
        <v>1</v>
      </c>
      <c r="S34" s="14">
        <v>9.1649999999999992E-5</v>
      </c>
      <c r="T34">
        <v>0</v>
      </c>
      <c r="U34" s="10">
        <v>3</v>
      </c>
      <c r="V34">
        <v>4</v>
      </c>
      <c r="W34">
        <v>6.6</v>
      </c>
      <c r="X34" s="8" t="s">
        <v>40</v>
      </c>
      <c r="Y34" s="1">
        <v>-1.7749999999999995</v>
      </c>
      <c r="Z34" s="1">
        <v>4.5374999999999996</v>
      </c>
      <c r="AA34" s="4">
        <v>0</v>
      </c>
      <c r="AB34" s="1">
        <v>-1.7749999999999995</v>
      </c>
      <c r="AC34" s="1">
        <v>4.5374999999999996</v>
      </c>
      <c r="AD34" s="3">
        <v>4.41</v>
      </c>
      <c r="AE34" s="3"/>
      <c r="AF34">
        <v>2.7625000000000002</v>
      </c>
      <c r="AT34" s="9"/>
    </row>
    <row r="35" spans="1:46" x14ac:dyDescent="0.35">
      <c r="A35">
        <f t="shared" si="33"/>
        <v>9</v>
      </c>
      <c r="B35" t="s">
        <v>35</v>
      </c>
      <c r="C35" t="s">
        <v>22</v>
      </c>
      <c r="D35">
        <v>25</v>
      </c>
      <c r="E35" t="s">
        <v>18</v>
      </c>
      <c r="F35">
        <v>500</v>
      </c>
      <c r="G35" s="14">
        <v>215000</v>
      </c>
      <c r="H35" s="15">
        <v>1412.67</v>
      </c>
      <c r="I35" s="14">
        <v>1828</v>
      </c>
      <c r="J35">
        <v>1</v>
      </c>
      <c r="K35">
        <v>0.2</v>
      </c>
      <c r="L35">
        <v>2.2000000000000002</v>
      </c>
      <c r="M35">
        <v>2.6300000000000004E-3</v>
      </c>
      <c r="N35">
        <v>0.03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77</v>
      </c>
      <c r="W35">
        <v>27.5</v>
      </c>
      <c r="X35" s="12">
        <v>0.15</v>
      </c>
      <c r="Y35" s="1">
        <v>88.55</v>
      </c>
      <c r="Z35" s="1">
        <v>31.625</v>
      </c>
      <c r="AA35" s="4">
        <v>0.25</v>
      </c>
      <c r="AB35" s="1">
        <v>66.412499999999994</v>
      </c>
      <c r="AC35" s="1">
        <v>53.762500000000003</v>
      </c>
      <c r="AD35" s="3">
        <v>166.98000000000002</v>
      </c>
      <c r="AE35" s="3"/>
      <c r="AF35">
        <v>120.175</v>
      </c>
      <c r="AT35" s="9"/>
    </row>
    <row r="36" spans="1:46" x14ac:dyDescent="0.35">
      <c r="A36">
        <f t="shared" si="33"/>
        <v>9</v>
      </c>
      <c r="B36" t="s">
        <v>35</v>
      </c>
      <c r="C36" t="s">
        <v>23</v>
      </c>
      <c r="D36">
        <v>25</v>
      </c>
      <c r="E36" t="s">
        <v>18</v>
      </c>
      <c r="F36">
        <v>500</v>
      </c>
      <c r="G36" s="14">
        <v>215000</v>
      </c>
      <c r="H36" s="15">
        <v>1412.67</v>
      </c>
      <c r="I36" s="14">
        <v>1828</v>
      </c>
      <c r="J36">
        <v>1</v>
      </c>
      <c r="K36">
        <v>0.215</v>
      </c>
      <c r="L36">
        <v>2.2000000000000002</v>
      </c>
      <c r="M36">
        <v>2.7999999999999998E-4</v>
      </c>
      <c r="N36">
        <v>0.03</v>
      </c>
      <c r="O36">
        <v>1</v>
      </c>
      <c r="P36">
        <v>0</v>
      </c>
      <c r="Q36">
        <v>0</v>
      </c>
      <c r="R36">
        <v>1</v>
      </c>
      <c r="S36" s="14">
        <v>9.1649999999999992E-5</v>
      </c>
      <c r="T36">
        <v>0</v>
      </c>
      <c r="U36" s="10">
        <v>3</v>
      </c>
      <c r="V36">
        <v>38.5</v>
      </c>
      <c r="W36">
        <v>15.4</v>
      </c>
      <c r="X36" s="8" t="s">
        <v>40</v>
      </c>
      <c r="Y36" s="1">
        <v>23.1</v>
      </c>
      <c r="Z36" s="1">
        <v>10.025</v>
      </c>
      <c r="AA36" s="4">
        <v>0.5</v>
      </c>
      <c r="AB36" s="1">
        <v>11.55</v>
      </c>
      <c r="AC36" s="1">
        <v>21.575000000000003</v>
      </c>
      <c r="AD36" s="3">
        <v>46.222500000000004</v>
      </c>
      <c r="AE36" s="3"/>
      <c r="AF36">
        <v>33.125</v>
      </c>
      <c r="AT36" s="9"/>
    </row>
    <row r="37" spans="1:46" x14ac:dyDescent="0.35">
      <c r="A37">
        <f t="shared" si="33"/>
        <v>9</v>
      </c>
      <c r="B37" t="s">
        <v>35</v>
      </c>
      <c r="C37" t="s">
        <v>24</v>
      </c>
      <c r="D37">
        <v>25</v>
      </c>
      <c r="E37" t="s">
        <v>18</v>
      </c>
      <c r="F37">
        <v>500</v>
      </c>
      <c r="G37" s="14">
        <v>215000</v>
      </c>
      <c r="H37" s="15">
        <v>1412.67</v>
      </c>
      <c r="I37" s="14">
        <v>1828</v>
      </c>
      <c r="J37">
        <v>1</v>
      </c>
      <c r="K37">
        <v>0.23</v>
      </c>
      <c r="L37">
        <v>2.2000000000000002</v>
      </c>
      <c r="M37" s="11">
        <v>0</v>
      </c>
      <c r="N37" s="11">
        <v>0.06</v>
      </c>
      <c r="O37">
        <v>1</v>
      </c>
      <c r="P37" s="10">
        <v>3.1400000000000004E-4</v>
      </c>
      <c r="Q37">
        <v>0.04</v>
      </c>
      <c r="R37" s="10">
        <v>6</v>
      </c>
      <c r="S37" s="14">
        <v>9.1649999999999992E-5</v>
      </c>
      <c r="T37">
        <v>0</v>
      </c>
      <c r="U37" s="10">
        <v>0</v>
      </c>
      <c r="V37">
        <v>77</v>
      </c>
      <c r="W37">
        <v>26.5</v>
      </c>
      <c r="X37" s="12">
        <v>0.25</v>
      </c>
      <c r="Y37" s="1">
        <v>96.25</v>
      </c>
      <c r="Z37" s="1">
        <v>33.125</v>
      </c>
      <c r="AA37" s="13">
        <v>1</v>
      </c>
      <c r="AB37" s="1">
        <v>0</v>
      </c>
      <c r="AC37" s="1">
        <v>129.375</v>
      </c>
      <c r="AD37" s="3">
        <v>179.625</v>
      </c>
      <c r="AE37" s="3"/>
      <c r="AF37">
        <v>129.375</v>
      </c>
      <c r="AT37" s="9"/>
    </row>
    <row r="38" spans="1:46" x14ac:dyDescent="0.35">
      <c r="A38">
        <f t="shared" si="33"/>
        <v>10</v>
      </c>
      <c r="B38" t="s">
        <v>42</v>
      </c>
      <c r="D38" s="5">
        <v>25</v>
      </c>
      <c r="E38" s="5" t="s">
        <v>18</v>
      </c>
      <c r="F38" s="5">
        <v>500</v>
      </c>
      <c r="G38" s="6">
        <v>220000</v>
      </c>
      <c r="H38" s="5">
        <v>1576</v>
      </c>
      <c r="I38" s="5">
        <v>1870</v>
      </c>
      <c r="J38" s="5">
        <v>1</v>
      </c>
      <c r="K38" s="5">
        <v>0.2</v>
      </c>
      <c r="L38" s="5">
        <v>2.2000000000000002</v>
      </c>
      <c r="M38" s="5">
        <v>1.0000000000000001E-5</v>
      </c>
      <c r="N38" s="5">
        <v>0.03</v>
      </c>
      <c r="O38" s="5">
        <v>1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>
        <v>0</v>
      </c>
      <c r="V38" s="7">
        <v>0</v>
      </c>
      <c r="W38" s="7">
        <v>0</v>
      </c>
      <c r="X38" s="5"/>
      <c r="Y38" s="1">
        <f t="shared" ref="Y38:Y39" si="34">IFERROR(IF(ISNUMBER(SEARCH("Appui",C38)),V38+X38*V38,IF(A37&lt;A38,V38-X39*V39/2,IF(A38&lt;A39,V38-(X37*V37)/2,V38-(X39*V39+X37*V37)/2))),0)</f>
        <v>0</v>
      </c>
      <c r="Z38" s="1">
        <f t="shared" ref="Z38:Z39" si="35">IFERROR(IF(ISNUMBER(SEARCH("Appui",C38)),W38+X38*W38,IF(A37&lt;A38,W38-X39*W39/2,IF(A38&lt;A39,W38-(X37*W37)/2,W38-(X39*W39+X37*W37)/2))),0)</f>
        <v>0</v>
      </c>
      <c r="AA38" s="2"/>
      <c r="AB38" s="1">
        <f t="shared" ref="AB38:AB39" si="36">Y38*(1-AA38)</f>
        <v>0</v>
      </c>
      <c r="AC38" s="1">
        <f t="shared" ref="AC38:AC39" si="37">Y38*AA38 + Z38</f>
        <v>0</v>
      </c>
      <c r="AD38" s="3">
        <f t="shared" ref="AD38:AD45" si="38">1.35*Y38+1.5*Z38</f>
        <v>0</v>
      </c>
      <c r="AE38" s="3"/>
      <c r="AF38">
        <f t="shared" ref="AF38:AF45" si="39">AB38+AC38</f>
        <v>0</v>
      </c>
      <c r="AT38" s="9"/>
    </row>
    <row r="39" spans="1:46" x14ac:dyDescent="0.35">
      <c r="A39">
        <f t="shared" si="33"/>
        <v>10</v>
      </c>
      <c r="B39" t="s">
        <v>42</v>
      </c>
      <c r="D39" s="5">
        <v>25</v>
      </c>
      <c r="E39" s="5" t="s">
        <v>18</v>
      </c>
      <c r="F39" s="5">
        <v>500</v>
      </c>
      <c r="G39" s="6">
        <v>220000</v>
      </c>
      <c r="H39" s="5">
        <v>1576</v>
      </c>
      <c r="I39" s="5">
        <v>1870</v>
      </c>
      <c r="J39" s="5">
        <v>1</v>
      </c>
      <c r="K39" s="5">
        <v>0.2</v>
      </c>
      <c r="L39" s="5">
        <v>2.2000000000000002</v>
      </c>
      <c r="M39" s="5">
        <v>1.0000000000000001E-5</v>
      </c>
      <c r="N39" s="5">
        <v>0.03</v>
      </c>
      <c r="O39" s="5">
        <v>1</v>
      </c>
      <c r="P39" s="5">
        <v>0</v>
      </c>
      <c r="Q39" s="5">
        <v>0</v>
      </c>
      <c r="R39" s="5">
        <v>1</v>
      </c>
      <c r="S39" s="5">
        <v>0</v>
      </c>
      <c r="T39" s="5">
        <v>0</v>
      </c>
      <c r="U39" s="5">
        <v>0</v>
      </c>
      <c r="V39" s="7">
        <v>0</v>
      </c>
      <c r="W39" s="7">
        <v>0</v>
      </c>
      <c r="X39" s="5"/>
      <c r="Y39" s="1">
        <f t="shared" si="34"/>
        <v>0</v>
      </c>
      <c r="Z39" s="1">
        <f t="shared" si="35"/>
        <v>0</v>
      </c>
      <c r="AA39" s="2"/>
      <c r="AB39" s="1">
        <f t="shared" si="36"/>
        <v>0</v>
      </c>
      <c r="AC39" s="1">
        <f t="shared" si="37"/>
        <v>0</v>
      </c>
      <c r="AD39" s="3">
        <f t="shared" si="38"/>
        <v>0</v>
      </c>
      <c r="AE39" s="3"/>
      <c r="AF39">
        <f t="shared" si="39"/>
        <v>0</v>
      </c>
      <c r="AT39" s="9"/>
    </row>
    <row r="40" spans="1:46" x14ac:dyDescent="0.35">
      <c r="A40">
        <f t="shared" si="33"/>
        <v>11</v>
      </c>
      <c r="B40" t="s">
        <v>49</v>
      </c>
      <c r="C40" t="str">
        <f>C24</f>
        <v>Travée 4</v>
      </c>
      <c r="D40">
        <f>D24</f>
        <v>25</v>
      </c>
      <c r="E40" t="str">
        <f t="shared" ref="E40:J40" si="40">E24</f>
        <v>B</v>
      </c>
      <c r="F40">
        <f t="shared" si="40"/>
        <v>500</v>
      </c>
      <c r="G40" s="14">
        <v>215000</v>
      </c>
      <c r="H40" s="15">
        <v>1412.67</v>
      </c>
      <c r="I40" s="14">
        <v>1828</v>
      </c>
      <c r="J40">
        <f t="shared" si="40"/>
        <v>1</v>
      </c>
      <c r="K40">
        <f>K24</f>
        <v>0.215</v>
      </c>
      <c r="L40">
        <f>L24/2+L29+L34/2</f>
        <v>7.5</v>
      </c>
      <c r="M40">
        <f>(M24*O24)/2+(M29*O29)+(M34*O34)/2</f>
        <v>9.5839999999999988E-4</v>
      </c>
      <c r="N40">
        <f>MAX(N24,N29,N34)</f>
        <v>0.04</v>
      </c>
      <c r="O40" s="9">
        <v>1</v>
      </c>
      <c r="P40">
        <f>(P24*R24)/2+(P29*R29)+(P34*R34)/2</f>
        <v>0</v>
      </c>
      <c r="Q40">
        <f>MAX(Q24,Q29,Q34)</f>
        <v>0</v>
      </c>
      <c r="R40" s="9">
        <v>1</v>
      </c>
      <c r="S40" s="14">
        <v>9.1649999999999992E-5</v>
      </c>
      <c r="T40">
        <f>MAX(T24,T29,T34)</f>
        <v>0</v>
      </c>
      <c r="U40" s="9">
        <f>U24/2+U29+U34/2</f>
        <v>2.5</v>
      </c>
      <c r="V40" s="9">
        <f>V24/2+V29+V34/2</f>
        <v>6.5</v>
      </c>
      <c r="W40" s="9">
        <f>W24/2+W29+W34/2</f>
        <v>22.400000000000002</v>
      </c>
      <c r="X40" s="8">
        <v>0</v>
      </c>
      <c r="Y40" s="9">
        <f>Y24/2+Y29+Y34/2</f>
        <v>2.5125000000000002</v>
      </c>
      <c r="Z40" s="9">
        <f>Z24/2+Z29+Z34/2</f>
        <v>21.493750000000002</v>
      </c>
      <c r="AA40" s="2"/>
      <c r="AB40" s="9">
        <f>AB24/2+AB29+AB34/2</f>
        <v>2.5125000000000002</v>
      </c>
      <c r="AC40" s="9">
        <f>AC24/2+AC29+AC34/2</f>
        <v>21.493750000000002</v>
      </c>
      <c r="AD40" s="3">
        <f t="shared" si="38"/>
        <v>35.6325</v>
      </c>
      <c r="AE40" s="3"/>
      <c r="AF40">
        <f t="shared" si="39"/>
        <v>24.006250000000001</v>
      </c>
      <c r="AT40" s="9"/>
    </row>
    <row r="41" spans="1:46" x14ac:dyDescent="0.35">
      <c r="A41">
        <f t="shared" si="33"/>
        <v>11</v>
      </c>
      <c r="B41" t="s">
        <v>49</v>
      </c>
      <c r="C41" t="str">
        <f t="shared" ref="C41:J41" si="41">C25</f>
        <v>Appui 4</v>
      </c>
      <c r="D41">
        <f t="shared" si="41"/>
        <v>25</v>
      </c>
      <c r="E41" t="str">
        <f t="shared" si="41"/>
        <v>B</v>
      </c>
      <c r="F41">
        <f t="shared" si="41"/>
        <v>500</v>
      </c>
      <c r="G41" s="14">
        <v>215000</v>
      </c>
      <c r="H41" s="15">
        <v>1412.67</v>
      </c>
      <c r="I41" s="14">
        <v>1828</v>
      </c>
      <c r="J41">
        <f t="shared" si="41"/>
        <v>1</v>
      </c>
      <c r="K41">
        <f>K25</f>
        <v>0.2</v>
      </c>
      <c r="L41">
        <f t="shared" ref="L41:L43" si="42">L25/2+L30+L35/2</f>
        <v>7.5</v>
      </c>
      <c r="M41">
        <f t="shared" ref="M41:M43" si="43">(M25*O25)/2+(M30*O30)+(M35*O35)/2</f>
        <v>2.3932000000000003E-3</v>
      </c>
      <c r="N41">
        <f t="shared" ref="N41:N43" si="44">MAX(N25,N30,N35)</f>
        <v>0.04</v>
      </c>
      <c r="O41" s="9">
        <v>1</v>
      </c>
      <c r="P41">
        <f t="shared" ref="P41:P43" si="45">(P25*R25)/2+(P30*R30)+(P35*R35)/2</f>
        <v>7.695E-4</v>
      </c>
      <c r="Q41">
        <f t="shared" ref="Q41:Q43" si="46">MAX(Q25,Q30,Q35)</f>
        <v>0.04</v>
      </c>
      <c r="R41" s="9">
        <v>1</v>
      </c>
      <c r="S41" s="14">
        <v>9.1649999999999992E-5</v>
      </c>
      <c r="T41">
        <f t="shared" ref="T41:T43" si="47">MAX(T25,T30,T35)</f>
        <v>0</v>
      </c>
      <c r="U41" s="9">
        <f t="shared" ref="U41" si="48">U25/2+U30+U35/2</f>
        <v>0</v>
      </c>
      <c r="V41" s="9">
        <f>V25/2+V30+V35/2</f>
        <v>102</v>
      </c>
      <c r="W41" s="9">
        <f>W25/2+W30+W35/2</f>
        <v>45.75</v>
      </c>
      <c r="X41" s="8">
        <v>0</v>
      </c>
      <c r="Y41" s="9">
        <f>Y25/2+Y30+Y35/2</f>
        <v>109.97499999999999</v>
      </c>
      <c r="Z41" s="9">
        <f>Z25/2+Z30+Z35/2</f>
        <v>48.772500000000001</v>
      </c>
      <c r="AA41" s="2"/>
      <c r="AB41" s="9">
        <f>AB25/2+AB30+AB35/2</f>
        <v>89.90625</v>
      </c>
      <c r="AC41" s="9">
        <f>AC25/2+AC30+AC35/2</f>
        <v>68.841250000000002</v>
      </c>
      <c r="AD41" s="3">
        <f t="shared" si="38"/>
        <v>221.625</v>
      </c>
      <c r="AE41" s="3"/>
      <c r="AF41">
        <f t="shared" si="39"/>
        <v>158.7475</v>
      </c>
      <c r="AT41" s="9"/>
    </row>
    <row r="42" spans="1:46" x14ac:dyDescent="0.35">
      <c r="A42">
        <f t="shared" si="33"/>
        <v>11</v>
      </c>
      <c r="B42" t="s">
        <v>49</v>
      </c>
      <c r="C42" t="str">
        <f t="shared" ref="C42:J42" si="49">C26</f>
        <v>Travée 5</v>
      </c>
      <c r="D42">
        <f t="shared" si="49"/>
        <v>25</v>
      </c>
      <c r="E42" t="str">
        <f t="shared" si="49"/>
        <v>B</v>
      </c>
      <c r="F42">
        <f t="shared" si="49"/>
        <v>500</v>
      </c>
      <c r="G42" s="14">
        <v>215000</v>
      </c>
      <c r="H42" s="15">
        <v>1412.67</v>
      </c>
      <c r="I42" s="14">
        <v>1828</v>
      </c>
      <c r="J42">
        <f t="shared" si="49"/>
        <v>1</v>
      </c>
      <c r="K42">
        <f>K26</f>
        <v>0.215</v>
      </c>
      <c r="L42">
        <f t="shared" si="42"/>
        <v>7.5</v>
      </c>
      <c r="M42">
        <f t="shared" si="43"/>
        <v>1.7794999999999998E-3</v>
      </c>
      <c r="N42">
        <f t="shared" si="44"/>
        <v>0.04</v>
      </c>
      <c r="O42" s="9">
        <v>1</v>
      </c>
      <c r="P42">
        <f t="shared" si="45"/>
        <v>0</v>
      </c>
      <c r="Q42">
        <f t="shared" si="46"/>
        <v>0</v>
      </c>
      <c r="R42" s="9">
        <v>1</v>
      </c>
      <c r="S42" s="14">
        <v>9.1649999999999992E-5</v>
      </c>
      <c r="T42">
        <f t="shared" si="47"/>
        <v>0</v>
      </c>
      <c r="U42" s="9">
        <f t="shared" ref="U42:W43" si="50">U26/2+U31+U36/2</f>
        <v>7</v>
      </c>
      <c r="V42" s="9">
        <f t="shared" si="50"/>
        <v>112.25</v>
      </c>
      <c r="W42" s="9">
        <f t="shared" si="50"/>
        <v>48.95</v>
      </c>
      <c r="X42" s="8">
        <v>0</v>
      </c>
      <c r="Y42" s="9">
        <f t="shared" ref="Y42:Z43" si="51">Y26/2+Y31+Y36/2</f>
        <v>103.45</v>
      </c>
      <c r="Z42" s="9">
        <f>Z26/2+Z31+Z36/2</f>
        <v>45.782499999999999</v>
      </c>
      <c r="AA42" s="2"/>
      <c r="AB42" s="9">
        <f t="shared" ref="AB42:AC42" si="52">AB26/2+AB31+AB36/2</f>
        <v>60.174999999999997</v>
      </c>
      <c r="AC42" s="9">
        <f t="shared" si="52"/>
        <v>89.057500000000005</v>
      </c>
      <c r="AD42" s="3">
        <f t="shared" si="38"/>
        <v>208.33125000000001</v>
      </c>
      <c r="AE42" s="3"/>
      <c r="AF42">
        <f t="shared" si="39"/>
        <v>149.23250000000002</v>
      </c>
      <c r="AT42" s="9"/>
    </row>
    <row r="43" spans="1:46" x14ac:dyDescent="0.35">
      <c r="A43">
        <f t="shared" si="33"/>
        <v>11</v>
      </c>
      <c r="B43" t="s">
        <v>49</v>
      </c>
      <c r="C43" t="str">
        <f t="shared" ref="C43:J43" si="53">C27</f>
        <v>Appui 5</v>
      </c>
      <c r="D43">
        <f t="shared" si="53"/>
        <v>25</v>
      </c>
      <c r="E43" t="str">
        <f t="shared" si="53"/>
        <v>B</v>
      </c>
      <c r="F43">
        <f t="shared" si="53"/>
        <v>500</v>
      </c>
      <c r="G43" s="14">
        <v>215000</v>
      </c>
      <c r="H43" s="15">
        <v>1412.67</v>
      </c>
      <c r="I43" s="14">
        <v>1828</v>
      </c>
      <c r="J43">
        <f t="shared" si="53"/>
        <v>1</v>
      </c>
      <c r="K43">
        <f>K27</f>
        <v>0.23</v>
      </c>
      <c r="L43">
        <f t="shared" si="42"/>
        <v>7.5</v>
      </c>
      <c r="M43">
        <f t="shared" si="43"/>
        <v>1.0514500000000002E-3</v>
      </c>
      <c r="N43">
        <f t="shared" si="44"/>
        <v>6.9999999999999993E-2</v>
      </c>
      <c r="O43" s="9">
        <v>1</v>
      </c>
      <c r="P43">
        <f t="shared" si="45"/>
        <v>1.7115000000000001E-3</v>
      </c>
      <c r="Q43">
        <f t="shared" si="46"/>
        <v>0.04</v>
      </c>
      <c r="R43" s="9">
        <v>1</v>
      </c>
      <c r="S43" s="14">
        <v>9.1649999999999992E-5</v>
      </c>
      <c r="T43">
        <f t="shared" si="47"/>
        <v>0</v>
      </c>
      <c r="U43" s="9">
        <f t="shared" ref="U43:V43" si="54">U27/2+U32+U37/2</f>
        <v>0</v>
      </c>
      <c r="V43" s="9">
        <f t="shared" si="54"/>
        <v>114.75</v>
      </c>
      <c r="W43" s="9">
        <f t="shared" si="50"/>
        <v>47.25</v>
      </c>
      <c r="X43" s="8">
        <v>0</v>
      </c>
      <c r="Y43" s="9">
        <f t="shared" si="51"/>
        <v>124.375</v>
      </c>
      <c r="Z43" s="9">
        <f t="shared" si="51"/>
        <v>50.5625</v>
      </c>
      <c r="AA43" s="2"/>
      <c r="AB43" s="9">
        <f t="shared" ref="AB43:AC43" si="55">AB27/2+AB32+AB37/2</f>
        <v>58.25</v>
      </c>
      <c r="AC43" s="9">
        <f t="shared" si="55"/>
        <v>116.6875</v>
      </c>
      <c r="AD43" s="3">
        <f t="shared" si="38"/>
        <v>243.75</v>
      </c>
      <c r="AE43" s="3"/>
      <c r="AF43">
        <f t="shared" si="39"/>
        <v>174.9375</v>
      </c>
      <c r="AT43" s="9"/>
    </row>
    <row r="44" spans="1:46" x14ac:dyDescent="0.35">
      <c r="A44">
        <f t="shared" si="33"/>
        <v>12</v>
      </c>
      <c r="B44" t="s">
        <v>42</v>
      </c>
      <c r="D44" s="5">
        <v>25</v>
      </c>
      <c r="E44" s="5" t="s">
        <v>18</v>
      </c>
      <c r="F44" s="5">
        <v>500</v>
      </c>
      <c r="G44" s="6">
        <v>220000</v>
      </c>
      <c r="H44" s="5">
        <v>1576</v>
      </c>
      <c r="I44" s="5">
        <v>1870</v>
      </c>
      <c r="J44" s="5">
        <v>1</v>
      </c>
      <c r="K44" s="5">
        <v>0.2</v>
      </c>
      <c r="L44" s="5">
        <v>2.2000000000000002</v>
      </c>
      <c r="M44" s="5">
        <v>1.0000000000000001E-5</v>
      </c>
      <c r="N44" s="5">
        <v>0.03</v>
      </c>
      <c r="O44" s="5">
        <v>1</v>
      </c>
      <c r="P44" s="5">
        <v>0</v>
      </c>
      <c r="Q44" s="5">
        <v>0</v>
      </c>
      <c r="R44" s="5">
        <v>1</v>
      </c>
      <c r="S44" s="5">
        <v>0</v>
      </c>
      <c r="T44" s="5">
        <v>0</v>
      </c>
      <c r="U44" s="5">
        <v>0</v>
      </c>
      <c r="V44" s="7">
        <v>0</v>
      </c>
      <c r="W44" s="7">
        <v>0</v>
      </c>
      <c r="X44" s="5"/>
      <c r="Y44" s="1">
        <f t="shared" ref="Y44:Y45" si="56">IFERROR(IF(ISNUMBER(SEARCH("Appui",C44)),V44+X44*V44,IF(A43&lt;A44,V44-X45*V45/2,IF(A44&lt;A45,V44-(X43*V43)/2,V44-(X45*V45+X43*V43)/2))),0)</f>
        <v>0</v>
      </c>
      <c r="Z44" s="1">
        <f t="shared" ref="Z44:Z45" si="57">IFERROR(IF(ISNUMBER(SEARCH("Appui",C44)),W44+X44*W44,IF(A43&lt;A44,W44-X45*W45/2,IF(A44&lt;A45,W44-(X43*W43)/2,W44-(X45*W45+X43*W43)/2))),0)</f>
        <v>0</v>
      </c>
      <c r="AA44" s="2"/>
      <c r="AB44" s="1">
        <f t="shared" ref="AB44:AB45" si="58">Y44*(1-AA44)</f>
        <v>0</v>
      </c>
      <c r="AC44" s="1">
        <f t="shared" ref="AC44:AC45" si="59">Y44*AA44 + Z44</f>
        <v>0</v>
      </c>
      <c r="AD44" s="3">
        <f t="shared" si="38"/>
        <v>0</v>
      </c>
      <c r="AE44" s="3"/>
      <c r="AF44">
        <f t="shared" si="39"/>
        <v>0</v>
      </c>
      <c r="AT44" s="9"/>
    </row>
    <row r="45" spans="1:46" x14ac:dyDescent="0.35">
      <c r="A45">
        <f t="shared" si="33"/>
        <v>12</v>
      </c>
      <c r="B45" t="s">
        <v>42</v>
      </c>
      <c r="D45" s="5">
        <v>25</v>
      </c>
      <c r="E45" s="5" t="s">
        <v>18</v>
      </c>
      <c r="F45" s="5">
        <v>500</v>
      </c>
      <c r="G45" s="6">
        <v>220000</v>
      </c>
      <c r="H45" s="5">
        <v>1576</v>
      </c>
      <c r="I45" s="5">
        <v>1870</v>
      </c>
      <c r="J45" s="5">
        <v>1</v>
      </c>
      <c r="K45" s="5">
        <v>0.2</v>
      </c>
      <c r="L45" s="5">
        <v>2.2000000000000002</v>
      </c>
      <c r="M45" s="5">
        <v>1.0000000000000001E-5</v>
      </c>
      <c r="N45" s="5">
        <v>0.03</v>
      </c>
      <c r="O45" s="5">
        <v>1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7">
        <v>0</v>
      </c>
      <c r="W45" s="7">
        <v>0</v>
      </c>
      <c r="X45" s="5"/>
      <c r="Y45" s="1">
        <f t="shared" si="56"/>
        <v>0</v>
      </c>
      <c r="Z45" s="1">
        <f t="shared" si="57"/>
        <v>0</v>
      </c>
      <c r="AA45" s="2"/>
      <c r="AB45" s="1">
        <f t="shared" si="58"/>
        <v>0</v>
      </c>
      <c r="AC45" s="1">
        <f t="shared" si="59"/>
        <v>0</v>
      </c>
      <c r="AD45" s="3">
        <f t="shared" si="38"/>
        <v>0</v>
      </c>
      <c r="AE45" s="3"/>
      <c r="AF45">
        <f t="shared" si="39"/>
        <v>0</v>
      </c>
      <c r="AT45" s="9"/>
    </row>
    <row r="46" spans="1:46" x14ac:dyDescent="0.35">
      <c r="A46">
        <f t="shared" si="33"/>
        <v>13</v>
      </c>
      <c r="B46" t="s">
        <v>58</v>
      </c>
      <c r="C46" t="s">
        <v>21</v>
      </c>
      <c r="D46">
        <v>25</v>
      </c>
      <c r="E46" t="s">
        <v>18</v>
      </c>
      <c r="F46">
        <v>500</v>
      </c>
      <c r="G46" s="14">
        <v>215000</v>
      </c>
      <c r="H46" s="15">
        <v>1412.67</v>
      </c>
      <c r="I46" s="14">
        <v>1828</v>
      </c>
      <c r="J46">
        <v>1</v>
      </c>
      <c r="K46">
        <v>0.215</v>
      </c>
      <c r="L46">
        <v>3</v>
      </c>
      <c r="M46">
        <v>3.8400000000000001E-4</v>
      </c>
      <c r="N46">
        <v>0.04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3</v>
      </c>
      <c r="W46">
        <v>6</v>
      </c>
      <c r="X46" s="8" t="s">
        <v>40</v>
      </c>
      <c r="Y46" s="1">
        <v>3</v>
      </c>
      <c r="Z46" s="1">
        <v>6</v>
      </c>
      <c r="AA46" s="2">
        <v>0</v>
      </c>
      <c r="AB46" s="1">
        <v>3</v>
      </c>
      <c r="AC46" s="1">
        <v>6</v>
      </c>
      <c r="AD46" s="3">
        <v>13.05</v>
      </c>
      <c r="AE46" s="3"/>
      <c r="AF46">
        <v>9</v>
      </c>
      <c r="AT46" s="9"/>
    </row>
    <row r="47" spans="1:46" x14ac:dyDescent="0.35">
      <c r="A47">
        <f t="shared" si="33"/>
        <v>13</v>
      </c>
      <c r="B47" t="s">
        <v>58</v>
      </c>
      <c r="C47" t="s">
        <v>22</v>
      </c>
      <c r="D47">
        <v>25</v>
      </c>
      <c r="E47" t="s">
        <v>18</v>
      </c>
      <c r="F47">
        <v>500</v>
      </c>
      <c r="G47" s="14">
        <v>215000</v>
      </c>
      <c r="H47" s="15">
        <v>1412.67</v>
      </c>
      <c r="I47" s="14">
        <v>1828</v>
      </c>
      <c r="J47">
        <v>1</v>
      </c>
      <c r="K47">
        <v>0.2</v>
      </c>
      <c r="L47">
        <v>3</v>
      </c>
      <c r="M47">
        <v>1.5089999999999999E-3</v>
      </c>
      <c r="N47">
        <v>0.04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42</v>
      </c>
      <c r="W47">
        <v>18</v>
      </c>
      <c r="X47" s="8">
        <v>0</v>
      </c>
      <c r="Y47" s="1">
        <v>42</v>
      </c>
      <c r="Z47" s="1">
        <v>18</v>
      </c>
      <c r="AA47" s="2">
        <v>0</v>
      </c>
      <c r="AB47" s="1">
        <v>42</v>
      </c>
      <c r="AC47" s="1">
        <v>18</v>
      </c>
      <c r="AD47" s="3">
        <v>83.7</v>
      </c>
      <c r="AE47" s="3"/>
      <c r="AF47">
        <v>60</v>
      </c>
      <c r="AT47" s="9"/>
    </row>
    <row r="48" spans="1:46" x14ac:dyDescent="0.35">
      <c r="A48">
        <f t="shared" si="33"/>
        <v>13</v>
      </c>
      <c r="B48" t="s">
        <v>58</v>
      </c>
      <c r="C48" t="s">
        <v>23</v>
      </c>
      <c r="D48">
        <v>25</v>
      </c>
      <c r="E48" t="s">
        <v>18</v>
      </c>
      <c r="F48">
        <v>500</v>
      </c>
      <c r="G48" s="14">
        <v>215000</v>
      </c>
      <c r="H48" s="15">
        <v>1412.67</v>
      </c>
      <c r="I48" s="14">
        <v>1828</v>
      </c>
      <c r="J48">
        <v>1</v>
      </c>
      <c r="K48">
        <v>0.215</v>
      </c>
      <c r="L48">
        <v>4.1749999999999998</v>
      </c>
      <c r="M48">
        <v>1.0729750000000001E-3</v>
      </c>
      <c r="N48">
        <v>0.04</v>
      </c>
      <c r="O48">
        <v>1</v>
      </c>
      <c r="P48">
        <v>0</v>
      </c>
      <c r="Q48">
        <v>0</v>
      </c>
      <c r="R48">
        <v>1</v>
      </c>
      <c r="S48" s="14">
        <v>9.1649999999999992E-5</v>
      </c>
      <c r="T48">
        <v>0</v>
      </c>
      <c r="U48" s="10">
        <v>3</v>
      </c>
      <c r="V48">
        <v>48.6</v>
      </c>
      <c r="W48">
        <v>20.6</v>
      </c>
      <c r="X48" s="8" t="s">
        <v>40</v>
      </c>
      <c r="Y48" s="1">
        <v>51.9</v>
      </c>
      <c r="Z48" s="1">
        <v>24.560000000000002</v>
      </c>
      <c r="AA48" s="2">
        <v>0</v>
      </c>
      <c r="AB48" s="1">
        <v>51.9</v>
      </c>
      <c r="AC48" s="1">
        <v>24.560000000000002</v>
      </c>
      <c r="AD48" s="3">
        <v>106.905</v>
      </c>
      <c r="AE48" s="3"/>
      <c r="AF48">
        <v>76.460000000000008</v>
      </c>
      <c r="AT48" s="9"/>
    </row>
    <row r="49" spans="1:46" x14ac:dyDescent="0.35">
      <c r="A49">
        <f t="shared" si="33"/>
        <v>13</v>
      </c>
      <c r="B49" t="s">
        <v>58</v>
      </c>
      <c r="C49" t="s">
        <v>24</v>
      </c>
      <c r="D49">
        <v>25</v>
      </c>
      <c r="E49" t="s">
        <v>18</v>
      </c>
      <c r="F49">
        <v>500</v>
      </c>
      <c r="G49" s="14">
        <v>215000</v>
      </c>
      <c r="H49" s="15">
        <v>1412.67</v>
      </c>
      <c r="I49" s="14">
        <v>1828</v>
      </c>
      <c r="J49">
        <v>1</v>
      </c>
      <c r="K49">
        <v>0.23</v>
      </c>
      <c r="L49">
        <v>5.35</v>
      </c>
      <c r="M49">
        <v>1.024E-4</v>
      </c>
      <c r="N49">
        <v>6.9999999999999993E-2</v>
      </c>
      <c r="O49">
        <v>1</v>
      </c>
      <c r="P49">
        <v>0</v>
      </c>
      <c r="Q49">
        <v>0</v>
      </c>
      <c r="R49">
        <v>1</v>
      </c>
      <c r="S49" s="14">
        <v>9.1649999999999992E-5</v>
      </c>
      <c r="T49">
        <v>0</v>
      </c>
      <c r="U49" s="10">
        <v>4</v>
      </c>
      <c r="V49">
        <v>10</v>
      </c>
      <c r="W49">
        <v>12</v>
      </c>
      <c r="X49" s="8">
        <v>-0.66</v>
      </c>
      <c r="Y49" s="1">
        <v>3.3999999999999995</v>
      </c>
      <c r="Z49" s="1">
        <v>4.08</v>
      </c>
      <c r="AA49" s="2">
        <v>0</v>
      </c>
      <c r="AB49" s="1">
        <v>3.3999999999999995</v>
      </c>
      <c r="AC49" s="1">
        <v>4.08</v>
      </c>
      <c r="AD49" s="3">
        <v>10.71</v>
      </c>
      <c r="AE49" s="3"/>
      <c r="AF49">
        <v>7.4799999999999995</v>
      </c>
      <c r="AT49" s="9"/>
    </row>
    <row r="50" spans="1:46" x14ac:dyDescent="0.35">
      <c r="A50">
        <f t="shared" si="33"/>
        <v>13</v>
      </c>
      <c r="B50" t="s">
        <v>58</v>
      </c>
      <c r="C50" t="s">
        <v>25</v>
      </c>
      <c r="D50">
        <v>25</v>
      </c>
      <c r="E50" t="s">
        <v>18</v>
      </c>
      <c r="F50">
        <v>500</v>
      </c>
      <c r="G50" s="14">
        <v>215000</v>
      </c>
      <c r="H50" s="15">
        <v>1412.67</v>
      </c>
      <c r="I50" s="14">
        <v>1828</v>
      </c>
      <c r="J50">
        <v>1</v>
      </c>
      <c r="K50">
        <v>0.24</v>
      </c>
      <c r="L50">
        <v>5.35</v>
      </c>
      <c r="M50">
        <v>1.37495E-3</v>
      </c>
      <c r="N50">
        <v>0.04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34</v>
      </c>
      <c r="W50">
        <v>17</v>
      </c>
      <c r="X50" s="8" t="s">
        <v>40</v>
      </c>
      <c r="Y50" s="1">
        <v>37.299999999999997</v>
      </c>
      <c r="Z50" s="1">
        <v>20.96</v>
      </c>
      <c r="AA50" s="4">
        <v>0</v>
      </c>
      <c r="AB50" s="1">
        <v>37.299999999999997</v>
      </c>
      <c r="AC50" s="1">
        <v>20.96</v>
      </c>
      <c r="AD50" s="3">
        <v>81.795000000000002</v>
      </c>
      <c r="AE50" s="3"/>
      <c r="AF50">
        <v>58.26</v>
      </c>
      <c r="AT50" s="9"/>
    </row>
    <row r="51" spans="1:46" x14ac:dyDescent="0.35">
      <c r="A51">
        <f t="shared" si="33"/>
        <v>14</v>
      </c>
      <c r="B51" t="s">
        <v>42</v>
      </c>
      <c r="D51" s="5">
        <v>25</v>
      </c>
      <c r="E51" s="5" t="s">
        <v>18</v>
      </c>
      <c r="F51" s="5">
        <v>500</v>
      </c>
      <c r="G51" s="6">
        <v>220000</v>
      </c>
      <c r="H51" s="5">
        <v>1576</v>
      </c>
      <c r="I51" s="5">
        <v>1870</v>
      </c>
      <c r="J51" s="5">
        <v>1</v>
      </c>
      <c r="K51" s="5">
        <v>0.2</v>
      </c>
      <c r="L51" s="5">
        <v>2.2000000000000002</v>
      </c>
      <c r="M51" s="5">
        <v>1.0000000000000001E-5</v>
      </c>
      <c r="N51" s="5">
        <v>0.03</v>
      </c>
      <c r="O51" s="5">
        <v>1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7">
        <v>0</v>
      </c>
      <c r="W51" s="7">
        <v>0</v>
      </c>
      <c r="X51" s="5"/>
      <c r="Y51" s="1">
        <f t="shared" ref="Y51" si="60">IFERROR(IF(ISNUMBER(SEARCH("Appui",C51)),V51+X51*V51,IF(A50&lt;A51,V51-X52*V52/2,IF(A51&lt;A52,V51-(X50*V50)/2,V51-(X52*V52+X50*V50)/2))),0)</f>
        <v>0</v>
      </c>
      <c r="Z51" s="1">
        <f t="shared" ref="Z51" si="61">IFERROR(IF(ISNUMBER(SEARCH("Appui",C51)),W51+X51*W51,IF(A50&lt;A51,W51-X52*W52/2,IF(A51&lt;A52,W51-(X50*W50)/2,W51-(X52*W52+X50*W50)/2))),0)</f>
        <v>0</v>
      </c>
      <c r="AA51" s="2"/>
      <c r="AB51" s="1">
        <f t="shared" ref="AB51" si="62">Y51*(1-AA51)</f>
        <v>0</v>
      </c>
      <c r="AC51" s="1">
        <f t="shared" ref="AC51" si="63">Y51*AA51 + Z51</f>
        <v>0</v>
      </c>
      <c r="AD51" s="3">
        <f t="shared" ref="AD51" si="64">1.35*Y51+1.5*Z51</f>
        <v>0</v>
      </c>
      <c r="AE51" s="3"/>
      <c r="AF51">
        <f t="shared" ref="AF51" si="65">AB51+AC51</f>
        <v>0</v>
      </c>
      <c r="AT51" s="9"/>
    </row>
    <row r="52" spans="1:46" x14ac:dyDescent="0.35">
      <c r="A52">
        <f t="shared" si="33"/>
        <v>15</v>
      </c>
      <c r="B52" t="s">
        <v>26</v>
      </c>
      <c r="C52" t="s">
        <v>21</v>
      </c>
      <c r="D52">
        <v>25</v>
      </c>
      <c r="E52" t="s">
        <v>18</v>
      </c>
      <c r="F52">
        <v>500</v>
      </c>
      <c r="G52" s="14">
        <v>215000</v>
      </c>
      <c r="H52" s="15">
        <v>1412.67</v>
      </c>
      <c r="I52" s="14">
        <v>1828</v>
      </c>
      <c r="J52">
        <v>1</v>
      </c>
      <c r="K52">
        <v>0.215</v>
      </c>
      <c r="L52">
        <v>2.2000000000000002</v>
      </c>
      <c r="M52">
        <v>2.7999999999999998E-4</v>
      </c>
      <c r="N52">
        <v>0.03</v>
      </c>
      <c r="O52">
        <v>1</v>
      </c>
      <c r="P52">
        <v>0</v>
      </c>
      <c r="Q52">
        <v>0</v>
      </c>
      <c r="R52">
        <v>1</v>
      </c>
      <c r="S52" s="14">
        <v>9.1649999999999992E-5</v>
      </c>
      <c r="T52">
        <v>0</v>
      </c>
      <c r="U52" s="10">
        <v>2</v>
      </c>
      <c r="V52" s="1">
        <v>5</v>
      </c>
      <c r="W52">
        <v>6.2</v>
      </c>
      <c r="X52" s="8" t="s">
        <v>40</v>
      </c>
      <c r="Y52" s="1">
        <v>2.8</v>
      </c>
      <c r="Z52" s="1">
        <v>5.24</v>
      </c>
      <c r="AA52" s="2">
        <v>0</v>
      </c>
      <c r="AB52" s="1">
        <v>2.8</v>
      </c>
      <c r="AC52" s="1">
        <v>5.24</v>
      </c>
      <c r="AD52" s="3">
        <v>11.64</v>
      </c>
      <c r="AE52" s="3"/>
      <c r="AF52">
        <v>8.0399999999999991</v>
      </c>
      <c r="AT52" s="9"/>
    </row>
    <row r="53" spans="1:46" x14ac:dyDescent="0.35">
      <c r="A53">
        <f t="shared" si="33"/>
        <v>15</v>
      </c>
      <c r="B53" t="s">
        <v>26</v>
      </c>
      <c r="C53" t="s">
        <v>22</v>
      </c>
      <c r="D53">
        <v>25</v>
      </c>
      <c r="E53" t="s">
        <v>18</v>
      </c>
      <c r="F53">
        <v>500</v>
      </c>
      <c r="G53" s="14">
        <v>215000</v>
      </c>
      <c r="H53" s="15">
        <v>1412.67</v>
      </c>
      <c r="I53" s="14">
        <v>1828</v>
      </c>
      <c r="J53">
        <v>1</v>
      </c>
      <c r="K53">
        <v>0.2</v>
      </c>
      <c r="L53">
        <v>2.2000000000000002</v>
      </c>
      <c r="M53">
        <v>1.7852E-3</v>
      </c>
      <c r="N53">
        <v>0.03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55</v>
      </c>
      <c r="W53">
        <v>24</v>
      </c>
      <c r="X53" s="8">
        <v>0.08</v>
      </c>
      <c r="Y53" s="1">
        <v>59.4</v>
      </c>
      <c r="Z53" s="1">
        <v>25.92</v>
      </c>
      <c r="AA53" s="2">
        <v>0</v>
      </c>
      <c r="AB53" s="1">
        <v>59.4</v>
      </c>
      <c r="AC53" s="1">
        <v>25.92</v>
      </c>
      <c r="AD53" s="3">
        <v>119.07</v>
      </c>
      <c r="AE53" s="3"/>
      <c r="AF53">
        <v>85.32</v>
      </c>
      <c r="AT53" s="9"/>
    </row>
    <row r="54" spans="1:46" ht="13.5" customHeight="1" x14ac:dyDescent="0.35">
      <c r="A54">
        <f t="shared" si="33"/>
        <v>15</v>
      </c>
      <c r="B54" t="s">
        <v>26</v>
      </c>
      <c r="C54" t="s">
        <v>23</v>
      </c>
      <c r="D54">
        <v>25</v>
      </c>
      <c r="E54" t="s">
        <v>18</v>
      </c>
      <c r="F54">
        <v>500</v>
      </c>
      <c r="G54" s="14">
        <v>215000</v>
      </c>
      <c r="H54" s="15">
        <v>1412.67</v>
      </c>
      <c r="I54" s="14">
        <v>1828</v>
      </c>
      <c r="J54">
        <v>1</v>
      </c>
      <c r="K54">
        <v>0.215</v>
      </c>
      <c r="L54">
        <v>2.2000000000000002</v>
      </c>
      <c r="M54">
        <v>5.6539999999999997E-4</v>
      </c>
      <c r="N54">
        <v>0.03</v>
      </c>
      <c r="O54">
        <v>1</v>
      </c>
      <c r="P54">
        <v>0</v>
      </c>
      <c r="Q54">
        <v>0</v>
      </c>
      <c r="R54">
        <v>1</v>
      </c>
      <c r="S54" s="14">
        <v>9.1649999999999992E-5</v>
      </c>
      <c r="T54">
        <v>0</v>
      </c>
      <c r="U54" s="10">
        <v>3</v>
      </c>
      <c r="V54">
        <v>36</v>
      </c>
      <c r="W54">
        <v>14.5</v>
      </c>
      <c r="X54" s="8" t="s">
        <v>40</v>
      </c>
      <c r="Y54" s="1">
        <v>33.799999999999997</v>
      </c>
      <c r="Z54" s="1">
        <v>13.54</v>
      </c>
      <c r="AA54" s="4">
        <v>0</v>
      </c>
      <c r="AB54" s="1">
        <v>33.799999999999997</v>
      </c>
      <c r="AC54" s="1">
        <v>13.54</v>
      </c>
      <c r="AD54" s="3">
        <v>65.94</v>
      </c>
      <c r="AE54" s="3"/>
      <c r="AF54">
        <v>47.339999999999996</v>
      </c>
      <c r="AT54" s="9"/>
    </row>
    <row r="55" spans="1:46" x14ac:dyDescent="0.35">
      <c r="A55">
        <f t="shared" si="33"/>
        <v>15</v>
      </c>
      <c r="B55" t="s">
        <v>26</v>
      </c>
      <c r="C55" t="s">
        <v>24</v>
      </c>
      <c r="D55">
        <v>25</v>
      </c>
      <c r="E55" t="s">
        <v>18</v>
      </c>
      <c r="F55">
        <v>500</v>
      </c>
      <c r="G55" s="14">
        <v>215000</v>
      </c>
      <c r="H55" s="15">
        <v>1412.67</v>
      </c>
      <c r="I55" s="14">
        <v>1828</v>
      </c>
      <c r="J55">
        <v>1</v>
      </c>
      <c r="K55">
        <v>0.23</v>
      </c>
      <c r="L55">
        <v>2.2000000000000002</v>
      </c>
      <c r="M55">
        <v>1.8981000000000002E-3</v>
      </c>
      <c r="N55">
        <v>0.06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80.5</v>
      </c>
      <c r="W55">
        <v>28</v>
      </c>
      <c r="X55" s="8">
        <v>0</v>
      </c>
      <c r="Y55" s="1">
        <v>80.5</v>
      </c>
      <c r="Z55" s="1">
        <v>28</v>
      </c>
      <c r="AA55" s="4">
        <v>0</v>
      </c>
      <c r="AB55" s="1">
        <v>80.5</v>
      </c>
      <c r="AC55" s="1">
        <v>28</v>
      </c>
      <c r="AD55" s="3">
        <v>150.67500000000001</v>
      </c>
      <c r="AE55" s="3"/>
      <c r="AF55">
        <v>108.5</v>
      </c>
      <c r="AT55" s="9"/>
    </row>
    <row r="56" spans="1:46" x14ac:dyDescent="0.35">
      <c r="A56">
        <f t="shared" si="33"/>
        <v>15</v>
      </c>
      <c r="B56" t="s">
        <v>26</v>
      </c>
      <c r="C56" t="s">
        <v>25</v>
      </c>
      <c r="D56">
        <v>25</v>
      </c>
      <c r="E56" t="s">
        <v>18</v>
      </c>
      <c r="F56">
        <v>500</v>
      </c>
      <c r="G56" s="14">
        <v>215000</v>
      </c>
      <c r="H56" s="15">
        <v>1412.67</v>
      </c>
      <c r="I56" s="14">
        <v>1828</v>
      </c>
      <c r="J56">
        <v>1</v>
      </c>
      <c r="K56">
        <v>0.24</v>
      </c>
      <c r="L56">
        <v>2.2000000000000002</v>
      </c>
      <c r="M56">
        <v>5.6570000000000004E-4</v>
      </c>
      <c r="N56">
        <v>0.03</v>
      </c>
      <c r="O56">
        <v>1</v>
      </c>
      <c r="P56">
        <v>0</v>
      </c>
      <c r="Q56">
        <v>0</v>
      </c>
      <c r="R56">
        <v>1</v>
      </c>
      <c r="S56" s="14">
        <v>9.1649999999999992E-5</v>
      </c>
      <c r="T56">
        <v>0</v>
      </c>
      <c r="U56">
        <v>1</v>
      </c>
      <c r="V56">
        <v>21.3</v>
      </c>
      <c r="W56">
        <v>10</v>
      </c>
      <c r="X56" s="8" t="s">
        <v>40</v>
      </c>
      <c r="Y56" s="1">
        <v>21.3</v>
      </c>
      <c r="Z56" s="1">
        <v>10</v>
      </c>
      <c r="AA56" s="4">
        <v>0</v>
      </c>
      <c r="AB56" s="1">
        <v>21.3</v>
      </c>
      <c r="AC56" s="1">
        <v>10</v>
      </c>
      <c r="AD56" s="3">
        <v>43.755000000000003</v>
      </c>
      <c r="AE56" s="3"/>
      <c r="AF56">
        <v>31.3</v>
      </c>
      <c r="AT56" s="9"/>
    </row>
    <row r="57" spans="1:46" x14ac:dyDescent="0.35">
      <c r="A57">
        <f t="shared" si="33"/>
        <v>16</v>
      </c>
      <c r="B57" t="s">
        <v>42</v>
      </c>
      <c r="D57" s="5">
        <v>25</v>
      </c>
      <c r="E57" s="5" t="s">
        <v>18</v>
      </c>
      <c r="F57" s="5">
        <v>500</v>
      </c>
      <c r="G57" s="6">
        <v>220000</v>
      </c>
      <c r="H57" s="5">
        <v>1576</v>
      </c>
      <c r="I57" s="5">
        <v>1870</v>
      </c>
      <c r="J57" s="5">
        <v>1</v>
      </c>
      <c r="K57" s="5">
        <v>0.2</v>
      </c>
      <c r="L57" s="5">
        <v>2.2000000000000002</v>
      </c>
      <c r="M57" s="5">
        <v>1.0000000000000001E-5</v>
      </c>
      <c r="N57" s="5">
        <v>0.03</v>
      </c>
      <c r="O57" s="5">
        <v>1</v>
      </c>
      <c r="P57" s="5">
        <v>0</v>
      </c>
      <c r="Q57" s="5">
        <v>0</v>
      </c>
      <c r="R57" s="5">
        <v>1</v>
      </c>
      <c r="S57" s="5">
        <v>0</v>
      </c>
      <c r="T57" s="5">
        <v>0</v>
      </c>
      <c r="U57" s="5">
        <v>0</v>
      </c>
      <c r="V57" s="7">
        <v>0</v>
      </c>
      <c r="W57" s="7">
        <v>0</v>
      </c>
      <c r="X57" s="5"/>
      <c r="Y57" s="1">
        <f t="shared" ref="Y57" si="66">IFERROR(IF(ISNUMBER(SEARCH("Appui",C57)),V57+X57*V57,IF(A56&lt;A57,V57-X58*V58/2,IF(A57&lt;A58,V57-(X56*V56)/2,V57-(X58*V58+X56*V56)/2))),0)</f>
        <v>0</v>
      </c>
      <c r="Z57" s="1">
        <f t="shared" ref="Z57" si="67">IFERROR(IF(ISNUMBER(SEARCH("Appui",C57)),W57+X57*W57,IF(A56&lt;A57,W57-X58*W58/2,IF(A57&lt;A58,W57-(X56*W56)/2,W57-(X58*W58+X56*W56)/2))),0)</f>
        <v>0</v>
      </c>
      <c r="AA57" s="2"/>
      <c r="AB57" s="1">
        <f t="shared" ref="AB57" si="68">Y57*(1-AA57)</f>
        <v>0</v>
      </c>
      <c r="AC57" s="1">
        <f t="shared" ref="AC57" si="69">Y57*AA57 + Z57</f>
        <v>0</v>
      </c>
      <c r="AD57" s="3">
        <f t="shared" ref="AD57" si="70">1.35*Y57+1.5*Z57</f>
        <v>0</v>
      </c>
      <c r="AE57" s="3"/>
      <c r="AF57">
        <f t="shared" ref="AF57" si="71">AB57+AC57</f>
        <v>0</v>
      </c>
      <c r="AT57" s="9"/>
    </row>
    <row r="58" spans="1:46" x14ac:dyDescent="0.35">
      <c r="A58">
        <f t="shared" si="33"/>
        <v>17</v>
      </c>
      <c r="B58" t="s">
        <v>41</v>
      </c>
      <c r="C58" t="s">
        <v>21</v>
      </c>
      <c r="D58">
        <v>25</v>
      </c>
      <c r="E58" t="s">
        <v>18</v>
      </c>
      <c r="F58">
        <v>500</v>
      </c>
      <c r="G58" s="14">
        <v>215000</v>
      </c>
      <c r="H58" s="15">
        <v>1412.67</v>
      </c>
      <c r="I58" s="14">
        <v>1828</v>
      </c>
      <c r="J58">
        <v>1</v>
      </c>
      <c r="K58">
        <v>0.215</v>
      </c>
      <c r="L58">
        <v>5.3</v>
      </c>
      <c r="M58">
        <v>6.7840000000000001E-4</v>
      </c>
      <c r="N58">
        <v>0.04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2</v>
      </c>
      <c r="W58">
        <v>16</v>
      </c>
      <c r="X58" s="8" t="s">
        <v>40</v>
      </c>
      <c r="Y58" s="1">
        <v>15.68</v>
      </c>
      <c r="Z58" s="1">
        <v>24.204999999999998</v>
      </c>
      <c r="AA58" s="2">
        <v>0</v>
      </c>
      <c r="AB58" s="1">
        <v>15.68</v>
      </c>
      <c r="AC58" s="1">
        <v>24.204999999999998</v>
      </c>
      <c r="AD58" s="3">
        <v>57.475499999999997</v>
      </c>
      <c r="AE58" s="3"/>
      <c r="AF58">
        <v>39.884999999999998</v>
      </c>
      <c r="AT58" s="9"/>
    </row>
    <row r="59" spans="1:46" x14ac:dyDescent="0.35">
      <c r="A59">
        <f t="shared" si="33"/>
        <v>17</v>
      </c>
      <c r="B59" t="s">
        <v>41</v>
      </c>
      <c r="C59" t="s">
        <v>22</v>
      </c>
      <c r="D59">
        <v>25</v>
      </c>
      <c r="E59" t="s">
        <v>18</v>
      </c>
      <c r="F59">
        <v>500</v>
      </c>
      <c r="G59" s="14">
        <v>215000</v>
      </c>
      <c r="H59" s="15">
        <v>1412.67</v>
      </c>
      <c r="I59" s="14">
        <v>1828</v>
      </c>
      <c r="J59">
        <v>1</v>
      </c>
      <c r="K59">
        <v>0.2</v>
      </c>
      <c r="L59">
        <v>5.3</v>
      </c>
      <c r="M59">
        <v>1.8560000000000001E-4</v>
      </c>
      <c r="N59">
        <v>0.04</v>
      </c>
      <c r="O59">
        <v>1</v>
      </c>
      <c r="P59">
        <v>0</v>
      </c>
      <c r="Q59">
        <v>0</v>
      </c>
      <c r="R59">
        <v>1</v>
      </c>
      <c r="S59" s="14">
        <v>9.1649999999999992E-5</v>
      </c>
      <c r="T59">
        <v>0</v>
      </c>
      <c r="U59" s="10">
        <v>4</v>
      </c>
      <c r="V59">
        <v>36</v>
      </c>
      <c r="W59">
        <v>20</v>
      </c>
      <c r="X59" s="8">
        <v>-0.76</v>
      </c>
      <c r="Y59" s="1">
        <v>8.64</v>
      </c>
      <c r="Z59" s="1">
        <v>4.8000000000000007</v>
      </c>
      <c r="AA59" s="13">
        <f>25%*0</f>
        <v>0</v>
      </c>
      <c r="AB59" s="1">
        <v>6.48</v>
      </c>
      <c r="AC59" s="1">
        <v>6.9600000000000009</v>
      </c>
      <c r="AD59" s="3">
        <v>18.864000000000004</v>
      </c>
      <c r="AE59" s="3"/>
      <c r="AF59">
        <v>13.440000000000001</v>
      </c>
      <c r="AT59" s="9"/>
    </row>
    <row r="60" spans="1:46" x14ac:dyDescent="0.35">
      <c r="A60">
        <f t="shared" si="33"/>
        <v>17</v>
      </c>
      <c r="B60" t="s">
        <v>41</v>
      </c>
      <c r="C60" t="s">
        <v>23</v>
      </c>
      <c r="D60">
        <v>25</v>
      </c>
      <c r="E60" t="s">
        <v>18</v>
      </c>
      <c r="F60">
        <v>500</v>
      </c>
      <c r="G60" s="14">
        <v>215000</v>
      </c>
      <c r="H60" s="15">
        <v>1412.67</v>
      </c>
      <c r="I60" s="14">
        <v>1828</v>
      </c>
      <c r="J60">
        <v>1</v>
      </c>
      <c r="K60">
        <v>0.215</v>
      </c>
      <c r="L60">
        <v>5.3</v>
      </c>
      <c r="M60">
        <v>1.3568E-3</v>
      </c>
      <c r="N60">
        <v>0.04</v>
      </c>
      <c r="O60">
        <v>1</v>
      </c>
      <c r="P60">
        <v>0</v>
      </c>
      <c r="Q60">
        <v>0</v>
      </c>
      <c r="R60">
        <v>1</v>
      </c>
      <c r="S60" s="14">
        <v>9.1649999999999992E-5</v>
      </c>
      <c r="T60">
        <v>0</v>
      </c>
      <c r="U60" s="10">
        <v>4</v>
      </c>
      <c r="V60">
        <v>75</v>
      </c>
      <c r="W60">
        <v>34</v>
      </c>
      <c r="X60" s="8" t="s">
        <v>40</v>
      </c>
      <c r="Y60" s="1">
        <v>104.34</v>
      </c>
      <c r="Z60" s="1">
        <v>50.3</v>
      </c>
      <c r="AA60" s="13">
        <f>50%*0</f>
        <v>0</v>
      </c>
      <c r="AB60" s="1">
        <v>52.17</v>
      </c>
      <c r="AC60" s="1">
        <v>102.47</v>
      </c>
      <c r="AD60" s="3">
        <v>216.309</v>
      </c>
      <c r="AE60" s="3"/>
      <c r="AF60">
        <v>154.63999999999999</v>
      </c>
      <c r="AT60" s="9"/>
    </row>
    <row r="61" spans="1:46" x14ac:dyDescent="0.35">
      <c r="A61">
        <f t="shared" si="33"/>
        <v>17</v>
      </c>
      <c r="B61" t="s">
        <v>41</v>
      </c>
      <c r="C61" t="s">
        <v>24</v>
      </c>
      <c r="D61">
        <v>25</v>
      </c>
      <c r="E61" t="s">
        <v>18</v>
      </c>
      <c r="F61">
        <v>500</v>
      </c>
      <c r="G61" s="14">
        <v>215000</v>
      </c>
      <c r="H61" s="15">
        <v>1412.67</v>
      </c>
      <c r="I61" s="14">
        <v>1828</v>
      </c>
      <c r="J61">
        <v>1</v>
      </c>
      <c r="K61">
        <v>0.23</v>
      </c>
      <c r="L61">
        <v>5.3</v>
      </c>
      <c r="M61">
        <v>1.024E-4</v>
      </c>
      <c r="N61">
        <v>6.9999999999999993E-2</v>
      </c>
      <c r="O61">
        <v>1</v>
      </c>
      <c r="P61">
        <v>0</v>
      </c>
      <c r="Q61">
        <v>0</v>
      </c>
      <c r="R61">
        <v>1</v>
      </c>
      <c r="S61" s="14">
        <v>9.1649999999999992E-5</v>
      </c>
      <c r="T61">
        <v>0</v>
      </c>
      <c r="U61" s="10">
        <v>4</v>
      </c>
      <c r="V61">
        <v>36</v>
      </c>
      <c r="W61">
        <v>20</v>
      </c>
      <c r="X61" s="8">
        <v>-0.87</v>
      </c>
      <c r="Y61" s="1">
        <v>4.68</v>
      </c>
      <c r="Z61" s="1">
        <v>2.6000000000000014</v>
      </c>
      <c r="AA61" s="13">
        <f>50%*0</f>
        <v>0</v>
      </c>
      <c r="AB61" s="1">
        <v>2.34</v>
      </c>
      <c r="AC61" s="1">
        <v>4.9400000000000013</v>
      </c>
      <c r="AD61" s="3">
        <v>10.218000000000002</v>
      </c>
      <c r="AE61" s="3"/>
      <c r="AF61">
        <v>7.2800000000000011</v>
      </c>
      <c r="AT61" s="9"/>
    </row>
    <row r="62" spans="1:46" x14ac:dyDescent="0.35">
      <c r="A62">
        <f t="shared" si="33"/>
        <v>17</v>
      </c>
      <c r="B62" t="s">
        <v>41</v>
      </c>
      <c r="C62" t="s">
        <v>25</v>
      </c>
      <c r="D62">
        <v>25</v>
      </c>
      <c r="E62" t="s">
        <v>18</v>
      </c>
      <c r="F62">
        <v>500</v>
      </c>
      <c r="G62" s="14">
        <v>215000</v>
      </c>
      <c r="H62" s="15">
        <v>1412.67</v>
      </c>
      <c r="I62" s="14">
        <v>1828</v>
      </c>
      <c r="J62">
        <v>1</v>
      </c>
      <c r="K62">
        <v>0.24</v>
      </c>
      <c r="L62">
        <v>5.3</v>
      </c>
      <c r="M62">
        <v>1.3621E-3</v>
      </c>
      <c r="N62">
        <v>0.04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42</v>
      </c>
      <c r="W62">
        <v>23</v>
      </c>
      <c r="X62" s="8" t="s">
        <v>40</v>
      </c>
      <c r="Y62" s="1">
        <v>57.66</v>
      </c>
      <c r="Z62" s="1">
        <v>31.7</v>
      </c>
      <c r="AA62" s="13">
        <f>50%*0</f>
        <v>0</v>
      </c>
      <c r="AB62" s="1">
        <v>28.83</v>
      </c>
      <c r="AC62" s="1">
        <v>60.53</v>
      </c>
      <c r="AD62" s="3">
        <v>125.39099999999999</v>
      </c>
      <c r="AE62" s="3"/>
      <c r="AF62">
        <v>89.36</v>
      </c>
      <c r="AT62" s="9"/>
    </row>
    <row r="63" spans="1:46" x14ac:dyDescent="0.35">
      <c r="A63">
        <f t="shared" si="33"/>
        <v>18</v>
      </c>
      <c r="B63" t="s">
        <v>42</v>
      </c>
      <c r="D63" s="5">
        <v>25</v>
      </c>
      <c r="E63" s="5" t="s">
        <v>18</v>
      </c>
      <c r="F63" s="5">
        <v>500</v>
      </c>
      <c r="G63" s="6">
        <v>220000</v>
      </c>
      <c r="H63" s="5">
        <v>1576</v>
      </c>
      <c r="I63" s="5">
        <v>1870</v>
      </c>
      <c r="J63" s="5">
        <v>1</v>
      </c>
      <c r="K63" s="5">
        <v>0.2</v>
      </c>
      <c r="L63" s="5">
        <v>2.2000000000000002</v>
      </c>
      <c r="M63" s="5">
        <v>1.0000000000000001E-5</v>
      </c>
      <c r="N63" s="5">
        <v>0.03</v>
      </c>
      <c r="O63" s="5">
        <v>1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7">
        <v>0</v>
      </c>
      <c r="W63" s="7">
        <v>0</v>
      </c>
      <c r="X63" s="5"/>
      <c r="Y63" s="1">
        <f>IFERROR(IF(ISNUMBER(SEARCH("Appui",C63)),V63+X63*V63,IF(A62&lt;A63,V63-X64*V64/2,IF(A63&lt;A64,V63-(X62*V62)/2,V63-(X64*V64+X62*V62)/2))),0)</f>
        <v>0</v>
      </c>
      <c r="Z63" s="1">
        <f>IFERROR(IF(ISNUMBER(SEARCH("Appui",C63)),W63+X63*W63,IF(A62&lt;A63,W63-X64*W64/2,IF(A63&lt;A64,W63-(X62*W62)/2,W63-(X64*W64+X62*W62)/2))),0)</f>
        <v>0</v>
      </c>
      <c r="AA63" s="2"/>
      <c r="AB63" s="1">
        <f t="shared" ref="AB63" si="72">Y63*(1-AA63)</f>
        <v>0</v>
      </c>
      <c r="AC63" s="1">
        <f t="shared" ref="AC63" si="73">Y63*AA63 + Z63</f>
        <v>0</v>
      </c>
      <c r="AD63" s="3">
        <f t="shared" ref="AD63" si="74">1.35*Y63+1.5*Z63</f>
        <v>0</v>
      </c>
      <c r="AE63" s="3"/>
      <c r="AF63">
        <f t="shared" ref="AF63" si="75">AB63+AC63</f>
        <v>0</v>
      </c>
      <c r="AT63" s="9"/>
    </row>
    <row r="64" spans="1:46" x14ac:dyDescent="0.35">
      <c r="A64">
        <f t="shared" si="33"/>
        <v>19</v>
      </c>
      <c r="B64" t="s">
        <v>57</v>
      </c>
      <c r="C64" t="s">
        <v>21</v>
      </c>
      <c r="D64">
        <f>D52</f>
        <v>25</v>
      </c>
      <c r="E64" t="str">
        <f t="shared" ref="E64:K64" si="76">E52</f>
        <v>B</v>
      </c>
      <c r="F64">
        <f t="shared" si="76"/>
        <v>500</v>
      </c>
      <c r="G64" s="14">
        <v>215000</v>
      </c>
      <c r="H64" s="15">
        <v>1412.67</v>
      </c>
      <c r="I64" s="14">
        <v>1828</v>
      </c>
      <c r="J64">
        <f t="shared" si="76"/>
        <v>1</v>
      </c>
      <c r="K64">
        <f t="shared" si="76"/>
        <v>0.215</v>
      </c>
      <c r="L64">
        <f>L46/2+L52+L58/2</f>
        <v>6.35</v>
      </c>
      <c r="M64">
        <f>(M46*O46)/2+(M52*O52)+(M58*O58)/2</f>
        <v>8.1119999999999999E-4</v>
      </c>
      <c r="N64">
        <f>MAX(N46,N52,N58)</f>
        <v>0.04</v>
      </c>
      <c r="O64" s="9">
        <v>1</v>
      </c>
      <c r="P64">
        <f>(P46*R46)/2+(P52*R52)+(P58*R58)/2</f>
        <v>0</v>
      </c>
      <c r="Q64">
        <f>MAX(Q46,Q52,Q58)</f>
        <v>0</v>
      </c>
      <c r="R64" s="9">
        <v>1</v>
      </c>
      <c r="S64" s="14">
        <v>9.1649999999999992E-5</v>
      </c>
      <c r="T64">
        <f>MAX(T46,T52,T58)</f>
        <v>0</v>
      </c>
      <c r="U64" s="9">
        <f>U46/2+U52+U58/2</f>
        <v>2</v>
      </c>
      <c r="V64" s="9">
        <f>V46/2+V52+V58/2</f>
        <v>7.5</v>
      </c>
      <c r="W64" s="9">
        <f>W46/2+W52+W58/2</f>
        <v>17.2</v>
      </c>
      <c r="X64" s="8">
        <v>0</v>
      </c>
      <c r="Y64" s="9">
        <f>Y46/2+Y52+Y58/2</f>
        <v>12.14</v>
      </c>
      <c r="Z64" s="9">
        <f>Z46/2+Z52+Z58/2</f>
        <v>20.342500000000001</v>
      </c>
      <c r="AA64" s="2"/>
      <c r="AB64" s="9">
        <f>AB46/2+AB52+AB58/2</f>
        <v>12.14</v>
      </c>
      <c r="AC64" s="9">
        <f>AC46/2+AC52+AC58/2</f>
        <v>20.342500000000001</v>
      </c>
      <c r="AD64" s="3">
        <f>1.35*Y64+1.5*Z64</f>
        <v>46.902750000000005</v>
      </c>
      <c r="AE64" s="3"/>
      <c r="AF64" s="9">
        <f>AB64+AC64</f>
        <v>32.482500000000002</v>
      </c>
      <c r="AT64" s="9"/>
    </row>
    <row r="65" spans="1:46" x14ac:dyDescent="0.35">
      <c r="A65">
        <f t="shared" si="33"/>
        <v>19</v>
      </c>
      <c r="B65" t="s">
        <v>57</v>
      </c>
      <c r="C65" t="s">
        <v>22</v>
      </c>
      <c r="D65">
        <f t="shared" ref="D65:K65" si="77">D53</f>
        <v>25</v>
      </c>
      <c r="E65" t="str">
        <f t="shared" si="77"/>
        <v>B</v>
      </c>
      <c r="F65">
        <f t="shared" si="77"/>
        <v>500</v>
      </c>
      <c r="G65" s="14">
        <v>215000</v>
      </c>
      <c r="H65" s="15">
        <v>1412.67</v>
      </c>
      <c r="I65" s="14">
        <v>1828</v>
      </c>
      <c r="J65">
        <f t="shared" si="77"/>
        <v>1</v>
      </c>
      <c r="K65">
        <f t="shared" si="77"/>
        <v>0.2</v>
      </c>
      <c r="L65">
        <f t="shared" ref="L65:L68" si="78">L47/2+L53+L59/2</f>
        <v>6.35</v>
      </c>
      <c r="M65">
        <f t="shared" ref="M65:M68" si="79">(M47*O47)/2+(M53*O53)+(M59*O59)/2</f>
        <v>2.6324999999999999E-3</v>
      </c>
      <c r="N65">
        <f t="shared" ref="N65:N68" si="80">MAX(N47,N53,N59)</f>
        <v>0.04</v>
      </c>
      <c r="O65" s="9">
        <v>1</v>
      </c>
      <c r="P65">
        <f t="shared" ref="P65:P68" si="81">(P47*R47)/2+(P53*R53)+(P59*R59)/2</f>
        <v>0</v>
      </c>
      <c r="Q65">
        <f t="shared" ref="Q65:Q68" si="82">MAX(Q47,Q53,Q59)</f>
        <v>0</v>
      </c>
      <c r="R65" s="9">
        <v>1</v>
      </c>
      <c r="S65" s="14">
        <v>9.1649999999999992E-5</v>
      </c>
      <c r="T65">
        <f t="shared" ref="T65:T68" si="83">MAX(T47,T53,T59)</f>
        <v>0</v>
      </c>
      <c r="U65" s="9">
        <f t="shared" ref="U65:W65" si="84">U47/2+U53+U59/2</f>
        <v>2</v>
      </c>
      <c r="V65" s="9">
        <f t="shared" si="84"/>
        <v>94</v>
      </c>
      <c r="W65" s="9">
        <f t="shared" si="84"/>
        <v>43</v>
      </c>
      <c r="X65" s="8">
        <v>0</v>
      </c>
      <c r="Y65" s="9">
        <f t="shared" ref="Y65:Z65" si="85">Y47/2+Y53+Y59/2</f>
        <v>84.72</v>
      </c>
      <c r="Z65" s="9">
        <f t="shared" si="85"/>
        <v>37.32</v>
      </c>
      <c r="AA65" s="2"/>
      <c r="AB65" s="9">
        <f t="shared" ref="AB65:AC65" si="86">AB47/2+AB53+AB59/2</f>
        <v>83.64</v>
      </c>
      <c r="AC65" s="9">
        <f t="shared" si="86"/>
        <v>38.400000000000006</v>
      </c>
      <c r="AD65" s="3">
        <f t="shared" ref="AD65:AD69" si="87">1.35*Y65+1.5*Z65</f>
        <v>170.352</v>
      </c>
      <c r="AE65" s="3"/>
      <c r="AF65" s="9">
        <f t="shared" ref="AF65:AF69" si="88">AB65+AC65</f>
        <v>122.04</v>
      </c>
      <c r="AT65" s="9"/>
    </row>
    <row r="66" spans="1:46" x14ac:dyDescent="0.35">
      <c r="A66">
        <f t="shared" si="33"/>
        <v>19</v>
      </c>
      <c r="B66" t="s">
        <v>57</v>
      </c>
      <c r="C66" t="s">
        <v>23</v>
      </c>
      <c r="D66">
        <f t="shared" ref="D66:K66" si="89">D54</f>
        <v>25</v>
      </c>
      <c r="E66" t="str">
        <f t="shared" si="89"/>
        <v>B</v>
      </c>
      <c r="F66">
        <f t="shared" si="89"/>
        <v>500</v>
      </c>
      <c r="G66" s="14">
        <v>215000</v>
      </c>
      <c r="H66" s="15">
        <v>1412.67</v>
      </c>
      <c r="I66" s="14">
        <v>1828</v>
      </c>
      <c r="J66">
        <f t="shared" si="89"/>
        <v>1</v>
      </c>
      <c r="K66">
        <f t="shared" si="89"/>
        <v>0.215</v>
      </c>
      <c r="L66">
        <f t="shared" si="78"/>
        <v>6.9375</v>
      </c>
      <c r="M66">
        <f t="shared" si="79"/>
        <v>1.7802874999999999E-3</v>
      </c>
      <c r="N66">
        <f t="shared" si="80"/>
        <v>0.04</v>
      </c>
      <c r="O66" s="9">
        <v>1</v>
      </c>
      <c r="P66">
        <f t="shared" si="81"/>
        <v>0</v>
      </c>
      <c r="Q66">
        <f t="shared" si="82"/>
        <v>0</v>
      </c>
      <c r="R66" s="9">
        <v>1</v>
      </c>
      <c r="S66" s="14">
        <v>9.1649999999999992E-5</v>
      </c>
      <c r="T66">
        <f t="shared" si="83"/>
        <v>0</v>
      </c>
      <c r="U66" s="9">
        <f t="shared" ref="U66:W66" si="90">U48/2+U54+U60/2</f>
        <v>6.5</v>
      </c>
      <c r="V66" s="9">
        <f>V48/2+V54+V60/2</f>
        <v>97.8</v>
      </c>
      <c r="W66" s="9">
        <f t="shared" si="90"/>
        <v>41.8</v>
      </c>
      <c r="X66" s="8">
        <v>0</v>
      </c>
      <c r="Y66" s="9">
        <f t="shared" ref="Y66:Z66" si="91">Y48/2+Y54+Y60/2</f>
        <v>111.92</v>
      </c>
      <c r="Z66" s="9">
        <f t="shared" si="91"/>
        <v>50.97</v>
      </c>
      <c r="AA66" s="2"/>
      <c r="AB66" s="9">
        <f t="shared" ref="AB66:AC66" si="92">AB48/2+AB54+AB60/2</f>
        <v>85.835000000000008</v>
      </c>
      <c r="AC66" s="9">
        <f t="shared" si="92"/>
        <v>77.055000000000007</v>
      </c>
      <c r="AD66" s="3">
        <f t="shared" si="87"/>
        <v>227.54700000000003</v>
      </c>
      <c r="AE66" s="3"/>
      <c r="AF66" s="9">
        <f t="shared" si="88"/>
        <v>162.89000000000001</v>
      </c>
    </row>
    <row r="67" spans="1:46" x14ac:dyDescent="0.35">
      <c r="A67">
        <f t="shared" si="33"/>
        <v>19</v>
      </c>
      <c r="B67" t="s">
        <v>57</v>
      </c>
      <c r="C67" t="s">
        <v>24</v>
      </c>
      <c r="D67">
        <f t="shared" ref="D67:K67" si="93">D55</f>
        <v>25</v>
      </c>
      <c r="E67" t="str">
        <f t="shared" si="93"/>
        <v>B</v>
      </c>
      <c r="F67">
        <f t="shared" si="93"/>
        <v>500</v>
      </c>
      <c r="G67" s="14">
        <v>215000</v>
      </c>
      <c r="H67" s="15">
        <v>1412.67</v>
      </c>
      <c r="I67" s="14">
        <v>1828</v>
      </c>
      <c r="J67">
        <f t="shared" si="93"/>
        <v>1</v>
      </c>
      <c r="K67">
        <f t="shared" si="93"/>
        <v>0.23</v>
      </c>
      <c r="L67">
        <f t="shared" si="78"/>
        <v>7.5250000000000004</v>
      </c>
      <c r="M67">
        <f t="shared" si="79"/>
        <v>2.0005000000000001E-3</v>
      </c>
      <c r="N67">
        <f t="shared" si="80"/>
        <v>6.9999999999999993E-2</v>
      </c>
      <c r="O67" s="9">
        <v>1</v>
      </c>
      <c r="P67">
        <f t="shared" si="81"/>
        <v>0</v>
      </c>
      <c r="Q67">
        <f t="shared" si="82"/>
        <v>0</v>
      </c>
      <c r="R67" s="9">
        <v>1</v>
      </c>
      <c r="S67" s="14">
        <v>9.1649999999999992E-5</v>
      </c>
      <c r="T67">
        <f t="shared" si="83"/>
        <v>0</v>
      </c>
      <c r="U67" s="9">
        <f t="shared" ref="U67:W67" si="94">U49/2+U55+U61/2</f>
        <v>4</v>
      </c>
      <c r="V67" s="9">
        <f t="shared" si="94"/>
        <v>103.5</v>
      </c>
      <c r="W67" s="9">
        <f t="shared" si="94"/>
        <v>44</v>
      </c>
      <c r="X67" s="8">
        <v>0</v>
      </c>
      <c r="Y67" s="9">
        <f t="shared" ref="Y67:Z67" si="95">Y49/2+Y55+Y61/2</f>
        <v>84.54</v>
      </c>
      <c r="Z67" s="9">
        <f t="shared" si="95"/>
        <v>31.34</v>
      </c>
      <c r="AA67" s="2"/>
      <c r="AB67" s="9">
        <f t="shared" ref="AB67:AC67" si="96">AB49/2+AB55+AB61/2</f>
        <v>83.37</v>
      </c>
      <c r="AC67" s="9">
        <f t="shared" si="96"/>
        <v>32.51</v>
      </c>
      <c r="AD67" s="3">
        <f t="shared" si="87"/>
        <v>161.13900000000001</v>
      </c>
      <c r="AE67" s="3"/>
      <c r="AF67" s="9">
        <f t="shared" si="88"/>
        <v>115.88</v>
      </c>
    </row>
    <row r="68" spans="1:46" x14ac:dyDescent="0.35">
      <c r="A68">
        <f t="shared" si="33"/>
        <v>19</v>
      </c>
      <c r="B68" t="s">
        <v>57</v>
      </c>
      <c r="C68" t="s">
        <v>25</v>
      </c>
      <c r="D68">
        <f t="shared" ref="D68:K68" si="97">D56</f>
        <v>25</v>
      </c>
      <c r="E68" t="str">
        <f t="shared" si="97"/>
        <v>B</v>
      </c>
      <c r="F68">
        <f t="shared" si="97"/>
        <v>500</v>
      </c>
      <c r="G68" s="14">
        <v>215000</v>
      </c>
      <c r="H68" s="15">
        <v>1412.67</v>
      </c>
      <c r="I68" s="14">
        <v>1828</v>
      </c>
      <c r="J68">
        <f t="shared" si="97"/>
        <v>1</v>
      </c>
      <c r="K68">
        <f t="shared" si="97"/>
        <v>0.24</v>
      </c>
      <c r="L68">
        <f t="shared" si="78"/>
        <v>7.5250000000000004</v>
      </c>
      <c r="M68">
        <f t="shared" si="79"/>
        <v>1.9342249999999999E-3</v>
      </c>
      <c r="N68">
        <f t="shared" si="80"/>
        <v>0.04</v>
      </c>
      <c r="O68" s="9">
        <v>1</v>
      </c>
      <c r="P68">
        <f t="shared" si="81"/>
        <v>0</v>
      </c>
      <c r="Q68">
        <f t="shared" si="82"/>
        <v>0</v>
      </c>
      <c r="R68" s="9">
        <v>1</v>
      </c>
      <c r="S68" s="14">
        <v>9.1649999999999992E-5</v>
      </c>
      <c r="T68">
        <f t="shared" si="83"/>
        <v>0</v>
      </c>
      <c r="U68" s="9">
        <f t="shared" ref="U68:W68" si="98">U50/2+U56+U62/2</f>
        <v>1.5</v>
      </c>
      <c r="V68" s="9">
        <f t="shared" si="98"/>
        <v>59.3</v>
      </c>
      <c r="W68" s="9">
        <f t="shared" si="98"/>
        <v>30</v>
      </c>
      <c r="X68" s="8">
        <v>0</v>
      </c>
      <c r="Y68" s="9">
        <f t="shared" ref="Y68:Z68" si="99">Y50/2+Y56+Y62/2</f>
        <v>68.78</v>
      </c>
      <c r="Z68" s="9">
        <f t="shared" si="99"/>
        <v>36.33</v>
      </c>
      <c r="AA68" s="2"/>
      <c r="AB68" s="9">
        <f t="shared" ref="AB68:AC68" si="100">AB50/2+AB56+AB62/2</f>
        <v>54.365000000000002</v>
      </c>
      <c r="AC68" s="9">
        <f t="shared" si="100"/>
        <v>50.745000000000005</v>
      </c>
      <c r="AD68" s="3">
        <f t="shared" si="87"/>
        <v>147.34800000000001</v>
      </c>
      <c r="AE68" s="3"/>
      <c r="AF68" s="9">
        <f t="shared" si="88"/>
        <v>105.11000000000001</v>
      </c>
    </row>
    <row r="69" spans="1:46" x14ac:dyDescent="0.35">
      <c r="A69">
        <f t="shared" si="33"/>
        <v>20</v>
      </c>
      <c r="B69" t="s">
        <v>42</v>
      </c>
      <c r="D69" s="5">
        <v>25</v>
      </c>
      <c r="E69" s="5" t="s">
        <v>18</v>
      </c>
      <c r="F69" s="5">
        <v>500</v>
      </c>
      <c r="G69" s="6">
        <v>220000</v>
      </c>
      <c r="H69" s="5">
        <v>1576</v>
      </c>
      <c r="I69" s="5">
        <v>1870</v>
      </c>
      <c r="J69" s="5">
        <v>1</v>
      </c>
      <c r="K69" s="5">
        <v>0.2</v>
      </c>
      <c r="L69" s="5">
        <v>2.2000000000000002</v>
      </c>
      <c r="M69" s="5">
        <v>1.0000000000000001E-5</v>
      </c>
      <c r="N69" s="5">
        <v>0.03</v>
      </c>
      <c r="O69" s="5">
        <v>1</v>
      </c>
      <c r="P69" s="5">
        <v>0</v>
      </c>
      <c r="Q69" s="5">
        <v>0</v>
      </c>
      <c r="R69" s="5">
        <v>1</v>
      </c>
      <c r="S69" s="5">
        <v>0</v>
      </c>
      <c r="T69" s="5">
        <v>0</v>
      </c>
      <c r="U69" s="5">
        <v>0</v>
      </c>
      <c r="V69" s="7">
        <v>0</v>
      </c>
      <c r="W69" s="7">
        <v>0</v>
      </c>
      <c r="X69" s="5"/>
      <c r="Y69" s="1">
        <f t="shared" ref="Y69" si="101">IFERROR(IF(ISNUMBER(SEARCH("Appui",C69)),V69+X69*V69,IF(A68&lt;A69,V69-X70*V70/2,IF(A69&lt;A70,V69-(X68*V68)/2,V69-(X70*V70+X68*V68)/2))),0)</f>
        <v>0</v>
      </c>
      <c r="Z69" s="1">
        <f t="shared" ref="Z69" si="102">IFERROR(IF(ISNUMBER(SEARCH("Appui",C69)),W69+X69*W69,IF(A68&lt;A69,W69-X70*W70/2,IF(A69&lt;A70,W69-(X68*W68)/2,W69-(X70*W70+X68*W68)/2))),0)</f>
        <v>0</v>
      </c>
      <c r="AA69" s="2"/>
      <c r="AB69" s="1">
        <f t="shared" ref="AB69" si="103">Y69*(1-AA69)</f>
        <v>0</v>
      </c>
      <c r="AC69" s="1">
        <f t="shared" ref="AC69" si="104">Y69*AA69 + Z69</f>
        <v>0</v>
      </c>
      <c r="AD69" s="3">
        <f t="shared" si="87"/>
        <v>0</v>
      </c>
      <c r="AE69" s="3"/>
      <c r="AF69">
        <f t="shared" si="88"/>
        <v>0</v>
      </c>
      <c r="AT69" s="9"/>
    </row>
    <row r="70" spans="1:46" x14ac:dyDescent="0.35">
      <c r="A70">
        <f t="shared" si="33"/>
        <v>21</v>
      </c>
      <c r="B70" t="s">
        <v>41</v>
      </c>
      <c r="C70" t="s">
        <v>21</v>
      </c>
      <c r="D70">
        <v>25</v>
      </c>
      <c r="E70" t="s">
        <v>18</v>
      </c>
      <c r="F70">
        <v>500</v>
      </c>
      <c r="G70" s="14">
        <v>215000</v>
      </c>
      <c r="H70" s="15">
        <v>1412.67</v>
      </c>
      <c r="I70" s="14">
        <v>1828</v>
      </c>
      <c r="J70">
        <v>1</v>
      </c>
      <c r="K70">
        <v>0.215</v>
      </c>
      <c r="L70">
        <v>5.3</v>
      </c>
      <c r="M70">
        <v>6.7840000000000001E-4</v>
      </c>
      <c r="N70">
        <v>0.04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2</v>
      </c>
      <c r="W70">
        <v>16</v>
      </c>
      <c r="X70" s="8" t="s">
        <v>40</v>
      </c>
      <c r="Y70" s="1">
        <v>15.68</v>
      </c>
      <c r="Z70" s="1">
        <v>24.204999999999998</v>
      </c>
      <c r="AA70" s="2">
        <v>0</v>
      </c>
      <c r="AB70" s="1">
        <v>15.68</v>
      </c>
      <c r="AC70" s="1">
        <v>24.204999999999998</v>
      </c>
      <c r="AD70" s="3">
        <v>57.475499999999997</v>
      </c>
      <c r="AE70" s="3"/>
      <c r="AF70">
        <v>39.884999999999998</v>
      </c>
    </row>
    <row r="71" spans="1:46" x14ac:dyDescent="0.35">
      <c r="A71">
        <f t="shared" si="33"/>
        <v>21</v>
      </c>
      <c r="B71" t="s">
        <v>41</v>
      </c>
      <c r="C71" t="s">
        <v>22</v>
      </c>
      <c r="D71">
        <v>25</v>
      </c>
      <c r="E71" t="s">
        <v>18</v>
      </c>
      <c r="F71">
        <v>500</v>
      </c>
      <c r="G71" s="14">
        <v>215000</v>
      </c>
      <c r="H71" s="15">
        <v>1412.67</v>
      </c>
      <c r="I71" s="14">
        <v>1828</v>
      </c>
      <c r="J71">
        <v>1</v>
      </c>
      <c r="K71">
        <v>0.2</v>
      </c>
      <c r="L71">
        <v>5.3</v>
      </c>
      <c r="M71">
        <v>1.8560000000000001E-4</v>
      </c>
      <c r="N71">
        <v>0.04</v>
      </c>
      <c r="O71">
        <v>1</v>
      </c>
      <c r="P71">
        <v>0</v>
      </c>
      <c r="Q71">
        <v>0</v>
      </c>
      <c r="R71">
        <v>1</v>
      </c>
      <c r="S71" s="14">
        <v>9.1649999999999992E-5</v>
      </c>
      <c r="T71">
        <v>0</v>
      </c>
      <c r="U71" s="10">
        <v>4</v>
      </c>
      <c r="V71">
        <v>36</v>
      </c>
      <c r="W71">
        <v>20</v>
      </c>
      <c r="X71" s="8">
        <v>-0.76</v>
      </c>
      <c r="Y71" s="1">
        <v>8.64</v>
      </c>
      <c r="Z71" s="1">
        <v>4.8000000000000007</v>
      </c>
      <c r="AA71" s="13">
        <f>25%*0</f>
        <v>0</v>
      </c>
      <c r="AB71" s="1">
        <v>6.48</v>
      </c>
      <c r="AC71" s="1">
        <v>6.9600000000000009</v>
      </c>
      <c r="AD71" s="3">
        <v>18.864000000000004</v>
      </c>
      <c r="AE71" s="3"/>
      <c r="AF71">
        <v>13.440000000000001</v>
      </c>
    </row>
    <row r="72" spans="1:46" x14ac:dyDescent="0.35">
      <c r="A72">
        <f t="shared" si="33"/>
        <v>21</v>
      </c>
      <c r="B72" t="s">
        <v>41</v>
      </c>
      <c r="C72" t="s">
        <v>23</v>
      </c>
      <c r="D72">
        <v>25</v>
      </c>
      <c r="E72" t="s">
        <v>18</v>
      </c>
      <c r="F72">
        <v>500</v>
      </c>
      <c r="G72" s="14">
        <v>215000</v>
      </c>
      <c r="H72" s="15">
        <v>1412.67</v>
      </c>
      <c r="I72" s="14">
        <v>1828</v>
      </c>
      <c r="J72">
        <v>1</v>
      </c>
      <c r="K72">
        <v>0.215</v>
      </c>
      <c r="L72">
        <v>5.3</v>
      </c>
      <c r="M72">
        <v>1.3568E-3</v>
      </c>
      <c r="N72">
        <v>0.04</v>
      </c>
      <c r="O72">
        <v>1</v>
      </c>
      <c r="P72">
        <v>0</v>
      </c>
      <c r="Q72">
        <v>0</v>
      </c>
      <c r="R72">
        <v>1</v>
      </c>
      <c r="S72" s="14">
        <v>9.1649999999999992E-5</v>
      </c>
      <c r="T72">
        <v>0</v>
      </c>
      <c r="U72" s="10">
        <v>4</v>
      </c>
      <c r="V72">
        <v>75</v>
      </c>
      <c r="W72">
        <v>34</v>
      </c>
      <c r="X72" s="8" t="s">
        <v>40</v>
      </c>
      <c r="Y72" s="1">
        <v>104.34</v>
      </c>
      <c r="Z72" s="1">
        <v>50.3</v>
      </c>
      <c r="AA72" s="13">
        <f>50%*0</f>
        <v>0</v>
      </c>
      <c r="AB72" s="1">
        <v>52.17</v>
      </c>
      <c r="AC72" s="1">
        <v>102.47</v>
      </c>
      <c r="AD72" s="3">
        <v>216.309</v>
      </c>
      <c r="AE72" s="3"/>
      <c r="AF72">
        <v>154.63999999999999</v>
      </c>
    </row>
    <row r="73" spans="1:46" x14ac:dyDescent="0.35">
      <c r="A73">
        <f t="shared" si="33"/>
        <v>21</v>
      </c>
      <c r="B73" t="s">
        <v>41</v>
      </c>
      <c r="C73" t="s">
        <v>24</v>
      </c>
      <c r="D73">
        <v>25</v>
      </c>
      <c r="E73" t="s">
        <v>18</v>
      </c>
      <c r="F73">
        <v>500</v>
      </c>
      <c r="G73" s="14">
        <v>215000</v>
      </c>
      <c r="H73" s="15">
        <v>1412.67</v>
      </c>
      <c r="I73" s="14">
        <v>1828</v>
      </c>
      <c r="J73">
        <v>1</v>
      </c>
      <c r="K73">
        <v>0.23</v>
      </c>
      <c r="L73">
        <v>5.3</v>
      </c>
      <c r="M73">
        <v>1.024E-4</v>
      </c>
      <c r="N73">
        <v>6.9999999999999993E-2</v>
      </c>
      <c r="O73">
        <v>1</v>
      </c>
      <c r="P73">
        <v>0</v>
      </c>
      <c r="Q73">
        <v>0</v>
      </c>
      <c r="R73">
        <v>1</v>
      </c>
      <c r="S73" s="14">
        <v>9.1649999999999992E-5</v>
      </c>
      <c r="T73">
        <v>0</v>
      </c>
      <c r="U73" s="10">
        <v>4</v>
      </c>
      <c r="V73">
        <v>36</v>
      </c>
      <c r="W73">
        <v>20</v>
      </c>
      <c r="X73" s="8">
        <v>-0.87</v>
      </c>
      <c r="Y73" s="1">
        <v>4.68</v>
      </c>
      <c r="Z73" s="1">
        <v>2.6000000000000014</v>
      </c>
      <c r="AA73" s="13">
        <f>50%*0</f>
        <v>0</v>
      </c>
      <c r="AB73" s="1">
        <v>2.34</v>
      </c>
      <c r="AC73" s="1">
        <v>4.9400000000000013</v>
      </c>
      <c r="AD73" s="3">
        <v>10.218000000000002</v>
      </c>
      <c r="AE73" s="3"/>
      <c r="AF73">
        <v>7.2800000000000011</v>
      </c>
    </row>
    <row r="74" spans="1:46" x14ac:dyDescent="0.35">
      <c r="A74">
        <f t="shared" si="33"/>
        <v>21</v>
      </c>
      <c r="B74" t="s">
        <v>41</v>
      </c>
      <c r="C74" t="s">
        <v>25</v>
      </c>
      <c r="D74">
        <v>25</v>
      </c>
      <c r="E74" t="s">
        <v>18</v>
      </c>
      <c r="F74">
        <v>500</v>
      </c>
      <c r="G74" s="14">
        <v>215000</v>
      </c>
      <c r="H74" s="15">
        <v>1412.67</v>
      </c>
      <c r="I74" s="14">
        <v>1828</v>
      </c>
      <c r="J74">
        <v>1</v>
      </c>
      <c r="K74">
        <v>0.24</v>
      </c>
      <c r="L74">
        <v>5.3</v>
      </c>
      <c r="M74">
        <v>1.3621E-3</v>
      </c>
      <c r="N74">
        <v>0.04</v>
      </c>
      <c r="O74">
        <v>1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42</v>
      </c>
      <c r="W74">
        <v>23</v>
      </c>
      <c r="X74" s="8" t="s">
        <v>40</v>
      </c>
      <c r="Y74" s="1">
        <v>57.66</v>
      </c>
      <c r="Z74" s="1">
        <v>31.7</v>
      </c>
      <c r="AA74" s="13">
        <f>50%*0</f>
        <v>0</v>
      </c>
      <c r="AB74" s="1">
        <v>28.83</v>
      </c>
      <c r="AC74" s="1">
        <v>60.53</v>
      </c>
      <c r="AD74" s="3">
        <v>125.39099999999999</v>
      </c>
      <c r="AE74" s="3"/>
      <c r="AF74">
        <v>89.36</v>
      </c>
    </row>
    <row r="75" spans="1:46" x14ac:dyDescent="0.35">
      <c r="A75">
        <f t="shared" si="33"/>
        <v>22</v>
      </c>
      <c r="B75" t="s">
        <v>42</v>
      </c>
      <c r="D75" s="5">
        <v>25</v>
      </c>
      <c r="E75" s="5" t="s">
        <v>18</v>
      </c>
      <c r="F75" s="5">
        <v>500</v>
      </c>
      <c r="G75" s="6">
        <v>220000</v>
      </c>
      <c r="H75" s="5">
        <v>1576</v>
      </c>
      <c r="I75" s="5">
        <v>1870</v>
      </c>
      <c r="J75" s="5">
        <v>1</v>
      </c>
      <c r="K75" s="5">
        <v>0.2</v>
      </c>
      <c r="L75" s="5">
        <v>2.2000000000000002</v>
      </c>
      <c r="M75" s="5">
        <v>1.0000000000000001E-5</v>
      </c>
      <c r="N75" s="5">
        <v>0.03</v>
      </c>
      <c r="O75" s="5">
        <v>1</v>
      </c>
      <c r="P75" s="5">
        <v>0</v>
      </c>
      <c r="Q75" s="5">
        <v>0</v>
      </c>
      <c r="R75" s="5">
        <v>1</v>
      </c>
      <c r="S75" s="5">
        <v>0</v>
      </c>
      <c r="T75" s="5">
        <v>0</v>
      </c>
      <c r="U75" s="5">
        <v>0</v>
      </c>
      <c r="V75" s="7">
        <v>0</v>
      </c>
      <c r="W75" s="7">
        <v>0</v>
      </c>
      <c r="X75" s="5"/>
      <c r="Y75" s="1">
        <f t="shared" ref="Y75" si="105">IFERROR(IF(ISNUMBER(SEARCH("Appui",C75)),V75+X75*V75,IF(A74&lt;A75,V75-X76*V76/2,IF(A75&lt;A76,V75-(X74*V74)/2,V75-(X76*V76+X74*V74)/2))),0)</f>
        <v>0</v>
      </c>
      <c r="Z75" s="1">
        <f t="shared" ref="Z75" si="106">IFERROR(IF(ISNUMBER(SEARCH("Appui",C75)),W75+X75*W75,IF(A74&lt;A75,W75-X76*W76/2,IF(A75&lt;A76,W75-(X74*W74)/2,W75-(X76*W76+X74*W74)/2))),0)</f>
        <v>0</v>
      </c>
      <c r="AA75" s="2"/>
      <c r="AB75" s="1">
        <f t="shared" ref="AB75" si="107">Y75*(1-AA75)</f>
        <v>0</v>
      </c>
      <c r="AC75" s="1">
        <f t="shared" ref="AC75" si="108">Y75*AA75 + Z75</f>
        <v>0</v>
      </c>
      <c r="AD75" s="3">
        <f t="shared" ref="AD75" si="109">1.35*Y75+1.5*Z75</f>
        <v>0</v>
      </c>
      <c r="AE75" s="3"/>
      <c r="AF75">
        <f t="shared" ref="AF75" si="110">AB75+AC75</f>
        <v>0</v>
      </c>
      <c r="AT75" s="9"/>
    </row>
    <row r="76" spans="1:46" x14ac:dyDescent="0.35">
      <c r="A76">
        <f t="shared" si="33"/>
        <v>23</v>
      </c>
      <c r="B76" t="s">
        <v>35</v>
      </c>
      <c r="C76" t="s">
        <v>21</v>
      </c>
      <c r="D76">
        <v>25</v>
      </c>
      <c r="E76" t="s">
        <v>18</v>
      </c>
      <c r="F76">
        <v>500</v>
      </c>
      <c r="G76" s="14">
        <v>215000</v>
      </c>
      <c r="H76" s="15">
        <v>1412.67</v>
      </c>
      <c r="I76" s="14">
        <v>1828</v>
      </c>
      <c r="J76">
        <v>1</v>
      </c>
      <c r="K76">
        <v>0.215</v>
      </c>
      <c r="L76">
        <v>2.2000000000000002</v>
      </c>
      <c r="M76">
        <v>2.7999999999999998E-4</v>
      </c>
      <c r="N76">
        <v>0.03</v>
      </c>
      <c r="O76">
        <v>1</v>
      </c>
      <c r="P76">
        <v>0</v>
      </c>
      <c r="Q76">
        <v>0</v>
      </c>
      <c r="R76">
        <v>1</v>
      </c>
      <c r="S76" s="14">
        <v>9.1649999999999992E-5</v>
      </c>
      <c r="T76">
        <v>0</v>
      </c>
      <c r="U76" s="10">
        <v>3</v>
      </c>
      <c r="V76">
        <v>4</v>
      </c>
      <c r="W76">
        <v>6.6</v>
      </c>
      <c r="X76" s="8" t="s">
        <v>40</v>
      </c>
      <c r="Y76" s="1">
        <v>-1.7749999999999995</v>
      </c>
      <c r="Z76" s="1">
        <v>4.5374999999999996</v>
      </c>
      <c r="AA76" s="4">
        <v>0</v>
      </c>
      <c r="AB76" s="1">
        <v>-1.7749999999999995</v>
      </c>
      <c r="AC76" s="1">
        <v>4.5374999999999996</v>
      </c>
      <c r="AD76" s="3">
        <v>4.41</v>
      </c>
      <c r="AE76" s="3"/>
      <c r="AF76">
        <v>2.7625000000000002</v>
      </c>
    </row>
    <row r="77" spans="1:46" x14ac:dyDescent="0.35">
      <c r="A77">
        <f t="shared" si="33"/>
        <v>23</v>
      </c>
      <c r="B77" t="s">
        <v>35</v>
      </c>
      <c r="C77" t="s">
        <v>22</v>
      </c>
      <c r="D77">
        <v>25</v>
      </c>
      <c r="E77" t="s">
        <v>18</v>
      </c>
      <c r="F77">
        <v>500</v>
      </c>
      <c r="G77" s="14">
        <v>215000</v>
      </c>
      <c r="H77" s="15">
        <v>1412.67</v>
      </c>
      <c r="I77" s="14">
        <v>1828</v>
      </c>
      <c r="J77">
        <v>1</v>
      </c>
      <c r="K77">
        <v>0.2</v>
      </c>
      <c r="L77">
        <v>2.2000000000000002</v>
      </c>
      <c r="M77">
        <v>2.6300000000000004E-3</v>
      </c>
      <c r="N77">
        <v>0.03</v>
      </c>
      <c r="O77">
        <v>1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77</v>
      </c>
      <c r="W77">
        <v>27.5</v>
      </c>
      <c r="X77" s="12">
        <v>0.15</v>
      </c>
      <c r="Y77" s="1">
        <v>88.55</v>
      </c>
      <c r="Z77" s="1">
        <v>31.625</v>
      </c>
      <c r="AA77" s="4">
        <v>0.25</v>
      </c>
      <c r="AB77" s="1">
        <v>66.412499999999994</v>
      </c>
      <c r="AC77" s="1">
        <v>53.762500000000003</v>
      </c>
      <c r="AD77" s="3">
        <v>166.98000000000002</v>
      </c>
      <c r="AE77" s="3"/>
      <c r="AF77">
        <v>120.175</v>
      </c>
    </row>
    <row r="78" spans="1:46" x14ac:dyDescent="0.35">
      <c r="A78">
        <f t="shared" si="33"/>
        <v>23</v>
      </c>
      <c r="B78" t="s">
        <v>35</v>
      </c>
      <c r="C78" t="s">
        <v>23</v>
      </c>
      <c r="D78">
        <v>25</v>
      </c>
      <c r="E78" t="s">
        <v>18</v>
      </c>
      <c r="F78">
        <v>500</v>
      </c>
      <c r="G78" s="14">
        <v>215000</v>
      </c>
      <c r="H78" s="15">
        <v>1412.67</v>
      </c>
      <c r="I78" s="14">
        <v>1828</v>
      </c>
      <c r="J78">
        <v>1</v>
      </c>
      <c r="K78">
        <v>0.215</v>
      </c>
      <c r="L78">
        <v>2.2000000000000002</v>
      </c>
      <c r="M78">
        <v>2.7999999999999998E-4</v>
      </c>
      <c r="N78">
        <v>0.03</v>
      </c>
      <c r="O78">
        <v>1</v>
      </c>
      <c r="P78">
        <v>0</v>
      </c>
      <c r="Q78">
        <v>0</v>
      </c>
      <c r="R78">
        <v>1</v>
      </c>
      <c r="S78" s="14">
        <v>9.1649999999999992E-5</v>
      </c>
      <c r="T78">
        <v>0</v>
      </c>
      <c r="U78" s="10">
        <v>3</v>
      </c>
      <c r="V78">
        <v>38.5</v>
      </c>
      <c r="W78">
        <v>15.4</v>
      </c>
      <c r="X78" s="8" t="s">
        <v>40</v>
      </c>
      <c r="Y78" s="1">
        <v>23.1</v>
      </c>
      <c r="Z78" s="1">
        <v>10.025</v>
      </c>
      <c r="AA78" s="4">
        <v>0.5</v>
      </c>
      <c r="AB78" s="1">
        <v>11.55</v>
      </c>
      <c r="AC78" s="1">
        <v>21.575000000000003</v>
      </c>
      <c r="AD78" s="3">
        <v>46.222500000000004</v>
      </c>
      <c r="AE78" s="3"/>
      <c r="AF78">
        <v>33.125</v>
      </c>
    </row>
    <row r="79" spans="1:46" x14ac:dyDescent="0.35">
      <c r="A79">
        <f t="shared" si="33"/>
        <v>23</v>
      </c>
      <c r="B79" t="s">
        <v>35</v>
      </c>
      <c r="C79" t="s">
        <v>24</v>
      </c>
      <c r="D79">
        <v>25</v>
      </c>
      <c r="E79" t="s">
        <v>18</v>
      </c>
      <c r="F79">
        <v>500</v>
      </c>
      <c r="G79" s="14">
        <v>215000</v>
      </c>
      <c r="H79" s="15">
        <v>1412.67</v>
      </c>
      <c r="I79" s="14">
        <v>1828</v>
      </c>
      <c r="J79">
        <v>1</v>
      </c>
      <c r="K79">
        <v>0.23</v>
      </c>
      <c r="L79">
        <v>2.2000000000000002</v>
      </c>
      <c r="M79" s="11">
        <v>0</v>
      </c>
      <c r="N79" s="11">
        <v>0.06</v>
      </c>
      <c r="O79">
        <v>1</v>
      </c>
      <c r="P79" s="10">
        <v>3.1400000000000004E-4</v>
      </c>
      <c r="Q79">
        <v>0.04</v>
      </c>
      <c r="R79" s="10">
        <v>6</v>
      </c>
      <c r="S79" s="14">
        <v>9.1649999999999992E-5</v>
      </c>
      <c r="T79">
        <v>0</v>
      </c>
      <c r="U79" s="10">
        <v>0</v>
      </c>
      <c r="V79">
        <v>77</v>
      </c>
      <c r="W79">
        <v>26.5</v>
      </c>
      <c r="X79" s="12">
        <v>0.25</v>
      </c>
      <c r="Y79" s="1">
        <v>96.25</v>
      </c>
      <c r="Z79" s="1">
        <v>33.125</v>
      </c>
      <c r="AA79" s="13">
        <v>1</v>
      </c>
      <c r="AB79" s="1">
        <v>0</v>
      </c>
      <c r="AC79" s="1">
        <v>129.375</v>
      </c>
      <c r="AD79" s="3">
        <v>179.625</v>
      </c>
      <c r="AE79" s="3"/>
      <c r="AF79">
        <v>129.375</v>
      </c>
    </row>
    <row r="80" spans="1:46" x14ac:dyDescent="0.35">
      <c r="A80">
        <f t="shared" si="33"/>
        <v>23</v>
      </c>
      <c r="B80" t="s">
        <v>35</v>
      </c>
      <c r="C80" t="s">
        <v>25</v>
      </c>
      <c r="D80">
        <v>25</v>
      </c>
      <c r="E80" t="s">
        <v>18</v>
      </c>
      <c r="F80">
        <v>500</v>
      </c>
      <c r="G80" s="14">
        <v>215000</v>
      </c>
      <c r="H80" s="15">
        <v>1412.67</v>
      </c>
      <c r="I80" s="14">
        <v>1828</v>
      </c>
      <c r="J80">
        <v>1</v>
      </c>
      <c r="K80">
        <v>0.24</v>
      </c>
      <c r="L80">
        <v>2.2000000000000002</v>
      </c>
      <c r="M80">
        <v>5.6539999999999997E-4</v>
      </c>
      <c r="N80">
        <v>0.03</v>
      </c>
      <c r="O80">
        <v>1</v>
      </c>
      <c r="P80">
        <v>0</v>
      </c>
      <c r="Q80">
        <v>0</v>
      </c>
      <c r="R80">
        <v>1</v>
      </c>
      <c r="S80" s="14">
        <v>9.1649999999999992E-5</v>
      </c>
      <c r="T80">
        <v>0</v>
      </c>
      <c r="U80">
        <v>2</v>
      </c>
      <c r="V80">
        <v>20</v>
      </c>
      <c r="W80">
        <v>9.5</v>
      </c>
      <c r="X80" s="8" t="s">
        <v>40</v>
      </c>
      <c r="Y80" s="1">
        <v>10.375</v>
      </c>
      <c r="Z80" s="1">
        <v>6.1875</v>
      </c>
      <c r="AA80" s="4">
        <v>0.5</v>
      </c>
      <c r="AB80" s="1">
        <v>5.1875</v>
      </c>
      <c r="AC80" s="1">
        <v>11.375</v>
      </c>
      <c r="AD80" s="3">
        <v>23.287500000000001</v>
      </c>
      <c r="AE80" s="3"/>
      <c r="AF80">
        <v>16.5625</v>
      </c>
    </row>
    <row r="81" spans="1:46" x14ac:dyDescent="0.35">
      <c r="A81">
        <f t="shared" si="33"/>
        <v>24</v>
      </c>
      <c r="B81" t="s">
        <v>42</v>
      </c>
      <c r="D81" s="5">
        <v>25</v>
      </c>
      <c r="E81" s="5" t="s">
        <v>18</v>
      </c>
      <c r="F81" s="5">
        <v>500</v>
      </c>
      <c r="G81" s="6">
        <v>220000</v>
      </c>
      <c r="H81" s="5">
        <v>1576</v>
      </c>
      <c r="I81" s="5">
        <v>1870</v>
      </c>
      <c r="J81" s="5">
        <v>1</v>
      </c>
      <c r="K81" s="5">
        <v>0.2</v>
      </c>
      <c r="L81" s="5">
        <v>2.2000000000000002</v>
      </c>
      <c r="M81" s="5">
        <v>1.0000000000000001E-5</v>
      </c>
      <c r="N81" s="5">
        <v>0.03</v>
      </c>
      <c r="O81" s="5">
        <v>1</v>
      </c>
      <c r="P81" s="5">
        <v>0</v>
      </c>
      <c r="Q81" s="5">
        <v>0</v>
      </c>
      <c r="R81" s="5">
        <v>1</v>
      </c>
      <c r="S81" s="5">
        <v>0</v>
      </c>
      <c r="T81" s="5">
        <v>0</v>
      </c>
      <c r="U81" s="5">
        <v>0</v>
      </c>
      <c r="V81" s="7">
        <v>0</v>
      </c>
      <c r="W81" s="7">
        <v>0</v>
      </c>
      <c r="X81" s="5"/>
      <c r="Y81" s="1">
        <f t="shared" ref="Y81:Y86" si="111">IFERROR(IF(ISNUMBER(SEARCH("Appui",C81)),V81+X81*V81,IF(A80&lt;A81,V81-X82*V82/2,IF(A81&lt;A82,V81-(X80*V80)/2,V81-(X82*V82+X80*V80)/2))),0)</f>
        <v>0</v>
      </c>
      <c r="Z81" s="1">
        <f t="shared" ref="Z81:Z86" si="112">IFERROR(IF(ISNUMBER(SEARCH("Appui",C81)),W81+X81*W81,IF(A80&lt;A81,W81-X82*W82/2,IF(A81&lt;A82,W81-(X80*W80)/2,W81-(X82*W82+X80*W80)/2))),0)</f>
        <v>0</v>
      </c>
      <c r="AA81" s="2"/>
      <c r="AB81" s="1">
        <f t="shared" ref="AB81:AB86" si="113">Y81*(1-AA81)</f>
        <v>0</v>
      </c>
      <c r="AC81" s="1">
        <f t="shared" ref="AC81:AC86" si="114">Y81*AA81 + Z81</f>
        <v>0</v>
      </c>
      <c r="AD81" s="3">
        <f t="shared" ref="AD81:AD86" si="115">1.35*Y81+1.5*Z81</f>
        <v>0</v>
      </c>
      <c r="AE81" s="3"/>
      <c r="AF81">
        <f t="shared" ref="AF81:AF86" si="116">AB81+AC81</f>
        <v>0</v>
      </c>
      <c r="AT81" s="9"/>
    </row>
    <row r="82" spans="1:46" x14ac:dyDescent="0.35">
      <c r="A82">
        <f t="shared" si="33"/>
        <v>25</v>
      </c>
      <c r="B82" t="s">
        <v>48</v>
      </c>
      <c r="C82" t="s">
        <v>21</v>
      </c>
      <c r="D82">
        <v>25</v>
      </c>
      <c r="E82" t="s">
        <v>18</v>
      </c>
      <c r="F82">
        <v>500</v>
      </c>
      <c r="G82" s="14">
        <v>215000</v>
      </c>
      <c r="H82" s="15">
        <v>1412.67</v>
      </c>
      <c r="I82" s="14">
        <v>1828</v>
      </c>
      <c r="J82">
        <v>1</v>
      </c>
      <c r="K82">
        <v>0.215</v>
      </c>
      <c r="L82">
        <v>5.3</v>
      </c>
      <c r="M82">
        <v>6.7840000000000001E-4</v>
      </c>
      <c r="N82">
        <v>0.04</v>
      </c>
      <c r="O82">
        <v>1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2</v>
      </c>
      <c r="W82">
        <v>15</v>
      </c>
      <c r="X82" s="8" t="s">
        <v>40</v>
      </c>
      <c r="Y82" s="1">
        <f t="shared" si="111"/>
        <v>14.555000000000001</v>
      </c>
      <c r="Z82" s="1">
        <f t="shared" si="112"/>
        <v>23.1</v>
      </c>
      <c r="AA82" s="4">
        <v>0</v>
      </c>
      <c r="AB82" s="1">
        <f t="shared" si="113"/>
        <v>14.555000000000001</v>
      </c>
      <c r="AC82" s="1">
        <f t="shared" si="114"/>
        <v>23.1</v>
      </c>
      <c r="AD82" s="3">
        <f t="shared" si="115"/>
        <v>54.299250000000008</v>
      </c>
      <c r="AE82" s="3"/>
      <c r="AF82">
        <f t="shared" si="116"/>
        <v>37.655000000000001</v>
      </c>
    </row>
    <row r="83" spans="1:46" x14ac:dyDescent="0.35">
      <c r="A83">
        <f t="shared" si="33"/>
        <v>25</v>
      </c>
      <c r="B83" t="s">
        <v>48</v>
      </c>
      <c r="C83" t="s">
        <v>22</v>
      </c>
      <c r="D83">
        <v>25</v>
      </c>
      <c r="E83" t="s">
        <v>18</v>
      </c>
      <c r="F83">
        <v>500</v>
      </c>
      <c r="G83" s="14">
        <v>215000</v>
      </c>
      <c r="H83" s="15">
        <v>1412.67</v>
      </c>
      <c r="I83" s="14">
        <v>1828</v>
      </c>
      <c r="J83">
        <v>1</v>
      </c>
      <c r="K83">
        <v>0.2</v>
      </c>
      <c r="L83">
        <v>5.3</v>
      </c>
      <c r="M83">
        <v>1.3439999999999999E-4</v>
      </c>
      <c r="N83">
        <v>0.04</v>
      </c>
      <c r="O83">
        <v>1</v>
      </c>
      <c r="P83">
        <v>0</v>
      </c>
      <c r="Q83">
        <v>0</v>
      </c>
      <c r="R83">
        <v>1</v>
      </c>
      <c r="S83" s="14">
        <v>9.1649999999999992E-5</v>
      </c>
      <c r="T83">
        <v>0</v>
      </c>
      <c r="U83" s="10">
        <v>4</v>
      </c>
      <c r="V83">
        <v>31</v>
      </c>
      <c r="W83">
        <v>20</v>
      </c>
      <c r="X83" s="8">
        <v>-0.81</v>
      </c>
      <c r="Y83" s="1">
        <f t="shared" si="111"/>
        <v>5.889999999999997</v>
      </c>
      <c r="Z83" s="1">
        <f t="shared" si="112"/>
        <v>3.7999999999999972</v>
      </c>
      <c r="AA83" s="4">
        <v>0</v>
      </c>
      <c r="AB83" s="1">
        <f t="shared" si="113"/>
        <v>5.889999999999997</v>
      </c>
      <c r="AC83" s="1">
        <f t="shared" si="114"/>
        <v>3.7999999999999972</v>
      </c>
      <c r="AD83" s="3">
        <f t="shared" si="115"/>
        <v>13.651499999999992</v>
      </c>
      <c r="AE83" s="3"/>
      <c r="AF83">
        <f t="shared" si="116"/>
        <v>9.6899999999999942</v>
      </c>
    </row>
    <row r="84" spans="1:46" x14ac:dyDescent="0.35">
      <c r="A84">
        <f t="shared" si="33"/>
        <v>25</v>
      </c>
      <c r="B84" t="s">
        <v>48</v>
      </c>
      <c r="C84" t="s">
        <v>23</v>
      </c>
      <c r="D84">
        <v>25</v>
      </c>
      <c r="E84" t="s">
        <v>18</v>
      </c>
      <c r="F84">
        <v>500</v>
      </c>
      <c r="G84" s="14">
        <v>215000</v>
      </c>
      <c r="H84" s="15">
        <v>1412.67</v>
      </c>
      <c r="I84" s="14">
        <v>1828</v>
      </c>
      <c r="J84">
        <v>1</v>
      </c>
      <c r="K84">
        <v>0.215</v>
      </c>
      <c r="L84">
        <v>5.3</v>
      </c>
      <c r="M84">
        <v>2.0405000000000002E-3</v>
      </c>
      <c r="N84">
        <v>0.04</v>
      </c>
      <c r="O84">
        <v>1</v>
      </c>
      <c r="P84">
        <v>0</v>
      </c>
      <c r="Q84">
        <v>0</v>
      </c>
      <c r="R84">
        <v>1</v>
      </c>
      <c r="S84" s="14">
        <v>9.1649999999999992E-5</v>
      </c>
      <c r="T84">
        <v>0</v>
      </c>
      <c r="U84">
        <v>3</v>
      </c>
      <c r="V84">
        <v>75</v>
      </c>
      <c r="W84">
        <v>32</v>
      </c>
      <c r="X84" s="8" t="s">
        <v>40</v>
      </c>
      <c r="Y84" s="1">
        <f t="shared" si="111"/>
        <v>87.555000000000007</v>
      </c>
      <c r="Z84" s="1">
        <f t="shared" si="112"/>
        <v>40.1</v>
      </c>
      <c r="AA84" s="4">
        <v>0</v>
      </c>
      <c r="AB84" s="1">
        <f t="shared" si="113"/>
        <v>87.555000000000007</v>
      </c>
      <c r="AC84" s="1">
        <f t="shared" si="114"/>
        <v>40.1</v>
      </c>
      <c r="AD84" s="3">
        <f t="shared" si="115"/>
        <v>178.34925000000004</v>
      </c>
      <c r="AE84" s="3"/>
      <c r="AF84">
        <f t="shared" si="116"/>
        <v>127.655</v>
      </c>
    </row>
    <row r="85" spans="1:46" x14ac:dyDescent="0.35">
      <c r="A85">
        <f t="shared" si="33"/>
        <v>25</v>
      </c>
      <c r="B85" t="s">
        <v>48</v>
      </c>
      <c r="C85" t="s">
        <v>24</v>
      </c>
      <c r="D85">
        <v>25</v>
      </c>
      <c r="E85" t="s">
        <v>18</v>
      </c>
      <c r="F85">
        <v>500</v>
      </c>
      <c r="G85" s="14">
        <v>215000</v>
      </c>
      <c r="H85" s="15">
        <v>1412.67</v>
      </c>
      <c r="I85" s="14">
        <v>1828</v>
      </c>
      <c r="J85">
        <v>1</v>
      </c>
      <c r="K85">
        <v>0.23</v>
      </c>
      <c r="L85">
        <v>5.3</v>
      </c>
      <c r="M85">
        <v>2.6659000000000001E-3</v>
      </c>
      <c r="N85">
        <v>6.9999999999999993E-2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 s="10">
        <v>0</v>
      </c>
      <c r="V85">
        <v>80</v>
      </c>
      <c r="W85">
        <v>35</v>
      </c>
      <c r="X85" s="8">
        <v>0</v>
      </c>
      <c r="Y85" s="1">
        <f t="shared" si="111"/>
        <v>80</v>
      </c>
      <c r="Z85" s="1">
        <f t="shared" si="112"/>
        <v>35</v>
      </c>
      <c r="AA85" s="4">
        <v>0</v>
      </c>
      <c r="AB85" s="1">
        <f t="shared" si="113"/>
        <v>80</v>
      </c>
      <c r="AC85" s="1">
        <f t="shared" si="114"/>
        <v>35</v>
      </c>
      <c r="AD85" s="3">
        <f t="shared" si="115"/>
        <v>160.5</v>
      </c>
      <c r="AE85" s="3"/>
      <c r="AF85">
        <f t="shared" si="116"/>
        <v>115</v>
      </c>
    </row>
    <row r="86" spans="1:46" x14ac:dyDescent="0.35">
      <c r="A86">
        <f t="shared" si="33"/>
        <v>25</v>
      </c>
      <c r="B86" t="s">
        <v>48</v>
      </c>
      <c r="C86" t="s">
        <v>25</v>
      </c>
      <c r="D86">
        <v>25</v>
      </c>
      <c r="E86" t="s">
        <v>18</v>
      </c>
      <c r="F86">
        <v>500</v>
      </c>
      <c r="G86" s="14">
        <v>215000</v>
      </c>
      <c r="H86" s="15">
        <v>1412.67</v>
      </c>
      <c r="I86" s="14">
        <v>1828</v>
      </c>
      <c r="J86">
        <v>1</v>
      </c>
      <c r="K86">
        <v>0.24</v>
      </c>
      <c r="L86">
        <v>5.3</v>
      </c>
      <c r="M86">
        <v>1.3621E-3</v>
      </c>
      <c r="N86">
        <v>0.04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40.5</v>
      </c>
      <c r="W86">
        <v>20</v>
      </c>
      <c r="X86" s="8" t="s">
        <v>40</v>
      </c>
      <c r="Y86" s="1">
        <f t="shared" si="111"/>
        <v>40.5</v>
      </c>
      <c r="Z86" s="1">
        <f t="shared" si="112"/>
        <v>20</v>
      </c>
      <c r="AA86" s="4">
        <v>0</v>
      </c>
      <c r="AB86" s="1">
        <f t="shared" si="113"/>
        <v>40.5</v>
      </c>
      <c r="AC86" s="1">
        <f t="shared" si="114"/>
        <v>20</v>
      </c>
      <c r="AD86" s="3">
        <f t="shared" si="115"/>
        <v>84.675000000000011</v>
      </c>
      <c r="AE86" s="3"/>
      <c r="AF86">
        <f t="shared" si="116"/>
        <v>60.5</v>
      </c>
    </row>
    <row r="87" spans="1:46" x14ac:dyDescent="0.35">
      <c r="A87">
        <f t="shared" si="33"/>
        <v>26</v>
      </c>
      <c r="B87" t="s">
        <v>42</v>
      </c>
      <c r="D87" s="5">
        <v>25</v>
      </c>
      <c r="E87" s="5" t="s">
        <v>18</v>
      </c>
      <c r="F87" s="5">
        <v>500</v>
      </c>
      <c r="G87" s="6">
        <v>220000</v>
      </c>
      <c r="H87" s="5">
        <v>1576</v>
      </c>
      <c r="I87" s="5">
        <v>1870</v>
      </c>
      <c r="J87" s="5">
        <v>1</v>
      </c>
      <c r="K87" s="5">
        <v>0.2</v>
      </c>
      <c r="L87" s="5">
        <v>2.2000000000000002</v>
      </c>
      <c r="M87" s="5">
        <v>1.0000000000000001E-5</v>
      </c>
      <c r="N87" s="5">
        <v>0.03</v>
      </c>
      <c r="O87" s="5">
        <v>1</v>
      </c>
      <c r="P87" s="5">
        <v>0</v>
      </c>
      <c r="Q87" s="5">
        <v>0</v>
      </c>
      <c r="R87" s="5">
        <v>1</v>
      </c>
      <c r="S87" s="5">
        <v>0</v>
      </c>
      <c r="T87" s="5">
        <v>0</v>
      </c>
      <c r="U87" s="5">
        <v>0</v>
      </c>
      <c r="V87" s="7">
        <v>0</v>
      </c>
      <c r="W87" s="7">
        <v>0</v>
      </c>
      <c r="X87" s="5"/>
      <c r="Y87" s="1">
        <f t="shared" ref="Y87" si="117">IFERROR(IF(ISNUMBER(SEARCH("Appui",C87)),V87+X87*V87,IF(A86&lt;A87,V87-X88*V88/2,IF(A87&lt;A88,V87-(X86*V86)/2,V87-(X88*V88+X86*V86)/2))),0)</f>
        <v>0</v>
      </c>
      <c r="Z87" s="1">
        <f t="shared" ref="Z87" si="118">IFERROR(IF(ISNUMBER(SEARCH("Appui",C87)),W87+X87*W87,IF(A86&lt;A87,W87-X88*W88/2,IF(A87&lt;A88,W87-(X86*W86)/2,W87-(X88*W88+X86*W86)/2))),0)</f>
        <v>0</v>
      </c>
      <c r="AA87" s="2"/>
      <c r="AB87" s="1">
        <f t="shared" ref="AB87" si="119">Y87*(1-AA87)</f>
        <v>0</v>
      </c>
      <c r="AC87" s="1">
        <f t="shared" ref="AC87" si="120">Y87*AA87 + Z87</f>
        <v>0</v>
      </c>
      <c r="AD87" s="3">
        <f t="shared" ref="AD87" si="121">1.35*Y87+1.5*Z87</f>
        <v>0</v>
      </c>
      <c r="AE87" s="3"/>
      <c r="AF87">
        <f t="shared" ref="AF87" si="122">AB87+AC87</f>
        <v>0</v>
      </c>
      <c r="AT87" s="9"/>
    </row>
    <row r="88" spans="1:46" x14ac:dyDescent="0.35">
      <c r="A88">
        <f t="shared" si="33"/>
        <v>27</v>
      </c>
      <c r="B88" t="s">
        <v>50</v>
      </c>
      <c r="C88" t="s">
        <v>21</v>
      </c>
      <c r="D88">
        <f>D76</f>
        <v>25</v>
      </c>
      <c r="E88" t="str">
        <f t="shared" ref="E88:K88" si="123">E76</f>
        <v>B</v>
      </c>
      <c r="F88">
        <f t="shared" si="123"/>
        <v>500</v>
      </c>
      <c r="G88" s="14">
        <v>215000</v>
      </c>
      <c r="H88" s="15">
        <v>1412.67</v>
      </c>
      <c r="I88" s="14">
        <v>1828</v>
      </c>
      <c r="J88">
        <f t="shared" si="123"/>
        <v>1</v>
      </c>
      <c r="K88">
        <f t="shared" si="123"/>
        <v>0.215</v>
      </c>
      <c r="L88">
        <f>L70/2+L76+L82/2</f>
        <v>7.5</v>
      </c>
      <c r="M88">
        <f>(M70*O70)/2+(M76*O76)+(M82*O82)/2</f>
        <v>9.5839999999999999E-4</v>
      </c>
      <c r="N88">
        <f>MAX(N70,N76,N82)</f>
        <v>0.04</v>
      </c>
      <c r="O88" s="9">
        <v>1</v>
      </c>
      <c r="P88">
        <f>(P70*R70)/2+(P76*R76)+(P82*R82)/2</f>
        <v>0</v>
      </c>
      <c r="Q88">
        <f>MAX(Q70,Q76,Q82)</f>
        <v>0</v>
      </c>
      <c r="R88" s="9">
        <v>1</v>
      </c>
      <c r="S88" s="14">
        <v>9.1649999999999992E-5</v>
      </c>
      <c r="T88">
        <f>MAX(T70,T76,T82)</f>
        <v>0</v>
      </c>
      <c r="U88" s="9">
        <f>U70/2+U76+U82/2</f>
        <v>3</v>
      </c>
      <c r="V88" s="9">
        <f>V70/2+V76+V82/2</f>
        <v>6</v>
      </c>
      <c r="W88" s="9">
        <f>W70/2+W76+W82/2</f>
        <v>22.1</v>
      </c>
      <c r="X88" s="8">
        <v>0</v>
      </c>
      <c r="Y88" s="9">
        <f>Y70/2+Y76+Y82/2</f>
        <v>13.342500000000001</v>
      </c>
      <c r="Z88" s="9">
        <f>Z70/2+Z76+Z82/2</f>
        <v>28.19</v>
      </c>
      <c r="AA88" s="2"/>
      <c r="AB88" s="9">
        <f>AB70/2+AB76+AB82/2</f>
        <v>13.342500000000001</v>
      </c>
      <c r="AC88" s="9">
        <f>AC70/2+AC76+AC82/2</f>
        <v>28.19</v>
      </c>
      <c r="AD88" s="3">
        <f>1.35*Y88+1.5*Z88</f>
        <v>60.297375000000002</v>
      </c>
      <c r="AE88" s="3"/>
      <c r="AF88" s="9">
        <f>AB88+AC88</f>
        <v>41.532499999999999</v>
      </c>
    </row>
    <row r="89" spans="1:46" x14ac:dyDescent="0.35">
      <c r="A89">
        <f t="shared" ref="A89:A152" si="124">IF(B89=B88,A88,A88+1)</f>
        <v>27</v>
      </c>
      <c r="B89" t="s">
        <v>50</v>
      </c>
      <c r="C89" t="s">
        <v>22</v>
      </c>
      <c r="D89">
        <f t="shared" ref="D89:K89" si="125">D77</f>
        <v>25</v>
      </c>
      <c r="E89" t="str">
        <f t="shared" si="125"/>
        <v>B</v>
      </c>
      <c r="F89">
        <f t="shared" si="125"/>
        <v>500</v>
      </c>
      <c r="G89" s="14">
        <v>215000</v>
      </c>
      <c r="H89" s="15">
        <v>1412.67</v>
      </c>
      <c r="I89" s="14">
        <v>1828</v>
      </c>
      <c r="J89">
        <f t="shared" si="125"/>
        <v>1</v>
      </c>
      <c r="K89">
        <f t="shared" si="125"/>
        <v>0.2</v>
      </c>
      <c r="L89">
        <f t="shared" ref="L89:L92" si="126">L71/2+L77+L83/2</f>
        <v>7.5</v>
      </c>
      <c r="M89">
        <f t="shared" ref="M89:M92" si="127">(M71*O71)/2+(M77*O77)+(M83*O83)/2</f>
        <v>2.7900000000000004E-3</v>
      </c>
      <c r="N89">
        <f t="shared" ref="N89:N92" si="128">MAX(N71,N77,N83)</f>
        <v>0.04</v>
      </c>
      <c r="O89" s="9">
        <v>1</v>
      </c>
      <c r="P89">
        <f t="shared" ref="P89:P92" si="129">(P71*R71)/2+(P77*R77)+(P83*R83)/2</f>
        <v>0</v>
      </c>
      <c r="Q89">
        <f t="shared" ref="Q89:Q92" si="130">MAX(Q71,Q77,Q83)</f>
        <v>0</v>
      </c>
      <c r="R89" s="9">
        <v>1</v>
      </c>
      <c r="S89" s="14">
        <v>9.1649999999999992E-5</v>
      </c>
      <c r="T89">
        <f t="shared" ref="T89:T92" si="131">MAX(T71,T77,T83)</f>
        <v>0</v>
      </c>
      <c r="U89" s="9">
        <f t="shared" ref="U89:W89" si="132">U71/2+U77+U83/2</f>
        <v>4</v>
      </c>
      <c r="V89" s="9">
        <f t="shared" si="132"/>
        <v>110.5</v>
      </c>
      <c r="W89" s="9">
        <f t="shared" si="132"/>
        <v>47.5</v>
      </c>
      <c r="X89" s="8">
        <v>0</v>
      </c>
      <c r="Y89" s="9">
        <f t="shared" ref="Y89:Z89" si="133">Y71/2+Y77+Y83/2</f>
        <v>95.814999999999998</v>
      </c>
      <c r="Z89" s="9">
        <f t="shared" si="133"/>
        <v>35.924999999999997</v>
      </c>
      <c r="AA89" s="2"/>
      <c r="AB89" s="9">
        <f t="shared" ref="AB89:AC89" si="134">AB71/2+AB77+AB83/2</f>
        <v>72.597499999999982</v>
      </c>
      <c r="AC89" s="9">
        <f t="shared" si="134"/>
        <v>59.142500000000005</v>
      </c>
      <c r="AD89" s="3">
        <f t="shared" ref="AD89:AD92" si="135">1.35*Y89+1.5*Z89</f>
        <v>183.23775000000001</v>
      </c>
      <c r="AE89" s="3"/>
      <c r="AF89" s="9">
        <f t="shared" ref="AF89:AF92" si="136">AB89+AC89</f>
        <v>131.73999999999998</v>
      </c>
    </row>
    <row r="90" spans="1:46" x14ac:dyDescent="0.35">
      <c r="A90">
        <f t="shared" si="124"/>
        <v>27</v>
      </c>
      <c r="B90" t="s">
        <v>50</v>
      </c>
      <c r="C90" t="s">
        <v>23</v>
      </c>
      <c r="D90">
        <f t="shared" ref="D90:K90" si="137">D78</f>
        <v>25</v>
      </c>
      <c r="E90" t="str">
        <f t="shared" si="137"/>
        <v>B</v>
      </c>
      <c r="F90">
        <f t="shared" si="137"/>
        <v>500</v>
      </c>
      <c r="G90" s="14">
        <v>215000</v>
      </c>
      <c r="H90" s="15">
        <v>1412.67</v>
      </c>
      <c r="I90" s="14">
        <v>1828</v>
      </c>
      <c r="J90">
        <f t="shared" si="137"/>
        <v>1</v>
      </c>
      <c r="K90">
        <f t="shared" si="137"/>
        <v>0.215</v>
      </c>
      <c r="L90">
        <f t="shared" si="126"/>
        <v>7.5</v>
      </c>
      <c r="M90">
        <f t="shared" si="127"/>
        <v>1.9786500000000002E-3</v>
      </c>
      <c r="N90">
        <f t="shared" si="128"/>
        <v>0.04</v>
      </c>
      <c r="O90" s="9">
        <v>1</v>
      </c>
      <c r="P90">
        <f t="shared" si="129"/>
        <v>0</v>
      </c>
      <c r="Q90">
        <f t="shared" si="130"/>
        <v>0</v>
      </c>
      <c r="R90" s="9">
        <v>1</v>
      </c>
      <c r="S90" s="14">
        <v>9.1649999999999992E-5</v>
      </c>
      <c r="T90">
        <f t="shared" si="131"/>
        <v>0</v>
      </c>
      <c r="U90" s="9">
        <f t="shared" ref="U90" si="138">U72/2+U78+U84/2</f>
        <v>6.5</v>
      </c>
      <c r="V90" s="9">
        <f>V72/2+V78+V84/2</f>
        <v>113.5</v>
      </c>
      <c r="W90" s="9">
        <f t="shared" ref="W90" si="139">W72/2+W78+W84/2</f>
        <v>48.4</v>
      </c>
      <c r="X90" s="8">
        <v>0</v>
      </c>
      <c r="Y90" s="9">
        <f t="shared" ref="Y90:Z90" si="140">Y72/2+Y78+Y84/2</f>
        <v>119.04750000000001</v>
      </c>
      <c r="Z90" s="9">
        <f t="shared" si="140"/>
        <v>55.224999999999994</v>
      </c>
      <c r="AA90" s="2"/>
      <c r="AB90" s="9">
        <f t="shared" ref="AB90:AC90" si="141">AB72/2+AB78+AB84/2</f>
        <v>81.412500000000009</v>
      </c>
      <c r="AC90" s="9">
        <f t="shared" si="141"/>
        <v>92.86</v>
      </c>
      <c r="AD90" s="3">
        <f t="shared" si="135"/>
        <v>243.551625</v>
      </c>
      <c r="AE90" s="3"/>
      <c r="AF90" s="9">
        <f t="shared" si="136"/>
        <v>174.27250000000001</v>
      </c>
    </row>
    <row r="91" spans="1:46" x14ac:dyDescent="0.35">
      <c r="A91">
        <f t="shared" si="124"/>
        <v>27</v>
      </c>
      <c r="B91" t="s">
        <v>50</v>
      </c>
      <c r="C91" t="s">
        <v>24</v>
      </c>
      <c r="D91">
        <f t="shared" ref="D91:K91" si="142">D79</f>
        <v>25</v>
      </c>
      <c r="E91" t="str">
        <f t="shared" si="142"/>
        <v>B</v>
      </c>
      <c r="F91">
        <f t="shared" si="142"/>
        <v>500</v>
      </c>
      <c r="G91" s="14">
        <v>215000</v>
      </c>
      <c r="H91" s="15">
        <v>1412.67</v>
      </c>
      <c r="I91" s="14">
        <v>1828</v>
      </c>
      <c r="J91">
        <f t="shared" si="142"/>
        <v>1</v>
      </c>
      <c r="K91">
        <f t="shared" si="142"/>
        <v>0.23</v>
      </c>
      <c r="L91">
        <f t="shared" si="126"/>
        <v>7.5</v>
      </c>
      <c r="M91">
        <f t="shared" si="127"/>
        <v>1.38415E-3</v>
      </c>
      <c r="N91">
        <f t="shared" si="128"/>
        <v>6.9999999999999993E-2</v>
      </c>
      <c r="O91" s="9">
        <v>1</v>
      </c>
      <c r="P91">
        <f t="shared" si="129"/>
        <v>1.8840000000000003E-3</v>
      </c>
      <c r="Q91">
        <f t="shared" si="130"/>
        <v>0.04</v>
      </c>
      <c r="R91" s="9">
        <v>1</v>
      </c>
      <c r="S91" s="14">
        <v>9.1649999999999992E-5</v>
      </c>
      <c r="T91">
        <f t="shared" si="131"/>
        <v>0</v>
      </c>
      <c r="U91" s="9">
        <f t="shared" ref="U91:W91" si="143">U73/2+U79+U85/2</f>
        <v>2</v>
      </c>
      <c r="V91" s="9">
        <f t="shared" si="143"/>
        <v>135</v>
      </c>
      <c r="W91" s="9">
        <f t="shared" si="143"/>
        <v>54</v>
      </c>
      <c r="X91" s="8">
        <v>0</v>
      </c>
      <c r="Y91" s="9">
        <f t="shared" ref="Y91:Z91" si="144">Y73/2+Y79+Y85/2</f>
        <v>138.59</v>
      </c>
      <c r="Z91" s="9">
        <f t="shared" si="144"/>
        <v>51.924999999999997</v>
      </c>
      <c r="AA91" s="2"/>
      <c r="AB91" s="9">
        <f t="shared" ref="AB91:AC91" si="145">AB73/2+AB79+AB85/2</f>
        <v>41.17</v>
      </c>
      <c r="AC91" s="9">
        <f t="shared" si="145"/>
        <v>149.345</v>
      </c>
      <c r="AD91" s="3">
        <f t="shared" si="135"/>
        <v>264.98400000000004</v>
      </c>
      <c r="AE91" s="3"/>
      <c r="AF91" s="9">
        <f t="shared" si="136"/>
        <v>190.51499999999999</v>
      </c>
    </row>
    <row r="92" spans="1:46" x14ac:dyDescent="0.35">
      <c r="A92">
        <f t="shared" si="124"/>
        <v>27</v>
      </c>
      <c r="B92" t="s">
        <v>50</v>
      </c>
      <c r="C92" t="s">
        <v>25</v>
      </c>
      <c r="D92">
        <f t="shared" ref="D92:K92" si="146">D80</f>
        <v>25</v>
      </c>
      <c r="E92" t="str">
        <f t="shared" si="146"/>
        <v>B</v>
      </c>
      <c r="F92">
        <f t="shared" si="146"/>
        <v>500</v>
      </c>
      <c r="G92" s="14">
        <v>215000</v>
      </c>
      <c r="H92" s="15">
        <v>1412.67</v>
      </c>
      <c r="I92" s="14">
        <v>1828</v>
      </c>
      <c r="J92">
        <f t="shared" si="146"/>
        <v>1</v>
      </c>
      <c r="K92">
        <f t="shared" si="146"/>
        <v>0.24</v>
      </c>
      <c r="L92">
        <f t="shared" si="126"/>
        <v>7.5</v>
      </c>
      <c r="M92">
        <f t="shared" si="127"/>
        <v>1.9275E-3</v>
      </c>
      <c r="N92">
        <f t="shared" si="128"/>
        <v>0.04</v>
      </c>
      <c r="O92" s="9">
        <v>1</v>
      </c>
      <c r="P92">
        <f t="shared" si="129"/>
        <v>0</v>
      </c>
      <c r="Q92">
        <f t="shared" si="130"/>
        <v>0</v>
      </c>
      <c r="R92" s="9">
        <v>1</v>
      </c>
      <c r="S92" s="14">
        <v>9.1649999999999992E-5</v>
      </c>
      <c r="T92">
        <f t="shared" si="131"/>
        <v>0</v>
      </c>
      <c r="U92" s="9">
        <f t="shared" ref="U92:W92" si="147">U74/2+U80+U86/2</f>
        <v>3</v>
      </c>
      <c r="V92" s="9">
        <f t="shared" si="147"/>
        <v>61.25</v>
      </c>
      <c r="W92" s="9">
        <f t="shared" si="147"/>
        <v>31</v>
      </c>
      <c r="X92" s="8">
        <v>0</v>
      </c>
      <c r="Y92" s="9">
        <f t="shared" ref="Y92:Z92" si="148">Y74/2+Y80+Y86/2</f>
        <v>59.454999999999998</v>
      </c>
      <c r="Z92" s="9">
        <f t="shared" si="148"/>
        <v>32.037500000000001</v>
      </c>
      <c r="AA92" s="2"/>
      <c r="AB92" s="9">
        <f t="shared" ref="AB92:AC92" si="149">AB74/2+AB80+AB86/2</f>
        <v>39.852499999999999</v>
      </c>
      <c r="AC92" s="9">
        <f t="shared" si="149"/>
        <v>51.64</v>
      </c>
      <c r="AD92" s="3">
        <f t="shared" si="135"/>
        <v>128.32050000000001</v>
      </c>
      <c r="AE92" s="3"/>
      <c r="AF92" s="9">
        <f t="shared" si="136"/>
        <v>91.492500000000007</v>
      </c>
    </row>
    <row r="93" spans="1:46" x14ac:dyDescent="0.35">
      <c r="A93">
        <f t="shared" si="124"/>
        <v>28</v>
      </c>
      <c r="B93" t="s">
        <v>42</v>
      </c>
      <c r="D93" s="5">
        <v>25</v>
      </c>
      <c r="E93" s="5" t="s">
        <v>18</v>
      </c>
      <c r="F93" s="5">
        <v>500</v>
      </c>
      <c r="G93" s="6">
        <v>220000</v>
      </c>
      <c r="H93" s="5">
        <v>1576</v>
      </c>
      <c r="I93" s="5">
        <v>1870</v>
      </c>
      <c r="J93" s="5">
        <v>1</v>
      </c>
      <c r="K93" s="5">
        <v>0.2</v>
      </c>
      <c r="L93" s="5">
        <v>2.2000000000000002</v>
      </c>
      <c r="M93" s="5">
        <v>1.0000000000000001E-5</v>
      </c>
      <c r="N93" s="5">
        <v>0.03</v>
      </c>
      <c r="O93" s="5">
        <v>1</v>
      </c>
      <c r="P93" s="5">
        <v>0</v>
      </c>
      <c r="Q93" s="5">
        <v>0</v>
      </c>
      <c r="R93" s="5">
        <v>1</v>
      </c>
      <c r="S93" s="5">
        <v>0</v>
      </c>
      <c r="T93" s="5">
        <v>0</v>
      </c>
      <c r="U93" s="5">
        <v>0</v>
      </c>
      <c r="V93" s="7">
        <v>0</v>
      </c>
      <c r="W93" s="7">
        <v>0</v>
      </c>
      <c r="X93" s="5"/>
      <c r="Y93" s="1">
        <f>IFERROR(IF(ISNUMBER(SEARCH("Appui",C93)),V93+X93*V93,IF(A92&lt;A93,V93-X94*V94/2,IF(A93&lt;A94,V93-(X92*V92)/2,V93-(X94*V94+X92*V92)/2))),0)</f>
        <v>0</v>
      </c>
      <c r="Z93" s="1">
        <f>IFERROR(IF(ISNUMBER(SEARCH("Appui",C93)),W93+X93*W93,IF(A92&lt;A93,W93-X94*W94/2,IF(A93&lt;A94,W93-(X92*W92)/2,W93-(X94*W94+X92*W92)/2))),0)</f>
        <v>0</v>
      </c>
      <c r="AA93" s="2"/>
      <c r="AB93" s="1">
        <f t="shared" ref="AB93" si="150">Y93*(1-AA93)</f>
        <v>0</v>
      </c>
      <c r="AC93" s="1">
        <f t="shared" ref="AC93" si="151">Y93*AA93 + Z93</f>
        <v>0</v>
      </c>
      <c r="AD93" s="3">
        <f t="shared" ref="AD93" si="152">1.35*Y93+1.5*Z93</f>
        <v>0</v>
      </c>
      <c r="AE93" s="3"/>
      <c r="AF93">
        <f t="shared" ref="AF93" si="153">AB93+AC93</f>
        <v>0</v>
      </c>
    </row>
    <row r="94" spans="1:46" x14ac:dyDescent="0.35">
      <c r="A94">
        <f t="shared" si="124"/>
        <v>29</v>
      </c>
      <c r="B94" t="s">
        <v>41</v>
      </c>
      <c r="C94" t="s">
        <v>43</v>
      </c>
      <c r="D94">
        <v>25</v>
      </c>
      <c r="E94" t="s">
        <v>18</v>
      </c>
      <c r="F94">
        <v>500</v>
      </c>
      <c r="G94" s="14">
        <v>215000</v>
      </c>
      <c r="H94" s="15">
        <v>1412.67</v>
      </c>
      <c r="I94" s="14">
        <v>1828</v>
      </c>
      <c r="J94">
        <v>1</v>
      </c>
      <c r="K94">
        <v>0.24</v>
      </c>
      <c r="L94">
        <v>5.3</v>
      </c>
      <c r="M94">
        <v>1.3621E-3</v>
      </c>
      <c r="N94">
        <v>0.04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40</v>
      </c>
      <c r="W94">
        <v>23</v>
      </c>
      <c r="X94" s="8" t="s">
        <v>40</v>
      </c>
      <c r="Y94" s="1">
        <v>58.585000000000001</v>
      </c>
      <c r="Z94" s="1">
        <v>33.177500000000002</v>
      </c>
      <c r="AA94" s="2">
        <v>0</v>
      </c>
      <c r="AB94" s="1">
        <v>58.585000000000001</v>
      </c>
      <c r="AC94" s="1">
        <v>33.177500000000002</v>
      </c>
      <c r="AD94" s="3">
        <v>128.85599999999999</v>
      </c>
      <c r="AE94" s="3"/>
      <c r="AF94">
        <v>91.762500000000003</v>
      </c>
    </row>
    <row r="95" spans="1:46" x14ac:dyDescent="0.35">
      <c r="A95">
        <f t="shared" si="124"/>
        <v>29</v>
      </c>
      <c r="B95" t="s">
        <v>41</v>
      </c>
      <c r="C95" t="s">
        <v>44</v>
      </c>
      <c r="D95">
        <v>25</v>
      </c>
      <c r="E95" t="s">
        <v>18</v>
      </c>
      <c r="F95">
        <v>500</v>
      </c>
      <c r="G95" s="14">
        <v>215000</v>
      </c>
      <c r="H95" s="15">
        <v>1412.67</v>
      </c>
      <c r="I95" s="14">
        <v>1828</v>
      </c>
      <c r="J95">
        <v>1</v>
      </c>
      <c r="K95">
        <v>0.23</v>
      </c>
      <c r="L95">
        <v>5.3</v>
      </c>
      <c r="M95">
        <v>1.024E-4</v>
      </c>
      <c r="N95">
        <v>6.9999999999999993E-2</v>
      </c>
      <c r="O95">
        <v>1</v>
      </c>
      <c r="P95">
        <v>0</v>
      </c>
      <c r="Q95">
        <v>0</v>
      </c>
      <c r="R95">
        <v>1</v>
      </c>
      <c r="S95" s="14">
        <v>9.1649999999999992E-5</v>
      </c>
      <c r="T95">
        <v>0</v>
      </c>
      <c r="U95" s="10">
        <v>4</v>
      </c>
      <c r="V95">
        <v>42</v>
      </c>
      <c r="W95">
        <v>23</v>
      </c>
      <c r="X95" s="8">
        <v>-0.88500000000000001</v>
      </c>
      <c r="Y95" s="1">
        <v>4.8299999999999983</v>
      </c>
      <c r="Z95" s="1">
        <v>2.6449999999999996</v>
      </c>
      <c r="AA95" s="2">
        <v>0</v>
      </c>
      <c r="AB95" s="1">
        <v>4.8299999999999983</v>
      </c>
      <c r="AC95" s="1">
        <v>2.6449999999999996</v>
      </c>
      <c r="AD95" s="3">
        <v>10.487999999999998</v>
      </c>
      <c r="AE95" s="3"/>
      <c r="AF95">
        <v>7.4749999999999979</v>
      </c>
    </row>
    <row r="96" spans="1:46" x14ac:dyDescent="0.35">
      <c r="A96">
        <f t="shared" si="124"/>
        <v>29</v>
      </c>
      <c r="B96" t="s">
        <v>41</v>
      </c>
      <c r="C96" t="s">
        <v>45</v>
      </c>
      <c r="D96">
        <v>25</v>
      </c>
      <c r="E96" t="s">
        <v>18</v>
      </c>
      <c r="F96">
        <v>500</v>
      </c>
      <c r="G96" s="14">
        <v>215000</v>
      </c>
      <c r="H96" s="15">
        <v>1412.67</v>
      </c>
      <c r="I96" s="14">
        <v>1828</v>
      </c>
      <c r="J96">
        <v>1</v>
      </c>
      <c r="K96">
        <v>0.215</v>
      </c>
      <c r="L96">
        <v>5.3</v>
      </c>
      <c r="M96">
        <v>2.7188999999999998E-3</v>
      </c>
      <c r="N96">
        <v>0.04</v>
      </c>
      <c r="O96">
        <v>1</v>
      </c>
      <c r="P96">
        <v>0</v>
      </c>
      <c r="Q96">
        <v>0</v>
      </c>
      <c r="R96">
        <v>1</v>
      </c>
      <c r="S96" s="14">
        <v>9.1649999999999992E-5</v>
      </c>
      <c r="T96">
        <v>0</v>
      </c>
      <c r="U96" s="10">
        <v>3</v>
      </c>
      <c r="V96">
        <v>83</v>
      </c>
      <c r="W96">
        <v>36</v>
      </c>
      <c r="X96" s="8" t="s">
        <v>40</v>
      </c>
      <c r="Y96" s="1">
        <v>118.38500000000001</v>
      </c>
      <c r="Z96" s="1">
        <v>54.997500000000002</v>
      </c>
      <c r="AA96" s="2">
        <v>0</v>
      </c>
      <c r="AB96" s="1">
        <v>118.38500000000001</v>
      </c>
      <c r="AC96" s="1">
        <v>54.997500000000002</v>
      </c>
      <c r="AD96" s="3">
        <v>242.31600000000003</v>
      </c>
      <c r="AE96" s="3"/>
      <c r="AF96">
        <v>173.38249999999999</v>
      </c>
    </row>
    <row r="97" spans="1:32" x14ac:dyDescent="0.35">
      <c r="A97">
        <f t="shared" si="124"/>
        <v>29</v>
      </c>
      <c r="B97" t="s">
        <v>41</v>
      </c>
      <c r="C97" t="s">
        <v>46</v>
      </c>
      <c r="D97">
        <v>25</v>
      </c>
      <c r="E97" t="s">
        <v>18</v>
      </c>
      <c r="F97">
        <v>500</v>
      </c>
      <c r="G97" s="14">
        <v>215000</v>
      </c>
      <c r="H97" s="15">
        <v>1412.67</v>
      </c>
      <c r="I97" s="14">
        <v>1828</v>
      </c>
      <c r="J97">
        <v>1</v>
      </c>
      <c r="K97">
        <v>0.2</v>
      </c>
      <c r="L97">
        <v>5.3</v>
      </c>
      <c r="M97">
        <v>1.3439999999999999E-4</v>
      </c>
      <c r="N97">
        <v>0.04</v>
      </c>
      <c r="O97">
        <v>1</v>
      </c>
      <c r="P97">
        <v>0</v>
      </c>
      <c r="Q97">
        <v>0</v>
      </c>
      <c r="R97">
        <v>1</v>
      </c>
      <c r="S97" s="14">
        <v>9.1649999999999992E-5</v>
      </c>
      <c r="T97">
        <v>0</v>
      </c>
      <c r="U97" s="10">
        <v>4</v>
      </c>
      <c r="V97">
        <v>40</v>
      </c>
      <c r="W97">
        <v>21</v>
      </c>
      <c r="X97" s="8">
        <v>-0.84</v>
      </c>
      <c r="Y97" s="1">
        <v>6.3999999999999986</v>
      </c>
      <c r="Z97" s="1">
        <v>3.3599999999999994</v>
      </c>
      <c r="AA97" s="4">
        <v>0</v>
      </c>
      <c r="AB97" s="1">
        <v>6.3999999999999986</v>
      </c>
      <c r="AC97" s="1">
        <v>3.3599999999999994</v>
      </c>
      <c r="AD97" s="3">
        <v>13.679999999999998</v>
      </c>
      <c r="AE97" s="3"/>
      <c r="AF97">
        <v>9.759999999999998</v>
      </c>
    </row>
    <row r="98" spans="1:32" x14ac:dyDescent="0.35">
      <c r="A98">
        <f t="shared" si="124"/>
        <v>29</v>
      </c>
      <c r="B98" t="s">
        <v>41</v>
      </c>
      <c r="C98" t="s">
        <v>47</v>
      </c>
      <c r="D98">
        <v>25</v>
      </c>
      <c r="E98" t="s">
        <v>18</v>
      </c>
      <c r="F98">
        <v>500</v>
      </c>
      <c r="G98" s="14">
        <v>215000</v>
      </c>
      <c r="H98" s="15">
        <v>1412.67</v>
      </c>
      <c r="I98" s="14">
        <v>1828</v>
      </c>
      <c r="J98">
        <v>1</v>
      </c>
      <c r="K98">
        <v>0.215</v>
      </c>
      <c r="L98">
        <v>5.3</v>
      </c>
      <c r="M98">
        <v>6.7840000000000001E-4</v>
      </c>
      <c r="N98">
        <v>0.04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16</v>
      </c>
      <c r="X98" s="8" t="s">
        <v>40</v>
      </c>
      <c r="Y98" s="1">
        <v>16.8</v>
      </c>
      <c r="Z98" s="1">
        <v>25.425000000000001</v>
      </c>
      <c r="AA98" s="2">
        <v>0</v>
      </c>
      <c r="AB98" s="1">
        <v>16.8</v>
      </c>
      <c r="AC98" s="1">
        <v>25.425000000000001</v>
      </c>
      <c r="AD98" s="3">
        <v>60.81750000000001</v>
      </c>
      <c r="AE98" s="3"/>
      <c r="AF98">
        <v>42.225000000000001</v>
      </c>
    </row>
    <row r="99" spans="1:32" x14ac:dyDescent="0.35">
      <c r="A99">
        <f t="shared" si="124"/>
        <v>30</v>
      </c>
      <c r="B99" t="s">
        <v>42</v>
      </c>
      <c r="D99" s="5">
        <v>25</v>
      </c>
      <c r="E99" s="5" t="s">
        <v>18</v>
      </c>
      <c r="F99" s="5">
        <v>500</v>
      </c>
      <c r="G99" s="6">
        <v>220000</v>
      </c>
      <c r="H99" s="5">
        <v>1576</v>
      </c>
      <c r="I99" s="5">
        <v>1870</v>
      </c>
      <c r="J99" s="5">
        <v>1</v>
      </c>
      <c r="K99" s="5">
        <v>0.2</v>
      </c>
      <c r="L99" s="5">
        <v>2.2000000000000002</v>
      </c>
      <c r="M99" s="5">
        <v>1.0000000000000001E-5</v>
      </c>
      <c r="N99" s="5">
        <v>0.03</v>
      </c>
      <c r="O99" s="5">
        <v>1</v>
      </c>
      <c r="P99" s="5">
        <v>0</v>
      </c>
      <c r="Q99" s="5">
        <v>0</v>
      </c>
      <c r="R99" s="5">
        <v>1</v>
      </c>
      <c r="S99" s="5">
        <v>0</v>
      </c>
      <c r="T99" s="5">
        <v>0</v>
      </c>
      <c r="U99" s="5">
        <v>0</v>
      </c>
      <c r="V99" s="7">
        <v>0</v>
      </c>
      <c r="W99" s="7">
        <v>0</v>
      </c>
      <c r="X99" s="5"/>
      <c r="Y99" s="1">
        <f t="shared" ref="Y99" si="154">IFERROR(IF(ISNUMBER(SEARCH("Appui",C99)),V99+X99*V99,IF(A98&lt;A99,V99-X100*V100/2,IF(A99&lt;A100,V99-(X98*V98)/2,V99-(X100*V100+X98*V98)/2))),0)</f>
        <v>0</v>
      </c>
      <c r="Z99" s="1">
        <f t="shared" ref="Z99" si="155">IFERROR(IF(ISNUMBER(SEARCH("Appui",C99)),W99+X99*W99,IF(A98&lt;A99,W99-X100*W100/2,IF(A99&lt;A100,W99-(X98*W98)/2,W99-(X100*W100+X98*W98)/2))),0)</f>
        <v>0</v>
      </c>
      <c r="AA99" s="2"/>
      <c r="AB99" s="1">
        <f t="shared" ref="AB99" si="156">Y99*(1-AA99)</f>
        <v>0</v>
      </c>
      <c r="AC99" s="1">
        <f t="shared" ref="AC99" si="157">Y99*AA99 + Z99</f>
        <v>0</v>
      </c>
      <c r="AD99" s="3">
        <f t="shared" ref="AD99" si="158">1.35*Y99+1.5*Z99</f>
        <v>0</v>
      </c>
      <c r="AE99" s="3"/>
      <c r="AF99">
        <f t="shared" ref="AF99" si="159">AB99+AC99</f>
        <v>0</v>
      </c>
    </row>
    <row r="100" spans="1:32" x14ac:dyDescent="0.35">
      <c r="A100">
        <f>IF(B100=B99,A99,A99+1)</f>
        <v>31</v>
      </c>
      <c r="B100" t="s">
        <v>35</v>
      </c>
      <c r="C100" t="s">
        <v>43</v>
      </c>
      <c r="D100">
        <v>25</v>
      </c>
      <c r="E100" t="s">
        <v>18</v>
      </c>
      <c r="F100">
        <v>500</v>
      </c>
      <c r="G100" s="14">
        <v>215000</v>
      </c>
      <c r="H100" s="15">
        <v>1412.67</v>
      </c>
      <c r="I100" s="14">
        <v>1828</v>
      </c>
      <c r="J100">
        <v>1</v>
      </c>
      <c r="K100">
        <v>0.24</v>
      </c>
      <c r="L100">
        <v>2.2000000000000002</v>
      </c>
      <c r="M100">
        <v>5.6570000000000004E-4</v>
      </c>
      <c r="N100">
        <v>0.03</v>
      </c>
      <c r="O100">
        <v>1</v>
      </c>
      <c r="P100">
        <v>0</v>
      </c>
      <c r="Q100">
        <v>0</v>
      </c>
      <c r="R100">
        <v>1</v>
      </c>
      <c r="S100" s="14">
        <v>9.1649999999999992E-5</v>
      </c>
      <c r="T100">
        <v>0</v>
      </c>
      <c r="U100">
        <v>1</v>
      </c>
      <c r="V100" s="1">
        <v>20</v>
      </c>
      <c r="W100">
        <v>10</v>
      </c>
      <c r="X100" s="8" t="s">
        <v>40</v>
      </c>
      <c r="Y100" s="1">
        <v>20</v>
      </c>
      <c r="Z100" s="1">
        <v>10</v>
      </c>
      <c r="AA100" s="2">
        <v>0</v>
      </c>
      <c r="AB100" s="1">
        <v>20</v>
      </c>
      <c r="AC100" s="1">
        <v>10</v>
      </c>
      <c r="AD100" s="3">
        <v>42</v>
      </c>
      <c r="AE100" s="3"/>
      <c r="AF100">
        <v>30</v>
      </c>
    </row>
    <row r="101" spans="1:32" x14ac:dyDescent="0.35">
      <c r="A101">
        <f t="shared" si="124"/>
        <v>31</v>
      </c>
      <c r="B101" t="s">
        <v>35</v>
      </c>
      <c r="C101" t="s">
        <v>44</v>
      </c>
      <c r="D101">
        <v>25</v>
      </c>
      <c r="E101" t="s">
        <v>18</v>
      </c>
      <c r="F101">
        <v>500</v>
      </c>
      <c r="G101" s="14">
        <v>215000</v>
      </c>
      <c r="H101" s="15">
        <v>1412.67</v>
      </c>
      <c r="I101" s="14">
        <v>1828</v>
      </c>
      <c r="J101">
        <v>1</v>
      </c>
      <c r="K101">
        <v>0.23</v>
      </c>
      <c r="L101">
        <v>2.2000000000000002</v>
      </c>
      <c r="M101">
        <v>1.9E-3</v>
      </c>
      <c r="N101">
        <v>0.06</v>
      </c>
      <c r="O101">
        <v>1</v>
      </c>
      <c r="P101">
        <v>0</v>
      </c>
      <c r="Q101">
        <v>0</v>
      </c>
      <c r="R101">
        <v>1</v>
      </c>
      <c r="S101" s="14">
        <v>9.1649999999999992E-5</v>
      </c>
      <c r="T101">
        <v>0</v>
      </c>
      <c r="U101">
        <v>2</v>
      </c>
      <c r="V101" s="1">
        <v>88.5</v>
      </c>
      <c r="W101">
        <v>32</v>
      </c>
      <c r="X101" s="8">
        <v>0</v>
      </c>
      <c r="Y101" s="1">
        <v>88.5</v>
      </c>
      <c r="Z101" s="1">
        <v>32</v>
      </c>
      <c r="AA101" s="2">
        <v>0</v>
      </c>
      <c r="AB101" s="1">
        <v>88.5</v>
      </c>
      <c r="AC101" s="1">
        <v>32</v>
      </c>
      <c r="AD101" s="3">
        <v>167.47500000000002</v>
      </c>
      <c r="AE101" s="3"/>
      <c r="AF101">
        <v>120.5</v>
      </c>
    </row>
    <row r="102" spans="1:32" x14ac:dyDescent="0.35">
      <c r="A102">
        <f t="shared" si="124"/>
        <v>31</v>
      </c>
      <c r="B102" t="s">
        <v>35</v>
      </c>
      <c r="C102" t="s">
        <v>45</v>
      </c>
      <c r="D102">
        <v>25</v>
      </c>
      <c r="E102" t="s">
        <v>18</v>
      </c>
      <c r="F102">
        <v>500</v>
      </c>
      <c r="G102" s="14">
        <v>215000</v>
      </c>
      <c r="H102" s="15">
        <v>1412.67</v>
      </c>
      <c r="I102" s="14">
        <v>1828</v>
      </c>
      <c r="J102">
        <v>1</v>
      </c>
      <c r="K102">
        <v>0.215</v>
      </c>
      <c r="L102">
        <v>2.2000000000000002</v>
      </c>
      <c r="M102">
        <v>8.470000000000001E-4</v>
      </c>
      <c r="N102">
        <v>0.03</v>
      </c>
      <c r="O102">
        <v>1</v>
      </c>
      <c r="P102">
        <v>0</v>
      </c>
      <c r="Q102">
        <v>0</v>
      </c>
      <c r="R102">
        <v>1</v>
      </c>
      <c r="S102" s="14">
        <v>9.1649999999999992E-5</v>
      </c>
      <c r="T102">
        <v>0</v>
      </c>
      <c r="U102" s="10">
        <v>3</v>
      </c>
      <c r="V102" s="1">
        <v>43</v>
      </c>
      <c r="W102">
        <v>17</v>
      </c>
      <c r="X102" s="8" t="s">
        <v>40</v>
      </c>
      <c r="Y102" s="1">
        <v>47.65</v>
      </c>
      <c r="Z102" s="1">
        <v>18.829999999999998</v>
      </c>
      <c r="AA102" s="2">
        <v>0</v>
      </c>
      <c r="AB102" s="1">
        <v>47.65</v>
      </c>
      <c r="AC102" s="1">
        <v>18.829999999999998</v>
      </c>
      <c r="AD102" s="3">
        <v>92.572499999999991</v>
      </c>
      <c r="AE102" s="3"/>
      <c r="AF102">
        <v>66.47999999999999</v>
      </c>
    </row>
    <row r="103" spans="1:32" x14ac:dyDescent="0.35">
      <c r="A103">
        <f t="shared" si="124"/>
        <v>31</v>
      </c>
      <c r="B103" t="s">
        <v>35</v>
      </c>
      <c r="C103" t="s">
        <v>46</v>
      </c>
      <c r="D103">
        <v>25</v>
      </c>
      <c r="E103" t="s">
        <v>18</v>
      </c>
      <c r="F103">
        <v>500</v>
      </c>
      <c r="G103" s="14">
        <v>215000</v>
      </c>
      <c r="H103" s="15">
        <v>1412.67</v>
      </c>
      <c r="I103" s="14">
        <v>1828</v>
      </c>
      <c r="J103">
        <v>1</v>
      </c>
      <c r="K103">
        <v>0.2</v>
      </c>
      <c r="L103">
        <v>2.2000000000000002</v>
      </c>
      <c r="M103">
        <v>1.56E-3</v>
      </c>
      <c r="N103">
        <v>5.2999999999999999E-2</v>
      </c>
      <c r="O103">
        <v>1</v>
      </c>
      <c r="P103">
        <v>0</v>
      </c>
      <c r="Q103">
        <v>0</v>
      </c>
      <c r="R103">
        <v>1</v>
      </c>
      <c r="S103" s="14">
        <v>9.1649999999999992E-5</v>
      </c>
      <c r="T103">
        <v>0</v>
      </c>
      <c r="U103">
        <v>2</v>
      </c>
      <c r="V103" s="1">
        <v>77.5</v>
      </c>
      <c r="W103">
        <v>30.5</v>
      </c>
      <c r="X103" s="8">
        <v>-0.12</v>
      </c>
      <c r="Y103" s="1">
        <v>68.2</v>
      </c>
      <c r="Z103" s="1">
        <v>26.84</v>
      </c>
      <c r="AA103" s="2">
        <v>0</v>
      </c>
      <c r="AB103" s="1">
        <v>68.2</v>
      </c>
      <c r="AC103" s="1">
        <v>26.84</v>
      </c>
      <c r="AD103" s="3">
        <v>132.33000000000001</v>
      </c>
      <c r="AE103" s="3"/>
      <c r="AF103">
        <v>95.04</v>
      </c>
    </row>
    <row r="104" spans="1:32" x14ac:dyDescent="0.35">
      <c r="A104">
        <f t="shared" si="124"/>
        <v>31</v>
      </c>
      <c r="B104" t="s">
        <v>35</v>
      </c>
      <c r="C104" t="s">
        <v>47</v>
      </c>
      <c r="D104">
        <v>25</v>
      </c>
      <c r="E104" t="s">
        <v>18</v>
      </c>
      <c r="F104">
        <v>500</v>
      </c>
      <c r="G104" s="14">
        <v>215000</v>
      </c>
      <c r="H104" s="15">
        <v>1412.67</v>
      </c>
      <c r="I104" s="14">
        <v>1828</v>
      </c>
      <c r="J104">
        <v>1</v>
      </c>
      <c r="K104">
        <v>0.215</v>
      </c>
      <c r="L104">
        <v>2.2000000000000002</v>
      </c>
      <c r="M104">
        <v>2.7999999999999998E-4</v>
      </c>
      <c r="N104">
        <v>0.03</v>
      </c>
      <c r="O104">
        <v>1</v>
      </c>
      <c r="P104">
        <v>0</v>
      </c>
      <c r="Q104">
        <v>0</v>
      </c>
      <c r="R104">
        <v>1</v>
      </c>
      <c r="S104" s="14">
        <v>9.1649999999999992E-5</v>
      </c>
      <c r="T104">
        <v>0</v>
      </c>
      <c r="U104" s="10">
        <v>3</v>
      </c>
      <c r="V104" s="1">
        <v>0</v>
      </c>
      <c r="W104">
        <v>6.4</v>
      </c>
      <c r="X104" s="8" t="s">
        <v>40</v>
      </c>
      <c r="Y104" s="1">
        <v>4.6499999999999995</v>
      </c>
      <c r="Z104" s="1">
        <v>8.23</v>
      </c>
      <c r="AA104" s="2">
        <v>0</v>
      </c>
      <c r="AB104" s="1">
        <v>4.6499999999999995</v>
      </c>
      <c r="AC104" s="1">
        <v>8.23</v>
      </c>
      <c r="AD104" s="3">
        <v>18.622500000000002</v>
      </c>
      <c r="AE104" s="3"/>
      <c r="AF104">
        <v>12.879999999999999</v>
      </c>
    </row>
    <row r="105" spans="1:32" x14ac:dyDescent="0.35">
      <c r="A105">
        <f t="shared" si="124"/>
        <v>32</v>
      </c>
      <c r="B105" t="s">
        <v>42</v>
      </c>
      <c r="D105" s="5">
        <v>25</v>
      </c>
      <c r="E105" s="5" t="s">
        <v>18</v>
      </c>
      <c r="F105" s="5">
        <v>500</v>
      </c>
      <c r="G105" s="6">
        <v>220000</v>
      </c>
      <c r="H105" s="5">
        <v>1576</v>
      </c>
      <c r="I105" s="5">
        <v>1870</v>
      </c>
      <c r="J105" s="5">
        <v>1</v>
      </c>
      <c r="K105" s="5">
        <v>0.2</v>
      </c>
      <c r="L105" s="5">
        <v>2.2000000000000002</v>
      </c>
      <c r="M105" s="5">
        <v>1.0000000000000001E-5</v>
      </c>
      <c r="N105" s="5">
        <v>0.03</v>
      </c>
      <c r="O105" s="5">
        <v>1</v>
      </c>
      <c r="P105" s="5">
        <v>0</v>
      </c>
      <c r="Q105" s="5">
        <v>0</v>
      </c>
      <c r="R105" s="5">
        <v>1</v>
      </c>
      <c r="S105" s="5">
        <v>0</v>
      </c>
      <c r="T105" s="5">
        <v>0</v>
      </c>
      <c r="U105" s="5">
        <v>0</v>
      </c>
      <c r="V105" s="7">
        <v>0</v>
      </c>
      <c r="W105" s="7">
        <v>0</v>
      </c>
      <c r="X105" s="5"/>
      <c r="Y105" s="1">
        <f t="shared" ref="Y105" si="160">IFERROR(IF(ISNUMBER(SEARCH("Appui",C105)),V105+X105*V105,IF(A104&lt;A105,V105-X106*V106/2,IF(A105&lt;A106,V105-(X104*V104)/2,V105-(X106*V106+X104*V104)/2))),0)</f>
        <v>0</v>
      </c>
      <c r="Z105" s="1">
        <f t="shared" ref="Z105" si="161">IFERROR(IF(ISNUMBER(SEARCH("Appui",C105)),W105+X105*W105,IF(A104&lt;A105,W105-X106*W106/2,IF(A105&lt;A106,W105-(X104*W104)/2,W105-(X106*W106+X104*W104)/2))),0)</f>
        <v>0</v>
      </c>
      <c r="AA105" s="2"/>
      <c r="AB105" s="1">
        <f t="shared" ref="AB105" si="162">Y105*(1-AA105)</f>
        <v>0</v>
      </c>
      <c r="AC105" s="1">
        <f t="shared" ref="AC105" si="163">Y105*AA105 + Z105</f>
        <v>0</v>
      </c>
      <c r="AD105" s="3">
        <f t="shared" ref="AD105" si="164">1.35*Y105+1.5*Z105</f>
        <v>0</v>
      </c>
      <c r="AE105" s="3"/>
      <c r="AF105">
        <f t="shared" ref="AF105" si="165">AB105+AC105</f>
        <v>0</v>
      </c>
    </row>
    <row r="106" spans="1:32" x14ac:dyDescent="0.35">
      <c r="A106">
        <f t="shared" si="124"/>
        <v>33</v>
      </c>
      <c r="B106" t="s">
        <v>48</v>
      </c>
      <c r="C106" t="s">
        <v>43</v>
      </c>
      <c r="D106">
        <v>25</v>
      </c>
      <c r="E106" t="s">
        <v>18</v>
      </c>
      <c r="F106">
        <v>500</v>
      </c>
      <c r="G106" s="14">
        <v>215000</v>
      </c>
      <c r="H106" s="15">
        <v>1412.67</v>
      </c>
      <c r="I106" s="14">
        <v>1828</v>
      </c>
      <c r="J106">
        <v>1</v>
      </c>
      <c r="K106">
        <v>0.24</v>
      </c>
      <c r="L106">
        <v>5.3</v>
      </c>
      <c r="M106">
        <v>1.3621E-3</v>
      </c>
      <c r="N106">
        <v>0.04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36.700000000000003</v>
      </c>
      <c r="W106">
        <v>23.5</v>
      </c>
      <c r="X106" s="8" t="s">
        <v>40</v>
      </c>
      <c r="Y106" s="1">
        <v>58.525000000000006</v>
      </c>
      <c r="Z106" s="1">
        <v>34.75</v>
      </c>
      <c r="AA106" s="4">
        <v>0</v>
      </c>
      <c r="AB106" s="1">
        <v>58.525000000000006</v>
      </c>
      <c r="AC106" s="1">
        <v>34.75</v>
      </c>
      <c r="AD106" s="3">
        <v>131.13375000000002</v>
      </c>
      <c r="AE106" s="3"/>
      <c r="AF106">
        <v>93.275000000000006</v>
      </c>
    </row>
    <row r="107" spans="1:32" x14ac:dyDescent="0.35">
      <c r="A107">
        <f t="shared" si="124"/>
        <v>33</v>
      </c>
      <c r="B107" t="s">
        <v>48</v>
      </c>
      <c r="C107" t="s">
        <v>44</v>
      </c>
      <c r="D107">
        <v>25</v>
      </c>
      <c r="E107" t="s">
        <v>18</v>
      </c>
      <c r="F107">
        <v>500</v>
      </c>
      <c r="G107" s="14">
        <v>215000</v>
      </c>
      <c r="H107" s="15">
        <v>1412.67</v>
      </c>
      <c r="I107" s="14">
        <v>1828</v>
      </c>
      <c r="J107">
        <v>1</v>
      </c>
      <c r="K107">
        <v>0.23</v>
      </c>
      <c r="L107">
        <v>5.3</v>
      </c>
      <c r="M107">
        <v>1.024E-4</v>
      </c>
      <c r="N107">
        <v>6.9999999999999993E-2</v>
      </c>
      <c r="O107">
        <v>1</v>
      </c>
      <c r="P107">
        <v>0</v>
      </c>
      <c r="Q107">
        <v>0</v>
      </c>
      <c r="R107">
        <v>1</v>
      </c>
      <c r="S107" s="14">
        <v>9.1649999999999992E-5</v>
      </c>
      <c r="T107">
        <v>0</v>
      </c>
      <c r="U107" s="10">
        <v>4</v>
      </c>
      <c r="V107">
        <v>48.5</v>
      </c>
      <c r="W107">
        <v>25</v>
      </c>
      <c r="X107" s="8">
        <v>-0.9</v>
      </c>
      <c r="Y107" s="1">
        <v>4.8500000000000014</v>
      </c>
      <c r="Z107" s="1">
        <v>2.5</v>
      </c>
      <c r="AA107" s="4">
        <v>0</v>
      </c>
      <c r="AB107" s="1">
        <v>4.8500000000000014</v>
      </c>
      <c r="AC107" s="1">
        <v>2.5</v>
      </c>
      <c r="AD107" s="3">
        <v>10.297500000000003</v>
      </c>
      <c r="AE107" s="3"/>
      <c r="AF107">
        <v>7.3500000000000014</v>
      </c>
    </row>
    <row r="108" spans="1:32" x14ac:dyDescent="0.35">
      <c r="A108">
        <f t="shared" si="124"/>
        <v>33</v>
      </c>
      <c r="B108" t="s">
        <v>48</v>
      </c>
      <c r="C108" t="s">
        <v>45</v>
      </c>
      <c r="D108">
        <v>25</v>
      </c>
      <c r="E108" t="s">
        <v>18</v>
      </c>
      <c r="F108">
        <v>500</v>
      </c>
      <c r="G108" s="14">
        <v>215000</v>
      </c>
      <c r="H108" s="15">
        <v>1412.67</v>
      </c>
      <c r="I108" s="14">
        <v>1828</v>
      </c>
      <c r="J108">
        <v>1</v>
      </c>
      <c r="K108">
        <v>0.215</v>
      </c>
      <c r="L108">
        <v>5.3</v>
      </c>
      <c r="M108">
        <v>2.0400000000000001E-3</v>
      </c>
      <c r="N108">
        <v>0.04</v>
      </c>
      <c r="O108">
        <v>1</v>
      </c>
      <c r="P108">
        <v>0</v>
      </c>
      <c r="Q108">
        <v>0</v>
      </c>
      <c r="R108">
        <v>1</v>
      </c>
      <c r="S108" s="14">
        <v>9.1649999999999992E-5</v>
      </c>
      <c r="T108">
        <v>0</v>
      </c>
      <c r="U108">
        <v>4</v>
      </c>
      <c r="V108">
        <v>90.3</v>
      </c>
      <c r="W108">
        <v>38.5</v>
      </c>
      <c r="X108" s="8" t="s">
        <v>40</v>
      </c>
      <c r="Y108" s="1">
        <v>132.13499999999999</v>
      </c>
      <c r="Z108" s="1">
        <v>60.625</v>
      </c>
      <c r="AA108" s="4">
        <v>0</v>
      </c>
      <c r="AB108" s="1">
        <v>132.13499999999999</v>
      </c>
      <c r="AC108" s="1">
        <v>60.625</v>
      </c>
      <c r="AD108" s="3">
        <v>269.31975</v>
      </c>
      <c r="AE108" s="3"/>
      <c r="AF108">
        <v>192.76</v>
      </c>
    </row>
    <row r="109" spans="1:32" x14ac:dyDescent="0.35">
      <c r="A109">
        <f t="shared" si="124"/>
        <v>33</v>
      </c>
      <c r="B109" t="s">
        <v>48</v>
      </c>
      <c r="C109" t="s">
        <v>46</v>
      </c>
      <c r="D109">
        <v>25</v>
      </c>
      <c r="E109" t="s">
        <v>18</v>
      </c>
      <c r="F109">
        <v>500</v>
      </c>
      <c r="G109" s="14">
        <v>215000</v>
      </c>
      <c r="H109" s="15">
        <v>1412.67</v>
      </c>
      <c r="I109" s="14">
        <v>1828</v>
      </c>
      <c r="J109">
        <v>1</v>
      </c>
      <c r="K109">
        <v>0.2</v>
      </c>
      <c r="L109">
        <v>5.3</v>
      </c>
      <c r="M109">
        <v>1.3439999999999999E-4</v>
      </c>
      <c r="N109">
        <v>0.04</v>
      </c>
      <c r="O109">
        <v>1</v>
      </c>
      <c r="P109">
        <v>0</v>
      </c>
      <c r="Q109">
        <v>0</v>
      </c>
      <c r="R109">
        <v>1</v>
      </c>
      <c r="S109" s="14">
        <v>9.1649999999999992E-5</v>
      </c>
      <c r="T109">
        <v>0</v>
      </c>
      <c r="U109" s="10">
        <v>4</v>
      </c>
      <c r="V109">
        <v>46</v>
      </c>
      <c r="W109">
        <v>25</v>
      </c>
      <c r="X109" s="8">
        <v>-0.87</v>
      </c>
      <c r="Y109" s="1">
        <v>5.9799999999999969</v>
      </c>
      <c r="Z109" s="1">
        <v>3.25</v>
      </c>
      <c r="AA109" s="4">
        <v>0</v>
      </c>
      <c r="AB109" s="1">
        <v>5.9799999999999969</v>
      </c>
      <c r="AC109" s="1">
        <v>3.25</v>
      </c>
      <c r="AD109" s="3">
        <v>12.947999999999997</v>
      </c>
      <c r="AE109" s="3"/>
      <c r="AF109">
        <v>9.2299999999999969</v>
      </c>
    </row>
    <row r="110" spans="1:32" x14ac:dyDescent="0.35">
      <c r="A110">
        <f t="shared" si="124"/>
        <v>33</v>
      </c>
      <c r="B110" t="s">
        <v>48</v>
      </c>
      <c r="C110" t="s">
        <v>47</v>
      </c>
      <c r="D110">
        <v>25</v>
      </c>
      <c r="E110" t="s">
        <v>18</v>
      </c>
      <c r="F110">
        <v>500</v>
      </c>
      <c r="G110" s="14">
        <v>215000</v>
      </c>
      <c r="H110" s="15">
        <v>1412.67</v>
      </c>
      <c r="I110" s="14">
        <v>1828</v>
      </c>
      <c r="J110">
        <v>1</v>
      </c>
      <c r="K110">
        <v>0.215</v>
      </c>
      <c r="L110">
        <v>5.3</v>
      </c>
      <c r="M110">
        <v>6.7840000000000001E-4</v>
      </c>
      <c r="N110">
        <v>0.04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15</v>
      </c>
      <c r="X110" s="8" t="s">
        <v>40</v>
      </c>
      <c r="Y110" s="1">
        <v>20.010000000000002</v>
      </c>
      <c r="Z110" s="1">
        <v>27.074999999999999</v>
      </c>
      <c r="AA110" s="4">
        <v>0</v>
      </c>
      <c r="AB110" s="1">
        <v>20.010000000000002</v>
      </c>
      <c r="AC110" s="1">
        <v>27.074999999999999</v>
      </c>
      <c r="AD110" s="3">
        <v>67.626000000000005</v>
      </c>
      <c r="AE110" s="3"/>
      <c r="AF110">
        <v>47.085000000000001</v>
      </c>
    </row>
    <row r="111" spans="1:32" x14ac:dyDescent="0.35">
      <c r="A111">
        <f t="shared" si="124"/>
        <v>34</v>
      </c>
      <c r="B111" t="s">
        <v>42</v>
      </c>
      <c r="D111" s="5">
        <v>25</v>
      </c>
      <c r="E111" s="5" t="s">
        <v>18</v>
      </c>
      <c r="F111" s="5">
        <v>500</v>
      </c>
      <c r="G111" s="6">
        <v>220000</v>
      </c>
      <c r="H111" s="5">
        <v>1576</v>
      </c>
      <c r="I111" s="5">
        <v>1870</v>
      </c>
      <c r="J111" s="5">
        <v>1</v>
      </c>
      <c r="K111" s="5">
        <v>0.2</v>
      </c>
      <c r="L111" s="5">
        <v>2.2000000000000002</v>
      </c>
      <c r="M111" s="5">
        <v>1.0000000000000001E-5</v>
      </c>
      <c r="N111" s="5">
        <v>0.03</v>
      </c>
      <c r="O111" s="5">
        <v>1</v>
      </c>
      <c r="P111" s="5">
        <v>0</v>
      </c>
      <c r="Q111" s="5">
        <v>0</v>
      </c>
      <c r="R111" s="5">
        <v>1</v>
      </c>
      <c r="S111" s="5">
        <v>0</v>
      </c>
      <c r="T111" s="5">
        <v>0</v>
      </c>
      <c r="U111" s="5">
        <v>0</v>
      </c>
      <c r="V111" s="7">
        <v>0</v>
      </c>
      <c r="W111" s="7">
        <v>0</v>
      </c>
      <c r="X111" s="5"/>
      <c r="Y111" s="1">
        <f>IFERROR(IF(ISNUMBER(SEARCH("Appui",C111)),V111+X111*V111,IF(A110&lt;A111,V111-X112*V112/2,IF(A111&lt;A112,V111-(X110*V110)/2,V111-(X112*V112+X110*V110)/2))),0)</f>
        <v>0</v>
      </c>
      <c r="Z111" s="1">
        <f>IFERROR(IF(ISNUMBER(SEARCH("Appui",C111)),W111+X111*W111,IF(A110&lt;A111,W111-X112*W112/2,IF(A111&lt;A112,W111-(X110*W110)/2,W111-(X112*W112+X110*W110)/2))),0)</f>
        <v>0</v>
      </c>
      <c r="AA111" s="2"/>
      <c r="AB111" s="1">
        <f t="shared" ref="AB111" si="166">Y111*(1-AA111)</f>
        <v>0</v>
      </c>
      <c r="AC111" s="1">
        <f t="shared" ref="AC111" si="167">Y111*AA111 + Z111</f>
        <v>0</v>
      </c>
      <c r="AD111" s="3">
        <f t="shared" ref="AD111" si="168">1.35*Y111+1.5*Z111</f>
        <v>0</v>
      </c>
      <c r="AE111" s="3"/>
      <c r="AF111">
        <f t="shared" ref="AF111" si="169">AB111+AC111</f>
        <v>0</v>
      </c>
    </row>
    <row r="112" spans="1:32" x14ac:dyDescent="0.35">
      <c r="A112">
        <f t="shared" si="124"/>
        <v>35</v>
      </c>
      <c r="B112" t="s">
        <v>50</v>
      </c>
      <c r="C112" t="s">
        <v>43</v>
      </c>
      <c r="D112">
        <f>D100</f>
        <v>25</v>
      </c>
      <c r="E112" t="str">
        <f t="shared" ref="E112:K112" si="170">E100</f>
        <v>B</v>
      </c>
      <c r="F112">
        <f t="shared" si="170"/>
        <v>500</v>
      </c>
      <c r="G112" s="14">
        <v>215000</v>
      </c>
      <c r="H112" s="15">
        <v>1412.67</v>
      </c>
      <c r="I112" s="14">
        <v>1828</v>
      </c>
      <c r="J112">
        <f t="shared" si="170"/>
        <v>1</v>
      </c>
      <c r="K112">
        <f t="shared" si="170"/>
        <v>0.24</v>
      </c>
      <c r="L112">
        <f>L94/2+L100+L106/2</f>
        <v>7.5</v>
      </c>
      <c r="M112">
        <f>(M94*O94)/2+(M100*O100)+(M106*O106)/2</f>
        <v>1.9277999999999999E-3</v>
      </c>
      <c r="N112">
        <f>MAX(N94,N100,N106)</f>
        <v>0.04</v>
      </c>
      <c r="O112" s="9">
        <v>1</v>
      </c>
      <c r="P112">
        <f>(P94*R94)/2+(P100*R100)+(P106*R106)/2</f>
        <v>0</v>
      </c>
      <c r="Q112">
        <f>MAX(Q94,Q100,Q106)</f>
        <v>0</v>
      </c>
      <c r="R112" s="9">
        <v>1</v>
      </c>
      <c r="S112" s="14">
        <v>9.1649999999999992E-5</v>
      </c>
      <c r="T112">
        <f>MAX(T94,T100,T106)</f>
        <v>0</v>
      </c>
      <c r="U112" s="9">
        <f>U94/2+U100+U106/2</f>
        <v>1</v>
      </c>
      <c r="V112" s="9">
        <f>V94/2+V100+V106/2</f>
        <v>58.35</v>
      </c>
      <c r="W112" s="9">
        <f>W94/2+W100+W106/2</f>
        <v>33.25</v>
      </c>
      <c r="X112" s="8">
        <v>0</v>
      </c>
      <c r="Y112" s="9">
        <f>Y94/2+Y100+Y106/2</f>
        <v>78.555000000000007</v>
      </c>
      <c r="Z112" s="9">
        <f>Z94/2+Z100+Z106/2</f>
        <v>43.963750000000005</v>
      </c>
      <c r="AA112" s="2"/>
      <c r="AB112" s="9">
        <f>AB94/2+AB100+AB106/2</f>
        <v>78.555000000000007</v>
      </c>
      <c r="AC112" s="9">
        <f>AC94/2+AC100+AC106/2</f>
        <v>43.963750000000005</v>
      </c>
      <c r="AD112" s="3">
        <f>1.35*Y112+1.5*Z112</f>
        <v>171.99487500000004</v>
      </c>
      <c r="AE112" s="3"/>
      <c r="AF112" s="9">
        <f>AB112+AC112</f>
        <v>122.51875000000001</v>
      </c>
    </row>
    <row r="113" spans="1:32" x14ac:dyDescent="0.35">
      <c r="A113">
        <f t="shared" si="124"/>
        <v>35</v>
      </c>
      <c r="B113" t="s">
        <v>50</v>
      </c>
      <c r="C113" t="s">
        <v>44</v>
      </c>
      <c r="D113">
        <f t="shared" ref="D113:K113" si="171">D101</f>
        <v>25</v>
      </c>
      <c r="E113" t="str">
        <f t="shared" si="171"/>
        <v>B</v>
      </c>
      <c r="F113">
        <f t="shared" si="171"/>
        <v>500</v>
      </c>
      <c r="G113" s="14">
        <v>215000</v>
      </c>
      <c r="H113" s="15">
        <v>1412.67</v>
      </c>
      <c r="I113" s="14">
        <v>1828</v>
      </c>
      <c r="J113">
        <f t="shared" si="171"/>
        <v>1</v>
      </c>
      <c r="K113">
        <f t="shared" si="171"/>
        <v>0.23</v>
      </c>
      <c r="L113">
        <f t="shared" ref="L113:L116" si="172">L95/2+L101+L107/2</f>
        <v>7.5</v>
      </c>
      <c r="M113">
        <f t="shared" ref="M113:M116" si="173">(M95*O95)/2+(M101*O101)+(M107*O107)/2</f>
        <v>2.0024000000000001E-3</v>
      </c>
      <c r="N113">
        <f t="shared" ref="N113:N116" si="174">MAX(N95,N101,N107)</f>
        <v>6.9999999999999993E-2</v>
      </c>
      <c r="O113" s="9">
        <v>1</v>
      </c>
      <c r="P113">
        <f t="shared" ref="P113:P116" si="175">(P95*R95)/2+(P101*R101)+(P107*R107)/2</f>
        <v>0</v>
      </c>
      <c r="Q113">
        <f t="shared" ref="Q113:Q116" si="176">MAX(Q95,Q101,Q107)</f>
        <v>0</v>
      </c>
      <c r="R113" s="9">
        <v>1</v>
      </c>
      <c r="S113" s="14">
        <v>9.1649999999999992E-5</v>
      </c>
      <c r="T113">
        <f t="shared" ref="T113:T116" si="177">MAX(T95,T101,T107)</f>
        <v>0</v>
      </c>
      <c r="U113" s="9">
        <f t="shared" ref="U113:W113" si="178">U95/2+U101+U107/2</f>
        <v>6</v>
      </c>
      <c r="V113" s="9">
        <f t="shared" si="178"/>
        <v>133.75</v>
      </c>
      <c r="W113" s="9">
        <f t="shared" si="178"/>
        <v>56</v>
      </c>
      <c r="X113" s="8">
        <v>0</v>
      </c>
      <c r="Y113" s="9">
        <f t="shared" ref="Y113:Z113" si="179">Y95/2+Y101+Y107/2</f>
        <v>93.339999999999989</v>
      </c>
      <c r="Z113" s="9">
        <f t="shared" si="179"/>
        <v>34.572499999999998</v>
      </c>
      <c r="AA113" s="2"/>
      <c r="AB113" s="9">
        <f t="shared" ref="AB113:AC113" si="180">AB95/2+AB101+AB107/2</f>
        <v>93.339999999999989</v>
      </c>
      <c r="AC113" s="9">
        <f t="shared" si="180"/>
        <v>34.572499999999998</v>
      </c>
      <c r="AD113" s="3">
        <f t="shared" ref="AD113:AD117" si="181">1.35*Y113+1.5*Z113</f>
        <v>177.86775</v>
      </c>
      <c r="AE113" s="3"/>
      <c r="AF113" s="9">
        <f t="shared" ref="AF113:AF117" si="182">AB113+AC113</f>
        <v>127.91249999999999</v>
      </c>
    </row>
    <row r="114" spans="1:32" x14ac:dyDescent="0.35">
      <c r="A114">
        <f t="shared" si="124"/>
        <v>35</v>
      </c>
      <c r="B114" t="s">
        <v>50</v>
      </c>
      <c r="C114" t="s">
        <v>45</v>
      </c>
      <c r="D114">
        <f t="shared" ref="D114:K114" si="183">D102</f>
        <v>25</v>
      </c>
      <c r="E114" t="str">
        <f t="shared" si="183"/>
        <v>B</v>
      </c>
      <c r="F114">
        <f t="shared" si="183"/>
        <v>500</v>
      </c>
      <c r="G114" s="14">
        <v>215000</v>
      </c>
      <c r="H114" s="15">
        <v>1412.67</v>
      </c>
      <c r="I114" s="14">
        <v>1828</v>
      </c>
      <c r="J114">
        <f t="shared" si="183"/>
        <v>1</v>
      </c>
      <c r="K114">
        <f t="shared" si="183"/>
        <v>0.215</v>
      </c>
      <c r="L114">
        <f t="shared" si="172"/>
        <v>7.5</v>
      </c>
      <c r="M114">
        <f t="shared" si="173"/>
        <v>3.2264500000000001E-3</v>
      </c>
      <c r="N114">
        <f t="shared" si="174"/>
        <v>0.04</v>
      </c>
      <c r="O114" s="9">
        <v>1</v>
      </c>
      <c r="P114">
        <f t="shared" si="175"/>
        <v>0</v>
      </c>
      <c r="Q114">
        <f t="shared" si="176"/>
        <v>0</v>
      </c>
      <c r="R114" s="9">
        <v>1</v>
      </c>
      <c r="S114" s="14">
        <v>9.1649999999999992E-5</v>
      </c>
      <c r="T114">
        <f t="shared" si="177"/>
        <v>0</v>
      </c>
      <c r="U114" s="9">
        <f t="shared" ref="U114" si="184">U96/2+U102+U108/2</f>
        <v>6.5</v>
      </c>
      <c r="V114" s="9">
        <f>V96/2+V102+V108/2</f>
        <v>129.65</v>
      </c>
      <c r="W114" s="9">
        <f t="shared" ref="W114" si="185">W96/2+W102+W108/2</f>
        <v>54.25</v>
      </c>
      <c r="X114" s="8">
        <v>0</v>
      </c>
      <c r="Y114" s="9">
        <f t="shared" ref="Y114:Z114" si="186">Y96/2+Y102+Y108/2</f>
        <v>172.91</v>
      </c>
      <c r="Z114" s="9">
        <f t="shared" si="186"/>
        <v>76.641249999999999</v>
      </c>
      <c r="AA114" s="2"/>
      <c r="AB114" s="9">
        <f t="shared" ref="AB114:AC114" si="187">AB96/2+AB102+AB108/2</f>
        <v>172.91</v>
      </c>
      <c r="AC114" s="9">
        <f t="shared" si="187"/>
        <v>76.641249999999999</v>
      </c>
      <c r="AD114" s="3">
        <f t="shared" si="181"/>
        <v>348.39037500000001</v>
      </c>
      <c r="AE114" s="3"/>
      <c r="AF114" s="9">
        <f t="shared" si="182"/>
        <v>249.55124999999998</v>
      </c>
    </row>
    <row r="115" spans="1:32" x14ac:dyDescent="0.35">
      <c r="A115">
        <f t="shared" si="124"/>
        <v>35</v>
      </c>
      <c r="B115" t="s">
        <v>50</v>
      </c>
      <c r="C115" t="s">
        <v>46</v>
      </c>
      <c r="D115">
        <f t="shared" ref="D115:K115" si="188">D103</f>
        <v>25</v>
      </c>
      <c r="E115" t="str">
        <f t="shared" si="188"/>
        <v>B</v>
      </c>
      <c r="F115">
        <f t="shared" si="188"/>
        <v>500</v>
      </c>
      <c r="G115" s="14">
        <v>215000</v>
      </c>
      <c r="H115" s="15">
        <v>1412.67</v>
      </c>
      <c r="I115" s="14">
        <v>1828</v>
      </c>
      <c r="J115">
        <f t="shared" si="188"/>
        <v>1</v>
      </c>
      <c r="K115">
        <f t="shared" si="188"/>
        <v>0.2</v>
      </c>
      <c r="L115">
        <f t="shared" si="172"/>
        <v>7.5</v>
      </c>
      <c r="M115">
        <f t="shared" si="173"/>
        <v>1.6943999999999998E-3</v>
      </c>
      <c r="N115">
        <f t="shared" si="174"/>
        <v>5.2999999999999999E-2</v>
      </c>
      <c r="O115" s="9">
        <v>1</v>
      </c>
      <c r="P115">
        <f t="shared" si="175"/>
        <v>0</v>
      </c>
      <c r="Q115">
        <f t="shared" si="176"/>
        <v>0</v>
      </c>
      <c r="R115" s="9">
        <v>1</v>
      </c>
      <c r="S115" s="14">
        <v>9.1649999999999992E-5</v>
      </c>
      <c r="T115">
        <f t="shared" si="177"/>
        <v>0</v>
      </c>
      <c r="U115" s="9">
        <f t="shared" ref="U115:W115" si="189">U97/2+U103+U109/2</f>
        <v>6</v>
      </c>
      <c r="V115" s="9">
        <f t="shared" si="189"/>
        <v>120.5</v>
      </c>
      <c r="W115" s="9">
        <f t="shared" si="189"/>
        <v>53.5</v>
      </c>
      <c r="X115" s="8">
        <v>0</v>
      </c>
      <c r="Y115" s="9">
        <f t="shared" ref="Y115:Z115" si="190">Y97/2+Y103+Y109/2</f>
        <v>74.39</v>
      </c>
      <c r="Z115" s="9">
        <f t="shared" si="190"/>
        <v>30.145</v>
      </c>
      <c r="AA115" s="2"/>
      <c r="AB115" s="9">
        <f t="shared" ref="AB115:AC115" si="191">AB97/2+AB103+AB109/2</f>
        <v>74.39</v>
      </c>
      <c r="AC115" s="9">
        <f t="shared" si="191"/>
        <v>30.145</v>
      </c>
      <c r="AD115" s="3">
        <f t="shared" si="181"/>
        <v>145.64400000000001</v>
      </c>
      <c r="AE115" s="3"/>
      <c r="AF115" s="9">
        <f t="shared" si="182"/>
        <v>104.535</v>
      </c>
    </row>
    <row r="116" spans="1:32" x14ac:dyDescent="0.35">
      <c r="A116">
        <f t="shared" si="124"/>
        <v>35</v>
      </c>
      <c r="B116" t="s">
        <v>50</v>
      </c>
      <c r="C116" t="s">
        <v>47</v>
      </c>
      <c r="D116">
        <f t="shared" ref="D116:K116" si="192">D104</f>
        <v>25</v>
      </c>
      <c r="E116" t="str">
        <f t="shared" si="192"/>
        <v>B</v>
      </c>
      <c r="F116">
        <f t="shared" si="192"/>
        <v>500</v>
      </c>
      <c r="G116" s="14">
        <v>215000</v>
      </c>
      <c r="H116" s="15">
        <v>1412.67</v>
      </c>
      <c r="I116" s="14">
        <v>1828</v>
      </c>
      <c r="J116">
        <f t="shared" si="192"/>
        <v>1</v>
      </c>
      <c r="K116">
        <f t="shared" si="192"/>
        <v>0.215</v>
      </c>
      <c r="L116">
        <f t="shared" si="172"/>
        <v>7.5</v>
      </c>
      <c r="M116">
        <f t="shared" si="173"/>
        <v>9.5839999999999999E-4</v>
      </c>
      <c r="N116">
        <f t="shared" si="174"/>
        <v>0.04</v>
      </c>
      <c r="O116" s="9">
        <v>1</v>
      </c>
      <c r="P116">
        <f t="shared" si="175"/>
        <v>0</v>
      </c>
      <c r="Q116">
        <f t="shared" si="176"/>
        <v>0</v>
      </c>
      <c r="R116" s="9">
        <v>1</v>
      </c>
      <c r="S116" s="14">
        <v>9.1649999999999992E-5</v>
      </c>
      <c r="T116">
        <f t="shared" si="177"/>
        <v>0</v>
      </c>
      <c r="U116" s="9">
        <f t="shared" ref="U116:W116" si="193">U98/2+U104+U110/2</f>
        <v>3</v>
      </c>
      <c r="V116" s="9">
        <f t="shared" si="193"/>
        <v>0</v>
      </c>
      <c r="W116" s="9">
        <f t="shared" si="193"/>
        <v>21.9</v>
      </c>
      <c r="X116" s="8">
        <v>0</v>
      </c>
      <c r="Y116" s="9">
        <f t="shared" ref="Y116:Z116" si="194">Y98/2+Y104+Y110/2</f>
        <v>23.055</v>
      </c>
      <c r="Z116" s="9">
        <f t="shared" si="194"/>
        <v>34.480000000000004</v>
      </c>
      <c r="AA116" s="2"/>
      <c r="AB116" s="9">
        <f t="shared" ref="AB116:AC116" si="195">AB98/2+AB104+AB110/2</f>
        <v>23.055</v>
      </c>
      <c r="AC116" s="9">
        <f t="shared" si="195"/>
        <v>34.480000000000004</v>
      </c>
      <c r="AD116" s="3">
        <f t="shared" si="181"/>
        <v>82.844250000000002</v>
      </c>
      <c r="AE116" s="3"/>
      <c r="AF116" s="9">
        <f t="shared" si="182"/>
        <v>57.535000000000004</v>
      </c>
    </row>
    <row r="117" spans="1:32" x14ac:dyDescent="0.35">
      <c r="A117">
        <f t="shared" si="124"/>
        <v>36</v>
      </c>
      <c r="B117" t="s">
        <v>42</v>
      </c>
      <c r="D117" s="5">
        <v>25</v>
      </c>
      <c r="E117" s="5" t="s">
        <v>18</v>
      </c>
      <c r="F117" s="5">
        <v>500</v>
      </c>
      <c r="G117" s="6">
        <v>220000</v>
      </c>
      <c r="H117" s="5">
        <v>1576</v>
      </c>
      <c r="I117" s="5">
        <v>1870</v>
      </c>
      <c r="J117" s="5">
        <v>1</v>
      </c>
      <c r="K117" s="5">
        <v>0.2</v>
      </c>
      <c r="L117" s="5">
        <v>2.2000000000000002</v>
      </c>
      <c r="M117" s="5">
        <v>1.0000000000000001E-5</v>
      </c>
      <c r="N117" s="5">
        <v>0.03</v>
      </c>
      <c r="O117" s="5">
        <v>1</v>
      </c>
      <c r="P117" s="5">
        <v>0</v>
      </c>
      <c r="Q117" s="5">
        <v>0</v>
      </c>
      <c r="R117" s="5">
        <v>1</v>
      </c>
      <c r="S117" s="5">
        <v>0</v>
      </c>
      <c r="T117" s="5">
        <v>0</v>
      </c>
      <c r="U117" s="5">
        <v>0</v>
      </c>
      <c r="V117" s="7">
        <v>0</v>
      </c>
      <c r="W117" s="7">
        <v>0</v>
      </c>
      <c r="X117" s="5"/>
      <c r="Y117" s="1">
        <f t="shared" ref="Y117" si="196">IFERROR(IF(ISNUMBER(SEARCH("Appui",C117)),V117+X117*V117,IF(A116&lt;A117,V117-X118*V118/2,IF(A117&lt;A118,V117-(X116*V116)/2,V117-(X118*V118+X116*V116)/2))),0)</f>
        <v>0</v>
      </c>
      <c r="Z117" s="1">
        <f t="shared" ref="Z117" si="197">IFERROR(IF(ISNUMBER(SEARCH("Appui",C117)),W117+X117*W117,IF(A116&lt;A117,W117-X118*W118/2,IF(A117&lt;A118,W117-(X116*W116)/2,W117-(X118*W118+X116*W116)/2))),0)</f>
        <v>0</v>
      </c>
      <c r="AA117" s="2"/>
      <c r="AB117" s="1">
        <f t="shared" ref="AB117" si="198">Y117*(1-AA117)</f>
        <v>0</v>
      </c>
      <c r="AC117" s="1">
        <f t="shared" ref="AC117" si="199">Y117*AA117 + Z117</f>
        <v>0</v>
      </c>
      <c r="AD117" s="3">
        <f t="shared" si="181"/>
        <v>0</v>
      </c>
      <c r="AE117" s="3"/>
      <c r="AF117">
        <f t="shared" si="182"/>
        <v>0</v>
      </c>
    </row>
    <row r="118" spans="1:32" x14ac:dyDescent="0.35">
      <c r="A118">
        <f t="shared" si="124"/>
        <v>37</v>
      </c>
      <c r="B118" t="s">
        <v>48</v>
      </c>
      <c r="C118" t="s">
        <v>43</v>
      </c>
      <c r="D118">
        <v>25</v>
      </c>
      <c r="E118" t="s">
        <v>18</v>
      </c>
      <c r="F118">
        <v>500</v>
      </c>
      <c r="G118" s="14">
        <v>215000</v>
      </c>
      <c r="H118" s="15">
        <v>1412.67</v>
      </c>
      <c r="I118" s="14">
        <v>1828</v>
      </c>
      <c r="J118">
        <v>1</v>
      </c>
      <c r="K118">
        <v>0.24</v>
      </c>
      <c r="L118">
        <v>5.3</v>
      </c>
      <c r="M118">
        <v>1.3621E-3</v>
      </c>
      <c r="N118">
        <v>0.04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36.700000000000003</v>
      </c>
      <c r="W118">
        <v>23.5</v>
      </c>
      <c r="X118" s="8" t="s">
        <v>40</v>
      </c>
      <c r="Y118" s="1">
        <v>58.525000000000006</v>
      </c>
      <c r="Z118" s="1">
        <v>34.75</v>
      </c>
      <c r="AA118" s="4">
        <v>0</v>
      </c>
      <c r="AB118" s="1">
        <v>58.525000000000006</v>
      </c>
      <c r="AC118" s="1">
        <v>34.75</v>
      </c>
      <c r="AD118" s="3">
        <v>131.13375000000002</v>
      </c>
      <c r="AE118" s="3"/>
      <c r="AF118">
        <v>93.275000000000006</v>
      </c>
    </row>
    <row r="119" spans="1:32" x14ac:dyDescent="0.35">
      <c r="A119">
        <f t="shared" si="124"/>
        <v>37</v>
      </c>
      <c r="B119" t="s">
        <v>48</v>
      </c>
      <c r="C119" t="s">
        <v>44</v>
      </c>
      <c r="D119">
        <v>25</v>
      </c>
      <c r="E119" t="s">
        <v>18</v>
      </c>
      <c r="F119">
        <v>500</v>
      </c>
      <c r="G119" s="14">
        <v>215000</v>
      </c>
      <c r="H119" s="15">
        <v>1412.67</v>
      </c>
      <c r="I119" s="14">
        <v>1828</v>
      </c>
      <c r="J119">
        <v>1</v>
      </c>
      <c r="K119">
        <v>0.23</v>
      </c>
      <c r="L119">
        <v>5.3</v>
      </c>
      <c r="M119">
        <v>1.024E-4</v>
      </c>
      <c r="N119">
        <v>6.9999999999999993E-2</v>
      </c>
      <c r="O119">
        <v>1</v>
      </c>
      <c r="P119">
        <v>0</v>
      </c>
      <c r="Q119">
        <v>0</v>
      </c>
      <c r="R119">
        <v>1</v>
      </c>
      <c r="S119" s="14">
        <v>9.1649999999999992E-5</v>
      </c>
      <c r="T119">
        <v>0</v>
      </c>
      <c r="U119" s="10">
        <v>4</v>
      </c>
      <c r="V119">
        <v>48.5</v>
      </c>
      <c r="W119">
        <v>25</v>
      </c>
      <c r="X119" s="8">
        <v>-0.9</v>
      </c>
      <c r="Y119" s="1">
        <v>4.8500000000000014</v>
      </c>
      <c r="Z119" s="1">
        <v>2.5</v>
      </c>
      <c r="AA119" s="4">
        <v>0</v>
      </c>
      <c r="AB119" s="1">
        <v>4.8500000000000014</v>
      </c>
      <c r="AC119" s="1">
        <v>2.5</v>
      </c>
      <c r="AD119" s="3">
        <v>10.297500000000003</v>
      </c>
      <c r="AE119" s="3"/>
      <c r="AF119">
        <v>7.3500000000000014</v>
      </c>
    </row>
    <row r="120" spans="1:32" x14ac:dyDescent="0.35">
      <c r="A120">
        <f t="shared" si="124"/>
        <v>37</v>
      </c>
      <c r="B120" t="s">
        <v>48</v>
      </c>
      <c r="C120" t="s">
        <v>45</v>
      </c>
      <c r="D120">
        <v>25</v>
      </c>
      <c r="E120" t="s">
        <v>18</v>
      </c>
      <c r="F120">
        <v>500</v>
      </c>
      <c r="G120" s="14">
        <v>215000</v>
      </c>
      <c r="H120" s="15">
        <v>1412.67</v>
      </c>
      <c r="I120" s="14">
        <v>1828</v>
      </c>
      <c r="J120">
        <v>1</v>
      </c>
      <c r="K120">
        <v>0.215</v>
      </c>
      <c r="L120">
        <v>5.3</v>
      </c>
      <c r="M120">
        <v>2.0400000000000001E-3</v>
      </c>
      <c r="N120">
        <v>0.04</v>
      </c>
      <c r="O120">
        <v>1</v>
      </c>
      <c r="P120">
        <v>0</v>
      </c>
      <c r="Q120">
        <v>0</v>
      </c>
      <c r="R120">
        <v>1</v>
      </c>
      <c r="S120" s="14">
        <v>9.1649999999999992E-5</v>
      </c>
      <c r="T120">
        <v>0</v>
      </c>
      <c r="U120">
        <v>4</v>
      </c>
      <c r="V120">
        <v>90.3</v>
      </c>
      <c r="W120">
        <v>38.5</v>
      </c>
      <c r="X120" s="8" t="s">
        <v>40</v>
      </c>
      <c r="Y120" s="1">
        <v>132.13499999999999</v>
      </c>
      <c r="Z120" s="1">
        <v>60.625</v>
      </c>
      <c r="AA120" s="4">
        <v>0</v>
      </c>
      <c r="AB120" s="1">
        <v>132.13499999999999</v>
      </c>
      <c r="AC120" s="1">
        <v>60.625</v>
      </c>
      <c r="AD120" s="3">
        <v>269.31975</v>
      </c>
      <c r="AE120" s="3"/>
      <c r="AF120">
        <v>192.76</v>
      </c>
    </row>
    <row r="121" spans="1:32" x14ac:dyDescent="0.35">
      <c r="A121">
        <f t="shared" si="124"/>
        <v>37</v>
      </c>
      <c r="B121" t="s">
        <v>48</v>
      </c>
      <c r="C121" t="s">
        <v>46</v>
      </c>
      <c r="D121">
        <v>25</v>
      </c>
      <c r="E121" t="s">
        <v>18</v>
      </c>
      <c r="F121">
        <v>500</v>
      </c>
      <c r="G121" s="14">
        <v>215000</v>
      </c>
      <c r="H121" s="15">
        <v>1412.67</v>
      </c>
      <c r="I121" s="14">
        <v>1828</v>
      </c>
      <c r="J121">
        <v>1</v>
      </c>
      <c r="K121">
        <v>0.2</v>
      </c>
      <c r="L121">
        <v>5.3</v>
      </c>
      <c r="M121">
        <v>1.3439999999999999E-4</v>
      </c>
      <c r="N121">
        <v>0.04</v>
      </c>
      <c r="O121">
        <v>1</v>
      </c>
      <c r="P121">
        <v>0</v>
      </c>
      <c r="Q121">
        <v>0</v>
      </c>
      <c r="R121">
        <v>1</v>
      </c>
      <c r="S121" s="14">
        <v>9.1649999999999992E-5</v>
      </c>
      <c r="T121">
        <v>0</v>
      </c>
      <c r="U121" s="10">
        <v>4</v>
      </c>
      <c r="V121">
        <v>46</v>
      </c>
      <c r="W121">
        <v>25</v>
      </c>
      <c r="X121" s="8">
        <v>-0.87</v>
      </c>
      <c r="Y121" s="1">
        <v>5.9799999999999969</v>
      </c>
      <c r="Z121" s="1">
        <v>3.25</v>
      </c>
      <c r="AA121" s="4">
        <v>0</v>
      </c>
      <c r="AB121" s="1">
        <v>5.9799999999999969</v>
      </c>
      <c r="AC121" s="1">
        <v>3.25</v>
      </c>
      <c r="AD121" s="3">
        <v>12.947999999999997</v>
      </c>
      <c r="AE121" s="3"/>
      <c r="AF121">
        <v>9.2299999999999969</v>
      </c>
    </row>
    <row r="122" spans="1:32" x14ac:dyDescent="0.35">
      <c r="A122">
        <f t="shared" si="124"/>
        <v>37</v>
      </c>
      <c r="B122" t="s">
        <v>48</v>
      </c>
      <c r="C122" t="s">
        <v>47</v>
      </c>
      <c r="D122">
        <v>25</v>
      </c>
      <c r="E122" t="s">
        <v>18</v>
      </c>
      <c r="F122">
        <v>500</v>
      </c>
      <c r="G122" s="14">
        <v>215000</v>
      </c>
      <c r="H122" s="15">
        <v>1412.67</v>
      </c>
      <c r="I122" s="14">
        <v>1828</v>
      </c>
      <c r="J122">
        <v>1</v>
      </c>
      <c r="K122">
        <v>0.215</v>
      </c>
      <c r="L122">
        <v>5.3</v>
      </c>
      <c r="M122">
        <v>6.7840000000000001E-4</v>
      </c>
      <c r="N122">
        <v>0.04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15</v>
      </c>
      <c r="X122" s="8" t="s">
        <v>40</v>
      </c>
      <c r="Y122" s="1">
        <v>20.010000000000002</v>
      </c>
      <c r="Z122" s="1">
        <v>27.074999999999999</v>
      </c>
      <c r="AA122" s="4">
        <v>0</v>
      </c>
      <c r="AB122" s="1">
        <v>20.010000000000002</v>
      </c>
      <c r="AC122" s="1">
        <v>27.074999999999999</v>
      </c>
      <c r="AD122" s="3">
        <v>67.626000000000005</v>
      </c>
      <c r="AE122" s="3"/>
      <c r="AF122">
        <v>47.085000000000001</v>
      </c>
    </row>
    <row r="123" spans="1:32" x14ac:dyDescent="0.35">
      <c r="A123">
        <f t="shared" si="124"/>
        <v>38</v>
      </c>
      <c r="B123" t="s">
        <v>42</v>
      </c>
      <c r="D123" s="5">
        <v>25</v>
      </c>
      <c r="E123" s="5" t="s">
        <v>18</v>
      </c>
      <c r="F123" s="5">
        <v>500</v>
      </c>
      <c r="G123" s="6">
        <v>220000</v>
      </c>
      <c r="H123" s="5">
        <v>1576</v>
      </c>
      <c r="I123" s="5">
        <v>1870</v>
      </c>
      <c r="J123" s="5">
        <v>1</v>
      </c>
      <c r="K123" s="5">
        <v>0.2</v>
      </c>
      <c r="L123" s="5">
        <v>2.2000000000000002</v>
      </c>
      <c r="M123" s="5">
        <v>1.0000000000000001E-5</v>
      </c>
      <c r="N123" s="5">
        <v>0.03</v>
      </c>
      <c r="O123" s="5">
        <v>1</v>
      </c>
      <c r="P123" s="5">
        <v>0</v>
      </c>
      <c r="Q123" s="5">
        <v>0</v>
      </c>
      <c r="R123" s="5">
        <v>1</v>
      </c>
      <c r="S123" s="5">
        <v>0</v>
      </c>
      <c r="T123" s="5">
        <v>0</v>
      </c>
      <c r="U123" s="5">
        <v>0</v>
      </c>
      <c r="V123" s="7">
        <v>0</v>
      </c>
      <c r="W123" s="7">
        <v>0</v>
      </c>
      <c r="X123" s="5"/>
      <c r="Y123" s="1">
        <f t="shared" ref="Y123" si="200">IFERROR(IF(ISNUMBER(SEARCH("Appui",C123)),V123+X123*V123,IF(A122&lt;A123,V123-X124*V124/2,IF(A123&lt;A124,V123-(X122*V122)/2,V123-(X124*V124+X122*V122)/2))),0)</f>
        <v>0</v>
      </c>
      <c r="Z123" s="1">
        <f t="shared" ref="Z123" si="201">IFERROR(IF(ISNUMBER(SEARCH("Appui",C123)),W123+X123*W123,IF(A122&lt;A123,W123-X124*W124/2,IF(A123&lt;A124,W123-(X122*W122)/2,W123-(X124*W124+X122*W122)/2))),0)</f>
        <v>0</v>
      </c>
      <c r="AA123" s="2"/>
      <c r="AB123" s="1">
        <f t="shared" ref="AB123" si="202">Y123*(1-AA123)</f>
        <v>0</v>
      </c>
      <c r="AC123" s="1">
        <f t="shared" ref="AC123" si="203">Y123*AA123 + Z123</f>
        <v>0</v>
      </c>
      <c r="AD123" s="3">
        <f t="shared" ref="AD123" si="204">1.35*Y123+1.5*Z123</f>
        <v>0</v>
      </c>
      <c r="AE123" s="3"/>
      <c r="AF123">
        <f t="shared" ref="AF123" si="205">AB123+AC123</f>
        <v>0</v>
      </c>
    </row>
    <row r="124" spans="1:32" x14ac:dyDescent="0.35">
      <c r="A124">
        <f t="shared" si="124"/>
        <v>39</v>
      </c>
      <c r="B124" t="s">
        <v>53</v>
      </c>
      <c r="C124" t="s">
        <v>43</v>
      </c>
      <c r="D124">
        <v>25</v>
      </c>
      <c r="E124" t="s">
        <v>18</v>
      </c>
      <c r="F124">
        <v>500</v>
      </c>
      <c r="G124" s="14">
        <v>215000</v>
      </c>
      <c r="H124" s="15">
        <v>1412.67</v>
      </c>
      <c r="I124" s="14">
        <v>1828</v>
      </c>
      <c r="J124">
        <v>1</v>
      </c>
      <c r="K124">
        <v>0.24</v>
      </c>
      <c r="L124">
        <v>2.2000000000000002</v>
      </c>
      <c r="M124">
        <v>5.7000000000000009E-4</v>
      </c>
      <c r="N124">
        <v>0.03</v>
      </c>
      <c r="O124">
        <v>1</v>
      </c>
      <c r="P124">
        <v>0</v>
      </c>
      <c r="Q124">
        <v>0</v>
      </c>
      <c r="R124">
        <v>1</v>
      </c>
      <c r="S124" s="14">
        <v>9.1649999999999992E-5</v>
      </c>
      <c r="T124">
        <v>0</v>
      </c>
      <c r="U124">
        <v>1</v>
      </c>
      <c r="V124">
        <v>20</v>
      </c>
      <c r="W124">
        <v>10.1</v>
      </c>
      <c r="X124" s="8" t="s">
        <v>40</v>
      </c>
      <c r="Y124" s="1">
        <v>20</v>
      </c>
      <c r="Z124" s="1">
        <v>10.1</v>
      </c>
      <c r="AA124" s="4">
        <v>0</v>
      </c>
      <c r="AB124" s="1">
        <v>20</v>
      </c>
      <c r="AC124" s="1">
        <v>10.1</v>
      </c>
      <c r="AD124" s="3">
        <v>42.15</v>
      </c>
      <c r="AE124" s="3"/>
      <c r="AF124">
        <v>30.1</v>
      </c>
    </row>
    <row r="125" spans="1:32" x14ac:dyDescent="0.35">
      <c r="A125">
        <f t="shared" si="124"/>
        <v>39</v>
      </c>
      <c r="B125" t="s">
        <v>53</v>
      </c>
      <c r="C125" t="s">
        <v>44</v>
      </c>
      <c r="D125">
        <v>25</v>
      </c>
      <c r="E125" t="s">
        <v>18</v>
      </c>
      <c r="F125">
        <v>500</v>
      </c>
      <c r="G125" s="14">
        <v>215000</v>
      </c>
      <c r="H125" s="15">
        <v>1412.67</v>
      </c>
      <c r="I125" s="14">
        <v>1828</v>
      </c>
      <c r="J125">
        <v>1</v>
      </c>
      <c r="K125">
        <v>0.23</v>
      </c>
      <c r="L125">
        <v>2.2000000000000002</v>
      </c>
      <c r="M125">
        <v>1.9E-3</v>
      </c>
      <c r="N125">
        <v>0.06</v>
      </c>
      <c r="O125">
        <v>1</v>
      </c>
      <c r="P125">
        <v>0</v>
      </c>
      <c r="Q125">
        <v>0</v>
      </c>
      <c r="R125">
        <v>1</v>
      </c>
      <c r="S125" s="14">
        <v>9.1649999999999992E-5</v>
      </c>
      <c r="T125">
        <v>0</v>
      </c>
      <c r="U125" s="10">
        <v>2</v>
      </c>
      <c r="V125">
        <v>94</v>
      </c>
      <c r="W125">
        <v>34</v>
      </c>
      <c r="X125" s="8">
        <v>0</v>
      </c>
      <c r="Y125" s="1">
        <v>94</v>
      </c>
      <c r="Z125" s="1">
        <v>34</v>
      </c>
      <c r="AA125" s="4">
        <v>0</v>
      </c>
      <c r="AB125" s="1">
        <v>94</v>
      </c>
      <c r="AC125" s="1">
        <v>34</v>
      </c>
      <c r="AD125" s="3">
        <v>177.9</v>
      </c>
      <c r="AE125" s="3"/>
      <c r="AF125">
        <v>128</v>
      </c>
    </row>
    <row r="126" spans="1:32" x14ac:dyDescent="0.35">
      <c r="A126">
        <f t="shared" si="124"/>
        <v>39</v>
      </c>
      <c r="B126" t="s">
        <v>53</v>
      </c>
      <c r="C126" t="s">
        <v>45</v>
      </c>
      <c r="D126">
        <v>25</v>
      </c>
      <c r="E126" t="s">
        <v>18</v>
      </c>
      <c r="F126">
        <v>500</v>
      </c>
      <c r="G126" s="14">
        <v>215000</v>
      </c>
      <c r="H126" s="15">
        <v>1412.67</v>
      </c>
      <c r="I126" s="14">
        <v>1828</v>
      </c>
      <c r="J126">
        <v>1</v>
      </c>
      <c r="K126">
        <v>0.215</v>
      </c>
      <c r="L126">
        <v>2.2000000000000002</v>
      </c>
      <c r="M126">
        <v>8.5000000000000006E-4</v>
      </c>
      <c r="N126">
        <v>0.03</v>
      </c>
      <c r="O126">
        <v>1</v>
      </c>
      <c r="P126">
        <v>0</v>
      </c>
      <c r="Q126">
        <v>0</v>
      </c>
      <c r="R126">
        <v>1</v>
      </c>
      <c r="S126" s="14">
        <v>9.1649999999999992E-5</v>
      </c>
      <c r="T126">
        <v>0</v>
      </c>
      <c r="U126" s="10">
        <v>3</v>
      </c>
      <c r="V126">
        <v>45</v>
      </c>
      <c r="W126">
        <v>18</v>
      </c>
      <c r="X126" s="8" t="s">
        <v>40</v>
      </c>
      <c r="Y126" s="1">
        <v>45</v>
      </c>
      <c r="Z126" s="1">
        <v>18</v>
      </c>
      <c r="AA126" s="4">
        <v>0</v>
      </c>
      <c r="AB126" s="1">
        <v>45</v>
      </c>
      <c r="AC126" s="1">
        <v>18</v>
      </c>
      <c r="AD126" s="3">
        <v>87.75</v>
      </c>
      <c r="AE126" s="3"/>
      <c r="AF126">
        <v>63</v>
      </c>
    </row>
    <row r="127" spans="1:32" x14ac:dyDescent="0.35">
      <c r="A127">
        <f t="shared" si="124"/>
        <v>39</v>
      </c>
      <c r="B127" t="s">
        <v>53</v>
      </c>
      <c r="C127" t="s">
        <v>46</v>
      </c>
      <c r="D127">
        <v>25</v>
      </c>
      <c r="E127" t="s">
        <v>18</v>
      </c>
      <c r="F127">
        <v>500</v>
      </c>
      <c r="G127" s="14">
        <v>215000</v>
      </c>
      <c r="H127" s="15">
        <v>1412.67</v>
      </c>
      <c r="I127" s="14">
        <v>1828</v>
      </c>
      <c r="J127">
        <v>1</v>
      </c>
      <c r="K127">
        <v>0.2</v>
      </c>
      <c r="L127">
        <v>2.2000000000000002</v>
      </c>
      <c r="M127">
        <v>2.6300000000000004E-3</v>
      </c>
      <c r="N127">
        <v>0.03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77.5</v>
      </c>
      <c r="W127">
        <v>32</v>
      </c>
      <c r="X127" s="8">
        <v>0</v>
      </c>
      <c r="Y127" s="1">
        <v>77.5</v>
      </c>
      <c r="Z127" s="1">
        <v>32</v>
      </c>
      <c r="AA127" s="4">
        <v>0</v>
      </c>
      <c r="AB127" s="1">
        <v>77.5</v>
      </c>
      <c r="AC127" s="1">
        <v>32</v>
      </c>
      <c r="AD127" s="3">
        <v>152.625</v>
      </c>
      <c r="AE127" s="3"/>
      <c r="AF127">
        <v>109.5</v>
      </c>
    </row>
    <row r="128" spans="1:32" x14ac:dyDescent="0.35">
      <c r="A128">
        <f t="shared" si="124"/>
        <v>39</v>
      </c>
      <c r="B128" t="s">
        <v>53</v>
      </c>
      <c r="C128" t="s">
        <v>47</v>
      </c>
      <c r="D128">
        <v>25</v>
      </c>
      <c r="E128" t="s">
        <v>18</v>
      </c>
      <c r="F128">
        <v>500</v>
      </c>
      <c r="G128" s="14">
        <v>215000</v>
      </c>
      <c r="H128" s="15">
        <v>1412.67</v>
      </c>
      <c r="I128" s="14">
        <v>1828</v>
      </c>
      <c r="J128">
        <v>1</v>
      </c>
      <c r="K128">
        <v>0.215</v>
      </c>
      <c r="L128">
        <v>2.2000000000000002</v>
      </c>
      <c r="M128">
        <v>2.7999999999999998E-4</v>
      </c>
      <c r="N128">
        <v>0.03</v>
      </c>
      <c r="O128">
        <v>1</v>
      </c>
      <c r="P128">
        <v>0</v>
      </c>
      <c r="Q128">
        <v>0</v>
      </c>
      <c r="R128">
        <v>1</v>
      </c>
      <c r="S128" s="14">
        <v>9.1649999999999992E-5</v>
      </c>
      <c r="T128">
        <v>0</v>
      </c>
      <c r="U128">
        <v>1</v>
      </c>
      <c r="V128">
        <v>0</v>
      </c>
      <c r="W128">
        <v>5</v>
      </c>
      <c r="X128" s="8" t="s">
        <v>40</v>
      </c>
      <c r="Y128" s="1">
        <v>0</v>
      </c>
      <c r="Z128" s="1">
        <v>5</v>
      </c>
      <c r="AA128" s="4">
        <v>0</v>
      </c>
      <c r="AB128" s="1">
        <v>0</v>
      </c>
      <c r="AC128" s="1">
        <v>5</v>
      </c>
      <c r="AD128" s="3">
        <v>7.5</v>
      </c>
      <c r="AE128" s="3"/>
      <c r="AF128">
        <v>5</v>
      </c>
    </row>
    <row r="129" spans="1:32" x14ac:dyDescent="0.35">
      <c r="A129">
        <f t="shared" si="124"/>
        <v>40</v>
      </c>
      <c r="B129" t="s">
        <v>42</v>
      </c>
      <c r="D129" s="5">
        <v>25</v>
      </c>
      <c r="E129" s="5" t="s">
        <v>18</v>
      </c>
      <c r="F129" s="5">
        <v>500</v>
      </c>
      <c r="G129" s="6">
        <v>220000</v>
      </c>
      <c r="H129" s="5">
        <v>1576</v>
      </c>
      <c r="I129" s="5">
        <v>1870</v>
      </c>
      <c r="J129" s="5">
        <v>1</v>
      </c>
      <c r="K129" s="5">
        <v>0.2</v>
      </c>
      <c r="L129" s="5">
        <v>2.2000000000000002</v>
      </c>
      <c r="M129" s="5">
        <v>1.0000000000000001E-5</v>
      </c>
      <c r="N129" s="5">
        <v>0.03</v>
      </c>
      <c r="O129" s="5">
        <v>1</v>
      </c>
      <c r="P129" s="5">
        <v>0</v>
      </c>
      <c r="Q129" s="5">
        <v>0</v>
      </c>
      <c r="R129" s="5">
        <v>1</v>
      </c>
      <c r="S129" s="5">
        <v>0</v>
      </c>
      <c r="T129" s="5">
        <v>0</v>
      </c>
      <c r="U129" s="5">
        <v>0</v>
      </c>
      <c r="V129" s="7">
        <v>0</v>
      </c>
      <c r="W129" s="7">
        <v>0</v>
      </c>
      <c r="X129" s="5"/>
      <c r="Y129" s="1">
        <f t="shared" ref="Y129" si="206">IFERROR(IF(ISNUMBER(SEARCH("Appui",C129)),V129+X129*V129,IF(A128&lt;A129,V129-X130*V130/2,IF(A129&lt;A130,V129-(X128*V128)/2,V129-(X130*V130+X128*V128)/2))),0)</f>
        <v>0</v>
      </c>
      <c r="Z129" s="1">
        <f t="shared" ref="Z129" si="207">IFERROR(IF(ISNUMBER(SEARCH("Appui",C129)),W129+X129*W129,IF(A128&lt;A129,W129-X130*W130/2,IF(A129&lt;A130,W129-(X128*W128)/2,W129-(X130*W130+X128*W128)/2))),0)</f>
        <v>0</v>
      </c>
      <c r="AA129" s="2"/>
      <c r="AB129" s="1">
        <f t="shared" ref="AB129" si="208">Y129*(1-AA129)</f>
        <v>0</v>
      </c>
      <c r="AC129" s="1">
        <f t="shared" ref="AC129" si="209">Y129*AA129 + Z129</f>
        <v>0</v>
      </c>
      <c r="AD129" s="3">
        <f t="shared" ref="AD129" si="210">1.35*Y129+1.5*Z129</f>
        <v>0</v>
      </c>
      <c r="AE129" s="3"/>
      <c r="AF129">
        <f t="shared" ref="AF129" si="211">AB129+AC129</f>
        <v>0</v>
      </c>
    </row>
    <row r="130" spans="1:32" x14ac:dyDescent="0.35">
      <c r="A130">
        <f t="shared" si="124"/>
        <v>41</v>
      </c>
      <c r="B130" t="s">
        <v>54</v>
      </c>
      <c r="C130" t="s">
        <v>43</v>
      </c>
      <c r="D130">
        <v>25</v>
      </c>
      <c r="E130" t="s">
        <v>18</v>
      </c>
      <c r="F130">
        <v>500</v>
      </c>
      <c r="G130" s="14">
        <v>215000</v>
      </c>
      <c r="H130" s="15">
        <v>1412.67</v>
      </c>
      <c r="I130" s="14">
        <v>1828</v>
      </c>
      <c r="J130">
        <v>1</v>
      </c>
      <c r="K130">
        <v>0.24</v>
      </c>
      <c r="L130">
        <v>5.3</v>
      </c>
      <c r="M130">
        <v>1.3621E-3</v>
      </c>
      <c r="N130">
        <v>0.04</v>
      </c>
      <c r="O130">
        <v>1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39.5</v>
      </c>
      <c r="W130">
        <v>23</v>
      </c>
      <c r="X130" s="8" t="s">
        <v>40</v>
      </c>
      <c r="Y130" s="1">
        <v>57.642499999999998</v>
      </c>
      <c r="Z130" s="1">
        <v>32.292500000000004</v>
      </c>
      <c r="AA130" s="4">
        <v>0</v>
      </c>
      <c r="AB130" s="1">
        <v>57.642499999999998</v>
      </c>
      <c r="AC130" s="1">
        <v>32.292500000000004</v>
      </c>
      <c r="AD130" s="3">
        <v>126.256125</v>
      </c>
      <c r="AE130" s="3"/>
      <c r="AF130">
        <v>89.935000000000002</v>
      </c>
    </row>
    <row r="131" spans="1:32" x14ac:dyDescent="0.35">
      <c r="A131">
        <f t="shared" si="124"/>
        <v>41</v>
      </c>
      <c r="B131" t="s">
        <v>54</v>
      </c>
      <c r="C131" t="s">
        <v>44</v>
      </c>
      <c r="D131">
        <v>25</v>
      </c>
      <c r="E131" t="s">
        <v>18</v>
      </c>
      <c r="F131">
        <v>500</v>
      </c>
      <c r="G131" s="14">
        <v>215000</v>
      </c>
      <c r="H131" s="15">
        <v>1412.67</v>
      </c>
      <c r="I131" s="14">
        <v>1828</v>
      </c>
      <c r="J131">
        <v>1</v>
      </c>
      <c r="K131">
        <v>0.23</v>
      </c>
      <c r="L131">
        <v>5.3</v>
      </c>
      <c r="M131">
        <v>1E-4</v>
      </c>
      <c r="N131">
        <v>6.9999999999999993E-2</v>
      </c>
      <c r="O131">
        <v>1</v>
      </c>
      <c r="P131">
        <v>0</v>
      </c>
      <c r="Q131">
        <v>0</v>
      </c>
      <c r="R131">
        <v>1</v>
      </c>
      <c r="S131" s="14">
        <v>9.1649999999999992E-5</v>
      </c>
      <c r="T131">
        <v>0</v>
      </c>
      <c r="U131" s="10">
        <v>4</v>
      </c>
      <c r="V131">
        <v>41</v>
      </c>
      <c r="W131">
        <v>21</v>
      </c>
      <c r="X131" s="8">
        <v>-0.88500000000000001</v>
      </c>
      <c r="Y131" s="1">
        <v>4.7149999999999963</v>
      </c>
      <c r="Z131" s="1">
        <v>2.4149999999999991</v>
      </c>
      <c r="AA131" s="4">
        <v>0</v>
      </c>
      <c r="AB131" s="1">
        <v>4.7149999999999963</v>
      </c>
      <c r="AC131" s="1">
        <v>2.4149999999999991</v>
      </c>
      <c r="AD131" s="3">
        <v>9.9877499999999948</v>
      </c>
      <c r="AE131" s="3"/>
      <c r="AF131">
        <v>7.1299999999999955</v>
      </c>
    </row>
    <row r="132" spans="1:32" x14ac:dyDescent="0.35">
      <c r="A132">
        <f t="shared" si="124"/>
        <v>41</v>
      </c>
      <c r="B132" t="s">
        <v>54</v>
      </c>
      <c r="C132" t="s">
        <v>45</v>
      </c>
      <c r="D132">
        <v>25</v>
      </c>
      <c r="E132" t="s">
        <v>18</v>
      </c>
      <c r="F132">
        <v>500</v>
      </c>
      <c r="G132" s="14">
        <v>215000</v>
      </c>
      <c r="H132" s="15">
        <v>1412.67</v>
      </c>
      <c r="I132" s="14">
        <v>1828</v>
      </c>
      <c r="J132">
        <v>1</v>
      </c>
      <c r="K132">
        <v>0.215</v>
      </c>
      <c r="L132">
        <v>5.3</v>
      </c>
      <c r="M132">
        <v>2.0400000000000001E-3</v>
      </c>
      <c r="N132">
        <v>0.04</v>
      </c>
      <c r="O132">
        <v>1</v>
      </c>
      <c r="P132">
        <v>0</v>
      </c>
      <c r="Q132">
        <v>0</v>
      </c>
      <c r="R132">
        <v>1</v>
      </c>
      <c r="S132" s="14">
        <v>9.1649999999999992E-5</v>
      </c>
      <c r="T132">
        <v>0</v>
      </c>
      <c r="U132">
        <v>4</v>
      </c>
      <c r="V132">
        <v>85</v>
      </c>
      <c r="W132">
        <v>36</v>
      </c>
      <c r="X132" s="8" t="s">
        <v>40</v>
      </c>
      <c r="Y132" s="1">
        <v>103.1425</v>
      </c>
      <c r="Z132" s="1">
        <v>45.292500000000004</v>
      </c>
      <c r="AA132" s="4">
        <v>0</v>
      </c>
      <c r="AB132" s="1">
        <v>103.1425</v>
      </c>
      <c r="AC132" s="1">
        <v>45.292500000000004</v>
      </c>
      <c r="AD132" s="3">
        <v>207.18112500000001</v>
      </c>
      <c r="AE132" s="3"/>
      <c r="AF132">
        <v>148.435</v>
      </c>
    </row>
    <row r="133" spans="1:32" x14ac:dyDescent="0.35">
      <c r="A133">
        <f t="shared" si="124"/>
        <v>41</v>
      </c>
      <c r="B133" t="s">
        <v>54</v>
      </c>
      <c r="C133" t="s">
        <v>46</v>
      </c>
      <c r="D133">
        <v>25</v>
      </c>
      <c r="E133" t="s">
        <v>18</v>
      </c>
      <c r="F133">
        <v>500</v>
      </c>
      <c r="G133" s="14">
        <v>215000</v>
      </c>
      <c r="H133" s="15">
        <v>1412.67</v>
      </c>
      <c r="I133" s="14">
        <v>1828</v>
      </c>
      <c r="J133">
        <v>1</v>
      </c>
      <c r="K133">
        <v>0.2</v>
      </c>
      <c r="L133">
        <v>5.3</v>
      </c>
      <c r="M133">
        <v>1E-4</v>
      </c>
      <c r="N133">
        <v>0.04</v>
      </c>
      <c r="O133">
        <v>1</v>
      </c>
      <c r="P133">
        <v>0</v>
      </c>
      <c r="Q133">
        <v>0</v>
      </c>
      <c r="R133">
        <v>1</v>
      </c>
      <c r="S133" s="14">
        <v>9.1649999999999992E-5</v>
      </c>
      <c r="T133">
        <v>0</v>
      </c>
      <c r="U133" s="10">
        <v>4</v>
      </c>
      <c r="V133">
        <v>47</v>
      </c>
      <c r="W133">
        <v>22</v>
      </c>
      <c r="X133" s="8">
        <v>0</v>
      </c>
      <c r="Y133" s="1">
        <v>47</v>
      </c>
      <c r="Z133" s="1">
        <v>22</v>
      </c>
      <c r="AA133" s="4">
        <v>0</v>
      </c>
      <c r="AB133" s="1">
        <v>47</v>
      </c>
      <c r="AC133" s="1">
        <v>22</v>
      </c>
      <c r="AD133" s="3">
        <v>96.45</v>
      </c>
      <c r="AE133" s="3"/>
      <c r="AF133">
        <v>69</v>
      </c>
    </row>
    <row r="134" spans="1:32" x14ac:dyDescent="0.35">
      <c r="A134">
        <f t="shared" si="124"/>
        <v>41</v>
      </c>
      <c r="B134" t="s">
        <v>54</v>
      </c>
      <c r="C134" t="s">
        <v>47</v>
      </c>
      <c r="D134">
        <v>25</v>
      </c>
      <c r="E134" t="s">
        <v>18</v>
      </c>
      <c r="F134">
        <v>500</v>
      </c>
      <c r="G134" s="14">
        <v>215000</v>
      </c>
      <c r="H134" s="15">
        <v>1412.67</v>
      </c>
      <c r="I134" s="14">
        <v>1828</v>
      </c>
      <c r="J134">
        <v>1</v>
      </c>
      <c r="K134">
        <v>0.215</v>
      </c>
      <c r="L134">
        <v>5.3</v>
      </c>
      <c r="M134">
        <v>6.7840000000000001E-4</v>
      </c>
      <c r="N134">
        <v>0.04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9</v>
      </c>
      <c r="X134" s="8" t="s">
        <v>40</v>
      </c>
      <c r="Y134" s="1">
        <v>0</v>
      </c>
      <c r="Z134" s="1">
        <v>9.9</v>
      </c>
      <c r="AA134" s="4">
        <v>0</v>
      </c>
      <c r="AB134" s="1">
        <v>0</v>
      </c>
      <c r="AC134" s="1">
        <v>9.9</v>
      </c>
      <c r="AD134" s="3">
        <v>14.850000000000001</v>
      </c>
      <c r="AE134" s="3"/>
      <c r="AF134">
        <v>9.9</v>
      </c>
    </row>
    <row r="135" spans="1:32" x14ac:dyDescent="0.35">
      <c r="A135">
        <f t="shared" si="124"/>
        <v>42</v>
      </c>
      <c r="B135" t="s">
        <v>42</v>
      </c>
      <c r="D135" s="5">
        <v>25</v>
      </c>
      <c r="E135" s="5" t="s">
        <v>18</v>
      </c>
      <c r="F135" s="5">
        <v>500</v>
      </c>
      <c r="G135" s="6">
        <v>220000</v>
      </c>
      <c r="H135" s="5">
        <v>1576</v>
      </c>
      <c r="I135" s="5">
        <v>1870</v>
      </c>
      <c r="J135" s="5">
        <v>1</v>
      </c>
      <c r="K135" s="5">
        <v>0.2</v>
      </c>
      <c r="L135" s="5">
        <v>2.2000000000000002</v>
      </c>
      <c r="M135" s="5">
        <v>1.0000000000000001E-5</v>
      </c>
      <c r="N135" s="5">
        <v>0.03</v>
      </c>
      <c r="O135" s="5">
        <v>1</v>
      </c>
      <c r="P135" s="5">
        <v>0</v>
      </c>
      <c r="Q135" s="5">
        <v>0</v>
      </c>
      <c r="R135" s="5">
        <v>1</v>
      </c>
      <c r="S135" s="5">
        <v>0</v>
      </c>
      <c r="T135" s="5">
        <v>0</v>
      </c>
      <c r="U135" s="5">
        <v>0</v>
      </c>
      <c r="V135" s="7">
        <v>0</v>
      </c>
      <c r="W135" s="7">
        <v>0</v>
      </c>
      <c r="X135" s="5"/>
      <c r="Y135" s="1">
        <f t="shared" ref="Y135" si="212">IFERROR(IF(ISNUMBER(SEARCH("Appui",C135)),V135+X135*V135,IF(A134&lt;A135,V135-X136*V136/2,IF(A135&lt;A136,V135-(X134*V134)/2,V135-(X136*V136+X134*V134)/2))),0)</f>
        <v>0</v>
      </c>
      <c r="Z135" s="1">
        <f t="shared" ref="Z135" si="213">IFERROR(IF(ISNUMBER(SEARCH("Appui",C135)),W135+X135*W135,IF(A134&lt;A135,W135-X136*W136/2,IF(A135&lt;A136,W135-(X134*W134)/2,W135-(X136*W136+X134*W134)/2))),0)</f>
        <v>0</v>
      </c>
      <c r="AA135" s="2"/>
      <c r="AB135" s="1">
        <f t="shared" ref="AB135" si="214">Y135*(1-AA135)</f>
        <v>0</v>
      </c>
      <c r="AC135" s="1">
        <f t="shared" ref="AC135" si="215">Y135*AA135 + Z135</f>
        <v>0</v>
      </c>
      <c r="AD135" s="3">
        <f t="shared" ref="AD135" si="216">1.35*Y135+1.5*Z135</f>
        <v>0</v>
      </c>
      <c r="AE135" s="3"/>
      <c r="AF135">
        <f t="shared" ref="AF135" si="217">AB135+AC135</f>
        <v>0</v>
      </c>
    </row>
    <row r="136" spans="1:32" x14ac:dyDescent="0.35">
      <c r="A136">
        <f t="shared" si="124"/>
        <v>43</v>
      </c>
      <c r="B136" t="s">
        <v>51</v>
      </c>
      <c r="C136" t="s">
        <v>43</v>
      </c>
      <c r="D136">
        <f>D124</f>
        <v>25</v>
      </c>
      <c r="E136" t="str">
        <f t="shared" ref="E136:K136" si="218">E124</f>
        <v>B</v>
      </c>
      <c r="F136">
        <f t="shared" si="218"/>
        <v>500</v>
      </c>
      <c r="G136" s="14">
        <v>215000</v>
      </c>
      <c r="H136" s="15">
        <v>1412.67</v>
      </c>
      <c r="I136" s="14">
        <v>1828</v>
      </c>
      <c r="J136">
        <f t="shared" si="218"/>
        <v>1</v>
      </c>
      <c r="K136">
        <f t="shared" si="218"/>
        <v>0.24</v>
      </c>
      <c r="L136">
        <f>L118/2+L124+L130/2</f>
        <v>7.5</v>
      </c>
      <c r="M136">
        <f>(M118*O118)/2+(M124*O124)+(M130*O130)/2</f>
        <v>1.9321E-3</v>
      </c>
      <c r="N136">
        <f>MAX(N118,N124,N130)</f>
        <v>0.04</v>
      </c>
      <c r="O136" s="9">
        <v>1</v>
      </c>
      <c r="P136">
        <f>(P118*R118)/2+(P124*R124)+(P130*R130)/2</f>
        <v>0</v>
      </c>
      <c r="Q136">
        <f>MAX(Q118,Q124,Q130)</f>
        <v>0</v>
      </c>
      <c r="R136" s="9">
        <v>1</v>
      </c>
      <c r="S136" s="14">
        <v>9.1649999999999992E-5</v>
      </c>
      <c r="T136">
        <f>MAX(T118,T124,T130)</f>
        <v>0</v>
      </c>
      <c r="U136" s="9">
        <f>U118/2+U124+U130/2</f>
        <v>1</v>
      </c>
      <c r="V136" s="9">
        <f>V118/2+V124+V130/2</f>
        <v>58.1</v>
      </c>
      <c r="W136" s="9">
        <f>W118/2+W124+W130/2</f>
        <v>33.35</v>
      </c>
      <c r="X136" s="8">
        <v>0</v>
      </c>
      <c r="Y136" s="9">
        <f>Y118/2+Y124+Y130/2</f>
        <v>78.083750000000009</v>
      </c>
      <c r="Z136" s="9">
        <f>Z118/2+Z124+Z130/2</f>
        <v>43.621250000000003</v>
      </c>
      <c r="AA136" s="2"/>
      <c r="AB136" s="9">
        <f>AB118/2+AB124+AB130/2</f>
        <v>78.083750000000009</v>
      </c>
      <c r="AC136" s="9">
        <f>AC118/2+AC124+AC130/2</f>
        <v>43.621250000000003</v>
      </c>
      <c r="AD136" s="3">
        <f>1.35*Y136+1.5*Z136</f>
        <v>170.84493750000001</v>
      </c>
      <c r="AE136" s="3"/>
      <c r="AF136" s="9">
        <f>AB136+AC136</f>
        <v>121.70500000000001</v>
      </c>
    </row>
    <row r="137" spans="1:32" x14ac:dyDescent="0.35">
      <c r="A137">
        <f t="shared" si="124"/>
        <v>43</v>
      </c>
      <c r="B137" t="s">
        <v>51</v>
      </c>
      <c r="C137" t="s">
        <v>44</v>
      </c>
      <c r="D137">
        <f t="shared" ref="D137:K137" si="219">D125</f>
        <v>25</v>
      </c>
      <c r="E137" t="str">
        <f t="shared" si="219"/>
        <v>B</v>
      </c>
      <c r="F137">
        <f t="shared" si="219"/>
        <v>500</v>
      </c>
      <c r="G137" s="14">
        <v>215000</v>
      </c>
      <c r="H137" s="15">
        <v>1412.67</v>
      </c>
      <c r="I137" s="14">
        <v>1828</v>
      </c>
      <c r="J137">
        <f t="shared" si="219"/>
        <v>1</v>
      </c>
      <c r="K137">
        <f t="shared" si="219"/>
        <v>0.23</v>
      </c>
      <c r="L137">
        <f t="shared" ref="L137:L140" si="220">L119/2+L125+L131/2</f>
        <v>7.5</v>
      </c>
      <c r="M137">
        <f t="shared" ref="M137:M140" si="221">(M119*O119)/2+(M125*O125)+(M131*O131)/2</f>
        <v>2.0011999999999999E-3</v>
      </c>
      <c r="N137">
        <f t="shared" ref="N137:N140" si="222">MAX(N119,N125,N131)</f>
        <v>6.9999999999999993E-2</v>
      </c>
      <c r="O137" s="9">
        <v>1</v>
      </c>
      <c r="P137">
        <f t="shared" ref="P137:P140" si="223">(P119*R119)/2+(P125*R125)+(P131*R131)/2</f>
        <v>0</v>
      </c>
      <c r="Q137">
        <f t="shared" ref="Q137:Q140" si="224">MAX(Q119,Q125,Q131)</f>
        <v>0</v>
      </c>
      <c r="R137" s="9">
        <v>1</v>
      </c>
      <c r="S137" s="14">
        <v>9.1649999999999992E-5</v>
      </c>
      <c r="T137">
        <f t="shared" ref="T137:T140" si="225">MAX(T119,T125,T131)</f>
        <v>0</v>
      </c>
      <c r="U137" s="9">
        <f t="shared" ref="U137:W137" si="226">U119/2+U125+U131/2</f>
        <v>6</v>
      </c>
      <c r="V137" s="9">
        <f t="shared" si="226"/>
        <v>138.75</v>
      </c>
      <c r="W137" s="9">
        <f t="shared" si="226"/>
        <v>57</v>
      </c>
      <c r="X137" s="8">
        <v>0</v>
      </c>
      <c r="Y137" s="9">
        <f t="shared" ref="Y137:Z137" si="227">Y119/2+Y125+Y131/2</f>
        <v>98.782499999999999</v>
      </c>
      <c r="Z137" s="9">
        <f t="shared" si="227"/>
        <v>36.457499999999996</v>
      </c>
      <c r="AA137" s="2"/>
      <c r="AB137" s="9">
        <f t="shared" ref="AB137:AC137" si="228">AB119/2+AB125+AB131/2</f>
        <v>98.782499999999999</v>
      </c>
      <c r="AC137" s="9">
        <f t="shared" si="228"/>
        <v>36.457499999999996</v>
      </c>
      <c r="AD137" s="3">
        <f t="shared" ref="AD137:AD141" si="229">1.35*Y137+1.5*Z137</f>
        <v>188.04262500000002</v>
      </c>
      <c r="AE137" s="3"/>
      <c r="AF137" s="9">
        <f t="shared" ref="AF137:AF141" si="230">AB137+AC137</f>
        <v>135.24</v>
      </c>
    </row>
    <row r="138" spans="1:32" x14ac:dyDescent="0.35">
      <c r="A138">
        <f t="shared" si="124"/>
        <v>43</v>
      </c>
      <c r="B138" t="s">
        <v>51</v>
      </c>
      <c r="C138" t="s">
        <v>45</v>
      </c>
      <c r="D138">
        <f t="shared" ref="D138:K138" si="231">D126</f>
        <v>25</v>
      </c>
      <c r="E138" t="str">
        <f t="shared" si="231"/>
        <v>B</v>
      </c>
      <c r="F138">
        <f t="shared" si="231"/>
        <v>500</v>
      </c>
      <c r="G138" s="14">
        <v>215000</v>
      </c>
      <c r="H138" s="15">
        <v>1412.67</v>
      </c>
      <c r="I138" s="14">
        <v>1828</v>
      </c>
      <c r="J138">
        <f t="shared" si="231"/>
        <v>1</v>
      </c>
      <c r="K138">
        <f t="shared" si="231"/>
        <v>0.215</v>
      </c>
      <c r="L138">
        <f t="shared" si="220"/>
        <v>7.5</v>
      </c>
      <c r="M138">
        <f t="shared" si="221"/>
        <v>2.8900000000000002E-3</v>
      </c>
      <c r="N138">
        <f t="shared" si="222"/>
        <v>0.04</v>
      </c>
      <c r="O138" s="9">
        <v>1</v>
      </c>
      <c r="P138">
        <f t="shared" si="223"/>
        <v>0</v>
      </c>
      <c r="Q138">
        <f t="shared" si="224"/>
        <v>0</v>
      </c>
      <c r="R138" s="9">
        <v>1</v>
      </c>
      <c r="S138" s="14">
        <v>9.1649999999999992E-5</v>
      </c>
      <c r="T138">
        <f t="shared" si="225"/>
        <v>0</v>
      </c>
      <c r="U138" s="9">
        <f t="shared" ref="U138:W139" si="232">U120/2+U126+U132/2</f>
        <v>7</v>
      </c>
      <c r="V138" s="9">
        <f>V120/2+V126+V132/2</f>
        <v>132.65</v>
      </c>
      <c r="W138" s="9">
        <f t="shared" si="232"/>
        <v>55.25</v>
      </c>
      <c r="X138" s="8">
        <v>0</v>
      </c>
      <c r="Y138" s="9">
        <f t="shared" ref="Y138:Z138" si="233">Y120/2+Y126+Y132/2</f>
        <v>162.63874999999999</v>
      </c>
      <c r="Z138" s="9">
        <f t="shared" si="233"/>
        <v>70.958750000000009</v>
      </c>
      <c r="AA138" s="2"/>
      <c r="AB138" s="9">
        <f t="shared" ref="AB138:AC138" si="234">AB120/2+AB126+AB132/2</f>
        <v>162.63874999999999</v>
      </c>
      <c r="AC138" s="9">
        <f t="shared" si="234"/>
        <v>70.958750000000009</v>
      </c>
      <c r="AD138" s="3">
        <f t="shared" si="229"/>
        <v>326.00043749999998</v>
      </c>
      <c r="AE138" s="3"/>
      <c r="AF138" s="9">
        <f t="shared" si="230"/>
        <v>233.5975</v>
      </c>
    </row>
    <row r="139" spans="1:32" x14ac:dyDescent="0.35">
      <c r="A139">
        <f t="shared" si="124"/>
        <v>43</v>
      </c>
      <c r="B139" t="s">
        <v>51</v>
      </c>
      <c r="C139" t="s">
        <v>46</v>
      </c>
      <c r="D139">
        <f t="shared" ref="D139:K139" si="235">D127</f>
        <v>25</v>
      </c>
      <c r="E139" t="str">
        <f t="shared" si="235"/>
        <v>B</v>
      </c>
      <c r="F139">
        <f t="shared" si="235"/>
        <v>500</v>
      </c>
      <c r="G139" s="14">
        <v>215000</v>
      </c>
      <c r="H139" s="15">
        <v>1412.67</v>
      </c>
      <c r="I139" s="14">
        <v>1828</v>
      </c>
      <c r="J139">
        <f t="shared" si="235"/>
        <v>1</v>
      </c>
      <c r="K139">
        <f t="shared" si="235"/>
        <v>0.2</v>
      </c>
      <c r="L139">
        <f t="shared" si="220"/>
        <v>7.5</v>
      </c>
      <c r="M139">
        <f t="shared" si="221"/>
        <v>2.7472000000000004E-3</v>
      </c>
      <c r="N139">
        <f t="shared" si="222"/>
        <v>0.04</v>
      </c>
      <c r="O139" s="9">
        <v>1</v>
      </c>
      <c r="P139">
        <f t="shared" si="223"/>
        <v>0</v>
      </c>
      <c r="Q139">
        <f t="shared" si="224"/>
        <v>0</v>
      </c>
      <c r="R139" s="9">
        <v>1</v>
      </c>
      <c r="S139" s="14">
        <v>9.1649999999999992E-5</v>
      </c>
      <c r="T139">
        <f t="shared" si="225"/>
        <v>0</v>
      </c>
      <c r="U139" s="9">
        <f t="shared" si="232"/>
        <v>4</v>
      </c>
      <c r="V139" s="9">
        <f t="shared" si="232"/>
        <v>124</v>
      </c>
      <c r="W139" s="9">
        <f t="shared" si="232"/>
        <v>55.5</v>
      </c>
      <c r="X139" s="8">
        <v>0</v>
      </c>
      <c r="Y139" s="9">
        <f t="shared" ref="Y139:Z139" si="236">Y121/2+Y127+Y133/2</f>
        <v>103.99</v>
      </c>
      <c r="Z139" s="9">
        <f t="shared" si="236"/>
        <v>44.625</v>
      </c>
      <c r="AA139" s="2"/>
      <c r="AB139" s="9">
        <f t="shared" ref="AB139:AC139" si="237">AB121/2+AB127+AB133/2</f>
        <v>103.99</v>
      </c>
      <c r="AC139" s="9">
        <f t="shared" si="237"/>
        <v>44.625</v>
      </c>
      <c r="AD139" s="3">
        <f t="shared" si="229"/>
        <v>207.32400000000001</v>
      </c>
      <c r="AE139" s="3"/>
      <c r="AF139" s="9">
        <f t="shared" si="230"/>
        <v>148.61500000000001</v>
      </c>
    </row>
    <row r="140" spans="1:32" x14ac:dyDescent="0.35">
      <c r="A140">
        <f t="shared" si="124"/>
        <v>43</v>
      </c>
      <c r="B140" t="s">
        <v>51</v>
      </c>
      <c r="C140" t="s">
        <v>47</v>
      </c>
      <c r="D140">
        <f t="shared" ref="D140:K140" si="238">D128</f>
        <v>25</v>
      </c>
      <c r="E140" t="str">
        <f t="shared" si="238"/>
        <v>B</v>
      </c>
      <c r="F140">
        <f t="shared" si="238"/>
        <v>500</v>
      </c>
      <c r="G140" s="14">
        <v>215000</v>
      </c>
      <c r="H140" s="15">
        <v>1412.67</v>
      </c>
      <c r="I140" s="14">
        <v>1828</v>
      </c>
      <c r="J140">
        <f t="shared" si="238"/>
        <v>1</v>
      </c>
      <c r="K140">
        <f t="shared" si="238"/>
        <v>0.215</v>
      </c>
      <c r="L140">
        <f t="shared" si="220"/>
        <v>7.5</v>
      </c>
      <c r="M140">
        <f t="shared" si="221"/>
        <v>9.5839999999999999E-4</v>
      </c>
      <c r="N140">
        <f t="shared" si="222"/>
        <v>0.04</v>
      </c>
      <c r="O140" s="9">
        <v>1</v>
      </c>
      <c r="P140">
        <f t="shared" si="223"/>
        <v>0</v>
      </c>
      <c r="Q140">
        <f t="shared" si="224"/>
        <v>0</v>
      </c>
      <c r="R140" s="9">
        <v>1</v>
      </c>
      <c r="S140" s="14">
        <v>9.1649999999999992E-5</v>
      </c>
      <c r="T140">
        <f t="shared" si="225"/>
        <v>0</v>
      </c>
      <c r="U140" s="9">
        <f t="shared" ref="U140:W140" si="239">U122/2+U128+U134/2</f>
        <v>1</v>
      </c>
      <c r="V140" s="9">
        <f t="shared" si="239"/>
        <v>0</v>
      </c>
      <c r="W140" s="9">
        <f t="shared" si="239"/>
        <v>17</v>
      </c>
      <c r="X140" s="8">
        <v>0</v>
      </c>
      <c r="Y140" s="9">
        <f t="shared" ref="Y140:Z140" si="240">Y122/2+Y128+Y134/2</f>
        <v>10.005000000000001</v>
      </c>
      <c r="Z140" s="9">
        <f t="shared" si="240"/>
        <v>23.487500000000001</v>
      </c>
      <c r="AA140" s="2"/>
      <c r="AB140" s="9">
        <f t="shared" ref="AB140:AC140" si="241">AB122/2+AB128+AB134/2</f>
        <v>10.005000000000001</v>
      </c>
      <c r="AC140" s="9">
        <f t="shared" si="241"/>
        <v>23.487500000000001</v>
      </c>
      <c r="AD140" s="3">
        <f t="shared" si="229"/>
        <v>48.738000000000007</v>
      </c>
      <c r="AE140" s="3"/>
      <c r="AF140" s="9">
        <f t="shared" si="230"/>
        <v>33.4925</v>
      </c>
    </row>
    <row r="141" spans="1:32" x14ac:dyDescent="0.35">
      <c r="A141">
        <f t="shared" si="124"/>
        <v>44</v>
      </c>
      <c r="B141" t="s">
        <v>42</v>
      </c>
      <c r="D141" s="5">
        <v>25</v>
      </c>
      <c r="E141" s="5" t="s">
        <v>18</v>
      </c>
      <c r="F141" s="5">
        <v>500</v>
      </c>
      <c r="G141" s="6">
        <v>220000</v>
      </c>
      <c r="H141" s="5">
        <v>1576</v>
      </c>
      <c r="I141" s="5">
        <v>1870</v>
      </c>
      <c r="J141" s="5">
        <v>1</v>
      </c>
      <c r="K141" s="5">
        <v>0.2</v>
      </c>
      <c r="L141" s="5">
        <v>2.2000000000000002</v>
      </c>
      <c r="M141" s="5">
        <v>1.0000000000000001E-5</v>
      </c>
      <c r="N141" s="5">
        <v>0.03</v>
      </c>
      <c r="O141" s="5">
        <v>1</v>
      </c>
      <c r="P141" s="5">
        <v>0</v>
      </c>
      <c r="Q141" s="5">
        <v>0</v>
      </c>
      <c r="R141" s="5">
        <v>1</v>
      </c>
      <c r="S141" s="5">
        <v>0</v>
      </c>
      <c r="T141" s="5">
        <v>0</v>
      </c>
      <c r="U141" s="5">
        <v>0</v>
      </c>
      <c r="V141" s="7">
        <v>0</v>
      </c>
      <c r="W141" s="7">
        <v>0</v>
      </c>
      <c r="X141" s="5"/>
      <c r="Y141" s="1">
        <f>IFERROR(IF(ISNUMBER(SEARCH("Appui",C141)),V141+X141*V141,IF(A140&lt;A141,V141-X142*V142/2,IF(A141&lt;A142,V141-(X140*V140)/2,V141-(X142*V142+X140*V140)/2))),0)</f>
        <v>0</v>
      </c>
      <c r="Z141" s="1">
        <f>IFERROR(IF(ISNUMBER(SEARCH("Appui",C141)),W141+X141*W141,IF(A140&lt;A141,W141-X142*W142/2,IF(A141&lt;A142,W141-(X140*W140)/2,W141-(X142*W142+X140*W140)/2))),0)</f>
        <v>0</v>
      </c>
      <c r="AA141" s="2"/>
      <c r="AB141" s="1">
        <f t="shared" ref="AB141" si="242">Y141*(1-AA141)</f>
        <v>0</v>
      </c>
      <c r="AC141" s="1">
        <f t="shared" ref="AC141" si="243">Y141*AA141 + Z141</f>
        <v>0</v>
      </c>
      <c r="AD141" s="3">
        <f t="shared" si="229"/>
        <v>0</v>
      </c>
      <c r="AE141" s="3"/>
      <c r="AF141">
        <f t="shared" si="230"/>
        <v>0</v>
      </c>
    </row>
    <row r="142" spans="1:32" x14ac:dyDescent="0.35">
      <c r="A142">
        <f t="shared" si="124"/>
        <v>45</v>
      </c>
      <c r="B142" t="s">
        <v>54</v>
      </c>
      <c r="C142" t="s">
        <v>43</v>
      </c>
      <c r="D142">
        <v>25</v>
      </c>
      <c r="E142" t="s">
        <v>18</v>
      </c>
      <c r="F142">
        <v>500</v>
      </c>
      <c r="G142" s="14">
        <v>215000</v>
      </c>
      <c r="H142" s="15">
        <v>1412.67</v>
      </c>
      <c r="I142" s="14">
        <v>1828</v>
      </c>
      <c r="J142">
        <v>1</v>
      </c>
      <c r="K142">
        <v>0.24</v>
      </c>
      <c r="L142">
        <v>5.3</v>
      </c>
      <c r="M142">
        <v>1.3621E-3</v>
      </c>
      <c r="N142">
        <v>0.04</v>
      </c>
      <c r="O142">
        <v>1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39.5</v>
      </c>
      <c r="W142">
        <v>23</v>
      </c>
      <c r="X142" s="8" t="s">
        <v>40</v>
      </c>
      <c r="Y142" s="1">
        <v>57.642499999999998</v>
      </c>
      <c r="Z142" s="1">
        <v>32.292500000000004</v>
      </c>
      <c r="AA142" s="4">
        <v>0</v>
      </c>
      <c r="AB142" s="1">
        <v>57.642499999999998</v>
      </c>
      <c r="AC142" s="1">
        <v>32.292500000000004</v>
      </c>
      <c r="AD142" s="3">
        <v>126.256125</v>
      </c>
      <c r="AE142" s="3"/>
      <c r="AF142">
        <v>89.935000000000002</v>
      </c>
    </row>
    <row r="143" spans="1:32" x14ac:dyDescent="0.35">
      <c r="A143">
        <f t="shared" si="124"/>
        <v>45</v>
      </c>
      <c r="B143" t="s">
        <v>54</v>
      </c>
      <c r="C143" t="s">
        <v>44</v>
      </c>
      <c r="D143">
        <v>25</v>
      </c>
      <c r="E143" t="s">
        <v>18</v>
      </c>
      <c r="F143">
        <v>500</v>
      </c>
      <c r="G143" s="14">
        <v>215000</v>
      </c>
      <c r="H143" s="15">
        <v>1412.67</v>
      </c>
      <c r="I143" s="14">
        <v>1828</v>
      </c>
      <c r="J143">
        <v>1</v>
      </c>
      <c r="K143">
        <v>0.23</v>
      </c>
      <c r="L143">
        <v>5.3</v>
      </c>
      <c r="M143">
        <v>1E-4</v>
      </c>
      <c r="N143">
        <v>6.9999999999999993E-2</v>
      </c>
      <c r="O143">
        <v>1</v>
      </c>
      <c r="P143">
        <v>0</v>
      </c>
      <c r="Q143">
        <v>0</v>
      </c>
      <c r="R143">
        <v>1</v>
      </c>
      <c r="S143" s="14">
        <v>9.1649999999999992E-5</v>
      </c>
      <c r="T143">
        <v>0</v>
      </c>
      <c r="U143" s="10">
        <v>4</v>
      </c>
      <c r="V143">
        <v>41</v>
      </c>
      <c r="W143">
        <v>21</v>
      </c>
      <c r="X143" s="8">
        <v>-0.88500000000000001</v>
      </c>
      <c r="Y143" s="1">
        <v>4.7149999999999963</v>
      </c>
      <c r="Z143" s="1">
        <v>2.4149999999999991</v>
      </c>
      <c r="AA143" s="4">
        <v>0</v>
      </c>
      <c r="AB143" s="1">
        <v>4.7149999999999963</v>
      </c>
      <c r="AC143" s="1">
        <v>2.4149999999999991</v>
      </c>
      <c r="AD143" s="3">
        <v>9.9877499999999948</v>
      </c>
      <c r="AE143" s="3"/>
      <c r="AF143">
        <v>7.1299999999999955</v>
      </c>
    </row>
    <row r="144" spans="1:32" x14ac:dyDescent="0.35">
      <c r="A144">
        <f t="shared" si="124"/>
        <v>45</v>
      </c>
      <c r="B144" t="s">
        <v>54</v>
      </c>
      <c r="C144" t="s">
        <v>45</v>
      </c>
      <c r="D144">
        <v>25</v>
      </c>
      <c r="E144" t="s">
        <v>18</v>
      </c>
      <c r="F144">
        <v>500</v>
      </c>
      <c r="G144" s="14">
        <v>215000</v>
      </c>
      <c r="H144" s="15">
        <v>1412.67</v>
      </c>
      <c r="I144" s="14">
        <v>1828</v>
      </c>
      <c r="J144">
        <v>1</v>
      </c>
      <c r="K144">
        <v>0.215</v>
      </c>
      <c r="L144">
        <v>5.3</v>
      </c>
      <c r="M144">
        <v>2.0400000000000001E-3</v>
      </c>
      <c r="N144">
        <v>0.04</v>
      </c>
      <c r="O144">
        <v>1</v>
      </c>
      <c r="P144">
        <v>0</v>
      </c>
      <c r="Q144">
        <v>0</v>
      </c>
      <c r="R144">
        <v>1</v>
      </c>
      <c r="S144" s="14">
        <v>9.1649999999999992E-5</v>
      </c>
      <c r="T144">
        <v>0</v>
      </c>
      <c r="U144">
        <v>4</v>
      </c>
      <c r="V144">
        <v>85</v>
      </c>
      <c r="W144">
        <v>36</v>
      </c>
      <c r="X144" s="8" t="s">
        <v>40</v>
      </c>
      <c r="Y144" s="1">
        <v>103.1425</v>
      </c>
      <c r="Z144" s="1">
        <v>45.292500000000004</v>
      </c>
      <c r="AA144" s="4">
        <v>0</v>
      </c>
      <c r="AB144" s="1">
        <v>103.1425</v>
      </c>
      <c r="AC144" s="1">
        <v>45.292500000000004</v>
      </c>
      <c r="AD144" s="3">
        <v>207.18112500000001</v>
      </c>
      <c r="AE144" s="3"/>
      <c r="AF144">
        <v>148.435</v>
      </c>
    </row>
    <row r="145" spans="1:32" x14ac:dyDescent="0.35">
      <c r="A145">
        <f t="shared" si="124"/>
        <v>45</v>
      </c>
      <c r="B145" t="s">
        <v>54</v>
      </c>
      <c r="C145" t="s">
        <v>46</v>
      </c>
      <c r="D145">
        <v>25</v>
      </c>
      <c r="E145" t="s">
        <v>18</v>
      </c>
      <c r="F145">
        <v>500</v>
      </c>
      <c r="G145" s="14">
        <v>215000</v>
      </c>
      <c r="H145" s="15">
        <v>1412.67</v>
      </c>
      <c r="I145" s="14">
        <v>1828</v>
      </c>
      <c r="J145">
        <v>1</v>
      </c>
      <c r="K145">
        <v>0.2</v>
      </c>
      <c r="L145">
        <v>5.3</v>
      </c>
      <c r="M145">
        <v>1E-4</v>
      </c>
      <c r="N145">
        <v>0.04</v>
      </c>
      <c r="O145">
        <v>1</v>
      </c>
      <c r="P145">
        <v>0</v>
      </c>
      <c r="Q145">
        <v>0</v>
      </c>
      <c r="R145">
        <v>1</v>
      </c>
      <c r="S145" s="14">
        <v>9.1649999999999992E-5</v>
      </c>
      <c r="T145">
        <v>0</v>
      </c>
      <c r="U145" s="10">
        <v>4</v>
      </c>
      <c r="V145">
        <v>47</v>
      </c>
      <c r="W145">
        <v>22</v>
      </c>
      <c r="X145" s="8">
        <v>0</v>
      </c>
      <c r="Y145" s="1">
        <v>47</v>
      </c>
      <c r="Z145" s="1">
        <v>22</v>
      </c>
      <c r="AA145" s="4">
        <v>0</v>
      </c>
      <c r="AB145" s="1">
        <v>47</v>
      </c>
      <c r="AC145" s="1">
        <v>22</v>
      </c>
      <c r="AD145" s="3">
        <v>96.45</v>
      </c>
      <c r="AE145" s="3"/>
      <c r="AF145">
        <v>69</v>
      </c>
    </row>
    <row r="146" spans="1:32" x14ac:dyDescent="0.35">
      <c r="A146">
        <f t="shared" si="124"/>
        <v>45</v>
      </c>
      <c r="B146" t="s">
        <v>54</v>
      </c>
      <c r="C146" t="s">
        <v>47</v>
      </c>
      <c r="D146">
        <v>25</v>
      </c>
      <c r="E146" t="s">
        <v>18</v>
      </c>
      <c r="F146">
        <v>500</v>
      </c>
      <c r="G146" s="14">
        <v>215000</v>
      </c>
      <c r="H146" s="15">
        <v>1412.67</v>
      </c>
      <c r="I146" s="14">
        <v>1828</v>
      </c>
      <c r="J146">
        <v>1</v>
      </c>
      <c r="K146">
        <v>0.215</v>
      </c>
      <c r="L146">
        <v>5.3</v>
      </c>
      <c r="M146">
        <v>6.7840000000000001E-4</v>
      </c>
      <c r="N146">
        <v>0.04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9</v>
      </c>
      <c r="X146" s="8" t="s">
        <v>40</v>
      </c>
      <c r="Y146" s="1">
        <v>0</v>
      </c>
      <c r="Z146" s="1">
        <v>9.9</v>
      </c>
      <c r="AA146" s="4">
        <v>0</v>
      </c>
      <c r="AB146" s="1">
        <v>0</v>
      </c>
      <c r="AC146" s="1">
        <v>9.9</v>
      </c>
      <c r="AD146" s="3">
        <v>14.850000000000001</v>
      </c>
      <c r="AE146" s="3"/>
      <c r="AF146">
        <v>9.9</v>
      </c>
    </row>
    <row r="147" spans="1:32" x14ac:dyDescent="0.35">
      <c r="A147">
        <f t="shared" si="124"/>
        <v>46</v>
      </c>
      <c r="B147" t="s">
        <v>42</v>
      </c>
      <c r="D147" s="5">
        <v>25</v>
      </c>
      <c r="E147" s="5" t="s">
        <v>18</v>
      </c>
      <c r="F147" s="5">
        <v>500</v>
      </c>
      <c r="G147" s="6">
        <v>220000</v>
      </c>
      <c r="H147" s="5">
        <v>1576</v>
      </c>
      <c r="I147" s="5">
        <v>1870</v>
      </c>
      <c r="J147" s="5">
        <v>1</v>
      </c>
      <c r="K147" s="5">
        <v>0.2</v>
      </c>
      <c r="L147" s="5">
        <v>2.2000000000000002</v>
      </c>
      <c r="M147" s="5">
        <v>1.0000000000000001E-5</v>
      </c>
      <c r="N147" s="5">
        <v>0.03</v>
      </c>
      <c r="O147" s="5">
        <v>1</v>
      </c>
      <c r="P147" s="5">
        <v>0</v>
      </c>
      <c r="Q147" s="5">
        <v>0</v>
      </c>
      <c r="R147" s="5">
        <v>1</v>
      </c>
      <c r="S147" s="5">
        <v>0</v>
      </c>
      <c r="T147" s="5">
        <v>0</v>
      </c>
      <c r="U147" s="5">
        <v>0</v>
      </c>
      <c r="V147" s="7">
        <v>0</v>
      </c>
      <c r="W147" s="7">
        <v>0</v>
      </c>
      <c r="X147" s="5"/>
      <c r="Y147" s="1">
        <f t="shared" ref="Y147" si="244">IFERROR(IF(ISNUMBER(SEARCH("Appui",C147)),V147+X147*V147,IF(A146&lt;A147,V147-X148*V148/2,IF(A147&lt;A148,V147-(X146*V146)/2,V147-(X148*V148+X146*V146)/2))),0)</f>
        <v>0</v>
      </c>
      <c r="Z147" s="1">
        <f t="shared" ref="Z147" si="245">IFERROR(IF(ISNUMBER(SEARCH("Appui",C147)),W147+X147*W147,IF(A146&lt;A147,W147-X148*W148/2,IF(A147&lt;A148,W147-(X146*W146)/2,W147-(X148*W148+X146*W146)/2))),0)</f>
        <v>0</v>
      </c>
      <c r="AA147" s="2"/>
      <c r="AB147" s="1">
        <f t="shared" ref="AB147" si="246">Y147*(1-AA147)</f>
        <v>0</v>
      </c>
      <c r="AC147" s="1">
        <f t="shared" ref="AC147" si="247">Y147*AA147 + Z147</f>
        <v>0</v>
      </c>
      <c r="AD147" s="3">
        <f t="shared" ref="AD147" si="248">1.35*Y147+1.5*Z147</f>
        <v>0</v>
      </c>
      <c r="AE147" s="3"/>
      <c r="AF147">
        <f t="shared" ref="AF147" si="249">AB147+AC147</f>
        <v>0</v>
      </c>
    </row>
    <row r="148" spans="1:32" x14ac:dyDescent="0.35">
      <c r="A148">
        <f t="shared" si="124"/>
        <v>47</v>
      </c>
      <c r="B148" t="s">
        <v>55</v>
      </c>
      <c r="C148" t="s">
        <v>43</v>
      </c>
      <c r="D148">
        <v>25</v>
      </c>
      <c r="E148" t="s">
        <v>18</v>
      </c>
      <c r="F148">
        <v>500</v>
      </c>
      <c r="G148" s="14">
        <v>215000</v>
      </c>
      <c r="H148" s="15">
        <v>1412.67</v>
      </c>
      <c r="I148" s="14">
        <v>1828</v>
      </c>
      <c r="J148">
        <v>1</v>
      </c>
      <c r="K148">
        <v>0.24</v>
      </c>
      <c r="L148">
        <v>2.2000000000000002</v>
      </c>
      <c r="M148">
        <v>5.7000000000000009E-4</v>
      </c>
      <c r="N148">
        <v>0.03</v>
      </c>
      <c r="O148">
        <v>1</v>
      </c>
      <c r="P148">
        <v>0</v>
      </c>
      <c r="Q148">
        <v>0</v>
      </c>
      <c r="R148">
        <v>1</v>
      </c>
      <c r="S148" s="14">
        <v>9.1649999999999992E-5</v>
      </c>
      <c r="T148">
        <v>0</v>
      </c>
      <c r="U148">
        <v>1</v>
      </c>
      <c r="V148">
        <v>22</v>
      </c>
      <c r="W148">
        <v>10</v>
      </c>
      <c r="X148" s="8" t="s">
        <v>40</v>
      </c>
      <c r="Y148" s="1">
        <v>22</v>
      </c>
      <c r="Z148" s="1">
        <v>10</v>
      </c>
      <c r="AA148" s="4">
        <v>0</v>
      </c>
      <c r="AB148" s="1">
        <v>22</v>
      </c>
      <c r="AC148" s="1">
        <v>10</v>
      </c>
      <c r="AD148" s="3">
        <v>44.7</v>
      </c>
      <c r="AE148" s="3"/>
      <c r="AF148">
        <v>32</v>
      </c>
    </row>
    <row r="149" spans="1:32" x14ac:dyDescent="0.35">
      <c r="A149">
        <f t="shared" si="124"/>
        <v>47</v>
      </c>
      <c r="B149" t="s">
        <v>55</v>
      </c>
      <c r="C149" t="s">
        <v>44</v>
      </c>
      <c r="D149">
        <v>25</v>
      </c>
      <c r="E149" t="s">
        <v>18</v>
      </c>
      <c r="F149">
        <v>500</v>
      </c>
      <c r="G149" s="14">
        <v>215000</v>
      </c>
      <c r="H149" s="15">
        <v>1412.67</v>
      </c>
      <c r="I149" s="14">
        <v>1828</v>
      </c>
      <c r="J149">
        <v>1</v>
      </c>
      <c r="K149">
        <v>0.23</v>
      </c>
      <c r="L149">
        <v>2.2000000000000002</v>
      </c>
      <c r="M149">
        <v>1.9E-3</v>
      </c>
      <c r="N149">
        <v>0.06</v>
      </c>
      <c r="O149">
        <v>1</v>
      </c>
      <c r="P149">
        <v>0</v>
      </c>
      <c r="Q149">
        <v>0</v>
      </c>
      <c r="R149">
        <v>1</v>
      </c>
      <c r="S149" s="14">
        <v>9.1649999999999992E-5</v>
      </c>
      <c r="T149">
        <v>0</v>
      </c>
      <c r="U149" s="10">
        <v>2</v>
      </c>
      <c r="V149">
        <v>78.5</v>
      </c>
      <c r="W149">
        <v>27.5</v>
      </c>
      <c r="X149" s="8">
        <v>0</v>
      </c>
      <c r="Y149" s="1">
        <v>78.5</v>
      </c>
      <c r="Z149" s="1">
        <v>27.5</v>
      </c>
      <c r="AA149" s="4">
        <v>0</v>
      </c>
      <c r="AB149" s="1">
        <v>78.5</v>
      </c>
      <c r="AC149" s="1">
        <v>27.5</v>
      </c>
      <c r="AD149" s="3">
        <v>147.22500000000002</v>
      </c>
      <c r="AE149" s="3"/>
      <c r="AF149">
        <v>106</v>
      </c>
    </row>
    <row r="150" spans="1:32" x14ac:dyDescent="0.35">
      <c r="A150">
        <f t="shared" si="124"/>
        <v>47</v>
      </c>
      <c r="B150" t="s">
        <v>55</v>
      </c>
      <c r="C150" t="s">
        <v>45</v>
      </c>
      <c r="D150">
        <v>25</v>
      </c>
      <c r="E150" t="s">
        <v>18</v>
      </c>
      <c r="F150">
        <v>500</v>
      </c>
      <c r="G150" s="14">
        <v>215000</v>
      </c>
      <c r="H150" s="15">
        <v>1412.67</v>
      </c>
      <c r="I150" s="14">
        <v>1828</v>
      </c>
      <c r="J150">
        <v>1</v>
      </c>
      <c r="K150">
        <v>0.215</v>
      </c>
      <c r="L150">
        <v>2.2000000000000002</v>
      </c>
      <c r="M150">
        <v>8.470000000000001E-4</v>
      </c>
      <c r="N150">
        <v>4.4999999999999998E-2</v>
      </c>
      <c r="O150">
        <v>1</v>
      </c>
      <c r="P150">
        <v>0</v>
      </c>
      <c r="Q150">
        <v>0</v>
      </c>
      <c r="R150">
        <v>1</v>
      </c>
      <c r="S150" s="14">
        <v>9.1649999999999992E-5</v>
      </c>
      <c r="T150">
        <v>0</v>
      </c>
      <c r="U150" s="10">
        <v>3</v>
      </c>
      <c r="V150">
        <v>35.5</v>
      </c>
      <c r="W150">
        <v>14</v>
      </c>
      <c r="X150" s="8" t="s">
        <v>40</v>
      </c>
      <c r="Y150" s="1">
        <v>35.5</v>
      </c>
      <c r="Z150" s="1">
        <v>14</v>
      </c>
      <c r="AA150" s="4">
        <v>0</v>
      </c>
      <c r="AB150" s="1">
        <v>35.5</v>
      </c>
      <c r="AC150" s="1">
        <v>14</v>
      </c>
      <c r="AD150" s="3">
        <v>68.925000000000011</v>
      </c>
      <c r="AE150" s="3"/>
      <c r="AF150">
        <v>49.5</v>
      </c>
    </row>
    <row r="151" spans="1:32" x14ac:dyDescent="0.35">
      <c r="A151">
        <f t="shared" si="124"/>
        <v>48</v>
      </c>
      <c r="B151" t="s">
        <v>42</v>
      </c>
      <c r="D151" s="5">
        <v>25</v>
      </c>
      <c r="E151" s="5" t="s">
        <v>18</v>
      </c>
      <c r="F151" s="5">
        <v>500</v>
      </c>
      <c r="G151" s="6">
        <v>220000</v>
      </c>
      <c r="H151" s="5">
        <v>1576</v>
      </c>
      <c r="I151" s="5">
        <v>1870</v>
      </c>
      <c r="J151" s="5">
        <v>1</v>
      </c>
      <c r="K151" s="5">
        <v>0.2</v>
      </c>
      <c r="L151" s="5">
        <v>2.2000000000000002</v>
      </c>
      <c r="M151" s="5">
        <v>1.0000000000000001E-5</v>
      </c>
      <c r="N151" s="5">
        <v>0.03</v>
      </c>
      <c r="O151" s="5">
        <v>1</v>
      </c>
      <c r="P151" s="5">
        <v>0</v>
      </c>
      <c r="Q151" s="5">
        <v>0</v>
      </c>
      <c r="R151" s="5">
        <v>1</v>
      </c>
      <c r="S151" s="5">
        <v>0</v>
      </c>
      <c r="T151" s="5">
        <v>0</v>
      </c>
      <c r="U151" s="5">
        <v>0</v>
      </c>
      <c r="V151" s="7">
        <v>0</v>
      </c>
      <c r="W151" s="7">
        <v>0</v>
      </c>
      <c r="X151" s="5"/>
      <c r="Y151" s="1">
        <f>IFERROR(IF(ISNUMBER(SEARCH("Appui",C151)),V151+X151*V151,IF(#REF!&lt;A151,V151-X152*V152/2,IF(A151&lt;A152,V151-(#REF!*#REF!)/2,V151-(X152*V152+#REF!*#REF!)/2))),0)</f>
        <v>0</v>
      </c>
      <c r="Z151" s="1">
        <f>IFERROR(IF(ISNUMBER(SEARCH("Appui",C151)),W151+X151*W151,IF(#REF!&lt;A151,W151-X152*W152/2,IF(A151&lt;A152,W151-(#REF!*#REF!)/2,W151-(X152*W152+#REF!*#REF!)/2))),0)</f>
        <v>0</v>
      </c>
      <c r="AA151" s="2"/>
      <c r="AB151" s="1">
        <f t="shared" ref="AB151" si="250">Y151*(1-AA151)</f>
        <v>0</v>
      </c>
      <c r="AC151" s="1">
        <f t="shared" ref="AC151" si="251">Y151*AA151 + Z151</f>
        <v>0</v>
      </c>
      <c r="AD151" s="3">
        <f t="shared" ref="AD151" si="252">1.35*Y151+1.5*Z151</f>
        <v>0</v>
      </c>
      <c r="AE151" s="3"/>
      <c r="AF151">
        <f t="shared" ref="AF151" si="253">AB151+AC151</f>
        <v>0</v>
      </c>
    </row>
    <row r="152" spans="1:32" x14ac:dyDescent="0.35">
      <c r="A152">
        <f t="shared" si="124"/>
        <v>49</v>
      </c>
      <c r="B152" t="s">
        <v>56</v>
      </c>
      <c r="C152" t="s">
        <v>43</v>
      </c>
      <c r="D152">
        <v>25</v>
      </c>
      <c r="E152" t="s">
        <v>18</v>
      </c>
      <c r="F152">
        <v>500</v>
      </c>
      <c r="G152" s="14">
        <v>215000</v>
      </c>
      <c r="H152" s="15">
        <v>1412.67</v>
      </c>
      <c r="I152" s="14">
        <v>1828</v>
      </c>
      <c r="J152">
        <v>1</v>
      </c>
      <c r="K152">
        <v>0.24</v>
      </c>
      <c r="L152">
        <v>5.25</v>
      </c>
      <c r="M152">
        <v>1.3489999999999999E-3</v>
      </c>
      <c r="N152">
        <v>0.04</v>
      </c>
      <c r="O152">
        <v>1</v>
      </c>
      <c r="P152">
        <v>0</v>
      </c>
      <c r="Q152">
        <v>0</v>
      </c>
      <c r="R152">
        <v>1</v>
      </c>
      <c r="S152" s="14">
        <v>9.1649999999999992E-5</v>
      </c>
      <c r="T152">
        <v>0</v>
      </c>
      <c r="U152" s="10">
        <v>3</v>
      </c>
      <c r="V152">
        <v>47</v>
      </c>
      <c r="W152">
        <v>22.5</v>
      </c>
      <c r="X152" s="8" t="s">
        <v>40</v>
      </c>
      <c r="Y152" s="1">
        <v>57.25</v>
      </c>
      <c r="Z152" s="1">
        <v>29.06</v>
      </c>
      <c r="AA152" s="4">
        <v>0</v>
      </c>
      <c r="AB152" s="1">
        <v>57.25</v>
      </c>
      <c r="AC152" s="1">
        <v>29.06</v>
      </c>
      <c r="AD152" s="3">
        <v>120.8775</v>
      </c>
      <c r="AE152" s="3"/>
      <c r="AF152">
        <v>86.31</v>
      </c>
    </row>
    <row r="153" spans="1:32" x14ac:dyDescent="0.35">
      <c r="A153">
        <f t="shared" ref="A153:A158" si="254">IF(B153=B152,A152,A152+1)</f>
        <v>49</v>
      </c>
      <c r="B153" t="s">
        <v>56</v>
      </c>
      <c r="C153" t="s">
        <v>44</v>
      </c>
      <c r="D153">
        <v>25</v>
      </c>
      <c r="E153" t="s">
        <v>18</v>
      </c>
      <c r="F153">
        <v>500</v>
      </c>
      <c r="G153" s="14">
        <v>215000</v>
      </c>
      <c r="H153" s="15">
        <v>1412.67</v>
      </c>
      <c r="I153" s="14">
        <v>1828</v>
      </c>
      <c r="J153">
        <v>1</v>
      </c>
      <c r="K153">
        <v>0.23</v>
      </c>
      <c r="L153">
        <v>5.25</v>
      </c>
      <c r="M153">
        <v>1.024E-4</v>
      </c>
      <c r="N153">
        <v>6.9999999999999993E-2</v>
      </c>
      <c r="O153">
        <v>1</v>
      </c>
      <c r="P153">
        <v>0</v>
      </c>
      <c r="Q153">
        <v>0</v>
      </c>
      <c r="R153">
        <v>1</v>
      </c>
      <c r="S153" s="14">
        <v>9.1649999999999992E-5</v>
      </c>
      <c r="T153">
        <v>0</v>
      </c>
      <c r="U153" s="10">
        <v>4</v>
      </c>
      <c r="V153">
        <v>25</v>
      </c>
      <c r="W153">
        <v>16</v>
      </c>
      <c r="X153" s="8">
        <v>-0.82</v>
      </c>
      <c r="Y153" s="1">
        <v>4.5</v>
      </c>
      <c r="Z153" s="1">
        <v>2.8800000000000008</v>
      </c>
      <c r="AA153" s="4">
        <v>0</v>
      </c>
      <c r="AB153" s="1">
        <v>4.5</v>
      </c>
      <c r="AC153" s="1">
        <v>2.8800000000000008</v>
      </c>
      <c r="AD153" s="3">
        <v>10.395000000000001</v>
      </c>
      <c r="AE153" s="3"/>
      <c r="AF153">
        <v>7.3800000000000008</v>
      </c>
    </row>
    <row r="154" spans="1:32" x14ac:dyDescent="0.35">
      <c r="A154">
        <f t="shared" si="254"/>
        <v>49</v>
      </c>
      <c r="B154" t="s">
        <v>56</v>
      </c>
      <c r="C154" t="s">
        <v>45</v>
      </c>
      <c r="D154">
        <v>25</v>
      </c>
      <c r="E154" t="s">
        <v>18</v>
      </c>
      <c r="F154">
        <v>500</v>
      </c>
      <c r="G154" s="14">
        <v>215000</v>
      </c>
      <c r="H154" s="15">
        <v>1412.67</v>
      </c>
      <c r="I154" s="14">
        <v>1828</v>
      </c>
      <c r="J154">
        <v>1</v>
      </c>
      <c r="K154">
        <v>0.215</v>
      </c>
      <c r="L154">
        <v>5.25</v>
      </c>
      <c r="M154">
        <v>2.02125E-3</v>
      </c>
      <c r="N154">
        <v>0.05</v>
      </c>
      <c r="O154">
        <v>1</v>
      </c>
      <c r="P154">
        <v>0</v>
      </c>
      <c r="Q154">
        <v>0</v>
      </c>
      <c r="R154">
        <v>1</v>
      </c>
      <c r="S154" s="14">
        <v>9.1649999999999992E-5</v>
      </c>
      <c r="T154">
        <v>0</v>
      </c>
      <c r="U154" s="10">
        <v>3</v>
      </c>
      <c r="V154">
        <v>65</v>
      </c>
      <c r="W154">
        <v>28</v>
      </c>
      <c r="X154" s="8" t="s">
        <v>40</v>
      </c>
      <c r="Y154" s="1">
        <v>75.25</v>
      </c>
      <c r="Z154" s="1">
        <v>34.56</v>
      </c>
      <c r="AA154" s="4">
        <v>0</v>
      </c>
      <c r="AB154" s="1">
        <v>75.25</v>
      </c>
      <c r="AC154" s="1">
        <v>34.56</v>
      </c>
      <c r="AD154" s="3">
        <v>153.42750000000001</v>
      </c>
      <c r="AE154" s="3"/>
      <c r="AF154">
        <v>109.81</v>
      </c>
    </row>
    <row r="155" spans="1:32" x14ac:dyDescent="0.35">
      <c r="A155">
        <f t="shared" si="254"/>
        <v>50</v>
      </c>
      <c r="B155" t="s">
        <v>42</v>
      </c>
      <c r="D155" s="5">
        <v>25</v>
      </c>
      <c r="E155" s="5" t="s">
        <v>18</v>
      </c>
      <c r="F155" s="5">
        <v>500</v>
      </c>
      <c r="G155" s="6">
        <v>220000</v>
      </c>
      <c r="H155" s="5">
        <v>1576</v>
      </c>
      <c r="I155" s="5">
        <v>1870</v>
      </c>
      <c r="J155" s="5">
        <v>1</v>
      </c>
      <c r="K155" s="5">
        <v>0.2</v>
      </c>
      <c r="L155" s="5">
        <v>2.2000000000000002</v>
      </c>
      <c r="M155" s="5">
        <v>1.0000000000000001E-5</v>
      </c>
      <c r="N155" s="5">
        <v>0.03</v>
      </c>
      <c r="O155" s="5">
        <v>1</v>
      </c>
      <c r="P155" s="5">
        <v>0</v>
      </c>
      <c r="Q155" s="5">
        <v>0</v>
      </c>
      <c r="R155" s="5">
        <v>1</v>
      </c>
      <c r="S155" s="5">
        <v>0</v>
      </c>
      <c r="T155" s="5">
        <v>0</v>
      </c>
      <c r="U155" s="5">
        <v>0</v>
      </c>
      <c r="V155" s="7">
        <v>0</v>
      </c>
      <c r="W155" s="7">
        <v>0</v>
      </c>
      <c r="X155" s="5"/>
      <c r="Y155" s="1">
        <f>IFERROR(IF(ISNUMBER(SEARCH("Appui",C155)),V155+X155*V155,IF(#REF!&lt;A155,V155-X156*V156/2,IF(A155&lt;A156,V155-(#REF!*#REF!)/2,V155-(X156*V156+#REF!*#REF!)/2))),0)</f>
        <v>0</v>
      </c>
      <c r="Z155" s="1">
        <f>IFERROR(IF(ISNUMBER(SEARCH("Appui",C155)),W155+X155*W155,IF(#REF!&lt;A155,W155-X156*W156/2,IF(A155&lt;A156,W155-(#REF!*#REF!)/2,W155-(X156*W156+#REF!*#REF!)/2))),0)</f>
        <v>0</v>
      </c>
      <c r="AA155" s="2"/>
      <c r="AB155" s="1">
        <f t="shared" ref="AB155" si="255">Y155*(1-AA155)</f>
        <v>0</v>
      </c>
      <c r="AC155" s="1">
        <f t="shared" ref="AC155" si="256">Y155*AA155 + Z155</f>
        <v>0</v>
      </c>
      <c r="AD155" s="3">
        <f t="shared" ref="AD155" si="257">1.35*Y155+1.5*Z155</f>
        <v>0</v>
      </c>
      <c r="AE155" s="3"/>
      <c r="AF155">
        <f t="shared" ref="AF155" si="258">AB155+AC155</f>
        <v>0</v>
      </c>
    </row>
    <row r="156" spans="1:32" x14ac:dyDescent="0.35">
      <c r="A156">
        <f t="shared" si="254"/>
        <v>51</v>
      </c>
      <c r="B156" t="s">
        <v>52</v>
      </c>
      <c r="C156" t="s">
        <v>43</v>
      </c>
      <c r="D156">
        <f t="shared" ref="D156:K156" si="259">D148</f>
        <v>25</v>
      </c>
      <c r="E156" t="str">
        <f t="shared" si="259"/>
        <v>B</v>
      </c>
      <c r="F156">
        <f t="shared" si="259"/>
        <v>500</v>
      </c>
      <c r="G156" s="14">
        <v>215000</v>
      </c>
      <c r="H156" s="15">
        <v>1412.67</v>
      </c>
      <c r="I156" s="14">
        <v>1828</v>
      </c>
      <c r="J156">
        <f t="shared" si="259"/>
        <v>1</v>
      </c>
      <c r="K156">
        <f t="shared" si="259"/>
        <v>0.24</v>
      </c>
      <c r="L156">
        <f>L142/2+L148+L152/2</f>
        <v>7.4749999999999996</v>
      </c>
      <c r="M156">
        <f>(M142*O142)/2+(M148*O148)+(M152*O152)/2</f>
        <v>1.92555E-3</v>
      </c>
      <c r="N156">
        <f>MAX(N142,N148,N152)</f>
        <v>0.04</v>
      </c>
      <c r="O156" s="9">
        <v>1</v>
      </c>
      <c r="P156">
        <f>(P142*R142)/2+(P148*R148)+(P152*R152)/2</f>
        <v>0</v>
      </c>
      <c r="Q156">
        <f>MAX(Q142,Q148,Q152)</f>
        <v>0</v>
      </c>
      <c r="R156" s="9">
        <v>1</v>
      </c>
      <c r="S156" s="14">
        <v>9.1649999999999992E-5</v>
      </c>
      <c r="T156">
        <f>MAX(T142,T148,T152)</f>
        <v>0</v>
      </c>
      <c r="U156" s="9">
        <f t="shared" ref="U156:W158" si="260">U142/2+U148+U152/2</f>
        <v>2.5</v>
      </c>
      <c r="V156" s="9">
        <f t="shared" si="260"/>
        <v>65.25</v>
      </c>
      <c r="W156" s="9">
        <f t="shared" si="260"/>
        <v>32.75</v>
      </c>
      <c r="X156" s="8">
        <v>0</v>
      </c>
      <c r="Y156" s="9">
        <f t="shared" ref="Y156:Z158" si="261">Y142/2+Y148+Y152/2</f>
        <v>79.446249999999992</v>
      </c>
      <c r="Z156" s="9">
        <f t="shared" si="261"/>
        <v>40.676250000000003</v>
      </c>
      <c r="AA156" s="2"/>
      <c r="AB156" s="9">
        <f t="shared" ref="AB156:AC158" si="262">AB142/2+AB148+AB152/2</f>
        <v>79.446249999999992</v>
      </c>
      <c r="AC156" s="9">
        <f t="shared" si="262"/>
        <v>40.676250000000003</v>
      </c>
      <c r="AD156" s="3">
        <f>1.35*Y156+1.5*Z156</f>
        <v>168.26681250000001</v>
      </c>
      <c r="AE156" s="3"/>
      <c r="AF156" s="9">
        <f>AB156+AC156</f>
        <v>120.1225</v>
      </c>
    </row>
    <row r="157" spans="1:32" x14ac:dyDescent="0.35">
      <c r="A157">
        <f t="shared" si="254"/>
        <v>51</v>
      </c>
      <c r="B157" t="s">
        <v>52</v>
      </c>
      <c r="C157" t="s">
        <v>44</v>
      </c>
      <c r="D157">
        <f t="shared" ref="D157:K157" si="263">D149</f>
        <v>25</v>
      </c>
      <c r="E157" t="str">
        <f t="shared" si="263"/>
        <v>B</v>
      </c>
      <c r="F157">
        <f t="shared" si="263"/>
        <v>500</v>
      </c>
      <c r="G157" s="14">
        <v>215000</v>
      </c>
      <c r="H157" s="15">
        <v>1412.67</v>
      </c>
      <c r="I157" s="14">
        <v>1828</v>
      </c>
      <c r="J157">
        <f t="shared" si="263"/>
        <v>1</v>
      </c>
      <c r="K157">
        <f t="shared" si="263"/>
        <v>0.23</v>
      </c>
      <c r="L157">
        <f>L143/2+L149+L153/2</f>
        <v>7.4749999999999996</v>
      </c>
      <c r="M157">
        <f>(M143*O143)/2+(M149*O149)+(M153*O153)/2</f>
        <v>2.0011999999999999E-3</v>
      </c>
      <c r="N157">
        <f>MAX(N143,N149,N153)</f>
        <v>6.9999999999999993E-2</v>
      </c>
      <c r="O157" s="9">
        <v>1</v>
      </c>
      <c r="P157">
        <f>(P143*R143)/2+(P149*R149)+(P153*R153)/2</f>
        <v>0</v>
      </c>
      <c r="Q157">
        <f>MAX(Q143,Q149,Q153)</f>
        <v>0</v>
      </c>
      <c r="R157" s="9">
        <v>1</v>
      </c>
      <c r="S157" s="14">
        <v>9.1649999999999992E-5</v>
      </c>
      <c r="T157">
        <f>MAX(T143,T149,T153)</f>
        <v>0</v>
      </c>
      <c r="U157" s="9">
        <f t="shared" si="260"/>
        <v>6</v>
      </c>
      <c r="V157" s="9">
        <f t="shared" si="260"/>
        <v>111.5</v>
      </c>
      <c r="W157" s="9">
        <f t="shared" si="260"/>
        <v>46</v>
      </c>
      <c r="X157" s="8">
        <v>0</v>
      </c>
      <c r="Y157" s="9">
        <f t="shared" si="261"/>
        <v>83.107500000000002</v>
      </c>
      <c r="Z157" s="9">
        <f t="shared" si="261"/>
        <v>30.147500000000001</v>
      </c>
      <c r="AA157" s="2"/>
      <c r="AB157" s="9">
        <f t="shared" si="262"/>
        <v>83.107500000000002</v>
      </c>
      <c r="AC157" s="9">
        <f t="shared" si="262"/>
        <v>30.147500000000001</v>
      </c>
      <c r="AD157" s="3">
        <f t="shared" ref="AD157:AD158" si="264">1.35*Y157+1.5*Z157</f>
        <v>157.41637500000002</v>
      </c>
      <c r="AE157" s="3"/>
      <c r="AF157" s="9">
        <f t="shared" ref="AF157:AF158" si="265">AB157+AC157</f>
        <v>113.255</v>
      </c>
    </row>
    <row r="158" spans="1:32" x14ac:dyDescent="0.35">
      <c r="A158">
        <f t="shared" si="254"/>
        <v>51</v>
      </c>
      <c r="B158" t="s">
        <v>52</v>
      </c>
      <c r="C158" t="s">
        <v>45</v>
      </c>
      <c r="D158">
        <f t="shared" ref="D158:K158" si="266">D150</f>
        <v>25</v>
      </c>
      <c r="E158" t="str">
        <f t="shared" si="266"/>
        <v>B</v>
      </c>
      <c r="F158">
        <f t="shared" si="266"/>
        <v>500</v>
      </c>
      <c r="G158" s="14">
        <v>215000</v>
      </c>
      <c r="H158" s="15">
        <v>1412.67</v>
      </c>
      <c r="I158" s="14">
        <v>1828</v>
      </c>
      <c r="J158">
        <f t="shared" si="266"/>
        <v>1</v>
      </c>
      <c r="K158">
        <f t="shared" si="266"/>
        <v>0.215</v>
      </c>
      <c r="L158">
        <f>L144/2+L150+L154/2</f>
        <v>7.4749999999999996</v>
      </c>
      <c r="M158">
        <f>(M144*O144)/2+(M150*O150)+(M154*O154)/2</f>
        <v>2.877625E-3</v>
      </c>
      <c r="N158">
        <f>MAX(N144,N150,N154)</f>
        <v>0.05</v>
      </c>
      <c r="O158" s="9">
        <v>1</v>
      </c>
      <c r="P158">
        <f>(P144*R144)/2+(P150*R150)+(P154*R154)/2</f>
        <v>0</v>
      </c>
      <c r="Q158">
        <f>MAX(Q144,Q150,Q154)</f>
        <v>0</v>
      </c>
      <c r="R158" s="9">
        <v>1</v>
      </c>
      <c r="S158" s="14">
        <v>9.1649999999999992E-5</v>
      </c>
      <c r="T158">
        <f>MAX(T144,T150,T154)</f>
        <v>0</v>
      </c>
      <c r="U158" s="9">
        <f t="shared" si="260"/>
        <v>6.5</v>
      </c>
      <c r="V158" s="9">
        <f t="shared" si="260"/>
        <v>110.5</v>
      </c>
      <c r="W158" s="9">
        <f t="shared" si="260"/>
        <v>46</v>
      </c>
      <c r="X158" s="8">
        <v>0</v>
      </c>
      <c r="Y158" s="9">
        <f t="shared" si="261"/>
        <v>124.69624999999999</v>
      </c>
      <c r="Z158" s="9">
        <f t="shared" si="261"/>
        <v>53.926250000000003</v>
      </c>
      <c r="AA158" s="2"/>
      <c r="AB158" s="9">
        <f t="shared" si="262"/>
        <v>124.69624999999999</v>
      </c>
      <c r="AC158" s="9">
        <f t="shared" si="262"/>
        <v>53.926250000000003</v>
      </c>
      <c r="AD158" s="3">
        <f t="shared" si="264"/>
        <v>249.22931249999999</v>
      </c>
      <c r="AE158" s="3"/>
      <c r="AF158" s="9">
        <f t="shared" si="265"/>
        <v>178.6225</v>
      </c>
    </row>
  </sheetData>
  <phoneticPr fontId="18" type="noConversion"/>
  <conditionalFormatting sqref="X2:X17">
    <cfRule type="expression" dxfId="2" priority="36">
      <formula>$A2="Travée"</formula>
    </cfRule>
  </conditionalFormatting>
  <conditionalFormatting sqref="X19:X39">
    <cfRule type="expression" dxfId="1" priority="31">
      <formula>$A19="Travée"</formula>
    </cfRule>
  </conditionalFormatting>
  <conditionalFormatting sqref="X41:X158">
    <cfRule type="expression" dxfId="0" priority="1">
      <formula>$A41="Travée"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2025-12-12T16:46:21Z</dcterms:modified>
</cp:coreProperties>
</file>