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2\"/>
    </mc:Choice>
  </mc:AlternateContent>
  <xr:revisionPtr revIDLastSave="0" documentId="13_ncr:1_{3954FA88-5C39-4199-957B-E75384669DB7}" xr6:coauthVersionLast="47" xr6:coauthVersionMax="47" xr10:uidLastSave="{00000000-0000-0000-0000-000000000000}"/>
  <bookViews>
    <workbookView xWindow="12890" yWindow="5530" windowWidth="19310" windowHeight="206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AB3" i="1" s="1"/>
  <c r="Z3" i="1"/>
  <c r="Y5" i="1"/>
  <c r="AB5" i="1" s="1"/>
  <c r="Z5" i="1"/>
  <c r="Y8" i="1"/>
  <c r="AB8" i="1" s="1"/>
  <c r="Z8" i="1"/>
  <c r="AC8" i="1" s="1"/>
  <c r="Y10" i="1"/>
  <c r="Z10" i="1"/>
  <c r="Y12" i="1"/>
  <c r="AB12" i="1" s="1"/>
  <c r="Z12" i="1"/>
  <c r="Y14" i="1"/>
  <c r="Z14" i="1"/>
  <c r="Y16" i="1"/>
  <c r="AB16" i="1" s="1"/>
  <c r="Z16" i="1"/>
  <c r="Y20" i="1"/>
  <c r="AB20" i="1" s="1"/>
  <c r="Z20" i="1"/>
  <c r="AC20" i="1" s="1"/>
  <c r="Z22" i="1"/>
  <c r="Y22" i="1"/>
  <c r="AB22" i="1" s="1"/>
  <c r="Z24" i="1"/>
  <c r="Y26" i="1"/>
  <c r="AB26" i="1" s="1"/>
  <c r="Z26" i="1"/>
  <c r="Y28" i="1"/>
  <c r="Z28" i="1"/>
  <c r="Y32" i="1"/>
  <c r="AB32" i="1" s="1"/>
  <c r="Z32" i="1"/>
  <c r="Y34" i="1"/>
  <c r="AB34" i="1" s="1"/>
  <c r="Z34" i="1"/>
  <c r="Y36" i="1"/>
  <c r="AB36" i="1" s="1"/>
  <c r="Z36" i="1"/>
  <c r="Y38" i="1"/>
  <c r="AB38" i="1" s="1"/>
  <c r="Z38" i="1"/>
  <c r="Y40" i="1"/>
  <c r="AB40" i="1" s="1"/>
  <c r="Z40" i="1"/>
  <c r="Y44" i="1"/>
  <c r="AB44" i="1" s="1"/>
  <c r="Z44" i="1"/>
  <c r="AC44" i="1" s="1"/>
  <c r="Y46" i="1"/>
  <c r="AB46" i="1" s="1"/>
  <c r="Z46" i="1"/>
  <c r="AC46" i="1" s="1"/>
  <c r="Y48" i="1"/>
  <c r="AB48" i="1" s="1"/>
  <c r="Z48" i="1"/>
  <c r="AC48" i="1" s="1"/>
  <c r="Y50" i="1"/>
  <c r="AB50" i="1" s="1"/>
  <c r="Z50" i="1"/>
  <c r="Y52" i="1"/>
  <c r="AB52" i="1" s="1"/>
  <c r="Z52" i="1"/>
  <c r="Y56" i="1"/>
  <c r="AB56" i="1" s="1"/>
  <c r="Z56" i="1"/>
  <c r="Y58" i="1"/>
  <c r="Z58" i="1"/>
  <c r="Y60" i="1"/>
  <c r="AB60" i="1" s="1"/>
  <c r="Z60" i="1"/>
  <c r="Y62" i="1"/>
  <c r="AB62" i="1" s="1"/>
  <c r="Z62" i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C34" i="1"/>
  <c r="AD34" i="1"/>
  <c r="AD40" i="1"/>
  <c r="AC28" i="1" l="1"/>
  <c r="AC14" i="1"/>
  <c r="AD46" i="1"/>
  <c r="AD60" i="1"/>
  <c r="AD10" i="1"/>
  <c r="AC60" i="1"/>
  <c r="AF60" i="1" s="1"/>
  <c r="AD8" i="1"/>
  <c r="AC58" i="1"/>
  <c r="AB28" i="1"/>
  <c r="AF28" i="1" s="1"/>
  <c r="AC40" i="1"/>
  <c r="AD36" i="1"/>
  <c r="AC36" i="1"/>
  <c r="AF36" i="1" s="1"/>
  <c r="AD52" i="1"/>
  <c r="AC52" i="1"/>
  <c r="AF52" i="1" s="1"/>
  <c r="AB10" i="1"/>
  <c r="AD26" i="1"/>
  <c r="AC12" i="1"/>
  <c r="AF12" i="1" s="1"/>
  <c r="AC32" i="1"/>
  <c r="AF32" i="1" s="1"/>
  <c r="AC10" i="1"/>
  <c r="AF10" i="1" s="1"/>
  <c r="AC16" i="1"/>
  <c r="AF16" i="1" s="1"/>
  <c r="AD28" i="1"/>
  <c r="AD20" i="1"/>
  <c r="AC26" i="1"/>
  <c r="AF26" i="1" s="1"/>
  <c r="AD16" i="1"/>
  <c r="AD3" i="1"/>
  <c r="AD5" i="1"/>
  <c r="AB14" i="1"/>
  <c r="AF14" i="1" s="1"/>
  <c r="AD14" i="1"/>
  <c r="Z61" i="1"/>
  <c r="Y61" i="1"/>
  <c r="AB61" i="1" s="1"/>
  <c r="Z57" i="1"/>
  <c r="Y53" i="1"/>
  <c r="Z49" i="1"/>
  <c r="Z45" i="1"/>
  <c r="Y42" i="1"/>
  <c r="AB42" i="1" s="1"/>
  <c r="Z19" i="1"/>
  <c r="Z6" i="1"/>
  <c r="Y57" i="1"/>
  <c r="AB57" i="1" s="1"/>
  <c r="Y49" i="1"/>
  <c r="AD49" i="1" s="1"/>
  <c r="Y45" i="1"/>
  <c r="Z25" i="1"/>
  <c r="Y19" i="1"/>
  <c r="Y6" i="1"/>
  <c r="Z23" i="1"/>
  <c r="Z9" i="1"/>
  <c r="Z35" i="1"/>
  <c r="Z31" i="1"/>
  <c r="Y9" i="1"/>
  <c r="Z53" i="1"/>
  <c r="Z39" i="1"/>
  <c r="Y35" i="1"/>
  <c r="Y31" i="1"/>
  <c r="AB31" i="1" s="1"/>
  <c r="Z27" i="1"/>
  <c r="Z18" i="1"/>
  <c r="Y13" i="1"/>
  <c r="AB13" i="1" s="1"/>
  <c r="Z4" i="1"/>
  <c r="Z59" i="1"/>
  <c r="Z55" i="1"/>
  <c r="Y39" i="1"/>
  <c r="Y27" i="1"/>
  <c r="Y18" i="1"/>
  <c r="AB18" i="1" s="1"/>
  <c r="Y4" i="1"/>
  <c r="AC4" i="1" s="1"/>
  <c r="Y41" i="1"/>
  <c r="AB41" i="1" s="1"/>
  <c r="Z64" i="1"/>
  <c r="Z63" i="1"/>
  <c r="Y59" i="1"/>
  <c r="Y55" i="1"/>
  <c r="AB55" i="1" s="1"/>
  <c r="Z51" i="1"/>
  <c r="Z47" i="1"/>
  <c r="Z43" i="1"/>
  <c r="Z30" i="1"/>
  <c r="Z21" i="1"/>
  <c r="Y17" i="1"/>
  <c r="AB17" i="1" s="1"/>
  <c r="Y15" i="1"/>
  <c r="AB15" i="1" s="1"/>
  <c r="Y64" i="1"/>
  <c r="Y63" i="1"/>
  <c r="AB63" i="1" s="1"/>
  <c r="Y51" i="1"/>
  <c r="Y47" i="1"/>
  <c r="Y43" i="1"/>
  <c r="Y30" i="1"/>
  <c r="AD58" i="1"/>
  <c r="AB58" i="1"/>
  <c r="AF58" i="1" s="1"/>
  <c r="Z54" i="1"/>
  <c r="Z11" i="1"/>
  <c r="Y33" i="1"/>
  <c r="AC50" i="1"/>
  <c r="AF50" i="1" s="1"/>
  <c r="Y54" i="1"/>
  <c r="Z42" i="1"/>
  <c r="Z37" i="1"/>
  <c r="Z29" i="1"/>
  <c r="Y11" i="1"/>
  <c r="Z7" i="1"/>
  <c r="Z2" i="1"/>
  <c r="Z41" i="1"/>
  <c r="Y37" i="1"/>
  <c r="Z33" i="1"/>
  <c r="Y29" i="1"/>
  <c r="Y25" i="1"/>
  <c r="AB25" i="1" s="1"/>
  <c r="Z15" i="1"/>
  <c r="Y7" i="1"/>
  <c r="Y2" i="1"/>
  <c r="AC22" i="1"/>
  <c r="AF22" i="1" s="1"/>
  <c r="AD22" i="1"/>
  <c r="AD12" i="1"/>
  <c r="AC38" i="1"/>
  <c r="Y24" i="1"/>
  <c r="Y21" i="1"/>
  <c r="AC62" i="1"/>
  <c r="AF62" i="1" s="1"/>
  <c r="AC56" i="1"/>
  <c r="AF56" i="1" s="1"/>
  <c r="Z17" i="1"/>
  <c r="Y23" i="1"/>
  <c r="AD48" i="1"/>
  <c r="Z13" i="1"/>
  <c r="AD38" i="1"/>
  <c r="AD50" i="1"/>
  <c r="AD62" i="1"/>
  <c r="AD32" i="1"/>
  <c r="AD44" i="1"/>
  <c r="AD56" i="1"/>
  <c r="AF34" i="1"/>
  <c r="AF8" i="1"/>
  <c r="AF48" i="1"/>
  <c r="AF44" i="1"/>
  <c r="AF20" i="1"/>
  <c r="AF40" i="1"/>
  <c r="AF38" i="1"/>
  <c r="AF46" i="1"/>
  <c r="AC3" i="1"/>
  <c r="AC5" i="1"/>
  <c r="AD64" i="1" l="1"/>
  <c r="AD2" i="1"/>
  <c r="AD15" i="1"/>
  <c r="AC15" i="1"/>
  <c r="AF15" i="1" s="1"/>
  <c r="AC61" i="1"/>
  <c r="AF61" i="1" s="1"/>
  <c r="AD61" i="1"/>
  <c r="AD13" i="1"/>
  <c r="AD59" i="1"/>
  <c r="AD63" i="1"/>
  <c r="AC31" i="1"/>
  <c r="AF31" i="1" s="1"/>
  <c r="AD42" i="1"/>
  <c r="AC42" i="1"/>
  <c r="AF42" i="1" s="1"/>
  <c r="AC55" i="1"/>
  <c r="AF55" i="1" s="1"/>
  <c r="AD55" i="1"/>
  <c r="AC57" i="1"/>
  <c r="AF57" i="1" s="1"/>
  <c r="AB54" i="1"/>
  <c r="AD54" i="1"/>
  <c r="AC54" i="1"/>
  <c r="AD45" i="1"/>
  <c r="AC45" i="1"/>
  <c r="AB45" i="1"/>
  <c r="AF45" i="1" s="1"/>
  <c r="AB35" i="1"/>
  <c r="AC35" i="1"/>
  <c r="AD35" i="1"/>
  <c r="AD17" i="1"/>
  <c r="AB4" i="1"/>
  <c r="AD4" i="1"/>
  <c r="AB29" i="1"/>
  <c r="AC29" i="1"/>
  <c r="AD29" i="1"/>
  <c r="AB37" i="1"/>
  <c r="AD37" i="1"/>
  <c r="AC37" i="1"/>
  <c r="AC41" i="1"/>
  <c r="AF41" i="1" s="1"/>
  <c r="AB27" i="1"/>
  <c r="AC27" i="1"/>
  <c r="AF27" i="1" s="1"/>
  <c r="AD27" i="1"/>
  <c r="AB9" i="1"/>
  <c r="AD9" i="1"/>
  <c r="AC9" i="1"/>
  <c r="AC64" i="1"/>
  <c r="AD25" i="1"/>
  <c r="AB39" i="1"/>
  <c r="AC39" i="1"/>
  <c r="AD39" i="1"/>
  <c r="AB64" i="1"/>
  <c r="AC25" i="1"/>
  <c r="AF25" i="1" s="1"/>
  <c r="AC63" i="1"/>
  <c r="AF63" i="1" s="1"/>
  <c r="AB11" i="1"/>
  <c r="AC11" i="1"/>
  <c r="AD11" i="1"/>
  <c r="AC18" i="1"/>
  <c r="AF18" i="1" s="1"/>
  <c r="AB30" i="1"/>
  <c r="AD30" i="1"/>
  <c r="AC30" i="1"/>
  <c r="AB53" i="1"/>
  <c r="AC53" i="1"/>
  <c r="AD53" i="1"/>
  <c r="AB33" i="1"/>
  <c r="AD33" i="1"/>
  <c r="AC33" i="1"/>
  <c r="AB2" i="1"/>
  <c r="AC2" i="1"/>
  <c r="AC43" i="1"/>
  <c r="AB43" i="1"/>
  <c r="AF43" i="1" s="1"/>
  <c r="AD43" i="1"/>
  <c r="AB6" i="1"/>
  <c r="AD6" i="1"/>
  <c r="AC6" i="1"/>
  <c r="AD57" i="1"/>
  <c r="AB7" i="1"/>
  <c r="AC7" i="1"/>
  <c r="AF7" i="1" s="1"/>
  <c r="AD7" i="1"/>
  <c r="AB47" i="1"/>
  <c r="AC47" i="1"/>
  <c r="AD47" i="1"/>
  <c r="AB59" i="1"/>
  <c r="AC59" i="1"/>
  <c r="AD18" i="1"/>
  <c r="AB19" i="1"/>
  <c r="AC19" i="1"/>
  <c r="AD19" i="1"/>
  <c r="AC49" i="1"/>
  <c r="AB49" i="1"/>
  <c r="AD41" i="1"/>
  <c r="AD31" i="1"/>
  <c r="AD51" i="1"/>
  <c r="AB51" i="1"/>
  <c r="AC51" i="1"/>
  <c r="AC13" i="1"/>
  <c r="AF13" i="1" s="1"/>
  <c r="AC17" i="1"/>
  <c r="AF17" i="1" s="1"/>
  <c r="AB21" i="1"/>
  <c r="AD21" i="1"/>
  <c r="AC21" i="1"/>
  <c r="AC24" i="1"/>
  <c r="AD24" i="1"/>
  <c r="AB24" i="1"/>
  <c r="AC23" i="1"/>
  <c r="AD23" i="1"/>
  <c r="AB23" i="1"/>
  <c r="AF5" i="1"/>
  <c r="AF4" i="1"/>
  <c r="AF3" i="1"/>
  <c r="AF11" i="1" l="1"/>
  <c r="AF35" i="1"/>
  <c r="AF33" i="1"/>
  <c r="AF64" i="1"/>
  <c r="AF29" i="1"/>
  <c r="AF54" i="1"/>
  <c r="AF59" i="1"/>
  <c r="AF37" i="1"/>
  <c r="AF39" i="1"/>
  <c r="AF19" i="1"/>
  <c r="AF30" i="1"/>
  <c r="AF49" i="1"/>
  <c r="AF53" i="1"/>
  <c r="AF6" i="1"/>
  <c r="AF47" i="1"/>
  <c r="AF2" i="1"/>
  <c r="AF9" i="1"/>
  <c r="AF51" i="1"/>
  <c r="AF24" i="1"/>
  <c r="AF23" i="1"/>
  <c r="AF21" i="1"/>
</calcChain>
</file>

<file path=xl/sharedStrings.xml><?xml version="1.0" encoding="utf-8"?>
<sst xmlns="http://schemas.openxmlformats.org/spreadsheetml/2006/main" count="251" uniqueCount="53">
  <si>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</si>
  <si>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</si>
  <si>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</si>
  <si>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</si>
  <si>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</si>
  <si>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</si>
  <si>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</si>
  <si>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</si>
  <si>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</si>
  <si>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</si>
  <si>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</si>
  <si>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</si>
  <si>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</si>
  <si>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</si>
  <si>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</si>
  <si>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</si>
  <si>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</si>
  <si>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</si>
  <si>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</si>
  <si>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File A - 1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</si>
  <si>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</si>
  <si>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</si>
  <si>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</si>
  <si>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</si>
  <si>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</si>
  <si>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</si>
  <si>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</si>
  <si>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</si>
  <si>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</si>
  <si>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</si>
  <si>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</si>
  <si>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</si>
  <si>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</si>
  <si>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File A - 2</t>
  </si>
  <si>
    <t>File A - 3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</si>
  <si>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</si>
  <si>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</si>
  <si>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</si>
  <si>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</si>
  <si>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</si>
  <si>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</si>
  <si>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</si>
  <si>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</si>
  <si>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A - 4</t>
  </si>
  <si>
    <t>File A - 5</t>
  </si>
  <si>
    <t>File A - 6</t>
  </si>
  <si>
    <t>File A - 7</t>
  </si>
  <si>
    <t>File A - 8</t>
  </si>
  <si>
    <t>F</t>
  </si>
  <si>
    <t>Redis</t>
  </si>
  <si>
    <t>Mg+g'_Elas</t>
  </si>
  <si>
    <t>Mq_Elas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</si>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</sst>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  <xf numFmtId="0" fontId="0" fillId="34" borderId="0" xfId="0" applyFill="1"/>
    <xf numFmtId="3" fontId="0" fillId="34" borderId="0" xfId="0" applyNumberFormat="1" applyFill="1"/>
    <xf numFmtId="164" fontId="0" fillId="34" borderId="0" xfId="0" applyNumberFormat="1" applyFill="1"/>
    <xf numFmtId="10" fontId="0" fillId="0" borderId="0" xfId="0" applyNumberFormat="1"/>
    <xf numFmtId="1" fontId="0" fillId="0" borderId="0" xfId="0" applyNumberForma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"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T64"/>
  <sheetViews>
    <sheetView tabSelected="1" zoomScale="55" zoomScaleNormal="55" workbookViewId="0">
      <pane xSplit="3" topLeftCell="E1" activePane="topRight" state="frozen"/>
      <selection pane="topRight" activeCell="Y51" sqref="Y51"/>
    </sheetView>
  </sheetViews>
  <sheetFormatPr baseColWidth="10" defaultRowHeight="14.5" x14ac:dyDescent="0.35"/>
  <cols>
    <col min="1" max="1" width="12.26953125" bestFit="1" customWidth="1"/>
    <col min="35" max="42" width="11.453125" customWidth="1"/>
    <col min="43" max="43" width="11.453125" collapsed="1"/>
  </cols>
  <sheetData>
    <row r="1" spans="1:46" x14ac:dyDescent="0.35">
      <c r="A1" t="s">
        <v>48</v>
      </c>
      <c r="B1" t="s">
        <v>22</v>
      </c>
      <c r="C1" t="s">
        <v>23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50</v>
      </c>
      <c r="W1" t="s">
        <v>51</v>
      </c>
      <c r="X1" t="s">
        <v>49</v>
      </c>
      <c r="Y1" t="s">
        <v>40</v>
      </c>
      <c r="Z1" t="s">
        <v>41</v>
      </c>
      <c r="AA1" t="s">
        <v>42</v>
      </c>
      <c r="AB1" t="s">
        <v>37</v>
      </c>
      <c r="AC1" t="s">
        <v>39</v>
      </c>
      <c r="AD1" t="s">
        <v>35</v>
      </c>
      <c r="AE1" t="s">
        <v>38</v>
      </c>
      <c r="AF1" t="s">
        <v>36</v>
      </c>
    </row>
    <row r="2" spans="1:46" x14ac:dyDescent="0.35">
      <c r="A2">
        <f>IFERROR(IF(B2=B1,A1,A1+1),1)</f>
        <v>1</v>
      </c>
      <c r="B2" t="s">
        <v>19</v>
      </c>
      <c r="C2" t="s">
        <v>20</v>
      </c>
      <c r="D2" s="6">
        <v>25</v>
      </c>
      <c r="E2" s="6" t="s">
        <v>18</v>
      </c>
      <c r="F2" s="6">
        <v>500</v>
      </c>
      <c r="G2" s="7">
        <v>220000</v>
      </c>
      <c r="H2" s="6">
        <v>1576</v>
      </c>
      <c r="I2" s="6">
        <v>1870</v>
      </c>
      <c r="J2" s="6">
        <v>1</v>
      </c>
      <c r="K2" s="6">
        <v>0.2</v>
      </c>
      <c r="L2" s="6">
        <v>2.2000000000000002</v>
      </c>
      <c r="M2" s="6">
        <v>1</v>
      </c>
      <c r="N2" s="6">
        <v>0.03</v>
      </c>
      <c r="O2" s="6">
        <v>1</v>
      </c>
      <c r="P2" s="6">
        <v>0</v>
      </c>
      <c r="Q2" s="6">
        <v>0</v>
      </c>
      <c r="R2" s="6">
        <v>1</v>
      </c>
      <c r="S2" s="6">
        <v>0</v>
      </c>
      <c r="T2" s="6">
        <v>0</v>
      </c>
      <c r="U2" s="6">
        <v>0</v>
      </c>
      <c r="V2" s="8">
        <v>0</v>
      </c>
      <c r="W2" s="8">
        <v>0</v>
      </c>
      <c r="X2" s="6" t="s">
        <v>52</v>
      </c>
      <c r="Y2" s="2">
        <f>IFERROR(IF(ISNUMBER(SEARCH("Appui",C2)),V2+X2*V2,IF(A1&lt;A2,V2-X3*V3/2,IF(A2&lt;A3,V2-(X1*V1)/2,V2-(X3*V3+X1*V1)/2))),0)</f>
        <v>0</v>
      </c>
      <c r="Z2" s="2">
        <f>IFERROR(IF(ISNUMBER(SEARCH("Appui",C2)),W2+X2*W2,IF(A1&lt;A2,W2-X3*W3/2,IF(A2&lt;A3,W2-(X1*W1)/2,W2-(X3*W3+X1*W1)/2))),0)</f>
        <v>0</v>
      </c>
      <c r="AA2" s="3">
        <v>0</v>
      </c>
      <c r="AB2" s="2">
        <f>Y2*(1-AA2)</f>
        <v>0</v>
      </c>
      <c r="AC2" s="2">
        <f>Y2*AA2 + Z2</f>
        <v>0</v>
      </c>
      <c r="AD2" s="4">
        <f>1.35*Y2+1.5*Z2</f>
        <v>0</v>
      </c>
      <c r="AE2" s="4"/>
      <c r="AF2" s="2">
        <f>AB2+AC2</f>
        <v>0</v>
      </c>
      <c r="AT2" s="10"/>
    </row>
    <row r="3" spans="1:46" x14ac:dyDescent="0.35">
      <c r="A3">
        <f t="shared" ref="A3:A63" si="0">IF(B3=B2,A2,A2+1)</f>
        <v>1</v>
      </c>
      <c r="B3" t="s">
        <v>19</v>
      </c>
      <c r="C3" t="s">
        <v>21</v>
      </c>
      <c r="D3">
        <v>25</v>
      </c>
      <c r="E3" t="s">
        <v>18</v>
      </c>
      <c r="F3">
        <v>500</v>
      </c>
      <c r="G3" s="1">
        <v>220000</v>
      </c>
      <c r="H3">
        <v>1576</v>
      </c>
      <c r="I3">
        <v>1870</v>
      </c>
      <c r="J3">
        <v>1</v>
      </c>
      <c r="K3">
        <v>0.23</v>
      </c>
      <c r="L3">
        <v>2.2000000000000002</v>
      </c>
      <c r="M3">
        <v>9.3499999999999996E-4</v>
      </c>
      <c r="N3">
        <v>0.06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 s="2">
        <v>57</v>
      </c>
      <c r="W3" s="2">
        <v>17.5</v>
      </c>
      <c r="X3" s="9">
        <v>-5.5E-2</v>
      </c>
      <c r="Y3" s="2">
        <f t="shared" ref="Y3:Y64" si="1">IFERROR(IF(ISNUMBER(SEARCH("Appui",C3)),V3+X3*V3,IF(A2&lt;A3,V3-X4*V4/2,IF(A3&lt;A4,V3-(X2*V2)/2,V3-(X4*V4+X2*V2)/2))),0)</f>
        <v>53.865000000000002</v>
      </c>
      <c r="Z3" s="2">
        <f t="shared" ref="Z3:Z64" si="2">IFERROR(IF(ISNUMBER(SEARCH("Appui",C3)),W3+X3*W3,IF(A2&lt;A3,W3-X4*W4/2,IF(A3&lt;A4,W3-(X2*W2)/2,W3-(X4*W4+X2*W2)/2))),0)</f>
        <v>16.537500000000001</v>
      </c>
      <c r="AA3" s="3">
        <v>0</v>
      </c>
      <c r="AB3" s="2">
        <f t="shared" ref="AB3:AB6" si="3">Y3*(1-AA3)</f>
        <v>53.865000000000002</v>
      </c>
      <c r="AC3" s="2">
        <f t="shared" ref="AC3:AC6" si="4">Y3*AA3 + Z3</f>
        <v>16.537500000000001</v>
      </c>
      <c r="AD3" s="4">
        <f t="shared" ref="AD3:AD6" si="5">1.35*Y3+1.5*Z3</f>
        <v>97.524000000000015</v>
      </c>
      <c r="AE3" s="4"/>
      <c r="AF3">
        <f t="shared" ref="AF3:AF6" si="6">AB3+AC3</f>
        <v>70.402500000000003</v>
      </c>
      <c r="AT3" s="10"/>
    </row>
    <row r="4" spans="1:46" x14ac:dyDescent="0.35">
      <c r="A4">
        <f t="shared" si="0"/>
        <v>1</v>
      </c>
      <c r="B4" t="s">
        <v>19</v>
      </c>
      <c r="C4" t="s">
        <v>24</v>
      </c>
      <c r="D4">
        <v>25</v>
      </c>
      <c r="E4" t="s">
        <v>18</v>
      </c>
      <c r="F4">
        <v>500</v>
      </c>
      <c r="G4" s="1">
        <v>220000</v>
      </c>
      <c r="H4">
        <v>1576</v>
      </c>
      <c r="I4">
        <v>1870</v>
      </c>
      <c r="J4">
        <v>1</v>
      </c>
      <c r="K4">
        <v>0.215</v>
      </c>
      <c r="L4">
        <v>2.2000000000000002</v>
      </c>
      <c r="M4">
        <v>2.8200000000000002E-4</v>
      </c>
      <c r="N4">
        <v>0.03</v>
      </c>
      <c r="O4">
        <v>1</v>
      </c>
      <c r="P4">
        <v>0</v>
      </c>
      <c r="Q4">
        <v>0</v>
      </c>
      <c r="R4">
        <v>1</v>
      </c>
      <c r="S4">
        <v>2.9099999999999999E-5</v>
      </c>
      <c r="T4">
        <v>0</v>
      </c>
      <c r="U4">
        <v>2</v>
      </c>
      <c r="V4" s="2">
        <v>24</v>
      </c>
      <c r="W4" s="2">
        <v>8.1999999999999993</v>
      </c>
      <c r="X4" s="9" t="s">
        <v>52</v>
      </c>
      <c r="Y4" s="2">
        <f t="shared" si="1"/>
        <v>25.567499999999999</v>
      </c>
      <c r="Z4" s="2">
        <f t="shared" si="2"/>
        <v>8.6812499999999986</v>
      </c>
      <c r="AA4" s="3">
        <v>0</v>
      </c>
      <c r="AB4" s="2">
        <f t="shared" si="3"/>
        <v>25.567499999999999</v>
      </c>
      <c r="AC4" s="2">
        <f t="shared" si="4"/>
        <v>8.6812499999999986</v>
      </c>
      <c r="AD4" s="4">
        <f t="shared" si="5"/>
        <v>47.537999999999997</v>
      </c>
      <c r="AE4" s="4"/>
      <c r="AF4">
        <f t="shared" si="6"/>
        <v>34.248750000000001</v>
      </c>
      <c r="AT4" s="10"/>
    </row>
    <row r="5" spans="1:46" x14ac:dyDescent="0.35">
      <c r="A5">
        <f t="shared" si="0"/>
        <v>1</v>
      </c>
      <c r="B5" t="s">
        <v>19</v>
      </c>
      <c r="C5" t="s">
        <v>25</v>
      </c>
      <c r="D5">
        <v>25</v>
      </c>
      <c r="E5" t="s">
        <v>18</v>
      </c>
      <c r="F5">
        <v>500</v>
      </c>
      <c r="G5" s="1">
        <v>220000</v>
      </c>
      <c r="H5">
        <v>1576</v>
      </c>
      <c r="I5">
        <v>1870</v>
      </c>
      <c r="J5">
        <v>1</v>
      </c>
      <c r="K5">
        <v>0.2</v>
      </c>
      <c r="L5">
        <v>2.2000000000000002</v>
      </c>
      <c r="M5">
        <v>1.1100000000000001E-3</v>
      </c>
      <c r="N5">
        <v>0.06</v>
      </c>
      <c r="O5">
        <v>1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 s="2">
        <v>32</v>
      </c>
      <c r="W5" s="2">
        <v>12</v>
      </c>
      <c r="X5" s="9">
        <v>0</v>
      </c>
      <c r="Y5" s="2">
        <f t="shared" si="1"/>
        <v>32</v>
      </c>
      <c r="Z5" s="2">
        <f t="shared" si="2"/>
        <v>12</v>
      </c>
      <c r="AA5" s="3">
        <v>0</v>
      </c>
      <c r="AB5" s="2">
        <f t="shared" si="3"/>
        <v>32</v>
      </c>
      <c r="AC5" s="2">
        <f t="shared" si="4"/>
        <v>12</v>
      </c>
      <c r="AD5" s="4">
        <f t="shared" si="5"/>
        <v>61.2</v>
      </c>
      <c r="AE5" s="4"/>
      <c r="AF5">
        <f t="shared" si="6"/>
        <v>44</v>
      </c>
      <c r="AT5" s="10"/>
    </row>
    <row r="6" spans="1:46" x14ac:dyDescent="0.35">
      <c r="A6">
        <f t="shared" si="0"/>
        <v>1</v>
      </c>
      <c r="B6" t="s">
        <v>19</v>
      </c>
      <c r="D6" s="6">
        <v>25</v>
      </c>
      <c r="E6" s="6" t="s">
        <v>18</v>
      </c>
      <c r="F6" s="6">
        <v>500</v>
      </c>
      <c r="G6" s="7">
        <v>220000</v>
      </c>
      <c r="H6" s="6">
        <v>1576</v>
      </c>
      <c r="I6" s="6">
        <v>1870</v>
      </c>
      <c r="J6" s="6">
        <v>1</v>
      </c>
      <c r="K6" s="6">
        <v>0.2</v>
      </c>
      <c r="L6" s="6">
        <v>2.2000000000000002</v>
      </c>
      <c r="M6" s="6">
        <v>1</v>
      </c>
      <c r="N6" s="6">
        <v>0.03</v>
      </c>
      <c r="O6" s="6">
        <v>1</v>
      </c>
      <c r="P6" s="6">
        <v>0</v>
      </c>
      <c r="Q6" s="6">
        <v>0</v>
      </c>
      <c r="R6" s="6">
        <v>1</v>
      </c>
      <c r="S6" s="6">
        <v>0</v>
      </c>
      <c r="T6" s="6">
        <v>0</v>
      </c>
      <c r="U6" s="6">
        <v>0</v>
      </c>
      <c r="V6" s="8">
        <v>0</v>
      </c>
      <c r="W6" s="8">
        <v>0</v>
      </c>
      <c r="X6" s="6" t="s">
        <v>52</v>
      </c>
      <c r="Y6" s="2">
        <f t="shared" si="1"/>
        <v>0</v>
      </c>
      <c r="Z6" s="2">
        <f t="shared" si="2"/>
        <v>0</v>
      </c>
      <c r="AA6" s="5">
        <v>0</v>
      </c>
      <c r="AB6" s="2">
        <f t="shared" si="3"/>
        <v>0</v>
      </c>
      <c r="AC6" s="2">
        <f t="shared" si="4"/>
        <v>0</v>
      </c>
      <c r="AD6" s="4">
        <f t="shared" si="5"/>
        <v>0</v>
      </c>
      <c r="AE6" s="4"/>
      <c r="AF6">
        <f t="shared" si="6"/>
        <v>0</v>
      </c>
      <c r="AT6" s="10"/>
    </row>
    <row r="7" spans="1:46" x14ac:dyDescent="0.35">
      <c r="A7">
        <f t="shared" si="0"/>
        <v>2</v>
      </c>
      <c r="B7" t="s">
        <v>33</v>
      </c>
      <c r="C7" t="s">
        <v>20</v>
      </c>
      <c r="D7">
        <v>25</v>
      </c>
      <c r="E7" t="s">
        <v>18</v>
      </c>
      <c r="F7">
        <v>500</v>
      </c>
      <c r="G7" s="1">
        <v>220000</v>
      </c>
      <c r="H7">
        <v>1576</v>
      </c>
      <c r="I7">
        <v>1870</v>
      </c>
      <c r="J7">
        <v>1</v>
      </c>
      <c r="K7">
        <v>0.24</v>
      </c>
      <c r="L7">
        <v>2.2000000000000002</v>
      </c>
      <c r="M7">
        <v>5.6539999999999997E-4</v>
      </c>
      <c r="N7">
        <v>0.03</v>
      </c>
      <c r="O7">
        <v>1</v>
      </c>
      <c r="P7">
        <v>0</v>
      </c>
      <c r="Q7">
        <v>0</v>
      </c>
      <c r="R7">
        <v>1</v>
      </c>
      <c r="S7">
        <v>2.9099999999999999E-5</v>
      </c>
      <c r="T7">
        <v>0</v>
      </c>
      <c r="U7">
        <v>2</v>
      </c>
      <c r="V7" s="2">
        <v>20</v>
      </c>
      <c r="W7">
        <v>7.5</v>
      </c>
      <c r="X7" s="9" t="s">
        <v>52</v>
      </c>
      <c r="Y7" s="2">
        <f t="shared" si="1"/>
        <v>30.4</v>
      </c>
      <c r="Z7" s="2">
        <f t="shared" si="2"/>
        <v>11.26</v>
      </c>
      <c r="AA7" s="3">
        <v>0</v>
      </c>
      <c r="AB7" s="2">
        <f t="shared" ref="AB7:AB13" si="7">Y7*(1-AA7)</f>
        <v>30.4</v>
      </c>
      <c r="AC7" s="2">
        <f t="shared" ref="AC7:AC13" si="8">Y7*AA7 + Z7</f>
        <v>11.26</v>
      </c>
      <c r="AD7" s="4">
        <f t="shared" ref="AD7:AD13" si="9">1.35*Y7+1.5*Z7</f>
        <v>57.93</v>
      </c>
      <c r="AE7" s="4"/>
      <c r="AF7">
        <f t="shared" ref="AF7:AF13" si="10">AB7+AC7</f>
        <v>41.66</v>
      </c>
      <c r="AT7" s="10"/>
    </row>
    <row r="8" spans="1:46" x14ac:dyDescent="0.35">
      <c r="A8">
        <f t="shared" si="0"/>
        <v>2</v>
      </c>
      <c r="B8" t="s">
        <v>33</v>
      </c>
      <c r="C8" t="s">
        <v>21</v>
      </c>
      <c r="D8">
        <v>25</v>
      </c>
      <c r="E8" t="s">
        <v>18</v>
      </c>
      <c r="F8">
        <v>500</v>
      </c>
      <c r="G8" s="1">
        <v>220000</v>
      </c>
      <c r="H8">
        <v>1576</v>
      </c>
      <c r="I8">
        <v>1870</v>
      </c>
      <c r="J8">
        <v>1</v>
      </c>
      <c r="K8">
        <v>0.23</v>
      </c>
      <c r="L8">
        <v>2.2000000000000002</v>
      </c>
      <c r="M8">
        <v>8.470000000000001E-4</v>
      </c>
      <c r="N8">
        <v>7.0000000000000007E-2</v>
      </c>
      <c r="O8">
        <v>1</v>
      </c>
      <c r="P8">
        <v>0</v>
      </c>
      <c r="Q8">
        <v>0</v>
      </c>
      <c r="R8">
        <v>1</v>
      </c>
      <c r="S8">
        <v>2.9099999999999999E-5</v>
      </c>
      <c r="T8">
        <v>0</v>
      </c>
      <c r="U8">
        <v>5</v>
      </c>
      <c r="V8" s="2">
        <v>65</v>
      </c>
      <c r="W8" s="2">
        <v>23.5</v>
      </c>
      <c r="X8" s="9">
        <v>-0.32</v>
      </c>
      <c r="Y8" s="2">
        <f t="shared" si="1"/>
        <v>44.2</v>
      </c>
      <c r="Z8" s="2">
        <f t="shared" si="2"/>
        <v>15.98</v>
      </c>
      <c r="AA8" s="3">
        <v>0</v>
      </c>
      <c r="AB8" s="2">
        <f t="shared" si="7"/>
        <v>44.2</v>
      </c>
      <c r="AC8" s="2">
        <f t="shared" si="8"/>
        <v>15.98</v>
      </c>
      <c r="AD8" s="4">
        <f t="shared" si="9"/>
        <v>83.640000000000015</v>
      </c>
      <c r="AE8" s="4"/>
      <c r="AF8">
        <f t="shared" si="10"/>
        <v>60.180000000000007</v>
      </c>
      <c r="AT8" s="10"/>
    </row>
    <row r="9" spans="1:46" x14ac:dyDescent="0.35">
      <c r="A9">
        <f t="shared" si="0"/>
        <v>2</v>
      </c>
      <c r="B9" t="s">
        <v>33</v>
      </c>
      <c r="C9" t="s">
        <v>24</v>
      </c>
      <c r="D9">
        <v>25</v>
      </c>
      <c r="E9" t="s">
        <v>18</v>
      </c>
      <c r="F9">
        <v>500</v>
      </c>
      <c r="G9" s="1">
        <v>220000</v>
      </c>
      <c r="H9">
        <v>1576</v>
      </c>
      <c r="I9">
        <v>1870</v>
      </c>
      <c r="J9">
        <v>1</v>
      </c>
      <c r="K9">
        <v>0.215</v>
      </c>
      <c r="L9">
        <v>2.2000000000000002</v>
      </c>
      <c r="M9">
        <v>8.470000000000001E-4</v>
      </c>
      <c r="N9">
        <v>0.03</v>
      </c>
      <c r="O9">
        <v>1</v>
      </c>
      <c r="P9">
        <v>0</v>
      </c>
      <c r="Q9">
        <v>0</v>
      </c>
      <c r="R9">
        <v>1</v>
      </c>
      <c r="S9">
        <v>2.9099999999999999E-5</v>
      </c>
      <c r="T9">
        <v>0</v>
      </c>
      <c r="U9">
        <v>2</v>
      </c>
      <c r="V9" s="2">
        <v>27.2</v>
      </c>
      <c r="W9">
        <v>10.8</v>
      </c>
      <c r="X9" s="9" t="s">
        <v>52</v>
      </c>
      <c r="Y9" s="2">
        <f t="shared" si="1"/>
        <v>37.6</v>
      </c>
      <c r="Z9" s="2">
        <f t="shared" si="2"/>
        <v>14.56</v>
      </c>
      <c r="AA9" s="3">
        <v>0</v>
      </c>
      <c r="AB9" s="2">
        <f t="shared" si="7"/>
        <v>37.6</v>
      </c>
      <c r="AC9" s="2">
        <f t="shared" si="8"/>
        <v>14.56</v>
      </c>
      <c r="AD9" s="4">
        <f t="shared" si="9"/>
        <v>72.600000000000009</v>
      </c>
      <c r="AE9" s="4"/>
      <c r="AF9">
        <f t="shared" si="10"/>
        <v>52.160000000000004</v>
      </c>
      <c r="AT9" s="10"/>
    </row>
    <row r="10" spans="1:46" x14ac:dyDescent="0.35">
      <c r="A10">
        <f t="shared" si="0"/>
        <v>2</v>
      </c>
      <c r="B10" t="s">
        <v>33</v>
      </c>
      <c r="C10" t="s">
        <v>25</v>
      </c>
      <c r="D10">
        <v>25</v>
      </c>
      <c r="E10" t="s">
        <v>18</v>
      </c>
      <c r="F10">
        <v>500</v>
      </c>
      <c r="G10" s="1">
        <v>220000</v>
      </c>
      <c r="H10">
        <v>1576</v>
      </c>
      <c r="I10">
        <v>1870</v>
      </c>
      <c r="J10">
        <v>1</v>
      </c>
      <c r="K10">
        <v>0.2</v>
      </c>
      <c r="L10">
        <v>2.2000000000000002</v>
      </c>
      <c r="M10">
        <v>1.6940000000000002E-3</v>
      </c>
      <c r="N10">
        <v>0.03</v>
      </c>
      <c r="O10">
        <v>1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 s="2">
        <v>38</v>
      </c>
      <c r="W10" s="2">
        <v>17.5</v>
      </c>
      <c r="X10" s="9">
        <v>0</v>
      </c>
      <c r="Y10" s="2">
        <f t="shared" si="1"/>
        <v>38</v>
      </c>
      <c r="Z10" s="2">
        <f t="shared" si="2"/>
        <v>17.5</v>
      </c>
      <c r="AA10" s="3">
        <v>0</v>
      </c>
      <c r="AB10" s="2">
        <f t="shared" si="7"/>
        <v>38</v>
      </c>
      <c r="AC10" s="2">
        <f t="shared" si="8"/>
        <v>17.5</v>
      </c>
      <c r="AD10" s="4">
        <f t="shared" si="9"/>
        <v>77.550000000000011</v>
      </c>
      <c r="AE10" s="4"/>
      <c r="AF10">
        <f t="shared" si="10"/>
        <v>55.5</v>
      </c>
      <c r="AT10" s="10"/>
    </row>
    <row r="11" spans="1:46" x14ac:dyDescent="0.35">
      <c r="A11">
        <f t="shared" si="0"/>
        <v>2</v>
      </c>
      <c r="B11" t="s">
        <v>33</v>
      </c>
      <c r="C11" t="s">
        <v>26</v>
      </c>
      <c r="D11">
        <v>25</v>
      </c>
      <c r="E11" t="s">
        <v>18</v>
      </c>
      <c r="F11">
        <v>500</v>
      </c>
      <c r="G11" s="1">
        <v>220000</v>
      </c>
      <c r="H11">
        <v>1576</v>
      </c>
      <c r="I11">
        <v>1870</v>
      </c>
      <c r="J11">
        <v>1</v>
      </c>
      <c r="K11">
        <v>0.215</v>
      </c>
      <c r="L11">
        <v>2.2000000000000002</v>
      </c>
      <c r="M11">
        <v>1.1286E-3</v>
      </c>
      <c r="N11">
        <v>0.03</v>
      </c>
      <c r="O11">
        <v>1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 s="2">
        <v>3.5</v>
      </c>
      <c r="W11" s="2">
        <v>4.3</v>
      </c>
      <c r="X11" s="9" t="s">
        <v>52</v>
      </c>
      <c r="Y11" s="2">
        <f t="shared" si="1"/>
        <v>3.5</v>
      </c>
      <c r="Z11" s="2">
        <f t="shared" si="2"/>
        <v>4.3</v>
      </c>
      <c r="AA11" s="3">
        <v>0</v>
      </c>
      <c r="AB11" s="2">
        <f t="shared" si="7"/>
        <v>3.5</v>
      </c>
      <c r="AC11" s="2">
        <f t="shared" si="8"/>
        <v>4.3</v>
      </c>
      <c r="AD11" s="4">
        <f t="shared" si="9"/>
        <v>11.175000000000001</v>
      </c>
      <c r="AE11" s="4"/>
      <c r="AF11">
        <f t="shared" si="10"/>
        <v>7.8</v>
      </c>
      <c r="AT11" s="10"/>
    </row>
    <row r="12" spans="1:46" x14ac:dyDescent="0.35">
      <c r="A12">
        <f t="shared" si="0"/>
        <v>2</v>
      </c>
      <c r="B12" t="s">
        <v>33</v>
      </c>
      <c r="C12" t="s">
        <v>27</v>
      </c>
      <c r="D12">
        <v>25</v>
      </c>
      <c r="E12" t="s">
        <v>18</v>
      </c>
      <c r="F12">
        <v>500</v>
      </c>
      <c r="G12" s="1">
        <v>220000</v>
      </c>
      <c r="H12">
        <v>1576</v>
      </c>
      <c r="I12">
        <v>1870</v>
      </c>
      <c r="J12">
        <v>1</v>
      </c>
      <c r="K12">
        <v>0.23</v>
      </c>
      <c r="L12">
        <v>2.2000000000000002</v>
      </c>
      <c r="M12">
        <v>8.470000000000001E-4</v>
      </c>
      <c r="N12">
        <v>0.06</v>
      </c>
      <c r="O12">
        <v>1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 s="2">
        <v>10</v>
      </c>
      <c r="W12">
        <v>8</v>
      </c>
      <c r="X12" s="9">
        <v>0</v>
      </c>
      <c r="Y12" s="2">
        <f t="shared" si="1"/>
        <v>10</v>
      </c>
      <c r="Z12" s="2">
        <f t="shared" si="2"/>
        <v>8</v>
      </c>
      <c r="AA12" s="3">
        <v>0</v>
      </c>
      <c r="AB12" s="2">
        <f t="shared" si="7"/>
        <v>10</v>
      </c>
      <c r="AC12" s="2">
        <f t="shared" si="8"/>
        <v>8</v>
      </c>
      <c r="AD12" s="4">
        <f t="shared" si="9"/>
        <v>25.5</v>
      </c>
      <c r="AE12" s="4"/>
      <c r="AF12">
        <f t="shared" si="10"/>
        <v>18</v>
      </c>
      <c r="AT12" s="10"/>
    </row>
    <row r="13" spans="1:46" x14ac:dyDescent="0.35">
      <c r="A13">
        <f t="shared" si="0"/>
        <v>2</v>
      </c>
      <c r="B13" t="s">
        <v>33</v>
      </c>
      <c r="D13" s="6">
        <v>25</v>
      </c>
      <c r="E13" s="6" t="s">
        <v>18</v>
      </c>
      <c r="F13" s="6">
        <v>500</v>
      </c>
      <c r="G13" s="7">
        <v>220000</v>
      </c>
      <c r="H13" s="6">
        <v>1576</v>
      </c>
      <c r="I13" s="6">
        <v>1870</v>
      </c>
      <c r="J13" s="6">
        <v>1</v>
      </c>
      <c r="K13" s="6">
        <v>0.2</v>
      </c>
      <c r="L13" s="6">
        <v>2.2000000000000002</v>
      </c>
      <c r="M13" s="6">
        <v>1</v>
      </c>
      <c r="N13" s="6">
        <v>0.03</v>
      </c>
      <c r="O13" s="6">
        <v>1</v>
      </c>
      <c r="P13" s="6">
        <v>0</v>
      </c>
      <c r="Q13" s="6">
        <v>0</v>
      </c>
      <c r="R13" s="6">
        <v>1</v>
      </c>
      <c r="S13" s="6">
        <v>0</v>
      </c>
      <c r="T13" s="6">
        <v>0</v>
      </c>
      <c r="U13" s="6">
        <v>0</v>
      </c>
      <c r="V13" s="8">
        <v>0</v>
      </c>
      <c r="W13" s="8">
        <v>0</v>
      </c>
      <c r="X13" s="6" t="s">
        <v>52</v>
      </c>
      <c r="Y13" s="2">
        <f t="shared" si="1"/>
        <v>0</v>
      </c>
      <c r="Z13" s="2">
        <f t="shared" si="2"/>
        <v>0</v>
      </c>
      <c r="AA13" s="5">
        <v>0</v>
      </c>
      <c r="AB13" s="2">
        <f t="shared" si="7"/>
        <v>0</v>
      </c>
      <c r="AC13" s="2">
        <f t="shared" si="8"/>
        <v>0</v>
      </c>
      <c r="AD13" s="4">
        <f t="shared" si="9"/>
        <v>0</v>
      </c>
      <c r="AE13" s="4"/>
      <c r="AF13">
        <f t="shared" si="10"/>
        <v>0</v>
      </c>
      <c r="AT13" s="10"/>
    </row>
    <row r="14" spans="1:46" x14ac:dyDescent="0.35">
      <c r="A14">
        <f t="shared" si="0"/>
        <v>2</v>
      </c>
      <c r="B14" t="s">
        <v>33</v>
      </c>
      <c r="C14" t="s">
        <v>29</v>
      </c>
      <c r="D14">
        <v>25</v>
      </c>
      <c r="E14" t="s">
        <v>18</v>
      </c>
      <c r="F14">
        <v>500</v>
      </c>
      <c r="G14" s="1">
        <v>220000</v>
      </c>
      <c r="H14">
        <v>1576</v>
      </c>
      <c r="I14">
        <v>1870</v>
      </c>
      <c r="J14">
        <v>1</v>
      </c>
      <c r="K14">
        <v>0.2</v>
      </c>
      <c r="L14">
        <v>2.2000000000000002</v>
      </c>
      <c r="M14">
        <v>5.53E-4</v>
      </c>
      <c r="N14">
        <v>0.03</v>
      </c>
      <c r="O14">
        <v>1</v>
      </c>
      <c r="P14">
        <v>0</v>
      </c>
      <c r="Q14">
        <v>0</v>
      </c>
      <c r="R14">
        <v>1</v>
      </c>
      <c r="S14">
        <v>2.9099999999999999E-5</v>
      </c>
      <c r="T14">
        <v>0</v>
      </c>
      <c r="U14">
        <v>5</v>
      </c>
      <c r="V14" s="2">
        <v>37</v>
      </c>
      <c r="W14" s="2">
        <v>15</v>
      </c>
      <c r="X14" s="9">
        <v>0</v>
      </c>
      <c r="Y14" s="2">
        <f t="shared" si="1"/>
        <v>37</v>
      </c>
      <c r="Z14" s="2">
        <f t="shared" si="2"/>
        <v>15</v>
      </c>
      <c r="AA14" s="3">
        <v>0</v>
      </c>
      <c r="AB14" s="2">
        <f t="shared" ref="AB14:AB18" si="11">Y14*(1-AA14)</f>
        <v>37</v>
      </c>
      <c r="AC14" s="2">
        <f t="shared" ref="AC14:AC18" si="12">Y14*AA14 + Z14</f>
        <v>15</v>
      </c>
      <c r="AD14" s="4">
        <f t="shared" ref="AD14:AD18" si="13">1.35*Y14+1.5*Z14</f>
        <v>72.45</v>
      </c>
      <c r="AE14" s="4"/>
      <c r="AF14">
        <f t="shared" ref="AF14:AF18" si="14">AB14+AC14</f>
        <v>52</v>
      </c>
      <c r="AT14" s="10"/>
    </row>
    <row r="15" spans="1:46" x14ac:dyDescent="0.35">
      <c r="A15">
        <f t="shared" si="0"/>
        <v>2</v>
      </c>
      <c r="B15" t="s">
        <v>33</v>
      </c>
      <c r="C15" t="s">
        <v>30</v>
      </c>
      <c r="D15">
        <v>25</v>
      </c>
      <c r="E15" t="s">
        <v>18</v>
      </c>
      <c r="F15">
        <v>500</v>
      </c>
      <c r="G15" s="1">
        <v>220000</v>
      </c>
      <c r="H15">
        <v>1576</v>
      </c>
      <c r="I15">
        <v>1870</v>
      </c>
      <c r="J15">
        <v>1</v>
      </c>
      <c r="K15">
        <v>0.215</v>
      </c>
      <c r="L15">
        <v>2.2000000000000002</v>
      </c>
      <c r="M15">
        <v>5.6539999999999997E-4</v>
      </c>
      <c r="N15">
        <v>0.03</v>
      </c>
      <c r="O15">
        <v>1</v>
      </c>
      <c r="P15">
        <v>0</v>
      </c>
      <c r="Q15">
        <v>0</v>
      </c>
      <c r="R15">
        <v>1</v>
      </c>
      <c r="S15">
        <v>2.9099999999999999E-5</v>
      </c>
      <c r="T15">
        <v>0</v>
      </c>
      <c r="U15">
        <v>2</v>
      </c>
      <c r="V15" s="2">
        <v>26</v>
      </c>
      <c r="W15" s="2">
        <v>8.5</v>
      </c>
      <c r="X15" s="9" t="s">
        <v>52</v>
      </c>
      <c r="Y15" s="2">
        <f t="shared" si="1"/>
        <v>35.799999999999997</v>
      </c>
      <c r="Z15" s="2">
        <f t="shared" si="2"/>
        <v>11.5625</v>
      </c>
      <c r="AA15" s="3">
        <v>0</v>
      </c>
      <c r="AB15" s="2">
        <f t="shared" si="11"/>
        <v>35.799999999999997</v>
      </c>
      <c r="AC15" s="2">
        <f t="shared" si="12"/>
        <v>11.5625</v>
      </c>
      <c r="AD15" s="4">
        <f t="shared" si="13"/>
        <v>65.673749999999998</v>
      </c>
      <c r="AE15" s="4"/>
      <c r="AF15">
        <f t="shared" si="14"/>
        <v>47.362499999999997</v>
      </c>
      <c r="AT15" s="10"/>
    </row>
    <row r="16" spans="1:46" x14ac:dyDescent="0.35">
      <c r="A16">
        <f t="shared" si="0"/>
        <v>2</v>
      </c>
      <c r="B16" t="s">
        <v>33</v>
      </c>
      <c r="C16" t="s">
        <v>31</v>
      </c>
      <c r="D16">
        <v>25</v>
      </c>
      <c r="E16" t="s">
        <v>18</v>
      </c>
      <c r="F16">
        <v>500</v>
      </c>
      <c r="G16" s="1">
        <v>220000</v>
      </c>
      <c r="H16">
        <v>1576</v>
      </c>
      <c r="I16">
        <v>1870</v>
      </c>
      <c r="J16">
        <v>1</v>
      </c>
      <c r="K16">
        <v>0.23</v>
      </c>
      <c r="L16">
        <v>2.2000000000000002</v>
      </c>
      <c r="M16">
        <v>2.8200000000000002E-4</v>
      </c>
      <c r="N16">
        <v>0.06</v>
      </c>
      <c r="O16">
        <v>1</v>
      </c>
      <c r="P16">
        <v>0</v>
      </c>
      <c r="Q16">
        <v>0</v>
      </c>
      <c r="R16">
        <v>1</v>
      </c>
      <c r="S16">
        <v>2.9099999999999999E-5</v>
      </c>
      <c r="T16">
        <v>0</v>
      </c>
      <c r="U16">
        <v>5</v>
      </c>
      <c r="V16" s="2">
        <v>56</v>
      </c>
      <c r="W16" s="2">
        <v>17.5</v>
      </c>
      <c r="X16" s="9">
        <v>-0.35</v>
      </c>
      <c r="Y16" s="2">
        <f t="shared" si="1"/>
        <v>36.400000000000006</v>
      </c>
      <c r="Z16" s="2">
        <f t="shared" si="2"/>
        <v>11.375</v>
      </c>
      <c r="AA16" s="3">
        <v>0</v>
      </c>
      <c r="AB16" s="2">
        <f t="shared" si="11"/>
        <v>36.400000000000006</v>
      </c>
      <c r="AC16" s="2">
        <f t="shared" si="12"/>
        <v>11.375</v>
      </c>
      <c r="AD16" s="4">
        <f t="shared" si="13"/>
        <v>66.202500000000015</v>
      </c>
      <c r="AE16" s="4"/>
      <c r="AF16">
        <f t="shared" si="14"/>
        <v>47.775000000000006</v>
      </c>
      <c r="AT16" s="10"/>
    </row>
    <row r="17" spans="1:46" x14ac:dyDescent="0.35">
      <c r="A17">
        <f t="shared" si="0"/>
        <v>2</v>
      </c>
      <c r="B17" t="s">
        <v>33</v>
      </c>
      <c r="C17" t="s">
        <v>32</v>
      </c>
      <c r="D17">
        <v>25</v>
      </c>
      <c r="E17" t="s">
        <v>18</v>
      </c>
      <c r="F17">
        <v>500</v>
      </c>
      <c r="G17" s="1">
        <v>220000</v>
      </c>
      <c r="H17">
        <v>1576</v>
      </c>
      <c r="I17">
        <v>1870</v>
      </c>
      <c r="J17">
        <v>1</v>
      </c>
      <c r="K17">
        <v>0.24</v>
      </c>
      <c r="L17">
        <v>2.2000000000000002</v>
      </c>
      <c r="M17">
        <v>5.6539999999999997E-4</v>
      </c>
      <c r="N17">
        <v>0.03</v>
      </c>
      <c r="O17">
        <v>1</v>
      </c>
      <c r="P17">
        <v>0</v>
      </c>
      <c r="Q17">
        <v>0</v>
      </c>
      <c r="R17">
        <v>1</v>
      </c>
      <c r="S17">
        <v>0</v>
      </c>
      <c r="T17">
        <v>0</v>
      </c>
      <c r="U17">
        <v>1</v>
      </c>
      <c r="V17" s="2">
        <v>0</v>
      </c>
      <c r="W17" s="2">
        <v>0</v>
      </c>
      <c r="X17" s="9" t="s">
        <v>52</v>
      </c>
      <c r="Y17" s="2">
        <f t="shared" si="1"/>
        <v>9.7999999999999989</v>
      </c>
      <c r="Z17" s="2">
        <f t="shared" si="2"/>
        <v>3.0625</v>
      </c>
      <c r="AA17" s="3">
        <v>0</v>
      </c>
      <c r="AB17" s="2">
        <f t="shared" si="11"/>
        <v>9.7999999999999989</v>
      </c>
      <c r="AC17" s="2">
        <f t="shared" si="12"/>
        <v>3.0625</v>
      </c>
      <c r="AD17" s="4">
        <f t="shared" si="13"/>
        <v>17.823749999999997</v>
      </c>
      <c r="AE17" s="4"/>
      <c r="AF17">
        <f t="shared" si="14"/>
        <v>12.862499999999999</v>
      </c>
      <c r="AT17" s="10"/>
    </row>
    <row r="18" spans="1:46" x14ac:dyDescent="0.35">
      <c r="A18">
        <f t="shared" si="0"/>
        <v>2</v>
      </c>
      <c r="B18" t="s">
        <v>33</v>
      </c>
      <c r="D18" s="6">
        <v>25</v>
      </c>
      <c r="E18" s="6" t="s">
        <v>18</v>
      </c>
      <c r="F18" s="6">
        <v>500</v>
      </c>
      <c r="G18" s="7">
        <v>220000</v>
      </c>
      <c r="H18" s="6">
        <v>1576</v>
      </c>
      <c r="I18" s="6">
        <v>1870</v>
      </c>
      <c r="J18" s="6">
        <v>1</v>
      </c>
      <c r="K18" s="6">
        <v>0.2</v>
      </c>
      <c r="L18" s="6">
        <v>2.2000000000000002</v>
      </c>
      <c r="M18" s="6">
        <v>1</v>
      </c>
      <c r="N18" s="6">
        <v>0.03</v>
      </c>
      <c r="O18" s="6">
        <v>1</v>
      </c>
      <c r="P18" s="6">
        <v>0</v>
      </c>
      <c r="Q18" s="6">
        <v>0</v>
      </c>
      <c r="R18" s="6">
        <v>1</v>
      </c>
      <c r="S18" s="6">
        <v>0</v>
      </c>
      <c r="T18" s="6">
        <v>0</v>
      </c>
      <c r="U18" s="6">
        <v>0</v>
      </c>
      <c r="V18" s="8">
        <v>0</v>
      </c>
      <c r="W18" s="8">
        <v>0</v>
      </c>
      <c r="X18" s="6" t="s">
        <v>52</v>
      </c>
      <c r="Y18" s="2">
        <f t="shared" si="1"/>
        <v>0</v>
      </c>
      <c r="Z18" s="2">
        <f t="shared" si="2"/>
        <v>0</v>
      </c>
      <c r="AA18" s="5">
        <v>0</v>
      </c>
      <c r="AB18" s="2">
        <f t="shared" si="11"/>
        <v>0</v>
      </c>
      <c r="AC18" s="2">
        <f t="shared" si="12"/>
        <v>0</v>
      </c>
      <c r="AD18" s="4">
        <f t="shared" si="13"/>
        <v>0</v>
      </c>
      <c r="AE18" s="4"/>
      <c r="AF18">
        <f t="shared" si="14"/>
        <v>0</v>
      </c>
      <c r="AT18" s="10"/>
    </row>
    <row r="19" spans="1:46" x14ac:dyDescent="0.35">
      <c r="A19">
        <f t="shared" si="0"/>
        <v>3</v>
      </c>
      <c r="B19" t="s">
        <v>34</v>
      </c>
      <c r="C19" t="s">
        <v>20</v>
      </c>
      <c r="D19">
        <v>25</v>
      </c>
      <c r="E19" t="s">
        <v>18</v>
      </c>
      <c r="F19">
        <v>500</v>
      </c>
      <c r="G19" s="1">
        <v>220000</v>
      </c>
      <c r="H19">
        <v>1576</v>
      </c>
      <c r="I19">
        <v>1870</v>
      </c>
      <c r="J19">
        <v>1</v>
      </c>
      <c r="K19">
        <v>0.24</v>
      </c>
      <c r="L19">
        <v>2.2000000000000002</v>
      </c>
      <c r="M19">
        <v>5.6539999999999997E-4</v>
      </c>
      <c r="N19">
        <v>0.03</v>
      </c>
      <c r="O19">
        <v>1</v>
      </c>
      <c r="P19">
        <v>0</v>
      </c>
      <c r="Q19">
        <v>0</v>
      </c>
      <c r="R19">
        <v>1</v>
      </c>
      <c r="S19">
        <v>2.9099999999999999E-5</v>
      </c>
      <c r="T19">
        <v>0</v>
      </c>
      <c r="U19">
        <v>2</v>
      </c>
      <c r="V19" s="2">
        <v>21</v>
      </c>
      <c r="W19">
        <v>10.1</v>
      </c>
      <c r="X19" s="9" t="s">
        <v>52</v>
      </c>
      <c r="Y19" s="2">
        <f t="shared" si="1"/>
        <v>21</v>
      </c>
      <c r="Z19" s="2">
        <f t="shared" si="2"/>
        <v>10.1</v>
      </c>
      <c r="AA19" s="3">
        <v>0</v>
      </c>
      <c r="AB19" s="2">
        <f t="shared" ref="AB19:AB29" si="15">Y19*(1-AA19)</f>
        <v>21</v>
      </c>
      <c r="AC19" s="2">
        <f t="shared" ref="AC19:AC29" si="16">Y19*AA19 + Z19</f>
        <v>10.1</v>
      </c>
      <c r="AD19" s="4">
        <f t="shared" ref="AD19:AD29" si="17">1.35*Y19+1.5*Z19</f>
        <v>43.5</v>
      </c>
      <c r="AE19" s="4"/>
      <c r="AF19">
        <f t="shared" ref="AF19:AF29" si="18">AB19+AC19</f>
        <v>31.1</v>
      </c>
      <c r="AT19" s="10"/>
    </row>
    <row r="20" spans="1:46" x14ac:dyDescent="0.35">
      <c r="A20">
        <f t="shared" si="0"/>
        <v>3</v>
      </c>
      <c r="B20" t="s">
        <v>34</v>
      </c>
      <c r="C20" t="s">
        <v>21</v>
      </c>
      <c r="D20">
        <v>25</v>
      </c>
      <c r="E20" t="s">
        <v>18</v>
      </c>
      <c r="F20">
        <v>500</v>
      </c>
      <c r="G20" s="1">
        <v>220000</v>
      </c>
      <c r="H20">
        <v>1576</v>
      </c>
      <c r="I20">
        <v>1870</v>
      </c>
      <c r="J20">
        <v>1</v>
      </c>
      <c r="K20">
        <v>0.23</v>
      </c>
      <c r="L20">
        <v>2.2000000000000002</v>
      </c>
      <c r="M20">
        <v>1.9E-3</v>
      </c>
      <c r="N20">
        <v>0.06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 s="2">
        <v>82.5</v>
      </c>
      <c r="W20">
        <v>30</v>
      </c>
      <c r="X20" s="9">
        <v>0</v>
      </c>
      <c r="Y20" s="2">
        <f t="shared" si="1"/>
        <v>82.5</v>
      </c>
      <c r="Z20" s="2">
        <f t="shared" si="2"/>
        <v>30</v>
      </c>
      <c r="AA20" s="3">
        <v>0</v>
      </c>
      <c r="AB20" s="2">
        <f t="shared" si="15"/>
        <v>82.5</v>
      </c>
      <c r="AC20" s="2">
        <f t="shared" si="16"/>
        <v>30</v>
      </c>
      <c r="AD20" s="4">
        <f t="shared" si="17"/>
        <v>156.375</v>
      </c>
      <c r="AE20" s="4"/>
      <c r="AF20">
        <f t="shared" si="18"/>
        <v>112.5</v>
      </c>
      <c r="AT20" s="10"/>
    </row>
    <row r="21" spans="1:46" x14ac:dyDescent="0.35">
      <c r="A21">
        <f t="shared" si="0"/>
        <v>3</v>
      </c>
      <c r="B21" t="s">
        <v>34</v>
      </c>
      <c r="C21" t="s">
        <v>24</v>
      </c>
      <c r="D21">
        <v>25</v>
      </c>
      <c r="E21" t="s">
        <v>18</v>
      </c>
      <c r="F21">
        <v>500</v>
      </c>
      <c r="G21" s="1">
        <v>220000</v>
      </c>
      <c r="H21">
        <v>1576</v>
      </c>
      <c r="I21">
        <v>1870</v>
      </c>
      <c r="J21">
        <v>1</v>
      </c>
      <c r="K21">
        <v>0.215</v>
      </c>
      <c r="L21">
        <v>2.2000000000000002</v>
      </c>
      <c r="M21">
        <v>1.1286E-3</v>
      </c>
      <c r="N21">
        <v>0.03</v>
      </c>
      <c r="O21">
        <v>1</v>
      </c>
      <c r="P21">
        <v>0</v>
      </c>
      <c r="Q21">
        <v>0</v>
      </c>
      <c r="R21">
        <v>1</v>
      </c>
      <c r="S21">
        <v>2.9099999999999999E-5</v>
      </c>
      <c r="T21">
        <v>0</v>
      </c>
      <c r="U21">
        <v>5</v>
      </c>
      <c r="V21" s="2">
        <v>39.4</v>
      </c>
      <c r="W21">
        <v>15.8</v>
      </c>
      <c r="X21" s="9" t="s">
        <v>52</v>
      </c>
      <c r="Y21" s="2">
        <f t="shared" si="1"/>
        <v>39.4</v>
      </c>
      <c r="Z21" s="2">
        <f t="shared" si="2"/>
        <v>15.8</v>
      </c>
      <c r="AA21" s="3">
        <v>0</v>
      </c>
      <c r="AB21" s="2">
        <f t="shared" si="15"/>
        <v>39.4</v>
      </c>
      <c r="AC21" s="2">
        <f t="shared" si="16"/>
        <v>15.8</v>
      </c>
      <c r="AD21" s="4">
        <f t="shared" si="17"/>
        <v>76.890000000000015</v>
      </c>
      <c r="AE21" s="4"/>
      <c r="AF21">
        <f t="shared" si="18"/>
        <v>55.2</v>
      </c>
      <c r="AT21" s="10"/>
    </row>
    <row r="22" spans="1:46" x14ac:dyDescent="0.35">
      <c r="A22">
        <f t="shared" si="0"/>
        <v>3</v>
      </c>
      <c r="B22" t="s">
        <v>34</v>
      </c>
      <c r="C22" t="s">
        <v>25</v>
      </c>
      <c r="D22">
        <v>25</v>
      </c>
      <c r="E22" t="s">
        <v>18</v>
      </c>
      <c r="F22">
        <v>500</v>
      </c>
      <c r="G22" s="1">
        <v>220000</v>
      </c>
      <c r="H22">
        <v>1576</v>
      </c>
      <c r="I22">
        <v>1870</v>
      </c>
      <c r="J22">
        <v>1</v>
      </c>
      <c r="K22">
        <v>0.2</v>
      </c>
      <c r="L22">
        <v>2.2000000000000002</v>
      </c>
      <c r="M22">
        <v>2.0300000000000001E-3</v>
      </c>
      <c r="N22">
        <v>0.03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 s="2">
        <v>67.5</v>
      </c>
      <c r="W22">
        <v>28</v>
      </c>
      <c r="X22" s="9">
        <v>0</v>
      </c>
      <c r="Y22" s="2">
        <f t="shared" si="1"/>
        <v>67.5</v>
      </c>
      <c r="Z22" s="2">
        <f t="shared" si="2"/>
        <v>28</v>
      </c>
      <c r="AA22" s="3">
        <v>0</v>
      </c>
      <c r="AB22" s="2">
        <f t="shared" si="15"/>
        <v>67.5</v>
      </c>
      <c r="AC22" s="2">
        <f t="shared" si="16"/>
        <v>28</v>
      </c>
      <c r="AD22" s="4">
        <f t="shared" si="17"/>
        <v>133.125</v>
      </c>
      <c r="AE22" s="4"/>
      <c r="AF22">
        <f t="shared" si="18"/>
        <v>95.5</v>
      </c>
      <c r="AT22" s="10"/>
    </row>
    <row r="23" spans="1:46" x14ac:dyDescent="0.35">
      <c r="A23">
        <f t="shared" si="0"/>
        <v>3</v>
      </c>
      <c r="B23" t="s">
        <v>34</v>
      </c>
      <c r="C23" t="s">
        <v>26</v>
      </c>
      <c r="D23">
        <v>25</v>
      </c>
      <c r="E23" t="s">
        <v>18</v>
      </c>
      <c r="F23">
        <v>500</v>
      </c>
      <c r="G23" s="1">
        <v>220000</v>
      </c>
      <c r="H23">
        <v>1576</v>
      </c>
      <c r="I23">
        <v>1870</v>
      </c>
      <c r="J23">
        <v>1</v>
      </c>
      <c r="K23">
        <v>0.215</v>
      </c>
      <c r="L23">
        <v>2.2000000000000002</v>
      </c>
      <c r="M23">
        <v>2.8160000000000001E-4</v>
      </c>
      <c r="N23">
        <v>0.03</v>
      </c>
      <c r="O23">
        <v>1</v>
      </c>
      <c r="P23">
        <v>0</v>
      </c>
      <c r="Q23">
        <v>0</v>
      </c>
      <c r="R23">
        <v>1</v>
      </c>
      <c r="S23">
        <v>2.9099999999999999E-5</v>
      </c>
      <c r="T23">
        <v>0</v>
      </c>
      <c r="U23">
        <v>7</v>
      </c>
      <c r="V23" s="2">
        <v>0</v>
      </c>
      <c r="W23">
        <v>6.2</v>
      </c>
      <c r="X23" s="9" t="s">
        <v>52</v>
      </c>
      <c r="Y23" s="2">
        <f t="shared" si="1"/>
        <v>0</v>
      </c>
      <c r="Z23" s="2">
        <f t="shared" si="2"/>
        <v>6.2</v>
      </c>
      <c r="AA23" s="3">
        <v>0</v>
      </c>
      <c r="AB23" s="2">
        <f t="shared" si="15"/>
        <v>0</v>
      </c>
      <c r="AC23" s="2">
        <f t="shared" si="16"/>
        <v>6.2</v>
      </c>
      <c r="AD23" s="4">
        <f t="shared" si="17"/>
        <v>9.3000000000000007</v>
      </c>
      <c r="AE23" s="4"/>
      <c r="AF23">
        <f t="shared" si="18"/>
        <v>6.2</v>
      </c>
      <c r="AT23" s="10"/>
    </row>
    <row r="24" spans="1:46" x14ac:dyDescent="0.35">
      <c r="A24">
        <f t="shared" si="0"/>
        <v>3</v>
      </c>
      <c r="B24" t="s">
        <v>34</v>
      </c>
      <c r="C24" t="s">
        <v>27</v>
      </c>
      <c r="D24">
        <v>25</v>
      </c>
      <c r="E24" t="s">
        <v>18</v>
      </c>
      <c r="F24">
        <v>500</v>
      </c>
      <c r="G24" s="1">
        <v>220000</v>
      </c>
      <c r="H24">
        <v>1576</v>
      </c>
      <c r="I24">
        <v>1870</v>
      </c>
      <c r="J24">
        <v>1</v>
      </c>
      <c r="K24">
        <v>0.23</v>
      </c>
      <c r="L24">
        <v>2.2000000000000002</v>
      </c>
      <c r="M24">
        <v>1.106E-3</v>
      </c>
      <c r="N24">
        <v>0.06</v>
      </c>
      <c r="O24">
        <v>1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 s="2">
        <v>20</v>
      </c>
      <c r="W24">
        <v>13</v>
      </c>
      <c r="X24" s="9">
        <v>0</v>
      </c>
      <c r="Y24" s="2">
        <f t="shared" si="1"/>
        <v>20</v>
      </c>
      <c r="Z24" s="2">
        <f t="shared" si="2"/>
        <v>13</v>
      </c>
      <c r="AA24" s="3">
        <v>0</v>
      </c>
      <c r="AB24" s="2">
        <f t="shared" si="15"/>
        <v>20</v>
      </c>
      <c r="AC24" s="2">
        <f t="shared" si="16"/>
        <v>13</v>
      </c>
      <c r="AD24" s="4">
        <f t="shared" si="17"/>
        <v>46.5</v>
      </c>
      <c r="AE24" s="4"/>
      <c r="AF24">
        <f t="shared" si="18"/>
        <v>33</v>
      </c>
      <c r="AT24" s="10"/>
    </row>
    <row r="25" spans="1:46" x14ac:dyDescent="0.35">
      <c r="A25">
        <f t="shared" si="0"/>
        <v>3</v>
      </c>
      <c r="B25" t="s">
        <v>34</v>
      </c>
      <c r="C25" t="s">
        <v>28</v>
      </c>
      <c r="D25">
        <v>25</v>
      </c>
      <c r="E25" t="s">
        <v>18</v>
      </c>
      <c r="F25">
        <v>500</v>
      </c>
      <c r="G25" s="1">
        <v>220000</v>
      </c>
      <c r="H25">
        <v>1576</v>
      </c>
      <c r="I25">
        <v>1870</v>
      </c>
      <c r="J25">
        <v>1</v>
      </c>
      <c r="K25">
        <v>0.215</v>
      </c>
      <c r="L25">
        <v>2.2000000000000002</v>
      </c>
      <c r="M25">
        <v>2.7999999999999998E-4</v>
      </c>
      <c r="N25">
        <v>0.03</v>
      </c>
      <c r="O25">
        <v>1</v>
      </c>
      <c r="P25">
        <v>0</v>
      </c>
      <c r="Q25">
        <v>0</v>
      </c>
      <c r="R25">
        <v>1</v>
      </c>
      <c r="S25">
        <v>2.9099999999999999E-5</v>
      </c>
      <c r="T25">
        <v>0</v>
      </c>
      <c r="U25">
        <v>7</v>
      </c>
      <c r="V25" s="2">
        <v>5</v>
      </c>
      <c r="W25">
        <v>6.2</v>
      </c>
      <c r="X25" s="9" t="s">
        <v>52</v>
      </c>
      <c r="Y25" s="2">
        <f t="shared" si="1"/>
        <v>2.8</v>
      </c>
      <c r="Z25" s="2">
        <f t="shared" si="2"/>
        <v>5.24</v>
      </c>
      <c r="AA25" s="3">
        <v>0</v>
      </c>
      <c r="AB25" s="2">
        <f t="shared" si="15"/>
        <v>2.8</v>
      </c>
      <c r="AC25" s="2">
        <f t="shared" si="16"/>
        <v>5.24</v>
      </c>
      <c r="AD25" s="4">
        <f t="shared" si="17"/>
        <v>11.64</v>
      </c>
      <c r="AE25" s="4"/>
      <c r="AF25">
        <f t="shared" si="18"/>
        <v>8.0399999999999991</v>
      </c>
      <c r="AT25" s="10"/>
    </row>
    <row r="26" spans="1:46" x14ac:dyDescent="0.35">
      <c r="A26">
        <f t="shared" si="0"/>
        <v>3</v>
      </c>
      <c r="B26" t="s">
        <v>34</v>
      </c>
      <c r="C26" t="s">
        <v>29</v>
      </c>
      <c r="D26">
        <v>25</v>
      </c>
      <c r="E26" t="s">
        <v>18</v>
      </c>
      <c r="F26">
        <v>500</v>
      </c>
      <c r="G26" s="1">
        <v>220000</v>
      </c>
      <c r="H26">
        <v>1576</v>
      </c>
      <c r="I26">
        <v>1870</v>
      </c>
      <c r="J26">
        <v>1</v>
      </c>
      <c r="K26">
        <v>0.2</v>
      </c>
      <c r="L26">
        <v>2.2000000000000002</v>
      </c>
      <c r="M26">
        <v>1.7852E-3</v>
      </c>
      <c r="N26">
        <v>0.03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55</v>
      </c>
      <c r="W26">
        <v>24</v>
      </c>
      <c r="X26" s="9">
        <v>0.08</v>
      </c>
      <c r="Y26" s="2">
        <f t="shared" si="1"/>
        <v>59.4</v>
      </c>
      <c r="Z26" s="2">
        <f t="shared" si="2"/>
        <v>25.92</v>
      </c>
      <c r="AA26" s="3">
        <v>0</v>
      </c>
      <c r="AB26" s="2">
        <f t="shared" si="15"/>
        <v>59.4</v>
      </c>
      <c r="AC26" s="2">
        <f t="shared" si="16"/>
        <v>25.92</v>
      </c>
      <c r="AD26" s="4">
        <f t="shared" si="17"/>
        <v>119.07</v>
      </c>
      <c r="AE26" s="4"/>
      <c r="AF26">
        <f t="shared" si="18"/>
        <v>85.32</v>
      </c>
      <c r="AT26" s="10"/>
    </row>
    <row r="27" spans="1:46" x14ac:dyDescent="0.35">
      <c r="A27">
        <f t="shared" si="0"/>
        <v>3</v>
      </c>
      <c r="B27" t="s">
        <v>34</v>
      </c>
      <c r="C27" t="s">
        <v>30</v>
      </c>
      <c r="D27">
        <v>25</v>
      </c>
      <c r="E27" t="s">
        <v>18</v>
      </c>
      <c r="F27">
        <v>500</v>
      </c>
      <c r="G27" s="1">
        <v>220000</v>
      </c>
      <c r="H27">
        <v>1576</v>
      </c>
      <c r="I27">
        <v>1870</v>
      </c>
      <c r="J27">
        <v>1</v>
      </c>
      <c r="K27">
        <v>0.215</v>
      </c>
      <c r="L27">
        <v>2.2000000000000002</v>
      </c>
      <c r="M27">
        <v>5.6539999999999997E-4</v>
      </c>
      <c r="N27">
        <v>0.03</v>
      </c>
      <c r="O27">
        <v>1</v>
      </c>
      <c r="P27">
        <v>0</v>
      </c>
      <c r="Q27">
        <v>0</v>
      </c>
      <c r="R27">
        <v>1</v>
      </c>
      <c r="S27">
        <v>2.9099999999999999E-5</v>
      </c>
      <c r="T27">
        <v>0</v>
      </c>
      <c r="U27">
        <v>7</v>
      </c>
      <c r="V27">
        <v>36</v>
      </c>
      <c r="W27">
        <v>14.5</v>
      </c>
      <c r="X27" s="9" t="s">
        <v>52</v>
      </c>
      <c r="Y27" s="2">
        <f t="shared" si="1"/>
        <v>33.799999999999997</v>
      </c>
      <c r="Z27" s="2">
        <f t="shared" si="2"/>
        <v>13.54</v>
      </c>
      <c r="AA27" s="5">
        <v>0</v>
      </c>
      <c r="AB27" s="2">
        <f t="shared" si="15"/>
        <v>33.799999999999997</v>
      </c>
      <c r="AC27" s="2">
        <f t="shared" si="16"/>
        <v>13.54</v>
      </c>
      <c r="AD27" s="4">
        <f t="shared" si="17"/>
        <v>65.94</v>
      </c>
      <c r="AE27" s="4"/>
      <c r="AF27">
        <f t="shared" si="18"/>
        <v>47.339999999999996</v>
      </c>
      <c r="AT27" s="10"/>
    </row>
    <row r="28" spans="1:46" x14ac:dyDescent="0.35">
      <c r="A28">
        <f t="shared" si="0"/>
        <v>3</v>
      </c>
      <c r="B28" t="s">
        <v>34</v>
      </c>
      <c r="C28" t="s">
        <v>31</v>
      </c>
      <c r="D28">
        <v>25</v>
      </c>
      <c r="E28" t="s">
        <v>18</v>
      </c>
      <c r="F28">
        <v>500</v>
      </c>
      <c r="G28" s="1">
        <v>220000</v>
      </c>
      <c r="H28">
        <v>1576</v>
      </c>
      <c r="I28">
        <v>1870</v>
      </c>
      <c r="J28">
        <v>1</v>
      </c>
      <c r="K28">
        <v>0.23</v>
      </c>
      <c r="L28">
        <v>2.2000000000000002</v>
      </c>
      <c r="M28">
        <v>1.8981000000000002E-3</v>
      </c>
      <c r="N28">
        <v>0.06</v>
      </c>
      <c r="O28">
        <v>1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80.5</v>
      </c>
      <c r="W28">
        <v>28</v>
      </c>
      <c r="X28" s="9">
        <v>0</v>
      </c>
      <c r="Y28" s="2">
        <f t="shared" si="1"/>
        <v>80.5</v>
      </c>
      <c r="Z28" s="2">
        <f t="shared" si="2"/>
        <v>28</v>
      </c>
      <c r="AA28" s="5">
        <v>0</v>
      </c>
      <c r="AB28" s="2">
        <f t="shared" si="15"/>
        <v>80.5</v>
      </c>
      <c r="AC28" s="2">
        <f t="shared" si="16"/>
        <v>28</v>
      </c>
      <c r="AD28" s="4">
        <f t="shared" si="17"/>
        <v>150.67500000000001</v>
      </c>
      <c r="AE28" s="4"/>
      <c r="AF28">
        <f t="shared" si="18"/>
        <v>108.5</v>
      </c>
      <c r="AT28" s="10"/>
    </row>
    <row r="29" spans="1:46" x14ac:dyDescent="0.35">
      <c r="A29">
        <f t="shared" si="0"/>
        <v>3</v>
      </c>
      <c r="B29" t="s">
        <v>34</v>
      </c>
      <c r="C29" t="s">
        <v>32</v>
      </c>
      <c r="D29">
        <v>25</v>
      </c>
      <c r="E29" t="s">
        <v>18</v>
      </c>
      <c r="F29">
        <v>500</v>
      </c>
      <c r="G29" s="1">
        <v>220000</v>
      </c>
      <c r="H29">
        <v>1576</v>
      </c>
      <c r="I29">
        <v>1870</v>
      </c>
      <c r="J29">
        <v>1</v>
      </c>
      <c r="K29">
        <v>0.24</v>
      </c>
      <c r="L29">
        <v>2.2000000000000002</v>
      </c>
      <c r="M29">
        <v>5.6570000000000004E-4</v>
      </c>
      <c r="N29">
        <v>0.03</v>
      </c>
      <c r="O29">
        <v>1</v>
      </c>
      <c r="P29">
        <v>0</v>
      </c>
      <c r="Q29">
        <v>0</v>
      </c>
      <c r="R29">
        <v>1</v>
      </c>
      <c r="S29">
        <v>2.9099999999999999E-5</v>
      </c>
      <c r="T29">
        <v>0</v>
      </c>
      <c r="U29">
        <v>2</v>
      </c>
      <c r="V29">
        <v>21.3</v>
      </c>
      <c r="W29">
        <v>10</v>
      </c>
      <c r="X29" s="9" t="s">
        <v>52</v>
      </c>
      <c r="Y29" s="2">
        <f t="shared" si="1"/>
        <v>21.3</v>
      </c>
      <c r="Z29" s="2">
        <f t="shared" si="2"/>
        <v>10</v>
      </c>
      <c r="AA29" s="5">
        <v>0</v>
      </c>
      <c r="AB29" s="2">
        <f t="shared" si="15"/>
        <v>21.3</v>
      </c>
      <c r="AC29" s="2">
        <f t="shared" si="16"/>
        <v>10</v>
      </c>
      <c r="AD29" s="4">
        <f t="shared" si="17"/>
        <v>43.755000000000003</v>
      </c>
      <c r="AE29" s="4"/>
      <c r="AF29">
        <f t="shared" si="18"/>
        <v>31.3</v>
      </c>
      <c r="AT29" s="10"/>
    </row>
    <row r="30" spans="1:46" x14ac:dyDescent="0.35">
      <c r="A30">
        <f t="shared" si="0"/>
        <v>3</v>
      </c>
      <c r="B30" t="s">
        <v>34</v>
      </c>
      <c r="D30" s="6">
        <v>25</v>
      </c>
      <c r="E30" s="6" t="s">
        <v>18</v>
      </c>
      <c r="F30" s="6">
        <v>500</v>
      </c>
      <c r="G30" s="7">
        <v>220000</v>
      </c>
      <c r="H30" s="6">
        <v>1576</v>
      </c>
      <c r="I30" s="6">
        <v>1870</v>
      </c>
      <c r="J30" s="6">
        <v>1</v>
      </c>
      <c r="K30" s="6">
        <v>0.2</v>
      </c>
      <c r="L30" s="6">
        <v>2.2000000000000002</v>
      </c>
      <c r="M30" s="6">
        <v>1</v>
      </c>
      <c r="N30" s="6">
        <v>0.03</v>
      </c>
      <c r="O30" s="6">
        <v>1</v>
      </c>
      <c r="P30" s="6">
        <v>0</v>
      </c>
      <c r="Q30" s="6">
        <v>0</v>
      </c>
      <c r="R30" s="6">
        <v>1</v>
      </c>
      <c r="S30" s="6">
        <v>0</v>
      </c>
      <c r="T30" s="6">
        <v>0</v>
      </c>
      <c r="U30" s="6">
        <v>0</v>
      </c>
      <c r="V30" s="8">
        <v>0</v>
      </c>
      <c r="W30" s="8">
        <v>0</v>
      </c>
      <c r="X30" s="6" t="s">
        <v>52</v>
      </c>
      <c r="Y30" s="2">
        <f t="shared" si="1"/>
        <v>0</v>
      </c>
      <c r="Z30" s="2">
        <f t="shared" si="2"/>
        <v>0</v>
      </c>
      <c r="AA30" s="5">
        <v>0</v>
      </c>
      <c r="AB30" s="2">
        <f t="shared" ref="AB30" si="19">Y30*(1-AA30)</f>
        <v>0</v>
      </c>
      <c r="AC30" s="2">
        <f t="shared" ref="AC30" si="20">Y30*AA30 + Z30</f>
        <v>0</v>
      </c>
      <c r="AD30" s="4">
        <f t="shared" ref="AD30" si="21">1.35*Y30+1.5*Z30</f>
        <v>0</v>
      </c>
      <c r="AE30" s="4"/>
      <c r="AF30">
        <f t="shared" ref="AF30" si="22">AB30+AC30</f>
        <v>0</v>
      </c>
      <c r="AT30" s="10"/>
    </row>
    <row r="31" spans="1:46" x14ac:dyDescent="0.35">
      <c r="A31">
        <f t="shared" si="0"/>
        <v>4</v>
      </c>
      <c r="B31" t="s">
        <v>43</v>
      </c>
      <c r="C31" t="s">
        <v>20</v>
      </c>
      <c r="D31">
        <v>25</v>
      </c>
      <c r="E31" t="s">
        <v>18</v>
      </c>
      <c r="F31">
        <v>500</v>
      </c>
      <c r="G31" s="1">
        <v>220000</v>
      </c>
      <c r="H31">
        <v>1576</v>
      </c>
      <c r="I31">
        <v>1870</v>
      </c>
      <c r="J31">
        <v>1</v>
      </c>
      <c r="K31">
        <v>0.24</v>
      </c>
      <c r="L31">
        <v>2.2000000000000002</v>
      </c>
      <c r="M31">
        <v>5.6570000000000004E-4</v>
      </c>
      <c r="N31">
        <v>0.03</v>
      </c>
      <c r="O31">
        <v>1</v>
      </c>
      <c r="P31">
        <v>0</v>
      </c>
      <c r="Q31">
        <v>0</v>
      </c>
      <c r="R31">
        <v>1</v>
      </c>
      <c r="S31">
        <v>2.9099999999999999E-5</v>
      </c>
      <c r="T31">
        <v>0</v>
      </c>
      <c r="U31">
        <v>2</v>
      </c>
      <c r="V31">
        <v>20</v>
      </c>
      <c r="W31">
        <v>10</v>
      </c>
      <c r="X31" s="9" t="s">
        <v>52</v>
      </c>
      <c r="Y31" s="2">
        <f t="shared" si="1"/>
        <v>20</v>
      </c>
      <c r="Z31" s="2">
        <f t="shared" si="2"/>
        <v>10</v>
      </c>
      <c r="AA31" s="5">
        <v>0</v>
      </c>
      <c r="AB31" s="2">
        <f t="shared" ref="AB31:AB42" si="23">Y31*(1-AA31)</f>
        <v>20</v>
      </c>
      <c r="AC31" s="2">
        <f t="shared" ref="AC31:AC42" si="24">Y31*AA31 + Z31</f>
        <v>10</v>
      </c>
      <c r="AD31" s="4">
        <f t="shared" ref="AD31:AD42" si="25">1.35*Y31+1.5*Z31</f>
        <v>42</v>
      </c>
      <c r="AE31" s="4"/>
      <c r="AF31">
        <f t="shared" ref="AF31:AF42" si="26">AB31+AC31</f>
        <v>30</v>
      </c>
      <c r="AT31" s="10"/>
    </row>
    <row r="32" spans="1:46" x14ac:dyDescent="0.35">
      <c r="A32">
        <f t="shared" si="0"/>
        <v>4</v>
      </c>
      <c r="B32" t="s">
        <v>43</v>
      </c>
      <c r="C32" t="s">
        <v>21</v>
      </c>
      <c r="D32">
        <v>25</v>
      </c>
      <c r="E32" t="s">
        <v>18</v>
      </c>
      <c r="F32">
        <v>500</v>
      </c>
      <c r="G32" s="1">
        <v>220000</v>
      </c>
      <c r="H32">
        <v>1576</v>
      </c>
      <c r="I32">
        <v>1870</v>
      </c>
      <c r="J32">
        <v>1</v>
      </c>
      <c r="K32">
        <v>0.23</v>
      </c>
      <c r="L32">
        <v>2.2000000000000002</v>
      </c>
      <c r="M32">
        <v>1.9E-3</v>
      </c>
      <c r="N32">
        <v>0.06</v>
      </c>
      <c r="O32">
        <v>1</v>
      </c>
      <c r="P32">
        <v>0</v>
      </c>
      <c r="Q32">
        <v>0</v>
      </c>
      <c r="R32">
        <v>1</v>
      </c>
      <c r="S32">
        <v>2.9099999999999999E-5</v>
      </c>
      <c r="T32">
        <v>0</v>
      </c>
      <c r="U32">
        <v>5</v>
      </c>
      <c r="V32">
        <v>88.5</v>
      </c>
      <c r="W32">
        <v>32</v>
      </c>
      <c r="X32" s="9">
        <v>0</v>
      </c>
      <c r="Y32" s="2">
        <f t="shared" si="1"/>
        <v>88.5</v>
      </c>
      <c r="Z32" s="2">
        <f t="shared" si="2"/>
        <v>32</v>
      </c>
      <c r="AA32" s="5">
        <v>0</v>
      </c>
      <c r="AB32" s="2">
        <f t="shared" si="23"/>
        <v>88.5</v>
      </c>
      <c r="AC32" s="2">
        <f t="shared" si="24"/>
        <v>32</v>
      </c>
      <c r="AD32" s="4">
        <f t="shared" si="25"/>
        <v>167.47500000000002</v>
      </c>
      <c r="AE32" s="4"/>
      <c r="AF32">
        <f t="shared" si="26"/>
        <v>120.5</v>
      </c>
      <c r="AT32" s="10"/>
    </row>
    <row r="33" spans="1:46" x14ac:dyDescent="0.35">
      <c r="A33">
        <f t="shared" si="0"/>
        <v>4</v>
      </c>
      <c r="B33" t="s">
        <v>43</v>
      </c>
      <c r="C33" t="s">
        <v>24</v>
      </c>
      <c r="D33">
        <v>25</v>
      </c>
      <c r="E33" t="s">
        <v>18</v>
      </c>
      <c r="F33">
        <v>500</v>
      </c>
      <c r="G33" s="1">
        <v>220000</v>
      </c>
      <c r="H33">
        <v>1576</v>
      </c>
      <c r="I33">
        <v>1870</v>
      </c>
      <c r="J33">
        <v>1</v>
      </c>
      <c r="K33">
        <v>0.215</v>
      </c>
      <c r="L33">
        <v>2.2000000000000002</v>
      </c>
      <c r="M33">
        <v>8.470000000000001E-4</v>
      </c>
      <c r="N33">
        <v>0.03</v>
      </c>
      <c r="O33">
        <v>1</v>
      </c>
      <c r="P33">
        <v>0</v>
      </c>
      <c r="Q33">
        <v>0</v>
      </c>
      <c r="R33">
        <v>1</v>
      </c>
      <c r="S33">
        <v>2.9099999999999999E-5</v>
      </c>
      <c r="T33">
        <v>0</v>
      </c>
      <c r="U33">
        <v>7</v>
      </c>
      <c r="V33">
        <v>43</v>
      </c>
      <c r="W33">
        <v>17</v>
      </c>
      <c r="X33" s="9" t="s">
        <v>52</v>
      </c>
      <c r="Y33" s="2">
        <f t="shared" si="1"/>
        <v>47.65</v>
      </c>
      <c r="Z33" s="2">
        <f t="shared" si="2"/>
        <v>18.829999999999998</v>
      </c>
      <c r="AA33" s="5">
        <v>0</v>
      </c>
      <c r="AB33" s="2">
        <f t="shared" si="23"/>
        <v>47.65</v>
      </c>
      <c r="AC33" s="2">
        <f t="shared" si="24"/>
        <v>18.829999999999998</v>
      </c>
      <c r="AD33" s="4">
        <f t="shared" si="25"/>
        <v>92.572499999999991</v>
      </c>
      <c r="AE33" s="4"/>
      <c r="AF33">
        <f t="shared" si="26"/>
        <v>66.47999999999999</v>
      </c>
      <c r="AT33" s="10"/>
    </row>
    <row r="34" spans="1:46" x14ac:dyDescent="0.35">
      <c r="A34">
        <f t="shared" si="0"/>
        <v>4</v>
      </c>
      <c r="B34" t="s">
        <v>43</v>
      </c>
      <c r="C34" t="s">
        <v>25</v>
      </c>
      <c r="D34">
        <v>25</v>
      </c>
      <c r="E34" t="s">
        <v>18</v>
      </c>
      <c r="F34">
        <v>500</v>
      </c>
      <c r="G34" s="1">
        <v>220000</v>
      </c>
      <c r="H34">
        <v>1576</v>
      </c>
      <c r="I34">
        <v>1870</v>
      </c>
      <c r="J34">
        <v>1</v>
      </c>
      <c r="K34">
        <v>0.2</v>
      </c>
      <c r="L34">
        <v>2.2000000000000002</v>
      </c>
      <c r="M34">
        <v>1.56E-3</v>
      </c>
      <c r="N34">
        <v>5.2999999999999999E-2</v>
      </c>
      <c r="O34">
        <v>1</v>
      </c>
      <c r="P34">
        <v>0</v>
      </c>
      <c r="Q34">
        <v>0</v>
      </c>
      <c r="R34">
        <v>1</v>
      </c>
      <c r="S34">
        <v>2.9099999999999999E-5</v>
      </c>
      <c r="T34">
        <v>0</v>
      </c>
      <c r="U34">
        <v>5</v>
      </c>
      <c r="V34">
        <v>77.5</v>
      </c>
      <c r="W34">
        <v>30.5</v>
      </c>
      <c r="X34" s="9">
        <v>-0.12</v>
      </c>
      <c r="Y34" s="2">
        <f t="shared" si="1"/>
        <v>68.2</v>
      </c>
      <c r="Z34" s="2">
        <f t="shared" si="2"/>
        <v>26.84</v>
      </c>
      <c r="AA34" s="5">
        <v>0</v>
      </c>
      <c r="AB34" s="2">
        <f t="shared" si="23"/>
        <v>68.2</v>
      </c>
      <c r="AC34" s="2">
        <f t="shared" si="24"/>
        <v>26.84</v>
      </c>
      <c r="AD34" s="4">
        <f t="shared" si="25"/>
        <v>132.33000000000001</v>
      </c>
      <c r="AE34" s="4"/>
      <c r="AF34">
        <f t="shared" si="26"/>
        <v>95.04</v>
      </c>
      <c r="AT34" s="10"/>
    </row>
    <row r="35" spans="1:46" x14ac:dyDescent="0.35">
      <c r="A35">
        <f t="shared" si="0"/>
        <v>4</v>
      </c>
      <c r="B35" t="s">
        <v>43</v>
      </c>
      <c r="C35" t="s">
        <v>26</v>
      </c>
      <c r="D35">
        <v>25</v>
      </c>
      <c r="E35" t="s">
        <v>18</v>
      </c>
      <c r="F35">
        <v>500</v>
      </c>
      <c r="G35" s="1">
        <v>220000</v>
      </c>
      <c r="H35">
        <v>1576</v>
      </c>
      <c r="I35">
        <v>1870</v>
      </c>
      <c r="J35">
        <v>1</v>
      </c>
      <c r="K35">
        <v>0.215</v>
      </c>
      <c r="L35">
        <v>2.2000000000000002</v>
      </c>
      <c r="M35">
        <v>2.7999999999999998E-4</v>
      </c>
      <c r="N35">
        <v>0.03</v>
      </c>
      <c r="O35">
        <v>1</v>
      </c>
      <c r="P35">
        <v>0</v>
      </c>
      <c r="Q35">
        <v>0</v>
      </c>
      <c r="R35">
        <v>1</v>
      </c>
      <c r="S35">
        <v>2.9099999999999999E-5</v>
      </c>
      <c r="T35">
        <v>0</v>
      </c>
      <c r="U35">
        <v>7</v>
      </c>
      <c r="V35">
        <v>0</v>
      </c>
      <c r="W35">
        <v>6.4</v>
      </c>
      <c r="X35" s="9" t="s">
        <v>52</v>
      </c>
      <c r="Y35" s="2">
        <f t="shared" si="1"/>
        <v>4.6499999999999995</v>
      </c>
      <c r="Z35" s="2">
        <f t="shared" si="2"/>
        <v>8.23</v>
      </c>
      <c r="AA35" s="5">
        <v>0</v>
      </c>
      <c r="AB35" s="2">
        <f t="shared" si="23"/>
        <v>4.6499999999999995</v>
      </c>
      <c r="AC35" s="2">
        <f t="shared" si="24"/>
        <v>8.23</v>
      </c>
      <c r="AD35" s="4">
        <f t="shared" si="25"/>
        <v>18.622500000000002</v>
      </c>
      <c r="AE35" s="4"/>
      <c r="AF35">
        <f t="shared" si="26"/>
        <v>12.879999999999999</v>
      </c>
      <c r="AT35" s="10"/>
    </row>
    <row r="36" spans="1:46" x14ac:dyDescent="0.35">
      <c r="A36">
        <f t="shared" si="0"/>
        <v>4</v>
      </c>
      <c r="B36" t="s">
        <v>43</v>
      </c>
      <c r="C36" t="s">
        <v>27</v>
      </c>
      <c r="D36">
        <v>25</v>
      </c>
      <c r="E36" t="s">
        <v>18</v>
      </c>
      <c r="F36">
        <v>500</v>
      </c>
      <c r="G36" s="1">
        <v>220000</v>
      </c>
      <c r="H36">
        <v>1576</v>
      </c>
      <c r="I36">
        <v>1870</v>
      </c>
      <c r="J36">
        <v>1</v>
      </c>
      <c r="K36">
        <v>0.23</v>
      </c>
      <c r="L36">
        <v>2.2000000000000002</v>
      </c>
      <c r="M36">
        <v>1.9530000000000003E-3</v>
      </c>
      <c r="N36">
        <v>0.06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25</v>
      </c>
      <c r="W36">
        <v>13</v>
      </c>
      <c r="X36" s="9">
        <v>0</v>
      </c>
      <c r="Y36" s="2">
        <f t="shared" si="1"/>
        <v>25</v>
      </c>
      <c r="Z36" s="2">
        <f t="shared" si="2"/>
        <v>13</v>
      </c>
      <c r="AA36" s="5">
        <v>0</v>
      </c>
      <c r="AB36" s="2">
        <f t="shared" si="23"/>
        <v>25</v>
      </c>
      <c r="AC36" s="2">
        <f t="shared" si="24"/>
        <v>13</v>
      </c>
      <c r="AD36" s="4">
        <f t="shared" si="25"/>
        <v>53.25</v>
      </c>
      <c r="AE36" s="4"/>
      <c r="AF36">
        <f t="shared" si="26"/>
        <v>38</v>
      </c>
      <c r="AT36" s="10"/>
    </row>
    <row r="37" spans="1:46" x14ac:dyDescent="0.35">
      <c r="A37">
        <f t="shared" si="0"/>
        <v>4</v>
      </c>
      <c r="B37" t="s">
        <v>43</v>
      </c>
      <c r="C37" t="s">
        <v>28</v>
      </c>
      <c r="D37">
        <v>25</v>
      </c>
      <c r="E37" t="s">
        <v>18</v>
      </c>
      <c r="F37">
        <v>500</v>
      </c>
      <c r="G37" s="1">
        <v>220000</v>
      </c>
      <c r="H37">
        <v>1576</v>
      </c>
      <c r="I37">
        <v>1870</v>
      </c>
      <c r="J37">
        <v>1</v>
      </c>
      <c r="K37">
        <v>0.215</v>
      </c>
      <c r="L37">
        <v>2.2000000000000002</v>
      </c>
      <c r="M37">
        <v>2.7999999999999998E-4</v>
      </c>
      <c r="N37">
        <v>0.03</v>
      </c>
      <c r="O37">
        <v>1</v>
      </c>
      <c r="P37">
        <v>0</v>
      </c>
      <c r="Q37">
        <v>0</v>
      </c>
      <c r="R37">
        <v>1</v>
      </c>
      <c r="S37">
        <v>2.9099999999999999E-5</v>
      </c>
      <c r="T37">
        <v>0</v>
      </c>
      <c r="U37">
        <v>7</v>
      </c>
      <c r="V37">
        <v>4</v>
      </c>
      <c r="W37">
        <v>6.6</v>
      </c>
      <c r="X37" s="9" t="s">
        <v>52</v>
      </c>
      <c r="Y37" s="2">
        <f t="shared" si="1"/>
        <v>4</v>
      </c>
      <c r="Z37" s="2">
        <f t="shared" si="2"/>
        <v>6.6</v>
      </c>
      <c r="AA37" s="5">
        <v>0</v>
      </c>
      <c r="AB37" s="2">
        <f t="shared" si="23"/>
        <v>4</v>
      </c>
      <c r="AC37" s="2">
        <f t="shared" si="24"/>
        <v>6.6</v>
      </c>
      <c r="AD37" s="4">
        <f t="shared" si="25"/>
        <v>15.299999999999999</v>
      </c>
      <c r="AE37" s="4"/>
      <c r="AF37">
        <f t="shared" si="26"/>
        <v>10.6</v>
      </c>
      <c r="AT37" s="10"/>
    </row>
    <row r="38" spans="1:46" x14ac:dyDescent="0.35">
      <c r="A38">
        <f t="shared" si="0"/>
        <v>4</v>
      </c>
      <c r="B38" t="s">
        <v>43</v>
      </c>
      <c r="C38" t="s">
        <v>29</v>
      </c>
      <c r="D38">
        <v>25</v>
      </c>
      <c r="E38" t="s">
        <v>18</v>
      </c>
      <c r="F38">
        <v>500</v>
      </c>
      <c r="G38" s="1">
        <v>220000</v>
      </c>
      <c r="H38">
        <v>1576</v>
      </c>
      <c r="I38">
        <v>1870</v>
      </c>
      <c r="J38">
        <v>1</v>
      </c>
      <c r="K38">
        <v>0.2</v>
      </c>
      <c r="L38">
        <v>2.2000000000000002</v>
      </c>
      <c r="M38">
        <v>2.6300000000000004E-3</v>
      </c>
      <c r="N38">
        <v>0.03</v>
      </c>
      <c r="O38">
        <v>1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77</v>
      </c>
      <c r="W38">
        <v>27.5</v>
      </c>
      <c r="X38" s="9">
        <v>0</v>
      </c>
      <c r="Y38" s="2">
        <f t="shared" si="1"/>
        <v>77</v>
      </c>
      <c r="Z38" s="2">
        <f t="shared" si="2"/>
        <v>27.5</v>
      </c>
      <c r="AA38" s="5">
        <v>0.25</v>
      </c>
      <c r="AB38" s="2">
        <f t="shared" si="23"/>
        <v>57.75</v>
      </c>
      <c r="AC38" s="2">
        <f t="shared" si="24"/>
        <v>46.75</v>
      </c>
      <c r="AD38" s="4">
        <f t="shared" si="25"/>
        <v>145.19999999999999</v>
      </c>
      <c r="AE38" s="4"/>
      <c r="AF38">
        <f t="shared" si="26"/>
        <v>104.5</v>
      </c>
      <c r="AT38" s="10"/>
    </row>
    <row r="39" spans="1:46" x14ac:dyDescent="0.35">
      <c r="A39">
        <f t="shared" si="0"/>
        <v>4</v>
      </c>
      <c r="B39" t="s">
        <v>43</v>
      </c>
      <c r="C39" t="s">
        <v>30</v>
      </c>
      <c r="D39">
        <v>25</v>
      </c>
      <c r="E39" t="s">
        <v>18</v>
      </c>
      <c r="F39">
        <v>500</v>
      </c>
      <c r="G39" s="1">
        <v>220000</v>
      </c>
      <c r="H39">
        <v>1576</v>
      </c>
      <c r="I39">
        <v>1870</v>
      </c>
      <c r="J39">
        <v>1</v>
      </c>
      <c r="K39">
        <v>0.215</v>
      </c>
      <c r="L39">
        <v>2.2000000000000002</v>
      </c>
      <c r="M39">
        <v>2.7999999999999998E-4</v>
      </c>
      <c r="N39">
        <v>0.03</v>
      </c>
      <c r="O39">
        <v>1</v>
      </c>
      <c r="P39">
        <v>0</v>
      </c>
      <c r="Q39">
        <v>0</v>
      </c>
      <c r="R39">
        <v>1</v>
      </c>
      <c r="S39">
        <v>2.9099999999999999E-5</v>
      </c>
      <c r="T39">
        <v>0</v>
      </c>
      <c r="U39">
        <v>7</v>
      </c>
      <c r="V39">
        <v>38.5</v>
      </c>
      <c r="W39">
        <v>15.4</v>
      </c>
      <c r="X39" s="9" t="s">
        <v>52</v>
      </c>
      <c r="Y39" s="2">
        <f t="shared" si="1"/>
        <v>56.787499999999994</v>
      </c>
      <c r="Z39" s="2">
        <f t="shared" si="2"/>
        <v>21.693750000000001</v>
      </c>
      <c r="AA39" s="5">
        <v>0.5</v>
      </c>
      <c r="AB39" s="2">
        <f t="shared" si="23"/>
        <v>28.393749999999997</v>
      </c>
      <c r="AC39" s="2">
        <f t="shared" si="24"/>
        <v>50.087499999999999</v>
      </c>
      <c r="AD39" s="4">
        <f t="shared" si="25"/>
        <v>109.20375</v>
      </c>
      <c r="AE39" s="4"/>
      <c r="AF39">
        <f t="shared" si="26"/>
        <v>78.481249999999989</v>
      </c>
      <c r="AT39" s="10"/>
    </row>
    <row r="40" spans="1:46" x14ac:dyDescent="0.35">
      <c r="A40">
        <f t="shared" si="0"/>
        <v>4</v>
      </c>
      <c r="B40" t="s">
        <v>43</v>
      </c>
      <c r="C40" t="s">
        <v>31</v>
      </c>
      <c r="D40">
        <v>25</v>
      </c>
      <c r="E40" t="s">
        <v>18</v>
      </c>
      <c r="F40">
        <v>500</v>
      </c>
      <c r="G40" s="1">
        <v>220000</v>
      </c>
      <c r="H40">
        <v>1576</v>
      </c>
      <c r="I40">
        <v>1870</v>
      </c>
      <c r="J40">
        <v>1</v>
      </c>
      <c r="K40">
        <v>0.23</v>
      </c>
      <c r="L40">
        <v>2.2000000000000002</v>
      </c>
      <c r="M40">
        <v>0</v>
      </c>
      <c r="N40">
        <v>0.06</v>
      </c>
      <c r="O40">
        <v>1</v>
      </c>
      <c r="P40">
        <v>6.2800297931034485E-4</v>
      </c>
      <c r="Q40">
        <v>0.04</v>
      </c>
      <c r="R40">
        <v>1</v>
      </c>
      <c r="S40">
        <v>2.9099999999999999E-5</v>
      </c>
      <c r="T40">
        <v>0</v>
      </c>
      <c r="U40">
        <v>7</v>
      </c>
      <c r="V40">
        <v>77</v>
      </c>
      <c r="W40">
        <v>26.5</v>
      </c>
      <c r="X40" s="9">
        <v>-0.47499999999999998</v>
      </c>
      <c r="Y40" s="2">
        <f t="shared" si="1"/>
        <v>40.425000000000004</v>
      </c>
      <c r="Z40" s="2">
        <f t="shared" si="2"/>
        <v>13.912500000000001</v>
      </c>
      <c r="AA40" s="5">
        <v>0.5</v>
      </c>
      <c r="AB40" s="2">
        <f t="shared" si="23"/>
        <v>20.212500000000002</v>
      </c>
      <c r="AC40" s="2">
        <f t="shared" si="24"/>
        <v>34.125</v>
      </c>
      <c r="AD40" s="4">
        <f t="shared" si="25"/>
        <v>75.44250000000001</v>
      </c>
      <c r="AE40" s="4"/>
      <c r="AF40">
        <f t="shared" si="26"/>
        <v>54.337500000000006</v>
      </c>
      <c r="AT40" s="10"/>
    </row>
    <row r="41" spans="1:46" x14ac:dyDescent="0.35">
      <c r="A41">
        <f t="shared" si="0"/>
        <v>4</v>
      </c>
      <c r="B41" t="s">
        <v>43</v>
      </c>
      <c r="C41" t="s">
        <v>32</v>
      </c>
      <c r="D41">
        <v>25</v>
      </c>
      <c r="E41" t="s">
        <v>18</v>
      </c>
      <c r="F41">
        <v>500</v>
      </c>
      <c r="G41" s="1">
        <v>220000</v>
      </c>
      <c r="H41">
        <v>1576</v>
      </c>
      <c r="I41">
        <v>1870</v>
      </c>
      <c r="J41">
        <v>1</v>
      </c>
      <c r="K41">
        <v>0.24</v>
      </c>
      <c r="L41">
        <v>2.2000000000000002</v>
      </c>
      <c r="M41">
        <v>5.6539999999999997E-4</v>
      </c>
      <c r="N41">
        <v>0.03</v>
      </c>
      <c r="O41">
        <v>1</v>
      </c>
      <c r="P41">
        <v>0</v>
      </c>
      <c r="Q41">
        <v>0</v>
      </c>
      <c r="R41">
        <v>1</v>
      </c>
      <c r="S41">
        <v>2.9099999999999999E-5</v>
      </c>
      <c r="T41">
        <v>0</v>
      </c>
      <c r="U41">
        <v>2</v>
      </c>
      <c r="V41">
        <v>20</v>
      </c>
      <c r="W41">
        <v>9.5</v>
      </c>
      <c r="X41" s="9" t="s">
        <v>52</v>
      </c>
      <c r="Y41" s="2">
        <f t="shared" si="1"/>
        <v>38.287499999999994</v>
      </c>
      <c r="Z41" s="2">
        <f t="shared" si="2"/>
        <v>15.793749999999999</v>
      </c>
      <c r="AA41" s="5">
        <v>0.5</v>
      </c>
      <c r="AB41" s="2">
        <f t="shared" si="23"/>
        <v>19.143749999999997</v>
      </c>
      <c r="AC41" s="2">
        <f t="shared" si="24"/>
        <v>34.9375</v>
      </c>
      <c r="AD41" s="4">
        <f t="shared" si="25"/>
        <v>75.378749999999997</v>
      </c>
      <c r="AE41" s="4"/>
      <c r="AF41">
        <f t="shared" si="26"/>
        <v>54.081249999999997</v>
      </c>
      <c r="AT41" s="10"/>
    </row>
    <row r="42" spans="1:46" x14ac:dyDescent="0.35">
      <c r="A42">
        <f t="shared" si="0"/>
        <v>4</v>
      </c>
      <c r="B42" t="s">
        <v>43</v>
      </c>
      <c r="D42" s="6">
        <v>25</v>
      </c>
      <c r="E42" s="6" t="s">
        <v>18</v>
      </c>
      <c r="F42" s="6">
        <v>500</v>
      </c>
      <c r="G42" s="7">
        <v>220000</v>
      </c>
      <c r="H42" s="6">
        <v>1576</v>
      </c>
      <c r="I42" s="6">
        <v>1870</v>
      </c>
      <c r="J42" s="6">
        <v>1</v>
      </c>
      <c r="K42" s="6">
        <v>0.2</v>
      </c>
      <c r="L42" s="6">
        <v>2.2000000000000002</v>
      </c>
      <c r="M42" s="6">
        <v>1</v>
      </c>
      <c r="N42" s="6">
        <v>0.03</v>
      </c>
      <c r="O42" s="6">
        <v>1</v>
      </c>
      <c r="P42" s="6">
        <v>0</v>
      </c>
      <c r="Q42" s="6">
        <v>0</v>
      </c>
      <c r="R42" s="6">
        <v>1</v>
      </c>
      <c r="S42" s="6">
        <v>0</v>
      </c>
      <c r="T42" s="6">
        <v>0</v>
      </c>
      <c r="U42" s="6">
        <v>0</v>
      </c>
      <c r="V42" s="8">
        <v>0</v>
      </c>
      <c r="W42" s="8">
        <v>0</v>
      </c>
      <c r="X42" s="6" t="s">
        <v>52</v>
      </c>
      <c r="Y42" s="2">
        <f t="shared" si="1"/>
        <v>0</v>
      </c>
      <c r="Z42" s="2">
        <f t="shared" si="2"/>
        <v>0</v>
      </c>
      <c r="AA42" s="5">
        <v>0</v>
      </c>
      <c r="AB42" s="2">
        <f t="shared" si="23"/>
        <v>0</v>
      </c>
      <c r="AC42" s="2">
        <f t="shared" si="24"/>
        <v>0</v>
      </c>
      <c r="AD42" s="4">
        <f t="shared" si="25"/>
        <v>0</v>
      </c>
      <c r="AE42" s="4"/>
      <c r="AF42">
        <f t="shared" si="26"/>
        <v>0</v>
      </c>
      <c r="AT42" s="10"/>
    </row>
    <row r="43" spans="1:46" x14ac:dyDescent="0.35">
      <c r="A43">
        <f t="shared" si="0"/>
        <v>5</v>
      </c>
      <c r="B43" t="s">
        <v>44</v>
      </c>
      <c r="C43" t="s">
        <v>20</v>
      </c>
      <c r="D43">
        <v>25</v>
      </c>
      <c r="E43" t="s">
        <v>18</v>
      </c>
      <c r="F43">
        <v>500</v>
      </c>
      <c r="G43" s="1">
        <v>220000</v>
      </c>
      <c r="H43">
        <v>1576</v>
      </c>
      <c r="I43">
        <v>1870</v>
      </c>
      <c r="J43">
        <v>1</v>
      </c>
      <c r="K43">
        <v>0.24</v>
      </c>
      <c r="L43">
        <v>2.2000000000000002</v>
      </c>
      <c r="M43">
        <v>5.7000000000000009E-4</v>
      </c>
      <c r="N43">
        <v>0.03</v>
      </c>
      <c r="O43">
        <v>1</v>
      </c>
      <c r="P43">
        <v>0</v>
      </c>
      <c r="Q43">
        <v>0</v>
      </c>
      <c r="R43">
        <v>1</v>
      </c>
      <c r="S43">
        <v>2.9099999999999999E-5</v>
      </c>
      <c r="T43">
        <v>0</v>
      </c>
      <c r="U43">
        <v>2</v>
      </c>
      <c r="V43">
        <v>20</v>
      </c>
      <c r="W43">
        <v>10.1</v>
      </c>
      <c r="X43" s="9" t="s">
        <v>52</v>
      </c>
      <c r="Y43" s="2">
        <f t="shared" si="1"/>
        <v>20</v>
      </c>
      <c r="Z43" s="2">
        <f t="shared" si="2"/>
        <v>10.1</v>
      </c>
      <c r="AA43" s="5">
        <v>0</v>
      </c>
      <c r="AB43" s="2">
        <f t="shared" ref="AB43:AB54" si="27">Y43*(1-AA43)</f>
        <v>20</v>
      </c>
      <c r="AC43" s="2">
        <f t="shared" ref="AC43:AC54" si="28">Y43*AA43 + Z43</f>
        <v>10.1</v>
      </c>
      <c r="AD43" s="4">
        <f t="shared" ref="AD43:AD54" si="29">1.35*Y43+1.5*Z43</f>
        <v>42.15</v>
      </c>
      <c r="AE43" s="4"/>
      <c r="AF43">
        <f t="shared" ref="AF43:AF54" si="30">AB43+AC43</f>
        <v>30.1</v>
      </c>
      <c r="AT43" s="10"/>
    </row>
    <row r="44" spans="1:46" x14ac:dyDescent="0.35">
      <c r="A44">
        <f t="shared" si="0"/>
        <v>5</v>
      </c>
      <c r="B44" t="s">
        <v>44</v>
      </c>
      <c r="C44" t="s">
        <v>21</v>
      </c>
      <c r="D44">
        <v>25</v>
      </c>
      <c r="E44" t="s">
        <v>18</v>
      </c>
      <c r="F44">
        <v>500</v>
      </c>
      <c r="G44" s="1">
        <v>220000</v>
      </c>
      <c r="H44">
        <v>1576</v>
      </c>
      <c r="I44">
        <v>1870</v>
      </c>
      <c r="J44">
        <v>1</v>
      </c>
      <c r="K44">
        <v>0.23</v>
      </c>
      <c r="L44">
        <v>2.2000000000000002</v>
      </c>
      <c r="M44">
        <v>1.9E-3</v>
      </c>
      <c r="N44">
        <v>0.06</v>
      </c>
      <c r="O44">
        <v>1</v>
      </c>
      <c r="P44">
        <v>0</v>
      </c>
      <c r="Q44">
        <v>0</v>
      </c>
      <c r="R44">
        <v>1</v>
      </c>
      <c r="S44">
        <v>2.9099999999999999E-5</v>
      </c>
      <c r="T44">
        <v>0</v>
      </c>
      <c r="U44">
        <v>5</v>
      </c>
      <c r="V44">
        <v>94</v>
      </c>
      <c r="W44">
        <v>34</v>
      </c>
      <c r="X44" s="9">
        <v>0</v>
      </c>
      <c r="Y44" s="2">
        <f t="shared" si="1"/>
        <v>94</v>
      </c>
      <c r="Z44" s="2">
        <f t="shared" si="2"/>
        <v>34</v>
      </c>
      <c r="AA44" s="5">
        <v>0</v>
      </c>
      <c r="AB44" s="2">
        <f t="shared" si="27"/>
        <v>94</v>
      </c>
      <c r="AC44" s="2">
        <f t="shared" si="28"/>
        <v>34</v>
      </c>
      <c r="AD44" s="4">
        <f t="shared" si="29"/>
        <v>177.9</v>
      </c>
      <c r="AE44" s="4"/>
      <c r="AF44">
        <f t="shared" si="30"/>
        <v>128</v>
      </c>
      <c r="AT44" s="10"/>
    </row>
    <row r="45" spans="1:46" x14ac:dyDescent="0.35">
      <c r="A45">
        <f t="shared" si="0"/>
        <v>5</v>
      </c>
      <c r="B45" t="s">
        <v>44</v>
      </c>
      <c r="C45" t="s">
        <v>24</v>
      </c>
      <c r="D45">
        <v>25</v>
      </c>
      <c r="E45" t="s">
        <v>18</v>
      </c>
      <c r="F45">
        <v>500</v>
      </c>
      <c r="G45" s="1">
        <v>220000</v>
      </c>
      <c r="H45">
        <v>1576</v>
      </c>
      <c r="I45">
        <v>1870</v>
      </c>
      <c r="J45">
        <v>1</v>
      </c>
      <c r="K45">
        <v>0.215</v>
      </c>
      <c r="L45">
        <v>2.2000000000000002</v>
      </c>
      <c r="M45">
        <v>8.5000000000000006E-4</v>
      </c>
      <c r="N45">
        <v>0.03</v>
      </c>
      <c r="O45">
        <v>1</v>
      </c>
      <c r="P45">
        <v>0</v>
      </c>
      <c r="Q45">
        <v>0</v>
      </c>
      <c r="R45">
        <v>1</v>
      </c>
      <c r="S45">
        <v>2.9099999999999999E-5</v>
      </c>
      <c r="T45">
        <v>0</v>
      </c>
      <c r="U45">
        <v>7</v>
      </c>
      <c r="V45">
        <v>45</v>
      </c>
      <c r="W45">
        <v>18</v>
      </c>
      <c r="X45" s="9" t="s">
        <v>52</v>
      </c>
      <c r="Y45" s="2">
        <f t="shared" si="1"/>
        <v>45</v>
      </c>
      <c r="Z45" s="2">
        <f t="shared" si="2"/>
        <v>18</v>
      </c>
      <c r="AA45" s="5">
        <v>0</v>
      </c>
      <c r="AB45" s="2">
        <f t="shared" si="27"/>
        <v>45</v>
      </c>
      <c r="AC45" s="2">
        <f t="shared" si="28"/>
        <v>18</v>
      </c>
      <c r="AD45" s="4">
        <f t="shared" si="29"/>
        <v>87.75</v>
      </c>
      <c r="AE45" s="4"/>
      <c r="AF45">
        <f t="shared" si="30"/>
        <v>63</v>
      </c>
      <c r="AT45" s="10"/>
    </row>
    <row r="46" spans="1:46" x14ac:dyDescent="0.35">
      <c r="A46">
        <f t="shared" si="0"/>
        <v>5</v>
      </c>
      <c r="B46" t="s">
        <v>44</v>
      </c>
      <c r="C46" t="s">
        <v>25</v>
      </c>
      <c r="D46">
        <v>25</v>
      </c>
      <c r="E46" t="s">
        <v>18</v>
      </c>
      <c r="F46">
        <v>500</v>
      </c>
      <c r="G46" s="1">
        <v>220000</v>
      </c>
      <c r="H46">
        <v>1576</v>
      </c>
      <c r="I46">
        <v>1870</v>
      </c>
      <c r="J46">
        <v>1</v>
      </c>
      <c r="K46">
        <v>0.2</v>
      </c>
      <c r="L46">
        <v>2.2000000000000002</v>
      </c>
      <c r="M46">
        <v>2.6300000000000004E-3</v>
      </c>
      <c r="N46">
        <v>0.03</v>
      </c>
      <c r="O46">
        <v>1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77.5</v>
      </c>
      <c r="W46">
        <v>32</v>
      </c>
      <c r="X46" s="9">
        <v>0</v>
      </c>
      <c r="Y46" s="2">
        <f t="shared" si="1"/>
        <v>77.5</v>
      </c>
      <c r="Z46" s="2">
        <f t="shared" si="2"/>
        <v>32</v>
      </c>
      <c r="AA46" s="5">
        <v>0</v>
      </c>
      <c r="AB46" s="2">
        <f t="shared" si="27"/>
        <v>77.5</v>
      </c>
      <c r="AC46" s="2">
        <f t="shared" si="28"/>
        <v>32</v>
      </c>
      <c r="AD46" s="4">
        <f t="shared" si="29"/>
        <v>152.625</v>
      </c>
      <c r="AE46" s="4"/>
      <c r="AF46">
        <f t="shared" si="30"/>
        <v>109.5</v>
      </c>
      <c r="AT46" s="10"/>
    </row>
    <row r="47" spans="1:46" x14ac:dyDescent="0.35">
      <c r="A47">
        <f t="shared" si="0"/>
        <v>5</v>
      </c>
      <c r="B47" t="s">
        <v>44</v>
      </c>
      <c r="C47" t="s">
        <v>26</v>
      </c>
      <c r="D47">
        <v>25</v>
      </c>
      <c r="E47" t="s">
        <v>18</v>
      </c>
      <c r="F47">
        <v>500</v>
      </c>
      <c r="G47" s="1">
        <v>220000</v>
      </c>
      <c r="H47">
        <v>1576</v>
      </c>
      <c r="I47">
        <v>1870</v>
      </c>
      <c r="J47">
        <v>1</v>
      </c>
      <c r="K47">
        <v>0.215</v>
      </c>
      <c r="L47">
        <v>2.2000000000000002</v>
      </c>
      <c r="M47">
        <v>2.7999999999999998E-4</v>
      </c>
      <c r="N47">
        <v>0.03</v>
      </c>
      <c r="O47">
        <v>1</v>
      </c>
      <c r="P47">
        <v>0</v>
      </c>
      <c r="Q47">
        <v>0</v>
      </c>
      <c r="R47">
        <v>1</v>
      </c>
      <c r="S47">
        <v>2.9099999999999999E-5</v>
      </c>
      <c r="T47">
        <v>0</v>
      </c>
      <c r="U47">
        <v>2</v>
      </c>
      <c r="V47">
        <v>0</v>
      </c>
      <c r="W47">
        <v>5</v>
      </c>
      <c r="X47" s="9" t="s">
        <v>52</v>
      </c>
      <c r="Y47" s="2">
        <f t="shared" si="1"/>
        <v>0</v>
      </c>
      <c r="Z47" s="2">
        <f t="shared" si="2"/>
        <v>5</v>
      </c>
      <c r="AA47" s="5">
        <v>0</v>
      </c>
      <c r="AB47" s="2">
        <f t="shared" si="27"/>
        <v>0</v>
      </c>
      <c r="AC47" s="2">
        <f t="shared" si="28"/>
        <v>5</v>
      </c>
      <c r="AD47" s="4">
        <f t="shared" si="29"/>
        <v>7.5</v>
      </c>
      <c r="AE47" s="4"/>
      <c r="AF47">
        <f t="shared" si="30"/>
        <v>5</v>
      </c>
      <c r="AT47" s="10"/>
    </row>
    <row r="48" spans="1:46" x14ac:dyDescent="0.35">
      <c r="A48">
        <f t="shared" si="0"/>
        <v>5</v>
      </c>
      <c r="B48" t="s">
        <v>44</v>
      </c>
      <c r="C48" t="s">
        <v>27</v>
      </c>
      <c r="D48">
        <v>25</v>
      </c>
      <c r="E48" t="s">
        <v>18</v>
      </c>
      <c r="F48">
        <v>500</v>
      </c>
      <c r="G48" s="1">
        <v>220000</v>
      </c>
      <c r="H48">
        <v>1576</v>
      </c>
      <c r="I48">
        <v>1870</v>
      </c>
      <c r="J48">
        <v>1</v>
      </c>
      <c r="K48">
        <v>0.23</v>
      </c>
      <c r="L48">
        <v>2.2000000000000002</v>
      </c>
      <c r="M48">
        <v>1.9500000000000001E-3</v>
      </c>
      <c r="N48">
        <v>0.06</v>
      </c>
      <c r="O48">
        <v>1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15</v>
      </c>
      <c r="W48">
        <v>10</v>
      </c>
      <c r="X48" s="9">
        <v>0</v>
      </c>
      <c r="Y48" s="2">
        <f t="shared" si="1"/>
        <v>15</v>
      </c>
      <c r="Z48" s="2">
        <f t="shared" si="2"/>
        <v>10</v>
      </c>
      <c r="AA48" s="5">
        <v>0</v>
      </c>
      <c r="AB48" s="2">
        <f t="shared" si="27"/>
        <v>15</v>
      </c>
      <c r="AC48" s="2">
        <f t="shared" si="28"/>
        <v>10</v>
      </c>
      <c r="AD48" s="4">
        <f t="shared" si="29"/>
        <v>35.25</v>
      </c>
      <c r="AE48" s="4"/>
      <c r="AF48">
        <f t="shared" si="30"/>
        <v>25</v>
      </c>
      <c r="AT48" s="10"/>
    </row>
    <row r="49" spans="1:46" x14ac:dyDescent="0.35">
      <c r="A49">
        <f t="shared" si="0"/>
        <v>5</v>
      </c>
      <c r="B49" t="s">
        <v>44</v>
      </c>
      <c r="C49" t="s">
        <v>28</v>
      </c>
      <c r="D49">
        <v>25</v>
      </c>
      <c r="E49" t="s">
        <v>18</v>
      </c>
      <c r="F49">
        <v>500</v>
      </c>
      <c r="G49" s="1">
        <v>220000</v>
      </c>
      <c r="H49">
        <v>1576</v>
      </c>
      <c r="I49">
        <v>1870</v>
      </c>
      <c r="J49">
        <v>1</v>
      </c>
      <c r="K49">
        <v>0.215</v>
      </c>
      <c r="L49">
        <v>2.2000000000000002</v>
      </c>
      <c r="M49">
        <v>2.7999999999999998E-4</v>
      </c>
      <c r="N49">
        <v>3.5000000000000003E-2</v>
      </c>
      <c r="O49">
        <v>1</v>
      </c>
      <c r="P49">
        <v>0</v>
      </c>
      <c r="Q49">
        <v>0</v>
      </c>
      <c r="R49">
        <v>1</v>
      </c>
      <c r="S49">
        <v>2.9099999999999999E-5</v>
      </c>
      <c r="T49">
        <v>0</v>
      </c>
      <c r="U49">
        <v>2</v>
      </c>
      <c r="V49">
        <v>6</v>
      </c>
      <c r="W49">
        <v>6.1</v>
      </c>
      <c r="X49" s="9" t="s">
        <v>52</v>
      </c>
      <c r="Y49" s="2">
        <f t="shared" si="1"/>
        <v>6</v>
      </c>
      <c r="Z49" s="2">
        <f t="shared" si="2"/>
        <v>6.1</v>
      </c>
      <c r="AA49" s="5">
        <v>0</v>
      </c>
      <c r="AB49" s="2">
        <f t="shared" si="27"/>
        <v>6</v>
      </c>
      <c r="AC49" s="2">
        <f t="shared" si="28"/>
        <v>6.1</v>
      </c>
      <c r="AD49" s="4">
        <f t="shared" si="29"/>
        <v>17.25</v>
      </c>
      <c r="AE49" s="4"/>
      <c r="AF49">
        <f t="shared" si="30"/>
        <v>12.1</v>
      </c>
      <c r="AT49" s="10"/>
    </row>
    <row r="50" spans="1:46" x14ac:dyDescent="0.35">
      <c r="A50">
        <f t="shared" si="0"/>
        <v>5</v>
      </c>
      <c r="B50" t="s">
        <v>44</v>
      </c>
      <c r="C50" t="s">
        <v>29</v>
      </c>
      <c r="D50">
        <v>25</v>
      </c>
      <c r="E50" t="s">
        <v>18</v>
      </c>
      <c r="F50">
        <v>500</v>
      </c>
      <c r="G50" s="1">
        <v>220000</v>
      </c>
      <c r="H50">
        <v>1576</v>
      </c>
      <c r="I50">
        <v>1870</v>
      </c>
      <c r="J50">
        <v>1</v>
      </c>
      <c r="K50">
        <v>0.2</v>
      </c>
      <c r="L50">
        <v>2.2000000000000002</v>
      </c>
      <c r="M50">
        <v>2.6300000000000004E-3</v>
      </c>
      <c r="N50">
        <v>0.03</v>
      </c>
      <c r="O50">
        <v>1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66</v>
      </c>
      <c r="W50">
        <v>25</v>
      </c>
      <c r="X50" s="9">
        <v>0</v>
      </c>
      <c r="Y50" s="2">
        <f t="shared" si="1"/>
        <v>66</v>
      </c>
      <c r="Z50" s="2">
        <f t="shared" si="2"/>
        <v>25</v>
      </c>
      <c r="AA50" s="5">
        <v>0</v>
      </c>
      <c r="AB50" s="2">
        <f t="shared" si="27"/>
        <v>66</v>
      </c>
      <c r="AC50" s="2">
        <f t="shared" si="28"/>
        <v>25</v>
      </c>
      <c r="AD50" s="4">
        <f t="shared" si="29"/>
        <v>126.60000000000001</v>
      </c>
      <c r="AE50" s="4"/>
      <c r="AF50">
        <f t="shared" si="30"/>
        <v>91</v>
      </c>
      <c r="AT50" s="10"/>
    </row>
    <row r="51" spans="1:46" x14ac:dyDescent="0.35">
      <c r="A51">
        <f t="shared" si="0"/>
        <v>5</v>
      </c>
      <c r="B51" t="s">
        <v>44</v>
      </c>
      <c r="C51" t="s">
        <v>30</v>
      </c>
      <c r="D51">
        <v>25</v>
      </c>
      <c r="E51" t="s">
        <v>18</v>
      </c>
      <c r="F51">
        <v>500</v>
      </c>
      <c r="G51" s="1">
        <v>220000</v>
      </c>
      <c r="H51">
        <v>1576</v>
      </c>
      <c r="I51">
        <v>1870</v>
      </c>
      <c r="J51">
        <v>1</v>
      </c>
      <c r="K51">
        <v>0.215</v>
      </c>
      <c r="L51">
        <v>2.2000000000000002</v>
      </c>
      <c r="M51">
        <v>8.470000000000001E-4</v>
      </c>
      <c r="N51">
        <v>0.03</v>
      </c>
      <c r="O51">
        <v>1</v>
      </c>
      <c r="P51">
        <v>0</v>
      </c>
      <c r="Q51">
        <v>0</v>
      </c>
      <c r="R51">
        <v>1</v>
      </c>
      <c r="S51">
        <v>2.9099999999999999E-5</v>
      </c>
      <c r="T51">
        <v>0</v>
      </c>
      <c r="U51">
        <v>7</v>
      </c>
      <c r="V51">
        <v>35</v>
      </c>
      <c r="W51">
        <v>13.1</v>
      </c>
      <c r="X51" s="9" t="s">
        <v>52</v>
      </c>
      <c r="Y51" s="2">
        <f t="shared" si="1"/>
        <v>35.152500000000003</v>
      </c>
      <c r="Z51" s="2">
        <f t="shared" si="2"/>
        <v>13.15375</v>
      </c>
      <c r="AA51" s="5">
        <v>0</v>
      </c>
      <c r="AB51" s="2">
        <f t="shared" si="27"/>
        <v>35.152500000000003</v>
      </c>
      <c r="AC51" s="2">
        <f t="shared" si="28"/>
        <v>13.15375</v>
      </c>
      <c r="AD51" s="4">
        <f t="shared" si="29"/>
        <v>67.186500000000009</v>
      </c>
      <c r="AE51" s="4"/>
      <c r="AF51">
        <f t="shared" si="30"/>
        <v>48.306250000000006</v>
      </c>
      <c r="AT51" s="10"/>
    </row>
    <row r="52" spans="1:46" x14ac:dyDescent="0.35">
      <c r="A52">
        <f t="shared" si="0"/>
        <v>5</v>
      </c>
      <c r="B52" t="s">
        <v>44</v>
      </c>
      <c r="C52" t="s">
        <v>31</v>
      </c>
      <c r="D52">
        <v>25</v>
      </c>
      <c r="E52" t="s">
        <v>18</v>
      </c>
      <c r="F52">
        <v>500</v>
      </c>
      <c r="G52" s="1">
        <v>220000</v>
      </c>
      <c r="H52">
        <v>1576</v>
      </c>
      <c r="I52">
        <v>1870</v>
      </c>
      <c r="J52">
        <v>1</v>
      </c>
      <c r="K52">
        <v>0.23</v>
      </c>
      <c r="L52">
        <v>2.2000000000000002</v>
      </c>
      <c r="M52">
        <v>1.1066000000000001E-3</v>
      </c>
      <c r="N52">
        <v>0.06</v>
      </c>
      <c r="O52">
        <v>1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61</v>
      </c>
      <c r="W52">
        <v>21.5</v>
      </c>
      <c r="X52" s="9">
        <v>-5.0000000000000001E-3</v>
      </c>
      <c r="Y52" s="2">
        <f t="shared" si="1"/>
        <v>60.695</v>
      </c>
      <c r="Z52" s="2">
        <f t="shared" si="2"/>
        <v>21.392499999999998</v>
      </c>
      <c r="AA52" s="5">
        <v>0</v>
      </c>
      <c r="AB52" s="2">
        <f t="shared" si="27"/>
        <v>60.695</v>
      </c>
      <c r="AC52" s="2">
        <f t="shared" si="28"/>
        <v>21.392499999999998</v>
      </c>
      <c r="AD52" s="4">
        <f t="shared" si="29"/>
        <v>114.02700000000002</v>
      </c>
      <c r="AE52" s="4"/>
      <c r="AF52">
        <f t="shared" si="30"/>
        <v>82.087500000000006</v>
      </c>
      <c r="AT52" s="10"/>
    </row>
    <row r="53" spans="1:46" ht="13.5" customHeight="1" x14ac:dyDescent="0.35">
      <c r="A53">
        <f t="shared" si="0"/>
        <v>5</v>
      </c>
      <c r="B53" t="s">
        <v>44</v>
      </c>
      <c r="C53" t="s">
        <v>32</v>
      </c>
      <c r="D53">
        <v>25</v>
      </c>
      <c r="E53" t="s">
        <v>18</v>
      </c>
      <c r="F53">
        <v>500</v>
      </c>
      <c r="G53" s="1">
        <v>220000</v>
      </c>
      <c r="H53">
        <v>1576</v>
      </c>
      <c r="I53">
        <v>1870</v>
      </c>
      <c r="J53">
        <v>1</v>
      </c>
      <c r="K53">
        <v>0.24</v>
      </c>
      <c r="L53">
        <v>2.2000000000000002</v>
      </c>
      <c r="M53">
        <v>5.7000000000000009E-4</v>
      </c>
      <c r="N53">
        <v>0.03</v>
      </c>
      <c r="O53">
        <v>1</v>
      </c>
      <c r="P53">
        <v>0</v>
      </c>
      <c r="Q53">
        <v>0</v>
      </c>
      <c r="R53">
        <v>1</v>
      </c>
      <c r="S53">
        <v>2.9099999999999999E-5</v>
      </c>
      <c r="T53">
        <v>0</v>
      </c>
      <c r="U53">
        <v>2</v>
      </c>
      <c r="V53" s="2">
        <v>14</v>
      </c>
      <c r="W53" s="2">
        <v>5</v>
      </c>
      <c r="X53" s="9" t="s">
        <v>52</v>
      </c>
      <c r="Y53" s="2">
        <f t="shared" si="1"/>
        <v>14.1525</v>
      </c>
      <c r="Z53" s="2">
        <f t="shared" si="2"/>
        <v>5.05375</v>
      </c>
      <c r="AA53" s="5">
        <v>0</v>
      </c>
      <c r="AB53" s="2">
        <f t="shared" si="27"/>
        <v>14.1525</v>
      </c>
      <c r="AC53" s="2">
        <f t="shared" si="28"/>
        <v>5.05375</v>
      </c>
      <c r="AD53" s="4">
        <f t="shared" si="29"/>
        <v>26.686500000000002</v>
      </c>
      <c r="AE53" s="4"/>
      <c r="AF53">
        <f t="shared" si="30"/>
        <v>19.206250000000001</v>
      </c>
      <c r="AT53" s="10"/>
    </row>
    <row r="54" spans="1:46" x14ac:dyDescent="0.35">
      <c r="A54">
        <f t="shared" si="0"/>
        <v>5</v>
      </c>
      <c r="B54" t="s">
        <v>44</v>
      </c>
      <c r="D54" s="6">
        <v>25</v>
      </c>
      <c r="E54" s="6" t="s">
        <v>18</v>
      </c>
      <c r="F54" s="6">
        <v>500</v>
      </c>
      <c r="G54" s="7">
        <v>220000</v>
      </c>
      <c r="H54" s="6">
        <v>1576</v>
      </c>
      <c r="I54" s="6">
        <v>1870</v>
      </c>
      <c r="J54" s="6">
        <v>1</v>
      </c>
      <c r="K54" s="6">
        <v>0.2</v>
      </c>
      <c r="L54" s="6">
        <v>2.2000000000000002</v>
      </c>
      <c r="M54" s="6">
        <v>1</v>
      </c>
      <c r="N54" s="6">
        <v>0.03</v>
      </c>
      <c r="O54" s="6">
        <v>1</v>
      </c>
      <c r="P54" s="6">
        <v>0</v>
      </c>
      <c r="Q54" s="6">
        <v>0</v>
      </c>
      <c r="R54" s="6">
        <v>1</v>
      </c>
      <c r="S54" s="6">
        <v>0</v>
      </c>
      <c r="T54" s="6">
        <v>0</v>
      </c>
      <c r="U54" s="6">
        <v>0</v>
      </c>
      <c r="V54" s="8">
        <v>0</v>
      </c>
      <c r="W54" s="8">
        <v>0</v>
      </c>
      <c r="X54" s="6" t="s">
        <v>52</v>
      </c>
      <c r="Y54" s="2">
        <f t="shared" si="1"/>
        <v>0</v>
      </c>
      <c r="Z54" s="2">
        <f t="shared" si="2"/>
        <v>0</v>
      </c>
      <c r="AA54" s="5">
        <v>0</v>
      </c>
      <c r="AB54" s="2">
        <f t="shared" si="27"/>
        <v>0</v>
      </c>
      <c r="AC54" s="2">
        <f t="shared" si="28"/>
        <v>0</v>
      </c>
      <c r="AD54" s="4">
        <f t="shared" si="29"/>
        <v>0</v>
      </c>
      <c r="AE54" s="4"/>
      <c r="AF54">
        <f t="shared" si="30"/>
        <v>0</v>
      </c>
      <c r="AT54" s="10"/>
    </row>
    <row r="55" spans="1:46" x14ac:dyDescent="0.35">
      <c r="A55">
        <f t="shared" si="0"/>
        <v>6</v>
      </c>
      <c r="B55" t="s">
        <v>45</v>
      </c>
      <c r="C55" t="s">
        <v>20</v>
      </c>
      <c r="D55">
        <v>25</v>
      </c>
      <c r="E55" t="s">
        <v>18</v>
      </c>
      <c r="F55">
        <v>500</v>
      </c>
      <c r="G55" s="1">
        <v>220000</v>
      </c>
      <c r="H55">
        <v>1576</v>
      </c>
      <c r="I55">
        <v>1870</v>
      </c>
      <c r="J55">
        <v>1</v>
      </c>
      <c r="K55">
        <v>0.24</v>
      </c>
      <c r="L55">
        <v>2.2000000000000002</v>
      </c>
      <c r="M55">
        <v>5.7000000000000009E-4</v>
      </c>
      <c r="N55">
        <v>0.03</v>
      </c>
      <c r="O55">
        <v>1</v>
      </c>
      <c r="P55">
        <v>0</v>
      </c>
      <c r="Q55">
        <v>0</v>
      </c>
      <c r="R55">
        <v>1</v>
      </c>
      <c r="S55">
        <v>2.9099999999999999E-5</v>
      </c>
      <c r="T55">
        <v>0</v>
      </c>
      <c r="U55">
        <v>2</v>
      </c>
      <c r="V55">
        <v>22</v>
      </c>
      <c r="W55">
        <v>10</v>
      </c>
      <c r="X55" s="9" t="s">
        <v>52</v>
      </c>
      <c r="Y55" s="2">
        <f t="shared" si="1"/>
        <v>22</v>
      </c>
      <c r="Z55" s="2">
        <f t="shared" si="2"/>
        <v>10</v>
      </c>
      <c r="AA55" s="5">
        <v>0</v>
      </c>
      <c r="AB55" s="2">
        <f t="shared" ref="AB55:AB58" si="31">Y55*(1-AA55)</f>
        <v>22</v>
      </c>
      <c r="AC55" s="2">
        <f t="shared" ref="AC55:AC58" si="32">Y55*AA55 + Z55</f>
        <v>10</v>
      </c>
      <c r="AD55" s="4">
        <f t="shared" ref="AD55:AD58" si="33">1.35*Y55+1.5*Z55</f>
        <v>44.7</v>
      </c>
      <c r="AE55" s="4"/>
      <c r="AF55">
        <f t="shared" ref="AF55:AF58" si="34">AB55+AC55</f>
        <v>32</v>
      </c>
      <c r="AT55" s="10"/>
    </row>
    <row r="56" spans="1:46" x14ac:dyDescent="0.35">
      <c r="A56">
        <f t="shared" si="0"/>
        <v>6</v>
      </c>
      <c r="B56" t="s">
        <v>45</v>
      </c>
      <c r="C56" t="s">
        <v>21</v>
      </c>
      <c r="D56">
        <v>25</v>
      </c>
      <c r="E56" t="s">
        <v>18</v>
      </c>
      <c r="F56">
        <v>500</v>
      </c>
      <c r="G56">
        <v>220000</v>
      </c>
      <c r="H56">
        <v>1576</v>
      </c>
      <c r="I56">
        <v>1870</v>
      </c>
      <c r="J56">
        <v>1</v>
      </c>
      <c r="K56">
        <v>0.23</v>
      </c>
      <c r="L56">
        <v>2.2000000000000002</v>
      </c>
      <c r="M56">
        <v>1.9E-3</v>
      </c>
      <c r="N56">
        <v>0.06</v>
      </c>
      <c r="O56">
        <v>1</v>
      </c>
      <c r="P56">
        <v>0</v>
      </c>
      <c r="Q56">
        <v>0</v>
      </c>
      <c r="R56">
        <v>1</v>
      </c>
      <c r="S56">
        <v>2.9099999999999999E-5</v>
      </c>
      <c r="T56">
        <v>0</v>
      </c>
      <c r="U56">
        <v>5</v>
      </c>
      <c r="V56">
        <v>78.5</v>
      </c>
      <c r="W56">
        <v>27.5</v>
      </c>
      <c r="X56" s="9">
        <v>0</v>
      </c>
      <c r="Y56" s="2">
        <f t="shared" si="1"/>
        <v>78.5</v>
      </c>
      <c r="Z56" s="2">
        <f t="shared" si="2"/>
        <v>27.5</v>
      </c>
      <c r="AA56" s="5">
        <v>0</v>
      </c>
      <c r="AB56" s="2">
        <f t="shared" si="31"/>
        <v>78.5</v>
      </c>
      <c r="AC56" s="2">
        <f t="shared" si="32"/>
        <v>27.5</v>
      </c>
      <c r="AD56" s="4">
        <f t="shared" si="33"/>
        <v>147.22500000000002</v>
      </c>
      <c r="AE56" s="4"/>
      <c r="AF56">
        <f t="shared" si="34"/>
        <v>106</v>
      </c>
      <c r="AT56" s="10"/>
    </row>
    <row r="57" spans="1:46" x14ac:dyDescent="0.35">
      <c r="A57">
        <f t="shared" si="0"/>
        <v>6</v>
      </c>
      <c r="B57" t="s">
        <v>45</v>
      </c>
      <c r="C57" t="s">
        <v>24</v>
      </c>
      <c r="D57">
        <v>25</v>
      </c>
      <c r="E57" t="s">
        <v>18</v>
      </c>
      <c r="F57">
        <v>500</v>
      </c>
      <c r="G57">
        <v>220000</v>
      </c>
      <c r="H57">
        <v>1576</v>
      </c>
      <c r="I57">
        <v>1870</v>
      </c>
      <c r="J57">
        <v>1</v>
      </c>
      <c r="K57">
        <v>0.215</v>
      </c>
      <c r="L57">
        <v>2.2000000000000002</v>
      </c>
      <c r="M57">
        <v>8.470000000000001E-4</v>
      </c>
      <c r="N57">
        <v>4.4999999999999998E-2</v>
      </c>
      <c r="O57">
        <v>1</v>
      </c>
      <c r="P57">
        <v>0</v>
      </c>
      <c r="Q57">
        <v>0</v>
      </c>
      <c r="R57">
        <v>1</v>
      </c>
      <c r="S57">
        <v>2.9099999999999999E-5</v>
      </c>
      <c r="T57">
        <v>0</v>
      </c>
      <c r="U57">
        <v>7</v>
      </c>
      <c r="V57">
        <v>35.5</v>
      </c>
      <c r="W57">
        <v>14</v>
      </c>
      <c r="X57" s="9" t="s">
        <v>52</v>
      </c>
      <c r="Y57" s="2">
        <f t="shared" si="1"/>
        <v>35.5</v>
      </c>
      <c r="Z57" s="2">
        <f t="shared" si="2"/>
        <v>14</v>
      </c>
      <c r="AA57" s="5">
        <v>0</v>
      </c>
      <c r="AB57" s="2">
        <f t="shared" si="31"/>
        <v>35.5</v>
      </c>
      <c r="AC57" s="2">
        <f t="shared" si="32"/>
        <v>14</v>
      </c>
      <c r="AD57" s="4">
        <f t="shared" si="33"/>
        <v>68.925000000000011</v>
      </c>
      <c r="AE57" s="4"/>
      <c r="AF57">
        <f t="shared" si="34"/>
        <v>49.5</v>
      </c>
      <c r="AT57" s="10"/>
    </row>
    <row r="58" spans="1:46" x14ac:dyDescent="0.35">
      <c r="A58">
        <f t="shared" si="0"/>
        <v>6</v>
      </c>
      <c r="B58" t="s">
        <v>45</v>
      </c>
      <c r="D58" s="6">
        <v>25</v>
      </c>
      <c r="E58" s="6" t="s">
        <v>18</v>
      </c>
      <c r="F58" s="6">
        <v>500</v>
      </c>
      <c r="G58" s="7">
        <v>220000</v>
      </c>
      <c r="H58" s="6">
        <v>1576</v>
      </c>
      <c r="I58" s="6">
        <v>1870</v>
      </c>
      <c r="J58" s="6">
        <v>1</v>
      </c>
      <c r="K58" s="6">
        <v>0.2</v>
      </c>
      <c r="L58" s="6">
        <v>2.2000000000000002</v>
      </c>
      <c r="M58" s="6">
        <v>1</v>
      </c>
      <c r="N58" s="6">
        <v>0.03</v>
      </c>
      <c r="O58" s="6">
        <v>1</v>
      </c>
      <c r="P58" s="6">
        <v>0</v>
      </c>
      <c r="Q58" s="6">
        <v>0</v>
      </c>
      <c r="R58" s="6">
        <v>1</v>
      </c>
      <c r="S58" s="6">
        <v>0</v>
      </c>
      <c r="T58" s="6">
        <v>0</v>
      </c>
      <c r="U58" s="6">
        <v>0</v>
      </c>
      <c r="V58" s="8">
        <v>0</v>
      </c>
      <c r="W58" s="8">
        <v>0</v>
      </c>
      <c r="X58" s="6" t="s">
        <v>52</v>
      </c>
      <c r="Y58" s="2">
        <f t="shared" si="1"/>
        <v>0</v>
      </c>
      <c r="Z58" s="2">
        <f t="shared" si="2"/>
        <v>0</v>
      </c>
      <c r="AA58" s="5">
        <v>0</v>
      </c>
      <c r="AB58" s="2">
        <f t="shared" si="31"/>
        <v>0</v>
      </c>
      <c r="AC58" s="2">
        <f t="shared" si="32"/>
        <v>0</v>
      </c>
      <c r="AD58" s="4">
        <f t="shared" si="33"/>
        <v>0</v>
      </c>
      <c r="AE58" s="4"/>
      <c r="AF58">
        <f t="shared" si="34"/>
        <v>0</v>
      </c>
      <c r="AT58" s="10"/>
    </row>
    <row r="59" spans="1:46" x14ac:dyDescent="0.35">
      <c r="A59">
        <f t="shared" si="0"/>
        <v>6</v>
      </c>
      <c r="B59" t="s">
        <v>45</v>
      </c>
      <c r="C59" t="s">
        <v>26</v>
      </c>
      <c r="D59">
        <v>25</v>
      </c>
      <c r="E59" t="s">
        <v>18</v>
      </c>
      <c r="F59">
        <v>500</v>
      </c>
      <c r="G59">
        <v>220000</v>
      </c>
      <c r="H59">
        <v>1576</v>
      </c>
      <c r="I59">
        <v>1870</v>
      </c>
      <c r="J59">
        <v>1</v>
      </c>
      <c r="K59">
        <v>0.215</v>
      </c>
      <c r="L59">
        <v>2.2000000000000002</v>
      </c>
      <c r="M59">
        <v>8.5000000000000006E-4</v>
      </c>
      <c r="N59">
        <v>0.03</v>
      </c>
      <c r="O59">
        <v>1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21</v>
      </c>
      <c r="W59">
        <v>7.8</v>
      </c>
      <c r="X59" s="9" t="s">
        <v>52</v>
      </c>
      <c r="Y59" s="2">
        <f t="shared" si="1"/>
        <v>21</v>
      </c>
      <c r="Z59" s="2">
        <f t="shared" si="2"/>
        <v>7.8</v>
      </c>
      <c r="AA59" s="5">
        <v>0</v>
      </c>
      <c r="AB59" s="2">
        <f t="shared" ref="AB59:AB62" si="35">Y59*(1-AA59)</f>
        <v>21</v>
      </c>
      <c r="AC59" s="2">
        <f t="shared" ref="AC59:AC62" si="36">Y59*AA59 + Z59</f>
        <v>7.8</v>
      </c>
      <c r="AD59" s="4">
        <f t="shared" ref="AD59:AD62" si="37">1.35*Y59+1.5*Z59</f>
        <v>40.049999999999997</v>
      </c>
      <c r="AE59" s="4"/>
      <c r="AF59">
        <f t="shared" ref="AF59:AF62" si="38">AB59+AC59</f>
        <v>28.8</v>
      </c>
      <c r="AT59" s="10"/>
    </row>
    <row r="60" spans="1:46" x14ac:dyDescent="0.35">
      <c r="A60">
        <f t="shared" si="0"/>
        <v>6</v>
      </c>
      <c r="B60" t="s">
        <v>45</v>
      </c>
      <c r="C60" t="s">
        <v>25</v>
      </c>
      <c r="D60">
        <v>25</v>
      </c>
      <c r="E60" t="s">
        <v>18</v>
      </c>
      <c r="F60">
        <v>500</v>
      </c>
      <c r="G60">
        <v>220000</v>
      </c>
      <c r="H60">
        <v>1576</v>
      </c>
      <c r="I60">
        <v>1870</v>
      </c>
      <c r="J60">
        <v>1</v>
      </c>
      <c r="K60">
        <v>0.23</v>
      </c>
      <c r="L60">
        <v>2.2000000000000002</v>
      </c>
      <c r="M60">
        <v>1.1100000000000001E-3</v>
      </c>
      <c r="N60">
        <v>0.06</v>
      </c>
      <c r="O60">
        <v>1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27</v>
      </c>
      <c r="W60">
        <v>11</v>
      </c>
      <c r="X60" s="9">
        <v>0</v>
      </c>
      <c r="Y60" s="2">
        <f t="shared" si="1"/>
        <v>27</v>
      </c>
      <c r="Z60" s="2">
        <f t="shared" si="2"/>
        <v>11</v>
      </c>
      <c r="AA60" s="5">
        <v>0</v>
      </c>
      <c r="AB60" s="2">
        <f t="shared" si="35"/>
        <v>27</v>
      </c>
      <c r="AC60" s="2">
        <f t="shared" si="36"/>
        <v>11</v>
      </c>
      <c r="AD60" s="4">
        <f t="shared" si="37"/>
        <v>52.95</v>
      </c>
      <c r="AE60" s="4"/>
      <c r="AF60">
        <f t="shared" si="38"/>
        <v>38</v>
      </c>
      <c r="AT60" s="10"/>
    </row>
    <row r="61" spans="1:46" x14ac:dyDescent="0.35">
      <c r="A61">
        <f t="shared" si="0"/>
        <v>7</v>
      </c>
      <c r="B61" t="s">
        <v>46</v>
      </c>
      <c r="C61" t="s">
        <v>20</v>
      </c>
      <c r="D61">
        <v>25</v>
      </c>
      <c r="E61" t="s">
        <v>18</v>
      </c>
      <c r="F61">
        <v>500</v>
      </c>
      <c r="G61">
        <v>220000</v>
      </c>
      <c r="H61">
        <v>1576</v>
      </c>
      <c r="I61">
        <v>1870</v>
      </c>
      <c r="J61">
        <v>1</v>
      </c>
      <c r="K61">
        <v>0.24</v>
      </c>
      <c r="L61">
        <v>2.2000000000000002</v>
      </c>
      <c r="M61">
        <v>5.7000000000000009E-4</v>
      </c>
      <c r="N61">
        <v>0.03</v>
      </c>
      <c r="O61">
        <v>1</v>
      </c>
      <c r="P61">
        <v>0</v>
      </c>
      <c r="Q61">
        <v>0</v>
      </c>
      <c r="R61">
        <v>1</v>
      </c>
      <c r="S61">
        <v>2.9099999999999999E-5</v>
      </c>
      <c r="T61">
        <v>0</v>
      </c>
      <c r="U61">
        <v>2</v>
      </c>
      <c r="V61">
        <v>23.5</v>
      </c>
      <c r="W61">
        <v>9.6999999999999993</v>
      </c>
      <c r="X61" s="9" t="s">
        <v>52</v>
      </c>
      <c r="Y61" s="2">
        <f t="shared" si="1"/>
        <v>23.5</v>
      </c>
      <c r="Z61" s="2">
        <f t="shared" si="2"/>
        <v>9.6999999999999993</v>
      </c>
      <c r="AA61" s="5">
        <v>0</v>
      </c>
      <c r="AB61" s="2">
        <f t="shared" si="35"/>
        <v>23.5</v>
      </c>
      <c r="AC61" s="2">
        <f t="shared" si="36"/>
        <v>9.6999999999999993</v>
      </c>
      <c r="AD61" s="4">
        <f t="shared" si="37"/>
        <v>46.274999999999999</v>
      </c>
      <c r="AE61" s="4"/>
      <c r="AF61">
        <f t="shared" si="38"/>
        <v>33.200000000000003</v>
      </c>
      <c r="AT61" s="10"/>
    </row>
    <row r="62" spans="1:46" x14ac:dyDescent="0.35">
      <c r="A62">
        <f t="shared" si="0"/>
        <v>7</v>
      </c>
      <c r="B62" t="s">
        <v>46</v>
      </c>
      <c r="C62" t="s">
        <v>21</v>
      </c>
      <c r="D62">
        <v>25</v>
      </c>
      <c r="E62" t="s">
        <v>18</v>
      </c>
      <c r="F62">
        <v>500</v>
      </c>
      <c r="G62">
        <v>220000</v>
      </c>
      <c r="H62">
        <v>1576</v>
      </c>
      <c r="I62">
        <v>1870</v>
      </c>
      <c r="J62">
        <v>1</v>
      </c>
      <c r="K62">
        <v>0.23</v>
      </c>
      <c r="L62">
        <v>2.2000000000000002</v>
      </c>
      <c r="M62">
        <v>1.6941E-3</v>
      </c>
      <c r="N62">
        <v>7.0000000000000007E-2</v>
      </c>
      <c r="O62">
        <v>1</v>
      </c>
      <c r="P62">
        <v>0</v>
      </c>
      <c r="Q62">
        <v>0</v>
      </c>
      <c r="R62">
        <v>1</v>
      </c>
      <c r="S62">
        <v>2.9099999999999999E-5</v>
      </c>
      <c r="T62">
        <v>0</v>
      </c>
      <c r="U62">
        <v>5</v>
      </c>
      <c r="V62">
        <v>75.5</v>
      </c>
      <c r="W62">
        <v>26</v>
      </c>
      <c r="X62" s="9">
        <v>0</v>
      </c>
      <c r="Y62" s="2">
        <f t="shared" si="1"/>
        <v>75.5</v>
      </c>
      <c r="Z62" s="2">
        <f t="shared" si="2"/>
        <v>26</v>
      </c>
      <c r="AA62" s="5">
        <v>0</v>
      </c>
      <c r="AB62" s="2">
        <f t="shared" si="35"/>
        <v>75.5</v>
      </c>
      <c r="AC62" s="2">
        <f t="shared" si="36"/>
        <v>26</v>
      </c>
      <c r="AD62" s="4">
        <f t="shared" si="37"/>
        <v>140.92500000000001</v>
      </c>
      <c r="AE62" s="4"/>
      <c r="AF62">
        <f t="shared" si="38"/>
        <v>101.5</v>
      </c>
      <c r="AT62" s="10"/>
    </row>
    <row r="63" spans="1:46" x14ac:dyDescent="0.35">
      <c r="A63">
        <f t="shared" si="0"/>
        <v>7</v>
      </c>
      <c r="B63" t="s">
        <v>46</v>
      </c>
      <c r="C63" t="s">
        <v>24</v>
      </c>
      <c r="D63">
        <v>25</v>
      </c>
      <c r="E63" t="s">
        <v>18</v>
      </c>
      <c r="F63">
        <v>500</v>
      </c>
      <c r="G63">
        <v>220000</v>
      </c>
      <c r="H63">
        <v>1576</v>
      </c>
      <c r="I63">
        <v>1870</v>
      </c>
      <c r="J63">
        <v>1</v>
      </c>
      <c r="K63">
        <v>0.215</v>
      </c>
      <c r="L63">
        <v>2.2000000000000002</v>
      </c>
      <c r="M63">
        <v>8.5000000000000006E-4</v>
      </c>
      <c r="N63">
        <v>0.03</v>
      </c>
      <c r="O63">
        <v>1</v>
      </c>
      <c r="P63">
        <v>0</v>
      </c>
      <c r="Q63">
        <v>0</v>
      </c>
      <c r="R63">
        <v>1</v>
      </c>
      <c r="S63">
        <v>2.9099999999999999E-5</v>
      </c>
      <c r="T63">
        <v>0</v>
      </c>
      <c r="U63">
        <v>7</v>
      </c>
      <c r="V63">
        <v>32.5</v>
      </c>
      <c r="W63">
        <v>12.7</v>
      </c>
      <c r="X63" s="9" t="s">
        <v>52</v>
      </c>
      <c r="Y63" s="2">
        <f t="shared" si="1"/>
        <v>32.5</v>
      </c>
      <c r="Z63" s="2">
        <f t="shared" si="2"/>
        <v>12.7</v>
      </c>
      <c r="AA63" s="5">
        <v>0</v>
      </c>
      <c r="AB63" s="2">
        <f t="shared" ref="AB63:AB64" si="39">Y63*(1-AA63)</f>
        <v>32.5</v>
      </c>
      <c r="AC63" s="2">
        <f t="shared" ref="AC63:AC64" si="40">Y63*AA63 + Z63</f>
        <v>12.7</v>
      </c>
      <c r="AD63" s="4">
        <f t="shared" ref="AD63:AD64" si="41">1.35*Y63+1.5*Z63</f>
        <v>62.924999999999997</v>
      </c>
      <c r="AE63" s="4"/>
      <c r="AF63">
        <f t="shared" ref="AF63:AF64" si="42">AB63+AC63</f>
        <v>45.2</v>
      </c>
      <c r="AT63" s="10"/>
    </row>
    <row r="64" spans="1:46" x14ac:dyDescent="0.35">
      <c r="A64">
        <f>IF(B64=B63,A63,A63+1)</f>
        <v>8</v>
      </c>
      <c r="B64" t="s">
        <v>47</v>
      </c>
      <c r="D64" s="6">
        <v>25</v>
      </c>
      <c r="E64" s="6" t="s">
        <v>18</v>
      </c>
      <c r="F64" s="6">
        <v>500</v>
      </c>
      <c r="G64" s="7">
        <v>220000</v>
      </c>
      <c r="H64" s="6">
        <v>1576</v>
      </c>
      <c r="I64" s="6">
        <v>1870</v>
      </c>
      <c r="J64" s="6">
        <v>1</v>
      </c>
      <c r="K64" s="6">
        <v>0.2</v>
      </c>
      <c r="L64" s="6">
        <v>2.2000000000000002</v>
      </c>
      <c r="M64" s="6">
        <v>1</v>
      </c>
      <c r="N64" s="6">
        <v>0.03</v>
      </c>
      <c r="O64" s="6">
        <v>1</v>
      </c>
      <c r="P64" s="6">
        <v>0</v>
      </c>
      <c r="Q64" s="6">
        <v>0</v>
      </c>
      <c r="R64" s="6">
        <v>1</v>
      </c>
      <c r="S64" s="6">
        <v>0</v>
      </c>
      <c r="T64" s="6">
        <v>0</v>
      </c>
      <c r="U64" s="6">
        <v>0</v>
      </c>
      <c r="V64" s="8">
        <v>0</v>
      </c>
      <c r="W64" s="8">
        <v>0</v>
      </c>
      <c r="X64" s="6" t="s">
        <v>52</v>
      </c>
      <c r="Y64" s="2">
        <f t="shared" si="1"/>
        <v>0</v>
      </c>
      <c r="Z64" s="2">
        <f t="shared" si="2"/>
        <v>0</v>
      </c>
      <c r="AA64" s="5">
        <v>0</v>
      </c>
      <c r="AB64" s="2">
        <f t="shared" si="39"/>
        <v>0</v>
      </c>
      <c r="AC64" s="2">
        <f t="shared" si="40"/>
        <v>0</v>
      </c>
      <c r="AD64" s="4">
        <f t="shared" si="41"/>
        <v>0</v>
      </c>
      <c r="AE64" s="4"/>
      <c r="AF64">
        <f t="shared" si="42"/>
        <v>0</v>
      </c>
      <c r="AT64" s="10"/>
    </row>
  </sheetData>
  <phoneticPr fontId="18" type="noConversion"/>
  <conditionalFormatting sqref="X3:X5 X7:X12 X14:X17 X19:X29 X31:X41 X43:X53 X55:X57 X59:X63">
    <cfRule type="expression" dxfId="0" priority="1">
      <formula>$A3="Travée"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2025-11-19T13:43:42Z</dcterms:modified>
</cp:coreProperties>
</file>