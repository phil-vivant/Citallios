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8F0683F6-D6BF-4AB1-9B66-613728748B05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4" i="1" l="1"/>
  <c r="U62" i="1"/>
  <c r="A53" i="1"/>
  <c r="Z64" i="1"/>
  <c r="Y64" i="1"/>
  <c r="U63" i="1"/>
  <c r="Z62" i="1"/>
  <c r="Y62" i="1"/>
  <c r="AB62" i="1" s="1"/>
  <c r="Z60" i="1"/>
  <c r="Y60" i="1"/>
  <c r="AD60" i="1" s="1"/>
  <c r="Z58" i="1"/>
  <c r="Y58" i="1"/>
  <c r="AD58" i="1" s="1"/>
  <c r="U58" i="1"/>
  <c r="U57" i="1"/>
  <c r="Z56" i="1"/>
  <c r="Y56" i="1"/>
  <c r="AD56" i="1" s="1"/>
  <c r="U56" i="1"/>
  <c r="A54" i="1"/>
  <c r="U23" i="1"/>
  <c r="AD64" i="1" l="1"/>
  <c r="A55" i="1"/>
  <c r="Y55" i="1" s="1"/>
  <c r="AD62" i="1"/>
  <c r="AB56" i="1"/>
  <c r="AC56" i="1"/>
  <c r="Y54" i="1"/>
  <c r="AB58" i="1"/>
  <c r="AC58" i="1"/>
  <c r="AB64" i="1"/>
  <c r="AC62" i="1"/>
  <c r="AF62" i="1" s="1"/>
  <c r="AC64" i="1"/>
  <c r="AB60" i="1"/>
  <c r="AC60" i="1"/>
  <c r="Z54" i="1" l="1"/>
  <c r="A56" i="1"/>
  <c r="Z55" i="1"/>
  <c r="AD55" i="1" s="1"/>
  <c r="AB55" i="1"/>
  <c r="AF60" i="1"/>
  <c r="AC54" i="1"/>
  <c r="AB54" i="1"/>
  <c r="AF54" i="1" s="1"/>
  <c r="AD54" i="1"/>
  <c r="A57" i="1"/>
  <c r="A58" i="1" s="1"/>
  <c r="AF64" i="1"/>
  <c r="AF58" i="1"/>
  <c r="AF56" i="1"/>
  <c r="Y57" i="1" l="1"/>
  <c r="AB57" i="1" s="1"/>
  <c r="AC55" i="1"/>
  <c r="AF55" i="1" s="1"/>
  <c r="A59" i="1"/>
  <c r="A60" i="1" s="1"/>
  <c r="Y59" i="1"/>
  <c r="Z57" i="1"/>
  <c r="AD57" i="1" s="1"/>
  <c r="AC57" i="1" l="1"/>
  <c r="AF57" i="1" s="1"/>
  <c r="A61" i="1"/>
  <c r="A62" i="1" s="1"/>
  <c r="AB59" i="1"/>
  <c r="Z59" i="1"/>
  <c r="AC59" i="1" s="1"/>
  <c r="AF59" i="1" l="1"/>
  <c r="Y61" i="1"/>
  <c r="AD59" i="1"/>
  <c r="Z61" i="1"/>
  <c r="A63" i="1"/>
  <c r="A64" i="1" s="1"/>
  <c r="Z63" i="1" s="1"/>
  <c r="A65" i="1" l="1"/>
  <c r="Y63" i="1"/>
  <c r="AD61" i="1"/>
  <c r="AC61" i="1"/>
  <c r="AB61" i="1"/>
  <c r="AF61" i="1" s="1"/>
  <c r="AC63" i="1" l="1"/>
  <c r="AB63" i="1"/>
  <c r="AD63" i="1"/>
  <c r="A66" i="1"/>
  <c r="Z66" i="1" s="1"/>
  <c r="Y65" i="1"/>
  <c r="Z65" i="1"/>
  <c r="AF63" i="1" l="1"/>
  <c r="Y66" i="1"/>
  <c r="AD65" i="1"/>
  <c r="AC65" i="1"/>
  <c r="AB65" i="1"/>
  <c r="AF65" i="1" s="1"/>
  <c r="AD66" i="1" l="1"/>
  <c r="AC66" i="1"/>
  <c r="AB66" i="1"/>
  <c r="AF66" i="1" s="1"/>
  <c r="U34" i="1" l="1"/>
  <c r="U30" i="1"/>
  <c r="U28" i="1"/>
  <c r="U35" i="1"/>
  <c r="U53" i="1"/>
  <c r="U52" i="1"/>
  <c r="U51" i="1"/>
  <c r="U47" i="1"/>
  <c r="U46" i="1"/>
  <c r="U42" i="1"/>
  <c r="U40" i="1"/>
  <c r="U24" i="1"/>
  <c r="U22" i="1"/>
  <c r="U18" i="1"/>
  <c r="U17" i="1"/>
  <c r="U16" i="1"/>
  <c r="U12" i="1"/>
  <c r="U11" i="1"/>
  <c r="U6" i="1"/>
  <c r="U5" i="1"/>
  <c r="U4" i="1"/>
  <c r="Z40" i="1"/>
  <c r="Z36" i="1"/>
  <c r="Z34" i="1"/>
  <c r="Z32" i="1"/>
  <c r="Y24" i="1"/>
  <c r="Y22" i="1"/>
  <c r="AB22" i="1" s="1"/>
  <c r="Z20" i="1"/>
  <c r="Z18" i="1"/>
  <c r="Z16" i="1"/>
  <c r="Z12" i="1"/>
  <c r="Z6" i="1"/>
  <c r="Y4" i="1"/>
  <c r="AB4" i="1" s="1"/>
  <c r="Y8" i="1"/>
  <c r="AB8" i="1" s="1"/>
  <c r="Y10" i="1"/>
  <c r="Y28" i="1"/>
  <c r="AB28" i="1" s="1"/>
  <c r="Y30" i="1"/>
  <c r="AB30" i="1" s="1"/>
  <c r="Y32" i="1"/>
  <c r="AB32" i="1" s="1"/>
  <c r="Y34" i="1"/>
  <c r="AB34" i="1" s="1"/>
  <c r="Y36" i="1"/>
  <c r="AB36" i="1" s="1"/>
  <c r="Y40" i="1"/>
  <c r="AB40" i="1" s="1"/>
  <c r="Y42" i="1"/>
  <c r="AB42" i="1" s="1"/>
  <c r="Y44" i="1"/>
  <c r="AB44" i="1" s="1"/>
  <c r="Y46" i="1"/>
  <c r="AB46" i="1" s="1"/>
  <c r="Y48" i="1"/>
  <c r="AB48" i="1" s="1"/>
  <c r="Y52" i="1"/>
  <c r="AB52" i="1" s="1"/>
  <c r="Z4" i="1"/>
  <c r="Z8" i="1"/>
  <c r="Z10" i="1"/>
  <c r="Z22" i="1"/>
  <c r="Z24" i="1"/>
  <c r="Z28" i="1"/>
  <c r="Z30" i="1"/>
  <c r="Z42" i="1"/>
  <c r="Z44" i="1"/>
  <c r="Z46" i="1"/>
  <c r="Z48" i="1"/>
  <c r="Z52" i="1"/>
  <c r="AC8" i="1" l="1"/>
  <c r="AF8" i="1" s="1"/>
  <c r="AC28" i="1"/>
  <c r="AD8" i="1"/>
  <c r="Y18" i="1"/>
  <c r="AB18" i="1" s="1"/>
  <c r="Y16" i="1"/>
  <c r="AB16" i="1" s="1"/>
  <c r="Y6" i="1"/>
  <c r="AB6" i="1" s="1"/>
  <c r="Y20" i="1"/>
  <c r="Y12" i="1"/>
  <c r="AD30" i="1"/>
  <c r="AC32" i="1"/>
  <c r="AF32" i="1" s="1"/>
  <c r="AC4" i="1"/>
  <c r="AF4" i="1" s="1"/>
  <c r="AD52" i="1"/>
  <c r="AC52" i="1"/>
  <c r="AF52" i="1" s="1"/>
  <c r="AC24" i="1"/>
  <c r="AD40" i="1"/>
  <c r="AC40" i="1"/>
  <c r="AD10" i="1"/>
  <c r="AD32" i="1"/>
  <c r="AD20" i="1"/>
  <c r="AD4" i="1"/>
  <c r="AC42" i="1"/>
  <c r="AF42" i="1" s="1"/>
  <c r="AD48" i="1"/>
  <c r="AC48" i="1"/>
  <c r="AF48" i="1" s="1"/>
  <c r="AC34" i="1"/>
  <c r="AF34" i="1" s="1"/>
  <c r="AC22" i="1"/>
  <c r="AF22" i="1" s="1"/>
  <c r="AD44" i="1"/>
  <c r="AC30" i="1"/>
  <c r="AF30" i="1" s="1"/>
  <c r="AC10" i="1"/>
  <c r="AB24" i="1"/>
  <c r="AB10" i="1"/>
  <c r="AF10" i="1" s="1"/>
  <c r="AC46" i="1"/>
  <c r="AF46" i="1" s="1"/>
  <c r="AC20" i="1"/>
  <c r="AB20" i="1"/>
  <c r="AC44" i="1"/>
  <c r="AF44" i="1" s="1"/>
  <c r="AD24" i="1"/>
  <c r="AC16" i="1"/>
  <c r="AF16" i="1" s="1"/>
  <c r="AD42" i="1"/>
  <c r="AC36" i="1"/>
  <c r="AF36" i="1" s="1"/>
  <c r="AD46" i="1"/>
  <c r="AD18" i="1"/>
  <c r="AD36" i="1"/>
  <c r="AD16" i="1"/>
  <c r="AF40" i="1"/>
  <c r="AD34" i="1"/>
  <c r="AD28" i="1"/>
  <c r="AD22" i="1"/>
  <c r="AF28" i="1"/>
  <c r="AD6" i="1" l="1"/>
  <c r="AB12" i="1"/>
  <c r="AC12" i="1"/>
  <c r="AF12" i="1" s="1"/>
  <c r="AD12" i="1"/>
  <c r="AF24" i="1"/>
  <c r="AC18" i="1"/>
  <c r="AF18" i="1" s="1"/>
  <c r="AC6" i="1"/>
  <c r="AF6" i="1" s="1"/>
  <c r="AF20" i="1"/>
  <c r="A2" i="1" l="1"/>
  <c r="A3" i="1" s="1"/>
  <c r="A4" i="1" l="1"/>
  <c r="Y3" i="1"/>
  <c r="Z3" i="1"/>
  <c r="Z2" i="1"/>
  <c r="Y2" i="1"/>
  <c r="AB3" i="1" l="1"/>
  <c r="AD3" i="1"/>
  <c r="AC3" i="1"/>
  <c r="A5" i="1"/>
  <c r="A6" i="1" s="1"/>
  <c r="Y5" i="1"/>
  <c r="Z5" i="1"/>
  <c r="AD2" i="1"/>
  <c r="AB2" i="1"/>
  <c r="AC2" i="1"/>
  <c r="AC5" i="1" l="1"/>
  <c r="AB5" i="1"/>
  <c r="AF5" i="1" s="1"/>
  <c r="AD5" i="1"/>
  <c r="A7" i="1"/>
  <c r="A8" i="1" s="1"/>
  <c r="Z7" i="1"/>
  <c r="AF3" i="1"/>
  <c r="AF2" i="1"/>
  <c r="Y7" i="1" l="1"/>
  <c r="A9" i="1"/>
  <c r="A10" i="1" s="1"/>
  <c r="Z9" i="1"/>
  <c r="Y9" i="1" l="1"/>
  <c r="AB9" i="1" s="1"/>
  <c r="A11" i="1"/>
  <c r="A12" i="1" s="1"/>
  <c r="Z11" i="1" s="1"/>
  <c r="Y11" i="1"/>
  <c r="AB7" i="1"/>
  <c r="AC7" i="1"/>
  <c r="AD7" i="1"/>
  <c r="AC9" i="1" l="1"/>
  <c r="AD9" i="1"/>
  <c r="AF7" i="1"/>
  <c r="AB11" i="1"/>
  <c r="AC11" i="1"/>
  <c r="AF11" i="1" s="1"/>
  <c r="AD11" i="1"/>
  <c r="A13" i="1"/>
  <c r="AF9" i="1"/>
  <c r="A14" i="1" l="1"/>
  <c r="A15" i="1" l="1"/>
  <c r="Z15" i="1"/>
  <c r="Y15" i="1"/>
  <c r="Y13" i="1"/>
  <c r="Z13" i="1"/>
  <c r="AB13" i="1" l="1"/>
  <c r="AC13" i="1"/>
  <c r="AD13" i="1"/>
  <c r="AB15" i="1"/>
  <c r="AC15" i="1"/>
  <c r="AF15" i="1" s="1"/>
  <c r="AD15" i="1"/>
  <c r="A16" i="1"/>
  <c r="Z14" i="1"/>
  <c r="Y14" i="1"/>
  <c r="AB14" i="1" l="1"/>
  <c r="AC14" i="1"/>
  <c r="AD14" i="1"/>
  <c r="A17" i="1"/>
  <c r="A18" i="1" s="1"/>
  <c r="Z17" i="1"/>
  <c r="Y17" i="1"/>
  <c r="AF13" i="1"/>
  <c r="AD17" i="1" l="1"/>
  <c r="AC17" i="1"/>
  <c r="AB17" i="1"/>
  <c r="AF17" i="1" s="1"/>
  <c r="A19" i="1"/>
  <c r="A20" i="1" s="1"/>
  <c r="Z19" i="1"/>
  <c r="Y19" i="1"/>
  <c r="AF14" i="1"/>
  <c r="AB19" i="1" l="1"/>
  <c r="AC19" i="1"/>
  <c r="AF19" i="1" s="1"/>
  <c r="AD19" i="1"/>
  <c r="A21" i="1"/>
  <c r="A22" i="1" s="1"/>
  <c r="Y21" i="1"/>
  <c r="Z21" i="1"/>
  <c r="AC21" i="1" l="1"/>
  <c r="AD21" i="1"/>
  <c r="AB21" i="1"/>
  <c r="AF21" i="1" s="1"/>
  <c r="A23" i="1"/>
  <c r="A24" i="1" s="1"/>
  <c r="Y23" i="1"/>
  <c r="Z23" i="1" l="1"/>
  <c r="AC23" i="1" s="1"/>
  <c r="AB23" i="1"/>
  <c r="AD23" i="1"/>
  <c r="A25" i="1"/>
  <c r="AF23" i="1" l="1"/>
  <c r="A26" i="1"/>
  <c r="A27" i="1" l="1"/>
  <c r="Y27" i="1"/>
  <c r="Z27" i="1"/>
  <c r="Y25" i="1"/>
  <c r="Z25" i="1"/>
  <c r="AB25" i="1" l="1"/>
  <c r="AD25" i="1"/>
  <c r="AC25" i="1"/>
  <c r="AB27" i="1"/>
  <c r="AC27" i="1"/>
  <c r="AD27" i="1"/>
  <c r="A28" i="1"/>
  <c r="Z26" i="1"/>
  <c r="Y26" i="1"/>
  <c r="AF25" i="1" l="1"/>
  <c r="AF27" i="1"/>
  <c r="AD26" i="1"/>
  <c r="AC26" i="1"/>
  <c r="AB26" i="1"/>
  <c r="AF26" i="1" s="1"/>
  <c r="A29" i="1"/>
  <c r="A30" i="1" s="1"/>
  <c r="Y29" i="1"/>
  <c r="Z29" i="1"/>
  <c r="AC29" i="1" l="1"/>
  <c r="AD29" i="1"/>
  <c r="AB29" i="1"/>
  <c r="AF29" i="1" s="1"/>
  <c r="A31" i="1"/>
  <c r="A32" i="1" s="1"/>
  <c r="Y31" i="1"/>
  <c r="Z31" i="1"/>
  <c r="AB31" i="1" l="1"/>
  <c r="AC31" i="1"/>
  <c r="AF31" i="1" s="1"/>
  <c r="AD31" i="1"/>
  <c r="A33" i="1"/>
  <c r="A34" i="1" s="1"/>
  <c r="Z33" i="1"/>
  <c r="Y33" i="1"/>
  <c r="AB33" i="1" l="1"/>
  <c r="AC33" i="1"/>
  <c r="AD33" i="1"/>
  <c r="A35" i="1"/>
  <c r="A36" i="1" s="1"/>
  <c r="Z35" i="1"/>
  <c r="Y35" i="1"/>
  <c r="AB35" i="1" l="1"/>
  <c r="AC35" i="1"/>
  <c r="AF35" i="1" s="1"/>
  <c r="AD35" i="1"/>
  <c r="A37" i="1"/>
  <c r="AF33" i="1"/>
  <c r="A38" i="1" l="1"/>
  <c r="A39" i="1" l="1"/>
  <c r="Z39" i="1"/>
  <c r="Y39" i="1"/>
  <c r="Z37" i="1"/>
  <c r="Y37" i="1"/>
  <c r="AB37" i="1" l="1"/>
  <c r="AD37" i="1"/>
  <c r="AC37" i="1"/>
  <c r="AF37" i="1" s="1"/>
  <c r="AB39" i="1"/>
  <c r="AC39" i="1"/>
  <c r="AF39" i="1" s="1"/>
  <c r="AD39" i="1"/>
  <c r="A40" i="1"/>
  <c r="Z38" i="1"/>
  <c r="Y38" i="1"/>
  <c r="AC38" i="1" l="1"/>
  <c r="AB38" i="1"/>
  <c r="AF38" i="1" s="1"/>
  <c r="AD38" i="1"/>
  <c r="A41" i="1"/>
  <c r="A42" i="1" s="1"/>
  <c r="Z41" i="1"/>
  <c r="Y41" i="1"/>
  <c r="AC41" i="1" l="1"/>
  <c r="AB41" i="1"/>
  <c r="AF41" i="1" s="1"/>
  <c r="AD41" i="1"/>
  <c r="A43" i="1"/>
  <c r="A44" i="1" s="1"/>
  <c r="Z43" i="1"/>
  <c r="Y43" i="1"/>
  <c r="AB43" i="1" l="1"/>
  <c r="AC43" i="1"/>
  <c r="AF43" i="1" s="1"/>
  <c r="AD43" i="1"/>
  <c r="A45" i="1"/>
  <c r="A46" i="1" s="1"/>
  <c r="Z45" i="1"/>
  <c r="Y45" i="1"/>
  <c r="AB45" i="1" l="1"/>
  <c r="AD45" i="1"/>
  <c r="AC45" i="1"/>
  <c r="A47" i="1"/>
  <c r="A48" i="1" s="1"/>
  <c r="Z47" i="1"/>
  <c r="Y47" i="1"/>
  <c r="AB47" i="1" l="1"/>
  <c r="AC47" i="1"/>
  <c r="AF47" i="1" s="1"/>
  <c r="AD47" i="1"/>
  <c r="A49" i="1"/>
  <c r="AF45" i="1"/>
  <c r="A50" i="1" l="1"/>
  <c r="A51" i="1" l="1"/>
  <c r="Y51" i="1"/>
  <c r="Z51" i="1"/>
  <c r="Y49" i="1"/>
  <c r="Z49" i="1"/>
  <c r="AB49" i="1" l="1"/>
  <c r="AC49" i="1"/>
  <c r="AF49" i="1" s="1"/>
  <c r="AD49" i="1"/>
  <c r="AB51" i="1"/>
  <c r="AD51" i="1"/>
  <c r="AC51" i="1"/>
  <c r="AF51" i="1" s="1"/>
  <c r="A52" i="1"/>
  <c r="Z50" i="1"/>
  <c r="Y50" i="1"/>
  <c r="AC50" i="1" l="1"/>
  <c r="AD50" i="1"/>
  <c r="AB50" i="1"/>
  <c r="AF50" i="1" s="1"/>
  <c r="Y53" i="1"/>
  <c r="Z53" i="1"/>
  <c r="AC53" i="1" l="1"/>
  <c r="AB53" i="1"/>
  <c r="AF53" i="1" s="1"/>
  <c r="AD53" i="1"/>
</calcChain>
</file>

<file path=xl/sharedStrings.xml><?xml version="1.0" encoding="utf-8"?>
<sst xmlns="http://schemas.openxmlformats.org/spreadsheetml/2006/main" count="253" uniqueCount="51">
  <si>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</si>
  <si>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</si>
  <si>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</si>
  <si>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</si>
  <si>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</si>
  <si>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</si>
  <si>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</si>
  <si>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</si>
  <si>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</si>
  <si>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</si>
  <si>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</si>
  <si>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</si>
  <si>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</si>
  <si>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</si>
  <si>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</si>
  <si>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</si>
  <si>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</si>
  <si>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</si>
  <si>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</si>
  <si>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</si>
  <si>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</si>
  <si>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</si>
  <si>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</si>
  <si>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</si>
  <si>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</si>
  <si>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</si>
  <si>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</si>
  <si>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</si>
  <si>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</si>
  <si>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</si>
  <si>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</si>
  <si>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</si>
  <si>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</si>
  <si>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</si>
  <si>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</si>
  <si>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</si>
  <si>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</si>
  <si>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</si>
  <si>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</si>
  <si>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</si>
  <si>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</si>
  <si>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</si>
  <si>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</si>
  <si>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</si>
  <si>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</si>
  <si>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A' - 2</t>
  </si>
  <si>
    <t>File A' - 3</t>
  </si>
  <si>
    <t>File A' - 4</t>
  </si>
  <si>
    <t>File A' - 5</t>
  </si>
  <si>
    <t>File A' - 6</t>
  </si>
  <si>
    <t>File A'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</si>
</sst>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10" fontId="0" fillId="35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9"/>
  <sheetViews>
    <sheetView tabSelected="1" zoomScale="70" zoomScaleNormal="70" workbookViewId="0">
      <pane xSplit="3" topLeftCell="D1" activePane="topRight" state="frozen"/>
      <selection pane="topRight" activeCell="AL23" sqref="AL23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42</v>
      </c>
      <c r="W1" t="s">
        <v>43</v>
      </c>
      <c r="X1" t="s">
        <v>41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6" x14ac:dyDescent="0.35">
      <c r="A2">
        <f>IFERROR(IF(B2=B1,A1,A1+1),1)</f>
        <v>1</v>
      </c>
      <c r="B2" t="s">
        <v>50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1.0000000000000001E-5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44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53" si="0">IF(B3=B2,A2,A2+1)</f>
        <v>2</v>
      </c>
      <c r="B3" t="s">
        <v>45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0.24</v>
      </c>
      <c r="L3">
        <v>5.35</v>
      </c>
      <c r="M3">
        <v>1.3878E-3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45</v>
      </c>
      <c r="W3">
        <v>22</v>
      </c>
      <c r="X3" s="9" t="s">
        <v>44</v>
      </c>
      <c r="Y3" s="2">
        <f t="shared" ref="Y3:Y52" si="1">IFERROR(IF(ISNUMBER(SEARCH("Appui",C3)),V3+X3*V3,IF(A2&lt;A3,V3-X4*V4/2,IF(A3&lt;A4,V3-(X2*V2)/2,V3-(X4*V4+X2*V2)/2))),0)</f>
        <v>57.75</v>
      </c>
      <c r="Z3" s="2">
        <f t="shared" ref="Z3:Z52" si="2">IFERROR(IF(ISNUMBER(SEARCH("Appui",C3)),W3+X3*W3,IF(A2&lt;A3,W3-X4*W4/2,IF(A3&lt;A4,W3-(X2*W2)/2,W3-(X4*W4+X2*W2)/2))),0)</f>
        <v>29.225000000000001</v>
      </c>
      <c r="AA3" s="3">
        <v>0</v>
      </c>
      <c r="AB3" s="2">
        <f t="shared" ref="AB3:AB6" si="3">Y3*(1-AA3)</f>
        <v>57.75</v>
      </c>
      <c r="AC3" s="2">
        <f t="shared" ref="AC3:AC6" si="4">Y3*AA3 + Z3</f>
        <v>29.225000000000001</v>
      </c>
      <c r="AD3" s="4">
        <f t="shared" ref="AD3:AD6" si="5">1.35*Y3+1.5*Z3</f>
        <v>121.80000000000001</v>
      </c>
      <c r="AE3" s="4"/>
      <c r="AF3">
        <f t="shared" ref="AF3:AF6" si="6">AB3+AC3</f>
        <v>86.974999999999994</v>
      </c>
      <c r="AT3" s="10"/>
    </row>
    <row r="4" spans="1:46" x14ac:dyDescent="0.35">
      <c r="A4">
        <f t="shared" si="0"/>
        <v>2</v>
      </c>
      <c r="B4" t="s">
        <v>45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0.23</v>
      </c>
      <c r="L4">
        <v>5.35</v>
      </c>
      <c r="M4">
        <v>1.024E-4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 s="11">
        <f>12-2</f>
        <v>10</v>
      </c>
      <c r="V4">
        <v>30</v>
      </c>
      <c r="W4">
        <v>17</v>
      </c>
      <c r="X4" s="9">
        <v>-0.85</v>
      </c>
      <c r="Y4" s="2">
        <f t="shared" si="1"/>
        <v>4.5</v>
      </c>
      <c r="Z4" s="2">
        <f t="shared" si="2"/>
        <v>2.5500000000000007</v>
      </c>
      <c r="AA4" s="3">
        <v>0</v>
      </c>
      <c r="AB4" s="2">
        <f t="shared" si="3"/>
        <v>4.5</v>
      </c>
      <c r="AC4" s="2">
        <f t="shared" si="4"/>
        <v>2.5500000000000007</v>
      </c>
      <c r="AD4" s="4">
        <f t="shared" si="5"/>
        <v>9.9000000000000021</v>
      </c>
      <c r="AE4" s="4"/>
      <c r="AF4">
        <f t="shared" si="6"/>
        <v>7.0500000000000007</v>
      </c>
      <c r="AT4" s="10"/>
    </row>
    <row r="5" spans="1:46" x14ac:dyDescent="0.35">
      <c r="A5">
        <f t="shared" si="0"/>
        <v>2</v>
      </c>
      <c r="B5" t="s">
        <v>45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0.215</v>
      </c>
      <c r="L5">
        <v>4.1749999999999998</v>
      </c>
      <c r="M5">
        <v>2.1545000000000002E-3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 s="11">
        <f>7-1</f>
        <v>6</v>
      </c>
      <c r="V5">
        <v>50</v>
      </c>
      <c r="W5">
        <v>22</v>
      </c>
      <c r="X5" s="9" t="s">
        <v>44</v>
      </c>
      <c r="Y5" s="2">
        <f t="shared" si="1"/>
        <v>74.45</v>
      </c>
      <c r="Z5" s="2">
        <f t="shared" si="2"/>
        <v>34.685000000000002</v>
      </c>
      <c r="AA5" s="3">
        <v>0</v>
      </c>
      <c r="AB5" s="2">
        <f t="shared" si="3"/>
        <v>74.45</v>
      </c>
      <c r="AC5" s="2">
        <f t="shared" si="4"/>
        <v>34.685000000000002</v>
      </c>
      <c r="AD5" s="4">
        <f t="shared" si="5"/>
        <v>152.53500000000003</v>
      </c>
      <c r="AE5" s="4"/>
      <c r="AF5">
        <f t="shared" si="6"/>
        <v>109.13500000000001</v>
      </c>
      <c r="AT5" s="10"/>
    </row>
    <row r="6" spans="1:46" x14ac:dyDescent="0.35">
      <c r="A6">
        <f t="shared" si="0"/>
        <v>2</v>
      </c>
      <c r="B6" t="s">
        <v>45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</v>
      </c>
      <c r="L6">
        <v>3</v>
      </c>
      <c r="M6">
        <v>1.3439999999999999E-4</v>
      </c>
      <c r="N6">
        <v>0.04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 s="11">
        <f>12-2</f>
        <v>10</v>
      </c>
      <c r="V6">
        <v>30</v>
      </c>
      <c r="W6">
        <v>14</v>
      </c>
      <c r="X6" s="9">
        <v>-0.78</v>
      </c>
      <c r="Y6" s="2">
        <f t="shared" si="1"/>
        <v>6.5999999999999979</v>
      </c>
      <c r="Z6" s="2">
        <f t="shared" si="2"/>
        <v>3.08</v>
      </c>
      <c r="AA6" s="5">
        <v>0</v>
      </c>
      <c r="AB6" s="2">
        <f t="shared" si="3"/>
        <v>6.5999999999999979</v>
      </c>
      <c r="AC6" s="2">
        <f t="shared" si="4"/>
        <v>3.08</v>
      </c>
      <c r="AD6" s="4">
        <f t="shared" si="5"/>
        <v>13.529999999999998</v>
      </c>
      <c r="AE6" s="4"/>
      <c r="AF6">
        <f t="shared" si="6"/>
        <v>9.6799999999999979</v>
      </c>
      <c r="AT6" s="10"/>
    </row>
    <row r="7" spans="1:46" x14ac:dyDescent="0.35">
      <c r="A7">
        <f t="shared" si="0"/>
        <v>2</v>
      </c>
      <c r="B7" t="s">
        <v>45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0.215</v>
      </c>
      <c r="L7">
        <v>3</v>
      </c>
      <c r="M7">
        <v>3.8400000000000001E-4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7.5</v>
      </c>
      <c r="X7" s="9" t="s">
        <v>44</v>
      </c>
      <c r="Y7" s="2">
        <f t="shared" si="1"/>
        <v>11.700000000000001</v>
      </c>
      <c r="Z7" s="2">
        <f t="shared" si="2"/>
        <v>12.96</v>
      </c>
      <c r="AA7" s="3">
        <v>0</v>
      </c>
      <c r="AB7" s="2">
        <f t="shared" ref="AB7:AB13" si="7">Y7*(1-AA7)</f>
        <v>11.700000000000001</v>
      </c>
      <c r="AC7" s="2">
        <f t="shared" ref="AC7:AC13" si="8">Y7*AA7 + Z7</f>
        <v>12.96</v>
      </c>
      <c r="AD7" s="4">
        <f t="shared" ref="AD7:AD13" si="9">1.35*Y7+1.5*Z7</f>
        <v>35.234999999999999</v>
      </c>
      <c r="AE7" s="4"/>
      <c r="AF7">
        <f t="shared" ref="AF7:AF13" si="10">AB7+AC7</f>
        <v>24.660000000000004</v>
      </c>
      <c r="AT7" s="10"/>
    </row>
    <row r="8" spans="1:46" x14ac:dyDescent="0.35">
      <c r="A8">
        <f t="shared" si="0"/>
        <v>2</v>
      </c>
      <c r="B8" t="s">
        <v>45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</v>
      </c>
      <c r="L8">
        <v>3</v>
      </c>
      <c r="M8">
        <v>1.3439999999999999E-4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3</v>
      </c>
      <c r="X8" s="9">
        <v>0</v>
      </c>
      <c r="Y8" s="2">
        <f t="shared" si="1"/>
        <v>0</v>
      </c>
      <c r="Z8" s="2">
        <f t="shared" si="2"/>
        <v>3</v>
      </c>
      <c r="AA8" s="3">
        <v>0</v>
      </c>
      <c r="AB8" s="2">
        <f t="shared" si="7"/>
        <v>0</v>
      </c>
      <c r="AC8" s="2">
        <f t="shared" si="8"/>
        <v>3</v>
      </c>
      <c r="AD8" s="4">
        <f t="shared" si="9"/>
        <v>4.5</v>
      </c>
      <c r="AE8" s="4"/>
      <c r="AF8">
        <f t="shared" si="10"/>
        <v>3</v>
      </c>
      <c r="AT8" s="10"/>
    </row>
    <row r="9" spans="1:46" x14ac:dyDescent="0.35">
      <c r="A9">
        <f t="shared" si="0"/>
        <v>2</v>
      </c>
      <c r="B9" t="s">
        <v>45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0.215</v>
      </c>
      <c r="L9">
        <v>3</v>
      </c>
      <c r="M9">
        <v>3.8400000000000001E-4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3</v>
      </c>
      <c r="W9">
        <v>6</v>
      </c>
      <c r="X9" s="9" t="s">
        <v>44</v>
      </c>
      <c r="Y9" s="2">
        <f t="shared" si="1"/>
        <v>3</v>
      </c>
      <c r="Z9" s="2">
        <f t="shared" si="2"/>
        <v>6</v>
      </c>
      <c r="AA9" s="3">
        <v>0</v>
      </c>
      <c r="AB9" s="2">
        <f t="shared" si="7"/>
        <v>3</v>
      </c>
      <c r="AC9" s="2">
        <f t="shared" si="8"/>
        <v>6</v>
      </c>
      <c r="AD9" s="4">
        <f t="shared" si="9"/>
        <v>13.05</v>
      </c>
      <c r="AE9" s="4"/>
      <c r="AF9">
        <f t="shared" si="10"/>
        <v>9</v>
      </c>
      <c r="AT9" s="10"/>
    </row>
    <row r="10" spans="1:46" x14ac:dyDescent="0.35">
      <c r="A10">
        <f t="shared" si="0"/>
        <v>2</v>
      </c>
      <c r="B10" t="s">
        <v>45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</v>
      </c>
      <c r="L10">
        <v>3</v>
      </c>
      <c r="M10">
        <v>1.5089999999999999E-3</v>
      </c>
      <c r="N10">
        <v>0.04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42</v>
      </c>
      <c r="W10">
        <v>18</v>
      </c>
      <c r="X10" s="9">
        <v>0</v>
      </c>
      <c r="Y10" s="2">
        <f t="shared" si="1"/>
        <v>42</v>
      </c>
      <c r="Z10" s="2">
        <f t="shared" si="2"/>
        <v>18</v>
      </c>
      <c r="AA10" s="3">
        <v>0</v>
      </c>
      <c r="AB10" s="2">
        <f t="shared" si="7"/>
        <v>42</v>
      </c>
      <c r="AC10" s="2">
        <f t="shared" si="8"/>
        <v>18</v>
      </c>
      <c r="AD10" s="4">
        <f t="shared" si="9"/>
        <v>83.7</v>
      </c>
      <c r="AE10" s="4"/>
      <c r="AF10">
        <f t="shared" si="10"/>
        <v>60</v>
      </c>
      <c r="AT10" s="10"/>
    </row>
    <row r="11" spans="1:46" x14ac:dyDescent="0.35">
      <c r="A11">
        <f t="shared" si="0"/>
        <v>2</v>
      </c>
      <c r="B11" t="s">
        <v>45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0.215</v>
      </c>
      <c r="L11">
        <v>4.1749999999999998</v>
      </c>
      <c r="M11">
        <v>1.0729750000000001E-3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 s="11">
        <f>7-1</f>
        <v>6</v>
      </c>
      <c r="V11">
        <v>48.6</v>
      </c>
      <c r="W11">
        <v>20.6</v>
      </c>
      <c r="X11" s="9" t="s">
        <v>44</v>
      </c>
      <c r="Y11" s="2">
        <f t="shared" si="1"/>
        <v>51.9</v>
      </c>
      <c r="Z11" s="2">
        <f t="shared" si="2"/>
        <v>24.560000000000002</v>
      </c>
      <c r="AA11" s="3">
        <v>0</v>
      </c>
      <c r="AB11" s="2">
        <f t="shared" si="7"/>
        <v>51.9</v>
      </c>
      <c r="AC11" s="2">
        <f t="shared" si="8"/>
        <v>24.560000000000002</v>
      </c>
      <c r="AD11" s="4">
        <f t="shared" si="9"/>
        <v>106.905</v>
      </c>
      <c r="AE11" s="4"/>
      <c r="AF11">
        <f t="shared" si="10"/>
        <v>76.460000000000008</v>
      </c>
      <c r="AT11" s="10"/>
    </row>
    <row r="12" spans="1:46" x14ac:dyDescent="0.35">
      <c r="A12">
        <f t="shared" si="0"/>
        <v>2</v>
      </c>
      <c r="B12" t="s">
        <v>45</v>
      </c>
      <c r="C12" t="s">
        <v>30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0.23</v>
      </c>
      <c r="L12">
        <v>5.35</v>
      </c>
      <c r="M12">
        <v>1.024E-4</v>
      </c>
      <c r="N12">
        <v>6.9999999999999993E-2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 s="11">
        <f>12-2</f>
        <v>10</v>
      </c>
      <c r="V12">
        <v>10</v>
      </c>
      <c r="W12">
        <v>12</v>
      </c>
      <c r="X12" s="9">
        <v>-0.66</v>
      </c>
      <c r="Y12" s="2">
        <f t="shared" si="1"/>
        <v>3.3999999999999995</v>
      </c>
      <c r="Z12" s="2">
        <f t="shared" si="2"/>
        <v>4.08</v>
      </c>
      <c r="AA12" s="3">
        <v>0</v>
      </c>
      <c r="AB12" s="2">
        <f t="shared" si="7"/>
        <v>3.3999999999999995</v>
      </c>
      <c r="AC12" s="2">
        <f t="shared" si="8"/>
        <v>4.08</v>
      </c>
      <c r="AD12" s="4">
        <f t="shared" si="9"/>
        <v>10.71</v>
      </c>
      <c r="AE12" s="4"/>
      <c r="AF12">
        <f t="shared" si="10"/>
        <v>7.4799999999999995</v>
      </c>
      <c r="AT12" s="10"/>
    </row>
    <row r="13" spans="1:46" x14ac:dyDescent="0.35">
      <c r="A13">
        <f t="shared" si="0"/>
        <v>2</v>
      </c>
      <c r="B13" t="s">
        <v>45</v>
      </c>
      <c r="C13" t="s">
        <v>31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0.24</v>
      </c>
      <c r="L13">
        <v>5.35</v>
      </c>
      <c r="M13">
        <v>1.37495E-3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34</v>
      </c>
      <c r="W13">
        <v>17</v>
      </c>
      <c r="X13" s="9" t="s">
        <v>44</v>
      </c>
      <c r="Y13" s="2">
        <f t="shared" si="1"/>
        <v>37.299999999999997</v>
      </c>
      <c r="Z13" s="2">
        <f t="shared" si="2"/>
        <v>20.96</v>
      </c>
      <c r="AA13" s="5">
        <v>0</v>
      </c>
      <c r="AB13" s="2">
        <f t="shared" si="7"/>
        <v>37.299999999999997</v>
      </c>
      <c r="AC13" s="2">
        <f t="shared" si="8"/>
        <v>20.96</v>
      </c>
      <c r="AD13" s="4">
        <f t="shared" si="9"/>
        <v>81.795000000000002</v>
      </c>
      <c r="AE13" s="4"/>
      <c r="AF13">
        <f t="shared" si="10"/>
        <v>58.26</v>
      </c>
      <c r="AT13" s="10"/>
    </row>
    <row r="14" spans="1:46" x14ac:dyDescent="0.35">
      <c r="A14">
        <f t="shared" si="0"/>
        <v>2</v>
      </c>
      <c r="B14" t="s">
        <v>45</v>
      </c>
      <c r="D14" s="6">
        <v>25</v>
      </c>
      <c r="E14" s="6" t="s">
        <v>18</v>
      </c>
      <c r="F14" s="6">
        <v>500</v>
      </c>
      <c r="G14" s="7">
        <v>220000</v>
      </c>
      <c r="H14" s="6">
        <v>1576</v>
      </c>
      <c r="I14" s="6">
        <v>1870</v>
      </c>
      <c r="J14" s="6">
        <v>1</v>
      </c>
      <c r="K14" s="6">
        <v>0.2</v>
      </c>
      <c r="L14" s="6">
        <v>2.2000000000000002</v>
      </c>
      <c r="M14" s="6">
        <v>1.0000000000000001E-5</v>
      </c>
      <c r="N14" s="6">
        <v>0.03</v>
      </c>
      <c r="O14" s="6">
        <v>1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0</v>
      </c>
      <c r="V14" s="8">
        <v>0</v>
      </c>
      <c r="W14" s="8">
        <v>0</v>
      </c>
      <c r="X14" s="6"/>
      <c r="Y14" s="2">
        <f t="shared" si="1"/>
        <v>0</v>
      </c>
      <c r="Z14" s="2">
        <f t="shared" si="2"/>
        <v>0</v>
      </c>
      <c r="AA14" s="3"/>
      <c r="AB14" s="2">
        <f t="shared" ref="AB14:AB18" si="11">Y14*(1-AA14)</f>
        <v>0</v>
      </c>
      <c r="AC14" s="2">
        <f t="shared" ref="AC14:AC18" si="12">Y14*AA14 + Z14</f>
        <v>0</v>
      </c>
      <c r="AD14" s="4">
        <f t="shared" ref="AD14:AD18" si="13">1.35*Y14+1.5*Z14</f>
        <v>0</v>
      </c>
      <c r="AE14" s="4"/>
      <c r="AF14">
        <f t="shared" ref="AF14:AF18" si="14">AB14+AC14</f>
        <v>0</v>
      </c>
      <c r="AT14" s="10"/>
    </row>
    <row r="15" spans="1:46" x14ac:dyDescent="0.35">
      <c r="A15">
        <f t="shared" si="0"/>
        <v>3</v>
      </c>
      <c r="B15" t="s">
        <v>46</v>
      </c>
      <c r="C15" t="s">
        <v>19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0.24</v>
      </c>
      <c r="L15">
        <v>5.3</v>
      </c>
      <c r="M15">
        <v>1.3621E-3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40</v>
      </c>
      <c r="W15">
        <v>23</v>
      </c>
      <c r="X15" s="9" t="s">
        <v>44</v>
      </c>
      <c r="Y15" s="2">
        <f t="shared" si="1"/>
        <v>58.585000000000001</v>
      </c>
      <c r="Z15" s="2">
        <f t="shared" si="2"/>
        <v>33.177500000000002</v>
      </c>
      <c r="AA15" s="3">
        <v>0</v>
      </c>
      <c r="AB15" s="2">
        <f t="shared" si="11"/>
        <v>58.585000000000001</v>
      </c>
      <c r="AC15" s="2">
        <f t="shared" si="12"/>
        <v>33.177500000000002</v>
      </c>
      <c r="AD15" s="4">
        <f t="shared" si="13"/>
        <v>128.85599999999999</v>
      </c>
      <c r="AE15" s="4"/>
      <c r="AF15">
        <f t="shared" si="14"/>
        <v>91.762500000000003</v>
      </c>
      <c r="AT15" s="10"/>
    </row>
    <row r="16" spans="1:46" x14ac:dyDescent="0.35">
      <c r="A16">
        <f t="shared" si="0"/>
        <v>3</v>
      </c>
      <c r="B16" t="s">
        <v>46</v>
      </c>
      <c r="C16" t="s">
        <v>20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0.23</v>
      </c>
      <c r="L16">
        <v>5.3</v>
      </c>
      <c r="M16">
        <v>1.024E-4</v>
      </c>
      <c r="N16">
        <v>6.9999999999999993E-2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 s="11">
        <f>12-2</f>
        <v>10</v>
      </c>
      <c r="V16">
        <v>42</v>
      </c>
      <c r="W16">
        <v>23</v>
      </c>
      <c r="X16" s="9">
        <v>-0.88500000000000001</v>
      </c>
      <c r="Y16" s="2">
        <f t="shared" si="1"/>
        <v>4.8299999999999983</v>
      </c>
      <c r="Z16" s="2">
        <f t="shared" si="2"/>
        <v>2.6449999999999996</v>
      </c>
      <c r="AA16" s="3">
        <v>0</v>
      </c>
      <c r="AB16" s="2">
        <f t="shared" si="11"/>
        <v>4.8299999999999983</v>
      </c>
      <c r="AC16" s="2">
        <f t="shared" si="12"/>
        <v>2.6449999999999996</v>
      </c>
      <c r="AD16" s="4">
        <f t="shared" si="13"/>
        <v>10.487999999999998</v>
      </c>
      <c r="AE16" s="4"/>
      <c r="AF16">
        <f t="shared" si="14"/>
        <v>7.4749999999999979</v>
      </c>
      <c r="AT16" s="10"/>
    </row>
    <row r="17" spans="1:46" x14ac:dyDescent="0.35">
      <c r="A17">
        <f t="shared" si="0"/>
        <v>3</v>
      </c>
      <c r="B17" t="s">
        <v>46</v>
      </c>
      <c r="C17" t="s">
        <v>23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0.215</v>
      </c>
      <c r="L17">
        <v>5.3</v>
      </c>
      <c r="M17">
        <v>2.7188999999999998E-3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 s="11">
        <f>7-1</f>
        <v>6</v>
      </c>
      <c r="V17">
        <v>83</v>
      </c>
      <c r="W17">
        <v>36</v>
      </c>
      <c r="X17" s="9" t="s">
        <v>44</v>
      </c>
      <c r="Y17" s="2">
        <f t="shared" si="1"/>
        <v>118.38500000000001</v>
      </c>
      <c r="Z17" s="2">
        <f t="shared" si="2"/>
        <v>54.997500000000002</v>
      </c>
      <c r="AA17" s="3">
        <v>0</v>
      </c>
      <c r="AB17" s="2">
        <f t="shared" si="11"/>
        <v>118.38500000000001</v>
      </c>
      <c r="AC17" s="2">
        <f t="shared" si="12"/>
        <v>54.997500000000002</v>
      </c>
      <c r="AD17" s="4">
        <f t="shared" si="13"/>
        <v>242.31600000000003</v>
      </c>
      <c r="AE17" s="4"/>
      <c r="AF17">
        <f t="shared" si="14"/>
        <v>173.38249999999999</v>
      </c>
      <c r="AT17" s="10"/>
    </row>
    <row r="18" spans="1:46" x14ac:dyDescent="0.35">
      <c r="A18">
        <f t="shared" si="0"/>
        <v>3</v>
      </c>
      <c r="B18" t="s">
        <v>46</v>
      </c>
      <c r="C18" t="s">
        <v>24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</v>
      </c>
      <c r="L18">
        <v>5.3</v>
      </c>
      <c r="M18">
        <v>1.3439999999999999E-4</v>
      </c>
      <c r="N18">
        <v>0.04</v>
      </c>
      <c r="O18">
        <v>1</v>
      </c>
      <c r="P18">
        <v>0</v>
      </c>
      <c r="Q18">
        <v>0</v>
      </c>
      <c r="R18">
        <v>1</v>
      </c>
      <c r="S18">
        <v>2.9099999999999999E-5</v>
      </c>
      <c r="T18">
        <v>0</v>
      </c>
      <c r="U18" s="11">
        <f>12-2</f>
        <v>10</v>
      </c>
      <c r="V18">
        <v>40</v>
      </c>
      <c r="W18">
        <v>21</v>
      </c>
      <c r="X18" s="9">
        <v>-0.84</v>
      </c>
      <c r="Y18" s="2">
        <f t="shared" si="1"/>
        <v>6.3999999999999986</v>
      </c>
      <c r="Z18" s="2">
        <f t="shared" si="2"/>
        <v>3.3599999999999994</v>
      </c>
      <c r="AA18" s="5">
        <v>0</v>
      </c>
      <c r="AB18" s="2">
        <f t="shared" si="11"/>
        <v>6.3999999999999986</v>
      </c>
      <c r="AC18" s="2">
        <f t="shared" si="12"/>
        <v>3.3599999999999994</v>
      </c>
      <c r="AD18" s="4">
        <f t="shared" si="13"/>
        <v>13.679999999999998</v>
      </c>
      <c r="AE18" s="4"/>
      <c r="AF18">
        <f t="shared" si="14"/>
        <v>9.759999999999998</v>
      </c>
      <c r="AT18" s="10"/>
    </row>
    <row r="19" spans="1:46" x14ac:dyDescent="0.35">
      <c r="A19">
        <f t="shared" si="0"/>
        <v>3</v>
      </c>
      <c r="B19" t="s">
        <v>46</v>
      </c>
      <c r="C19" t="s">
        <v>25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0.215</v>
      </c>
      <c r="L19">
        <v>5.3</v>
      </c>
      <c r="M19">
        <v>6.7840000000000001E-4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16</v>
      </c>
      <c r="X19" s="9" t="s">
        <v>44</v>
      </c>
      <c r="Y19" s="2">
        <f t="shared" si="1"/>
        <v>16.8</v>
      </c>
      <c r="Z19" s="2">
        <f t="shared" si="2"/>
        <v>25.425000000000001</v>
      </c>
      <c r="AA19" s="3">
        <v>0</v>
      </c>
      <c r="AB19" s="2">
        <f t="shared" ref="AB19:AB29" si="15">Y19*(1-AA19)</f>
        <v>16.8</v>
      </c>
      <c r="AC19" s="2">
        <f t="shared" ref="AC19:AC29" si="16">Y19*AA19 + Z19</f>
        <v>25.425000000000001</v>
      </c>
      <c r="AD19" s="4">
        <f t="shared" ref="AD19:AD29" si="17">1.35*Y19+1.5*Z19</f>
        <v>60.81750000000001</v>
      </c>
      <c r="AE19" s="4"/>
      <c r="AF19">
        <f t="shared" ref="AF19:AF29" si="18">AB19+AC19</f>
        <v>42.225000000000001</v>
      </c>
      <c r="AT19" s="10"/>
    </row>
    <row r="20" spans="1:46" x14ac:dyDescent="0.35">
      <c r="A20">
        <f t="shared" si="0"/>
        <v>3</v>
      </c>
      <c r="B20" t="s">
        <v>46</v>
      </c>
      <c r="C20" t="s">
        <v>26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0.23</v>
      </c>
      <c r="L20">
        <v>5.3</v>
      </c>
      <c r="M20">
        <v>1.3439999999999999E-4</v>
      </c>
      <c r="N20">
        <v>6.9999999999999993E-2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11</v>
      </c>
      <c r="X20" s="9">
        <v>-0.11</v>
      </c>
      <c r="Y20" s="2">
        <f t="shared" si="1"/>
        <v>0</v>
      </c>
      <c r="Z20" s="2">
        <f t="shared" si="2"/>
        <v>9.7899999999999991</v>
      </c>
      <c r="AA20" s="3">
        <v>0</v>
      </c>
      <c r="AB20" s="2">
        <f t="shared" si="15"/>
        <v>0</v>
      </c>
      <c r="AC20" s="2">
        <f t="shared" si="16"/>
        <v>9.7899999999999991</v>
      </c>
      <c r="AD20" s="4">
        <f t="shared" si="17"/>
        <v>14.684999999999999</v>
      </c>
      <c r="AE20" s="4"/>
      <c r="AF20">
        <f t="shared" si="18"/>
        <v>9.7899999999999991</v>
      </c>
      <c r="AT20" s="10"/>
    </row>
    <row r="21" spans="1:46" x14ac:dyDescent="0.35">
      <c r="A21">
        <f t="shared" si="0"/>
        <v>3</v>
      </c>
      <c r="B21" t="s">
        <v>46</v>
      </c>
      <c r="C21" t="s">
        <v>27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0.215</v>
      </c>
      <c r="L21">
        <v>5.3</v>
      </c>
      <c r="M21">
        <v>6.7840000000000001E-4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2</v>
      </c>
      <c r="W21">
        <v>16</v>
      </c>
      <c r="X21" s="9" t="s">
        <v>44</v>
      </c>
      <c r="Y21" s="2">
        <f t="shared" si="1"/>
        <v>15.68</v>
      </c>
      <c r="Z21" s="2">
        <f t="shared" si="2"/>
        <v>24.204999999999998</v>
      </c>
      <c r="AA21" s="3">
        <v>0</v>
      </c>
      <c r="AB21" s="2">
        <f t="shared" si="15"/>
        <v>15.68</v>
      </c>
      <c r="AC21" s="2">
        <f t="shared" si="16"/>
        <v>24.204999999999998</v>
      </c>
      <c r="AD21" s="4">
        <f t="shared" si="17"/>
        <v>57.475499999999997</v>
      </c>
      <c r="AE21" s="4"/>
      <c r="AF21">
        <f t="shared" si="18"/>
        <v>39.884999999999998</v>
      </c>
      <c r="AT21" s="10"/>
    </row>
    <row r="22" spans="1:46" x14ac:dyDescent="0.35">
      <c r="A22">
        <f t="shared" si="0"/>
        <v>3</v>
      </c>
      <c r="B22" t="s">
        <v>46</v>
      </c>
      <c r="C22" t="s">
        <v>28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</v>
      </c>
      <c r="L22">
        <v>5.3</v>
      </c>
      <c r="M22">
        <v>1.8560000000000001E-4</v>
      </c>
      <c r="N22">
        <v>0.04</v>
      </c>
      <c r="O22">
        <v>1</v>
      </c>
      <c r="P22">
        <v>0</v>
      </c>
      <c r="Q22">
        <v>0</v>
      </c>
      <c r="R22">
        <v>1</v>
      </c>
      <c r="S22">
        <v>2.9099999999999999E-5</v>
      </c>
      <c r="T22">
        <v>0</v>
      </c>
      <c r="U22" s="11">
        <f>12-2</f>
        <v>10</v>
      </c>
      <c r="V22">
        <v>36</v>
      </c>
      <c r="W22">
        <v>20</v>
      </c>
      <c r="X22" s="9">
        <v>-0.76</v>
      </c>
      <c r="Y22" s="2">
        <f t="shared" si="1"/>
        <v>8.64</v>
      </c>
      <c r="Z22" s="2">
        <f t="shared" si="2"/>
        <v>4.8000000000000007</v>
      </c>
      <c r="AA22" s="5">
        <v>0.25</v>
      </c>
      <c r="AB22" s="2">
        <f t="shared" si="15"/>
        <v>6.48</v>
      </c>
      <c r="AC22" s="2">
        <f t="shared" si="16"/>
        <v>6.9600000000000009</v>
      </c>
      <c r="AD22" s="4">
        <f t="shared" si="17"/>
        <v>18.864000000000004</v>
      </c>
      <c r="AE22" s="4"/>
      <c r="AF22">
        <f t="shared" si="18"/>
        <v>13.440000000000001</v>
      </c>
      <c r="AT22" s="10"/>
    </row>
    <row r="23" spans="1:46" x14ac:dyDescent="0.35">
      <c r="A23">
        <f t="shared" si="0"/>
        <v>3</v>
      </c>
      <c r="B23" t="s">
        <v>46</v>
      </c>
      <c r="C23" t="s">
        <v>29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0.215</v>
      </c>
      <c r="L23">
        <v>5.3</v>
      </c>
      <c r="M23">
        <v>1.3568E-3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 s="11">
        <f>7-1+4</f>
        <v>10</v>
      </c>
      <c r="V23">
        <v>75</v>
      </c>
      <c r="W23">
        <v>34</v>
      </c>
      <c r="X23" s="9" t="s">
        <v>44</v>
      </c>
      <c r="Y23" s="2">
        <f t="shared" si="1"/>
        <v>104.34</v>
      </c>
      <c r="Z23" s="2">
        <f t="shared" si="2"/>
        <v>50.3</v>
      </c>
      <c r="AA23" s="5">
        <v>0.5</v>
      </c>
      <c r="AB23" s="2">
        <f t="shared" si="15"/>
        <v>52.17</v>
      </c>
      <c r="AC23" s="2">
        <f t="shared" si="16"/>
        <v>102.47</v>
      </c>
      <c r="AD23" s="4">
        <f t="shared" si="17"/>
        <v>216.309</v>
      </c>
      <c r="AE23" s="4"/>
      <c r="AF23">
        <f t="shared" si="18"/>
        <v>154.63999999999999</v>
      </c>
      <c r="AT23" s="10"/>
    </row>
    <row r="24" spans="1:46" x14ac:dyDescent="0.35">
      <c r="A24">
        <f t="shared" si="0"/>
        <v>3</v>
      </c>
      <c r="B24" t="s">
        <v>46</v>
      </c>
      <c r="C24" t="s">
        <v>30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0.23</v>
      </c>
      <c r="L24">
        <v>5.3</v>
      </c>
      <c r="M24">
        <v>1.024E-4</v>
      </c>
      <c r="N24">
        <v>6.9999999999999993E-2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 s="11">
        <f>12-2</f>
        <v>10</v>
      </c>
      <c r="V24">
        <v>36</v>
      </c>
      <c r="W24">
        <v>20</v>
      </c>
      <c r="X24" s="9">
        <v>-0.87</v>
      </c>
      <c r="Y24" s="2">
        <f t="shared" si="1"/>
        <v>4.68</v>
      </c>
      <c r="Z24" s="2">
        <f t="shared" si="2"/>
        <v>2.6000000000000014</v>
      </c>
      <c r="AA24" s="5">
        <v>0.5</v>
      </c>
      <c r="AB24" s="2">
        <f t="shared" si="15"/>
        <v>2.34</v>
      </c>
      <c r="AC24" s="2">
        <f t="shared" si="16"/>
        <v>4.9400000000000013</v>
      </c>
      <c r="AD24" s="4">
        <f t="shared" si="17"/>
        <v>10.218000000000002</v>
      </c>
      <c r="AE24" s="4"/>
      <c r="AF24">
        <f t="shared" si="18"/>
        <v>7.2800000000000011</v>
      </c>
      <c r="AT24" s="10"/>
    </row>
    <row r="25" spans="1:46" x14ac:dyDescent="0.35">
      <c r="A25">
        <f t="shared" si="0"/>
        <v>3</v>
      </c>
      <c r="B25" t="s">
        <v>46</v>
      </c>
      <c r="C25" t="s">
        <v>31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0.24</v>
      </c>
      <c r="L25">
        <v>5.3</v>
      </c>
      <c r="M25">
        <v>1.3621E-3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  <c r="V25">
        <v>42</v>
      </c>
      <c r="W25">
        <v>23</v>
      </c>
      <c r="X25" s="9" t="s">
        <v>44</v>
      </c>
      <c r="Y25" s="2">
        <f t="shared" si="1"/>
        <v>57.66</v>
      </c>
      <c r="Z25" s="2">
        <f t="shared" si="2"/>
        <v>31.7</v>
      </c>
      <c r="AA25" s="5">
        <v>0.5</v>
      </c>
      <c r="AB25" s="2">
        <f t="shared" si="15"/>
        <v>28.83</v>
      </c>
      <c r="AC25" s="2">
        <f t="shared" si="16"/>
        <v>60.53</v>
      </c>
      <c r="AD25" s="4">
        <f t="shared" si="17"/>
        <v>125.39099999999999</v>
      </c>
      <c r="AE25" s="4"/>
      <c r="AF25">
        <f t="shared" si="18"/>
        <v>89.36</v>
      </c>
      <c r="AT25" s="10"/>
    </row>
    <row r="26" spans="1:46" x14ac:dyDescent="0.35">
      <c r="A26">
        <f t="shared" si="0"/>
        <v>3</v>
      </c>
      <c r="B26" t="s">
        <v>46</v>
      </c>
      <c r="D26" s="6">
        <v>25</v>
      </c>
      <c r="E26" s="6" t="s">
        <v>18</v>
      </c>
      <c r="F26" s="6">
        <v>500</v>
      </c>
      <c r="G26" s="7">
        <v>220000</v>
      </c>
      <c r="H26" s="6">
        <v>1576</v>
      </c>
      <c r="I26" s="6">
        <v>1870</v>
      </c>
      <c r="J26" s="6">
        <v>1</v>
      </c>
      <c r="K26" s="6">
        <v>0.2</v>
      </c>
      <c r="L26" s="6">
        <v>2.2000000000000002</v>
      </c>
      <c r="M26" s="6">
        <v>1.0000000000000001E-5</v>
      </c>
      <c r="N26" s="6">
        <v>0.03</v>
      </c>
      <c r="O26" s="6">
        <v>1</v>
      </c>
      <c r="P26" s="6">
        <v>0</v>
      </c>
      <c r="Q26" s="6">
        <v>0</v>
      </c>
      <c r="R26" s="6">
        <v>1</v>
      </c>
      <c r="S26" s="6">
        <v>0</v>
      </c>
      <c r="T26" s="6">
        <v>0</v>
      </c>
      <c r="U26" s="6">
        <v>0</v>
      </c>
      <c r="V26" s="8">
        <v>0</v>
      </c>
      <c r="W26" s="8">
        <v>0</v>
      </c>
      <c r="X26" s="6"/>
      <c r="Y26" s="2">
        <f t="shared" si="1"/>
        <v>0</v>
      </c>
      <c r="Z26" s="2">
        <f t="shared" si="2"/>
        <v>0</v>
      </c>
      <c r="AA26" s="3"/>
      <c r="AB26" s="2">
        <f t="shared" si="15"/>
        <v>0</v>
      </c>
      <c r="AC26" s="2">
        <f t="shared" si="16"/>
        <v>0</v>
      </c>
      <c r="AD26" s="4">
        <f t="shared" si="17"/>
        <v>0</v>
      </c>
      <c r="AE26" s="4"/>
      <c r="AF26">
        <f t="shared" si="18"/>
        <v>0</v>
      </c>
      <c r="AT26" s="10"/>
    </row>
    <row r="27" spans="1:46" x14ac:dyDescent="0.35">
      <c r="A27">
        <f t="shared" si="0"/>
        <v>4</v>
      </c>
      <c r="B27" t="s">
        <v>47</v>
      </c>
      <c r="C27" t="s">
        <v>19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0.24</v>
      </c>
      <c r="L27">
        <v>5.3</v>
      </c>
      <c r="M27">
        <v>1.3621E-3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36.700000000000003</v>
      </c>
      <c r="W27">
        <v>23.5</v>
      </c>
      <c r="X27" s="9" t="s">
        <v>44</v>
      </c>
      <c r="Y27" s="2">
        <f t="shared" si="1"/>
        <v>58.525000000000006</v>
      </c>
      <c r="Z27" s="2">
        <f t="shared" si="2"/>
        <v>34.75</v>
      </c>
      <c r="AA27" s="5">
        <v>0</v>
      </c>
      <c r="AB27" s="2">
        <f t="shared" si="15"/>
        <v>58.525000000000006</v>
      </c>
      <c r="AC27" s="2">
        <f t="shared" si="16"/>
        <v>34.75</v>
      </c>
      <c r="AD27" s="4">
        <f t="shared" si="17"/>
        <v>131.13375000000002</v>
      </c>
      <c r="AE27" s="4"/>
      <c r="AF27">
        <f t="shared" si="18"/>
        <v>93.275000000000006</v>
      </c>
      <c r="AT27" s="10"/>
    </row>
    <row r="28" spans="1:46" x14ac:dyDescent="0.35">
      <c r="A28">
        <f t="shared" si="0"/>
        <v>4</v>
      </c>
      <c r="B28" t="s">
        <v>47</v>
      </c>
      <c r="C28" t="s">
        <v>20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0.23</v>
      </c>
      <c r="L28">
        <v>5.3</v>
      </c>
      <c r="M28">
        <v>1.024E-4</v>
      </c>
      <c r="N28">
        <v>6.9999999999999993E-2</v>
      </c>
      <c r="O28">
        <v>1</v>
      </c>
      <c r="P28">
        <v>0</v>
      </c>
      <c r="Q28">
        <v>0</v>
      </c>
      <c r="R28">
        <v>1</v>
      </c>
      <c r="S28">
        <v>2.9099999999999999E-5</v>
      </c>
      <c r="T28">
        <v>0</v>
      </c>
      <c r="U28" s="11">
        <f>12-2</f>
        <v>10</v>
      </c>
      <c r="V28">
        <v>48.5</v>
      </c>
      <c r="W28">
        <v>25</v>
      </c>
      <c r="X28" s="9">
        <v>-0.9</v>
      </c>
      <c r="Y28" s="2">
        <f t="shared" si="1"/>
        <v>4.8500000000000014</v>
      </c>
      <c r="Z28" s="2">
        <f t="shared" si="2"/>
        <v>2.5</v>
      </c>
      <c r="AA28" s="5">
        <v>0</v>
      </c>
      <c r="AB28" s="2">
        <f t="shared" si="15"/>
        <v>4.8500000000000014</v>
      </c>
      <c r="AC28" s="2">
        <f t="shared" si="16"/>
        <v>2.5</v>
      </c>
      <c r="AD28" s="4">
        <f t="shared" si="17"/>
        <v>10.297500000000003</v>
      </c>
      <c r="AE28" s="4"/>
      <c r="AF28">
        <f t="shared" si="18"/>
        <v>7.3500000000000014</v>
      </c>
      <c r="AT28" s="10"/>
    </row>
    <row r="29" spans="1:46" x14ac:dyDescent="0.35">
      <c r="A29">
        <f t="shared" si="0"/>
        <v>4</v>
      </c>
      <c r="B29" t="s">
        <v>47</v>
      </c>
      <c r="C29" t="s">
        <v>23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0.215</v>
      </c>
      <c r="L29">
        <v>5.3</v>
      </c>
      <c r="M29">
        <v>2.0400000000000001E-3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10</v>
      </c>
      <c r="V29">
        <v>90.3</v>
      </c>
      <c r="W29">
        <v>38.5</v>
      </c>
      <c r="X29" s="9" t="s">
        <v>44</v>
      </c>
      <c r="Y29" s="2">
        <f t="shared" si="1"/>
        <v>132.13499999999999</v>
      </c>
      <c r="Z29" s="2">
        <f t="shared" si="2"/>
        <v>60.625</v>
      </c>
      <c r="AA29" s="5">
        <v>0</v>
      </c>
      <c r="AB29" s="2">
        <f t="shared" si="15"/>
        <v>132.13499999999999</v>
      </c>
      <c r="AC29" s="2">
        <f t="shared" si="16"/>
        <v>60.625</v>
      </c>
      <c r="AD29" s="4">
        <f t="shared" si="17"/>
        <v>269.31975</v>
      </c>
      <c r="AE29" s="4"/>
      <c r="AF29">
        <f t="shared" si="18"/>
        <v>192.76</v>
      </c>
      <c r="AT29" s="10"/>
    </row>
    <row r="30" spans="1:46" x14ac:dyDescent="0.35">
      <c r="A30">
        <f t="shared" si="0"/>
        <v>4</v>
      </c>
      <c r="B30" t="s">
        <v>47</v>
      </c>
      <c r="C30" t="s">
        <v>24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</v>
      </c>
      <c r="L30">
        <v>5.3</v>
      </c>
      <c r="M30">
        <v>1.3439999999999999E-4</v>
      </c>
      <c r="N30">
        <v>0.04</v>
      </c>
      <c r="O30">
        <v>1</v>
      </c>
      <c r="P30">
        <v>0</v>
      </c>
      <c r="Q30">
        <v>0</v>
      </c>
      <c r="R30">
        <v>1</v>
      </c>
      <c r="S30">
        <v>2.9099999999999999E-5</v>
      </c>
      <c r="T30">
        <v>0</v>
      </c>
      <c r="U30" s="11">
        <f>12-2</f>
        <v>10</v>
      </c>
      <c r="V30">
        <v>46</v>
      </c>
      <c r="W30">
        <v>25</v>
      </c>
      <c r="X30" s="9">
        <v>-0.87</v>
      </c>
      <c r="Y30" s="2">
        <f t="shared" si="1"/>
        <v>5.9799999999999969</v>
      </c>
      <c r="Z30" s="2">
        <f t="shared" si="2"/>
        <v>3.25</v>
      </c>
      <c r="AA30" s="5">
        <v>0</v>
      </c>
      <c r="AB30" s="2">
        <f t="shared" ref="AB30" si="19">Y30*(1-AA30)</f>
        <v>5.9799999999999969</v>
      </c>
      <c r="AC30" s="2">
        <f t="shared" ref="AC30" si="20">Y30*AA30 + Z30</f>
        <v>3.25</v>
      </c>
      <c r="AD30" s="4">
        <f t="shared" ref="AD30" si="21">1.35*Y30+1.5*Z30</f>
        <v>12.947999999999997</v>
      </c>
      <c r="AE30" s="4"/>
      <c r="AF30">
        <f t="shared" ref="AF30" si="22">AB30+AC30</f>
        <v>9.2299999999999969</v>
      </c>
      <c r="AT30" s="10"/>
    </row>
    <row r="31" spans="1:46" x14ac:dyDescent="0.35">
      <c r="A31">
        <f t="shared" si="0"/>
        <v>4</v>
      </c>
      <c r="B31" t="s">
        <v>47</v>
      </c>
      <c r="C31" t="s">
        <v>25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0.215</v>
      </c>
      <c r="L31">
        <v>5.3</v>
      </c>
      <c r="M31">
        <v>6.7840000000000001E-4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15</v>
      </c>
      <c r="X31" s="9" t="s">
        <v>44</v>
      </c>
      <c r="Y31" s="2">
        <f t="shared" si="1"/>
        <v>20.010000000000002</v>
      </c>
      <c r="Z31" s="2">
        <f t="shared" si="2"/>
        <v>27.074999999999999</v>
      </c>
      <c r="AA31" s="5">
        <v>0</v>
      </c>
      <c r="AB31" s="2">
        <f t="shared" ref="AB31:AB42" si="23">Y31*(1-AA31)</f>
        <v>20.010000000000002</v>
      </c>
      <c r="AC31" s="2">
        <f t="shared" ref="AC31:AC42" si="24">Y31*AA31 + Z31</f>
        <v>27.074999999999999</v>
      </c>
      <c r="AD31" s="4">
        <f t="shared" ref="AD31:AD42" si="25">1.35*Y31+1.5*Z31</f>
        <v>67.626000000000005</v>
      </c>
      <c r="AE31" s="4"/>
      <c r="AF31">
        <f t="shared" ref="AF31:AF42" si="26">AB31+AC31</f>
        <v>47.085000000000001</v>
      </c>
      <c r="AT31" s="10"/>
    </row>
    <row r="32" spans="1:46" x14ac:dyDescent="0.35">
      <c r="A32">
        <f t="shared" si="0"/>
        <v>4</v>
      </c>
      <c r="B32" t="s">
        <v>47</v>
      </c>
      <c r="C32" t="s">
        <v>26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0.23</v>
      </c>
      <c r="L32">
        <v>5.3</v>
      </c>
      <c r="M32">
        <v>1.3439999999999999E-4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12</v>
      </c>
      <c r="X32" s="9">
        <v>-0.2</v>
      </c>
      <c r="Y32" s="2">
        <f t="shared" si="1"/>
        <v>0</v>
      </c>
      <c r="Z32" s="2">
        <f t="shared" si="2"/>
        <v>9.6</v>
      </c>
      <c r="AA32" s="5">
        <v>0</v>
      </c>
      <c r="AB32" s="2">
        <f t="shared" si="23"/>
        <v>0</v>
      </c>
      <c r="AC32" s="2">
        <f t="shared" si="24"/>
        <v>9.6</v>
      </c>
      <c r="AD32" s="4">
        <f t="shared" si="25"/>
        <v>14.399999999999999</v>
      </c>
      <c r="AE32" s="4"/>
      <c r="AF32">
        <f t="shared" si="26"/>
        <v>9.6</v>
      </c>
      <c r="AT32" s="10"/>
    </row>
    <row r="33" spans="1:46" x14ac:dyDescent="0.35">
      <c r="A33">
        <f t="shared" si="0"/>
        <v>4</v>
      </c>
      <c r="B33" t="s">
        <v>47</v>
      </c>
      <c r="C33" t="s">
        <v>27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0.215</v>
      </c>
      <c r="L33">
        <v>5.3</v>
      </c>
      <c r="M33">
        <v>6.7840000000000001E-4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2</v>
      </c>
      <c r="W33">
        <v>15</v>
      </c>
      <c r="X33" s="9" t="s">
        <v>44</v>
      </c>
      <c r="Y33" s="2">
        <f t="shared" si="1"/>
        <v>14.555000000000001</v>
      </c>
      <c r="Z33" s="2">
        <f t="shared" si="2"/>
        <v>24.3</v>
      </c>
      <c r="AA33" s="5">
        <v>0</v>
      </c>
      <c r="AB33" s="2">
        <f t="shared" si="23"/>
        <v>14.555000000000001</v>
      </c>
      <c r="AC33" s="2">
        <f t="shared" si="24"/>
        <v>24.3</v>
      </c>
      <c r="AD33" s="4">
        <f t="shared" si="25"/>
        <v>56.099250000000005</v>
      </c>
      <c r="AE33" s="4"/>
      <c r="AF33">
        <f t="shared" si="26"/>
        <v>38.855000000000004</v>
      </c>
      <c r="AT33" s="10"/>
    </row>
    <row r="34" spans="1:46" x14ac:dyDescent="0.35">
      <c r="A34">
        <f t="shared" si="0"/>
        <v>4</v>
      </c>
      <c r="B34" t="s">
        <v>47</v>
      </c>
      <c r="C34" t="s">
        <v>28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</v>
      </c>
      <c r="L34">
        <v>5.3</v>
      </c>
      <c r="M34">
        <v>1.3439999999999999E-4</v>
      </c>
      <c r="N34">
        <v>0.04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 s="11">
        <f>12-2</f>
        <v>10</v>
      </c>
      <c r="V34">
        <v>31</v>
      </c>
      <c r="W34">
        <v>20</v>
      </c>
      <c r="X34" s="9">
        <v>-0.81</v>
      </c>
      <c r="Y34" s="2">
        <f t="shared" si="1"/>
        <v>5.889999999999997</v>
      </c>
      <c r="Z34" s="2">
        <f t="shared" si="2"/>
        <v>3.7999999999999972</v>
      </c>
      <c r="AA34" s="5">
        <v>0</v>
      </c>
      <c r="AB34" s="2">
        <f t="shared" si="23"/>
        <v>5.889999999999997</v>
      </c>
      <c r="AC34" s="2">
        <f t="shared" si="24"/>
        <v>3.7999999999999972</v>
      </c>
      <c r="AD34" s="4">
        <f t="shared" si="25"/>
        <v>13.651499999999992</v>
      </c>
      <c r="AE34" s="4"/>
      <c r="AF34">
        <f t="shared" si="26"/>
        <v>9.6899999999999942</v>
      </c>
      <c r="AT34" s="10"/>
    </row>
    <row r="35" spans="1:46" x14ac:dyDescent="0.35">
      <c r="A35">
        <f t="shared" si="0"/>
        <v>4</v>
      </c>
      <c r="B35" t="s">
        <v>47</v>
      </c>
      <c r="C35" t="s">
        <v>29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0.215</v>
      </c>
      <c r="L35">
        <v>5.3</v>
      </c>
      <c r="M35">
        <v>2.0405000000000002E-3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 s="11">
        <f>7-1</f>
        <v>6</v>
      </c>
      <c r="V35">
        <v>75</v>
      </c>
      <c r="W35">
        <v>32</v>
      </c>
      <c r="X35" s="9" t="s">
        <v>44</v>
      </c>
      <c r="Y35" s="2">
        <f t="shared" si="1"/>
        <v>87.555000000000007</v>
      </c>
      <c r="Z35" s="2">
        <f t="shared" si="2"/>
        <v>40.1</v>
      </c>
      <c r="AA35" s="5">
        <v>0</v>
      </c>
      <c r="AB35" s="2">
        <f t="shared" si="23"/>
        <v>87.555000000000007</v>
      </c>
      <c r="AC35" s="2">
        <f t="shared" si="24"/>
        <v>40.1</v>
      </c>
      <c r="AD35" s="4">
        <f t="shared" si="25"/>
        <v>178.34925000000004</v>
      </c>
      <c r="AE35" s="4"/>
      <c r="AF35">
        <f t="shared" si="26"/>
        <v>127.655</v>
      </c>
      <c r="AT35" s="10"/>
    </row>
    <row r="36" spans="1:46" x14ac:dyDescent="0.35">
      <c r="A36">
        <f t="shared" si="0"/>
        <v>4</v>
      </c>
      <c r="B36" t="s">
        <v>47</v>
      </c>
      <c r="C36" t="s">
        <v>30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0.23</v>
      </c>
      <c r="L36">
        <v>5.3</v>
      </c>
      <c r="M36">
        <v>2.6659000000000001E-3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80</v>
      </c>
      <c r="W36">
        <v>35</v>
      </c>
      <c r="X36" s="9">
        <v>0</v>
      </c>
      <c r="Y36" s="2">
        <f t="shared" si="1"/>
        <v>80</v>
      </c>
      <c r="Z36" s="2">
        <f t="shared" si="2"/>
        <v>35</v>
      </c>
      <c r="AA36" s="5">
        <v>0</v>
      </c>
      <c r="AB36" s="2">
        <f t="shared" si="23"/>
        <v>80</v>
      </c>
      <c r="AC36" s="2">
        <f t="shared" si="24"/>
        <v>35</v>
      </c>
      <c r="AD36" s="4">
        <f t="shared" si="25"/>
        <v>160.5</v>
      </c>
      <c r="AE36" s="4"/>
      <c r="AF36">
        <f t="shared" si="26"/>
        <v>115</v>
      </c>
      <c r="AT36" s="10"/>
    </row>
    <row r="37" spans="1:46" x14ac:dyDescent="0.35">
      <c r="A37">
        <f t="shared" si="0"/>
        <v>4</v>
      </c>
      <c r="B37" t="s">
        <v>47</v>
      </c>
      <c r="C37" t="s">
        <v>31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0.24</v>
      </c>
      <c r="L37">
        <v>5.3</v>
      </c>
      <c r="M37">
        <v>1.3621E-3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40.5</v>
      </c>
      <c r="W37">
        <v>20</v>
      </c>
      <c r="X37" s="9" t="s">
        <v>44</v>
      </c>
      <c r="Y37" s="2">
        <f t="shared" si="1"/>
        <v>40.5</v>
      </c>
      <c r="Z37" s="2">
        <f t="shared" si="2"/>
        <v>20</v>
      </c>
      <c r="AA37" s="5">
        <v>0</v>
      </c>
      <c r="AB37" s="2">
        <f t="shared" si="23"/>
        <v>40.5</v>
      </c>
      <c r="AC37" s="2">
        <f t="shared" si="24"/>
        <v>20</v>
      </c>
      <c r="AD37" s="4">
        <f t="shared" si="25"/>
        <v>84.675000000000011</v>
      </c>
      <c r="AE37" s="4"/>
      <c r="AF37">
        <f t="shared" si="26"/>
        <v>60.5</v>
      </c>
      <c r="AT37" s="10"/>
    </row>
    <row r="38" spans="1:46" x14ac:dyDescent="0.35">
      <c r="A38">
        <f t="shared" si="0"/>
        <v>4</v>
      </c>
      <c r="B38" t="s">
        <v>47</v>
      </c>
      <c r="D38" s="6">
        <v>25</v>
      </c>
      <c r="E38" s="6" t="s">
        <v>18</v>
      </c>
      <c r="F38" s="6">
        <v>500</v>
      </c>
      <c r="G38" s="7">
        <v>220000</v>
      </c>
      <c r="H38" s="6">
        <v>1576</v>
      </c>
      <c r="I38" s="6">
        <v>1870</v>
      </c>
      <c r="J38" s="6">
        <v>1</v>
      </c>
      <c r="K38" s="6">
        <v>0.2</v>
      </c>
      <c r="L38" s="6">
        <v>2.2000000000000002</v>
      </c>
      <c r="M38" s="6">
        <v>1.0000000000000001E-5</v>
      </c>
      <c r="N38" s="6">
        <v>0.03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8">
        <v>0</v>
      </c>
      <c r="W38" s="8">
        <v>0</v>
      </c>
      <c r="X38" s="6"/>
      <c r="Y38" s="2">
        <f t="shared" si="1"/>
        <v>0</v>
      </c>
      <c r="Z38" s="2">
        <f t="shared" si="2"/>
        <v>0</v>
      </c>
      <c r="AA38" s="5"/>
      <c r="AB38" s="2">
        <f t="shared" si="23"/>
        <v>0</v>
      </c>
      <c r="AC38" s="2">
        <f t="shared" si="24"/>
        <v>0</v>
      </c>
      <c r="AD38" s="4">
        <f t="shared" si="25"/>
        <v>0</v>
      </c>
      <c r="AE38" s="4"/>
      <c r="AF38">
        <f t="shared" si="26"/>
        <v>0</v>
      </c>
      <c r="AT38" s="10"/>
    </row>
    <row r="39" spans="1:46" x14ac:dyDescent="0.35">
      <c r="A39">
        <f t="shared" si="0"/>
        <v>5</v>
      </c>
      <c r="B39" t="s">
        <v>48</v>
      </c>
      <c r="C39" t="s">
        <v>19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0.24</v>
      </c>
      <c r="L39">
        <v>5.3</v>
      </c>
      <c r="M39">
        <v>1.3621E-3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39.5</v>
      </c>
      <c r="W39">
        <v>23</v>
      </c>
      <c r="X39" s="9" t="s">
        <v>44</v>
      </c>
      <c r="Y39" s="2">
        <f t="shared" si="1"/>
        <v>57.642499999999998</v>
      </c>
      <c r="Z39" s="2">
        <f t="shared" si="2"/>
        <v>32.292500000000004</v>
      </c>
      <c r="AA39" s="5">
        <v>0</v>
      </c>
      <c r="AB39" s="2">
        <f t="shared" si="23"/>
        <v>57.642499999999998</v>
      </c>
      <c r="AC39" s="2">
        <f t="shared" si="24"/>
        <v>32.292500000000004</v>
      </c>
      <c r="AD39" s="4">
        <f t="shared" si="25"/>
        <v>126.256125</v>
      </c>
      <c r="AE39" s="4"/>
      <c r="AF39">
        <f t="shared" si="26"/>
        <v>89.935000000000002</v>
      </c>
      <c r="AT39" s="10"/>
    </row>
    <row r="40" spans="1:46" x14ac:dyDescent="0.35">
      <c r="A40">
        <f t="shared" si="0"/>
        <v>5</v>
      </c>
      <c r="B40" t="s">
        <v>48</v>
      </c>
      <c r="C40" t="s">
        <v>20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0.23</v>
      </c>
      <c r="L40">
        <v>5.3</v>
      </c>
      <c r="M40">
        <v>1E-4</v>
      </c>
      <c r="N40">
        <v>6.9999999999999993E-2</v>
      </c>
      <c r="O40">
        <v>1</v>
      </c>
      <c r="P40">
        <v>0</v>
      </c>
      <c r="Q40">
        <v>0</v>
      </c>
      <c r="R40">
        <v>1</v>
      </c>
      <c r="S40">
        <v>2.9099999999999999E-5</v>
      </c>
      <c r="T40">
        <v>0</v>
      </c>
      <c r="U40" s="11">
        <f>12-2</f>
        <v>10</v>
      </c>
      <c r="V40">
        <v>41</v>
      </c>
      <c r="W40">
        <v>21</v>
      </c>
      <c r="X40" s="9">
        <v>-0.88500000000000001</v>
      </c>
      <c r="Y40" s="2">
        <f t="shared" si="1"/>
        <v>4.7149999999999963</v>
      </c>
      <c r="Z40" s="2">
        <f t="shared" si="2"/>
        <v>2.4149999999999991</v>
      </c>
      <c r="AA40" s="5">
        <v>0</v>
      </c>
      <c r="AB40" s="2">
        <f t="shared" si="23"/>
        <v>4.7149999999999963</v>
      </c>
      <c r="AC40" s="2">
        <f t="shared" si="24"/>
        <v>2.4149999999999991</v>
      </c>
      <c r="AD40" s="4">
        <f t="shared" si="25"/>
        <v>9.9877499999999948</v>
      </c>
      <c r="AE40" s="4"/>
      <c r="AF40">
        <f t="shared" si="26"/>
        <v>7.1299999999999955</v>
      </c>
      <c r="AT40" s="10"/>
    </row>
    <row r="41" spans="1:46" x14ac:dyDescent="0.35">
      <c r="A41">
        <f t="shared" si="0"/>
        <v>5</v>
      </c>
      <c r="B41" t="s">
        <v>48</v>
      </c>
      <c r="C41" t="s">
        <v>23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0.215</v>
      </c>
      <c r="L41">
        <v>5.3</v>
      </c>
      <c r="M41">
        <v>2.0400000000000001E-3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10</v>
      </c>
      <c r="V41">
        <v>85</v>
      </c>
      <c r="W41">
        <v>36</v>
      </c>
      <c r="X41" s="9" t="s">
        <v>44</v>
      </c>
      <c r="Y41" s="2">
        <f t="shared" si="1"/>
        <v>103.1425</v>
      </c>
      <c r="Z41" s="2">
        <f t="shared" si="2"/>
        <v>45.292500000000004</v>
      </c>
      <c r="AA41" s="5">
        <v>0</v>
      </c>
      <c r="AB41" s="2">
        <f t="shared" si="23"/>
        <v>103.1425</v>
      </c>
      <c r="AC41" s="2">
        <f t="shared" si="24"/>
        <v>45.292500000000004</v>
      </c>
      <c r="AD41" s="4">
        <f t="shared" si="25"/>
        <v>207.18112500000001</v>
      </c>
      <c r="AE41" s="4"/>
      <c r="AF41">
        <f t="shared" si="26"/>
        <v>148.435</v>
      </c>
      <c r="AT41" s="10"/>
    </row>
    <row r="42" spans="1:46" x14ac:dyDescent="0.35">
      <c r="A42">
        <f t="shared" si="0"/>
        <v>5</v>
      </c>
      <c r="B42" t="s">
        <v>48</v>
      </c>
      <c r="C42" t="s">
        <v>24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</v>
      </c>
      <c r="L42">
        <v>5.3</v>
      </c>
      <c r="M42">
        <v>1E-4</v>
      </c>
      <c r="N42">
        <v>0.04</v>
      </c>
      <c r="O42">
        <v>1</v>
      </c>
      <c r="P42">
        <v>0</v>
      </c>
      <c r="Q42">
        <v>0</v>
      </c>
      <c r="R42">
        <v>1</v>
      </c>
      <c r="S42">
        <v>2.9099999999999999E-5</v>
      </c>
      <c r="T42">
        <v>0</v>
      </c>
      <c r="U42" s="11">
        <f>12-2</f>
        <v>10</v>
      </c>
      <c r="V42">
        <v>47</v>
      </c>
      <c r="W42">
        <v>22</v>
      </c>
      <c r="X42" s="9">
        <v>0</v>
      </c>
      <c r="Y42" s="2">
        <f t="shared" si="1"/>
        <v>47</v>
      </c>
      <c r="Z42" s="2">
        <f t="shared" si="2"/>
        <v>22</v>
      </c>
      <c r="AA42" s="5">
        <v>0</v>
      </c>
      <c r="AB42" s="2">
        <f t="shared" si="23"/>
        <v>47</v>
      </c>
      <c r="AC42" s="2">
        <f t="shared" si="24"/>
        <v>22</v>
      </c>
      <c r="AD42" s="4">
        <f t="shared" si="25"/>
        <v>96.45</v>
      </c>
      <c r="AE42" s="4"/>
      <c r="AF42">
        <f t="shared" si="26"/>
        <v>69</v>
      </c>
      <c r="AT42" s="10"/>
    </row>
    <row r="43" spans="1:46" x14ac:dyDescent="0.35">
      <c r="A43">
        <f t="shared" si="0"/>
        <v>5</v>
      </c>
      <c r="B43" t="s">
        <v>48</v>
      </c>
      <c r="C43" t="s">
        <v>25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0.215</v>
      </c>
      <c r="L43">
        <v>5.3</v>
      </c>
      <c r="M43">
        <v>6.7840000000000001E-4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9</v>
      </c>
      <c r="X43" s="9" t="s">
        <v>44</v>
      </c>
      <c r="Y43" s="2">
        <f t="shared" si="1"/>
        <v>0</v>
      </c>
      <c r="Z43" s="2">
        <f t="shared" si="2"/>
        <v>9.9</v>
      </c>
      <c r="AA43" s="5">
        <v>0</v>
      </c>
      <c r="AB43" s="2">
        <f t="shared" ref="AB43:AB52" si="27">Y43*(1-AA43)</f>
        <v>0</v>
      </c>
      <c r="AC43" s="2">
        <f t="shared" ref="AC43:AC52" si="28">Y43*AA43 + Z43</f>
        <v>9.9</v>
      </c>
      <c r="AD43" s="4">
        <f t="shared" ref="AD43:AD52" si="29">1.35*Y43+1.5*Z43</f>
        <v>14.850000000000001</v>
      </c>
      <c r="AE43" s="4"/>
      <c r="AF43">
        <f t="shared" ref="AF43:AF52" si="30">AB43+AC43</f>
        <v>9.9</v>
      </c>
      <c r="AT43" s="10"/>
    </row>
    <row r="44" spans="1:46" x14ac:dyDescent="0.35">
      <c r="A44">
        <f t="shared" si="0"/>
        <v>5</v>
      </c>
      <c r="B44" t="s">
        <v>48</v>
      </c>
      <c r="C44" t="s">
        <v>26</v>
      </c>
      <c r="D44">
        <v>25</v>
      </c>
      <c r="E44" t="s">
        <v>18</v>
      </c>
      <c r="F44">
        <v>500</v>
      </c>
      <c r="G44" s="1">
        <v>220000</v>
      </c>
      <c r="H44">
        <v>1576</v>
      </c>
      <c r="I44">
        <v>1870</v>
      </c>
      <c r="J44">
        <v>1</v>
      </c>
      <c r="K44">
        <v>0.23</v>
      </c>
      <c r="L44">
        <v>5.3</v>
      </c>
      <c r="M44">
        <v>1E-4</v>
      </c>
      <c r="N44">
        <v>6.9999999999999993E-2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9</v>
      </c>
      <c r="X44" s="9">
        <v>-0.2</v>
      </c>
      <c r="Y44" s="2">
        <f t="shared" si="1"/>
        <v>0</v>
      </c>
      <c r="Z44" s="2">
        <f t="shared" si="2"/>
        <v>7.2</v>
      </c>
      <c r="AA44" s="5">
        <v>0</v>
      </c>
      <c r="AB44" s="2">
        <f t="shared" si="27"/>
        <v>0</v>
      </c>
      <c r="AC44" s="2">
        <f t="shared" si="28"/>
        <v>7.2</v>
      </c>
      <c r="AD44" s="4">
        <f t="shared" si="29"/>
        <v>10.8</v>
      </c>
      <c r="AE44" s="4"/>
      <c r="AF44">
        <f t="shared" si="30"/>
        <v>7.2</v>
      </c>
      <c r="AT44" s="10"/>
    </row>
    <row r="45" spans="1:46" x14ac:dyDescent="0.35">
      <c r="A45">
        <f t="shared" si="0"/>
        <v>5</v>
      </c>
      <c r="B45" t="s">
        <v>48</v>
      </c>
      <c r="C45" t="s">
        <v>27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0.215</v>
      </c>
      <c r="L45">
        <v>5.3</v>
      </c>
      <c r="M45">
        <v>6.7840000000000001E-4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8</v>
      </c>
      <c r="X45" s="9" t="s">
        <v>44</v>
      </c>
      <c r="Y45" s="2">
        <f t="shared" si="1"/>
        <v>30.225000000000001</v>
      </c>
      <c r="Z45" s="2">
        <f t="shared" si="2"/>
        <v>21.455000000000002</v>
      </c>
      <c r="AA45" s="5">
        <v>0</v>
      </c>
      <c r="AB45" s="2">
        <f t="shared" si="27"/>
        <v>30.225000000000001</v>
      </c>
      <c r="AC45" s="2">
        <f t="shared" si="28"/>
        <v>21.455000000000002</v>
      </c>
      <c r="AD45" s="4">
        <f t="shared" si="29"/>
        <v>72.986250000000013</v>
      </c>
      <c r="AE45" s="4"/>
      <c r="AF45">
        <f t="shared" si="30"/>
        <v>51.680000000000007</v>
      </c>
      <c r="AT45" s="10"/>
    </row>
    <row r="46" spans="1:46" x14ac:dyDescent="0.35">
      <c r="A46">
        <f t="shared" si="0"/>
        <v>5</v>
      </c>
      <c r="B46" t="s">
        <v>48</v>
      </c>
      <c r="C46" t="s">
        <v>28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</v>
      </c>
      <c r="L46">
        <v>5.3</v>
      </c>
      <c r="M46">
        <v>1E-4</v>
      </c>
      <c r="N46">
        <v>0.04</v>
      </c>
      <c r="O46">
        <v>1</v>
      </c>
      <c r="P46">
        <v>0</v>
      </c>
      <c r="Q46">
        <v>0</v>
      </c>
      <c r="R46">
        <v>1</v>
      </c>
      <c r="S46">
        <v>2.9099999999999999E-5</v>
      </c>
      <c r="T46">
        <v>0</v>
      </c>
      <c r="U46" s="11">
        <f>12-2</f>
        <v>10</v>
      </c>
      <c r="V46">
        <v>65</v>
      </c>
      <c r="W46">
        <v>27</v>
      </c>
      <c r="X46" s="9">
        <v>-0.93</v>
      </c>
      <c r="Y46" s="2">
        <f t="shared" si="1"/>
        <v>4.5499999999999972</v>
      </c>
      <c r="Z46" s="2">
        <f t="shared" si="2"/>
        <v>1.889999999999997</v>
      </c>
      <c r="AA46" s="5">
        <v>0</v>
      </c>
      <c r="AB46" s="2">
        <f t="shared" si="27"/>
        <v>4.5499999999999972</v>
      </c>
      <c r="AC46" s="2">
        <f t="shared" si="28"/>
        <v>1.889999999999997</v>
      </c>
      <c r="AD46" s="4">
        <f t="shared" si="29"/>
        <v>8.977499999999992</v>
      </c>
      <c r="AE46" s="4"/>
      <c r="AF46">
        <f t="shared" si="30"/>
        <v>6.4399999999999942</v>
      </c>
      <c r="AT46" s="10"/>
    </row>
    <row r="47" spans="1:46" x14ac:dyDescent="0.35">
      <c r="A47">
        <f t="shared" si="0"/>
        <v>5</v>
      </c>
      <c r="B47" t="s">
        <v>48</v>
      </c>
      <c r="C47" t="s">
        <v>29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0.215</v>
      </c>
      <c r="L47">
        <v>5.3</v>
      </c>
      <c r="M47">
        <v>2.0405000000000002E-3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 s="11">
        <f>7-1</f>
        <v>6</v>
      </c>
      <c r="V47">
        <v>70</v>
      </c>
      <c r="W47">
        <v>27</v>
      </c>
      <c r="X47" s="9" t="s">
        <v>44</v>
      </c>
      <c r="Y47" s="2">
        <f t="shared" si="1"/>
        <v>100.22499999999999</v>
      </c>
      <c r="Z47" s="2">
        <f t="shared" si="2"/>
        <v>39.555</v>
      </c>
      <c r="AA47" s="5">
        <v>0</v>
      </c>
      <c r="AB47" s="2">
        <f t="shared" si="27"/>
        <v>100.22499999999999</v>
      </c>
      <c r="AC47" s="2">
        <f t="shared" si="28"/>
        <v>39.555</v>
      </c>
      <c r="AD47" s="4">
        <f t="shared" si="29"/>
        <v>194.63625000000002</v>
      </c>
      <c r="AE47" s="4"/>
      <c r="AF47">
        <f t="shared" si="30"/>
        <v>139.78</v>
      </c>
      <c r="AT47" s="10"/>
    </row>
    <row r="48" spans="1:46" x14ac:dyDescent="0.35">
      <c r="A48">
        <f t="shared" si="0"/>
        <v>5</v>
      </c>
      <c r="B48" t="s">
        <v>48</v>
      </c>
      <c r="C48" t="s">
        <v>30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0.23</v>
      </c>
      <c r="L48">
        <v>5.3</v>
      </c>
      <c r="M48">
        <v>2.6700000000000001E-3</v>
      </c>
      <c r="N48">
        <v>6.9999999999999993E-2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90</v>
      </c>
      <c r="W48">
        <v>40</v>
      </c>
      <c r="X48" s="9">
        <v>0</v>
      </c>
      <c r="Y48" s="2">
        <f t="shared" si="1"/>
        <v>90</v>
      </c>
      <c r="Z48" s="2">
        <f t="shared" si="2"/>
        <v>40</v>
      </c>
      <c r="AA48" s="5">
        <v>0</v>
      </c>
      <c r="AB48" s="2">
        <f t="shared" si="27"/>
        <v>90</v>
      </c>
      <c r="AC48" s="2">
        <f t="shared" si="28"/>
        <v>40</v>
      </c>
      <c r="AD48" s="4">
        <f t="shared" si="29"/>
        <v>181.5</v>
      </c>
      <c r="AE48" s="4"/>
      <c r="AF48">
        <f t="shared" si="30"/>
        <v>130</v>
      </c>
      <c r="AT48" s="10"/>
    </row>
    <row r="49" spans="1:46" x14ac:dyDescent="0.35">
      <c r="A49">
        <f t="shared" si="0"/>
        <v>5</v>
      </c>
      <c r="B49" t="s">
        <v>48</v>
      </c>
      <c r="C49" t="s">
        <v>31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0.24</v>
      </c>
      <c r="L49">
        <v>5.3</v>
      </c>
      <c r="M49">
        <v>1.3621E-3</v>
      </c>
      <c r="N49">
        <v>0.04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6</v>
      </c>
      <c r="W49">
        <v>3</v>
      </c>
      <c r="X49" s="9" t="s">
        <v>44</v>
      </c>
      <c r="Y49" s="2">
        <f t="shared" si="1"/>
        <v>6</v>
      </c>
      <c r="Z49" s="2">
        <f t="shared" si="2"/>
        <v>3</v>
      </c>
      <c r="AA49" s="5">
        <v>0</v>
      </c>
      <c r="AB49" s="2">
        <f t="shared" si="27"/>
        <v>6</v>
      </c>
      <c r="AC49" s="2">
        <f t="shared" si="28"/>
        <v>3</v>
      </c>
      <c r="AD49" s="4">
        <f t="shared" si="29"/>
        <v>12.600000000000001</v>
      </c>
      <c r="AE49" s="4"/>
      <c r="AF49">
        <f t="shared" si="30"/>
        <v>9</v>
      </c>
      <c r="AT49" s="10"/>
    </row>
    <row r="50" spans="1:46" x14ac:dyDescent="0.35">
      <c r="A50">
        <f t="shared" si="0"/>
        <v>5</v>
      </c>
      <c r="B50" t="s">
        <v>48</v>
      </c>
      <c r="D50" s="6">
        <v>25</v>
      </c>
      <c r="E50" s="6" t="s">
        <v>18</v>
      </c>
      <c r="F50" s="6">
        <v>500</v>
      </c>
      <c r="G50" s="7">
        <v>220000</v>
      </c>
      <c r="H50" s="6">
        <v>1576</v>
      </c>
      <c r="I50" s="6">
        <v>1870</v>
      </c>
      <c r="J50" s="6">
        <v>1</v>
      </c>
      <c r="K50" s="6">
        <v>0.2</v>
      </c>
      <c r="L50" s="6">
        <v>2.2000000000000002</v>
      </c>
      <c r="M50" s="6">
        <v>1.0000000000000001E-5</v>
      </c>
      <c r="N50" s="6">
        <v>0.03</v>
      </c>
      <c r="O50" s="6">
        <v>1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6">
        <v>0</v>
      </c>
      <c r="V50" s="8">
        <v>0</v>
      </c>
      <c r="W50" s="8">
        <v>0</v>
      </c>
      <c r="X50" s="6"/>
      <c r="Y50" s="2">
        <f t="shared" si="1"/>
        <v>0</v>
      </c>
      <c r="Z50" s="2">
        <f t="shared" si="2"/>
        <v>0</v>
      </c>
      <c r="AA50" s="5"/>
      <c r="AB50" s="2">
        <f t="shared" si="27"/>
        <v>0</v>
      </c>
      <c r="AC50" s="2">
        <f t="shared" si="28"/>
        <v>0</v>
      </c>
      <c r="AD50" s="4">
        <f t="shared" si="29"/>
        <v>0</v>
      </c>
      <c r="AE50" s="4"/>
      <c r="AF50">
        <f t="shared" si="30"/>
        <v>0</v>
      </c>
      <c r="AT50" s="10"/>
    </row>
    <row r="51" spans="1:46" x14ac:dyDescent="0.35">
      <c r="A51">
        <f t="shared" si="0"/>
        <v>6</v>
      </c>
      <c r="B51" t="s">
        <v>49</v>
      </c>
      <c r="C51" t="s">
        <v>19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0.24</v>
      </c>
      <c r="L51">
        <v>5.25</v>
      </c>
      <c r="M51">
        <v>1.3489999999999999E-3</v>
      </c>
      <c r="N51">
        <v>0.04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 s="11">
        <f>7-1</f>
        <v>6</v>
      </c>
      <c r="V51">
        <v>47</v>
      </c>
      <c r="W51">
        <v>22.5</v>
      </c>
      <c r="X51" s="9" t="s">
        <v>44</v>
      </c>
      <c r="Y51" s="2">
        <f t="shared" si="1"/>
        <v>57.25</v>
      </c>
      <c r="Z51" s="2">
        <f t="shared" si="2"/>
        <v>29.06</v>
      </c>
      <c r="AA51" s="5">
        <v>0</v>
      </c>
      <c r="AB51" s="2">
        <f t="shared" si="27"/>
        <v>57.25</v>
      </c>
      <c r="AC51" s="2">
        <f t="shared" si="28"/>
        <v>29.06</v>
      </c>
      <c r="AD51" s="4">
        <f t="shared" si="29"/>
        <v>120.8775</v>
      </c>
      <c r="AE51" s="4"/>
      <c r="AF51">
        <f t="shared" si="30"/>
        <v>86.31</v>
      </c>
      <c r="AT51" s="10"/>
    </row>
    <row r="52" spans="1:46" x14ac:dyDescent="0.35">
      <c r="A52">
        <f t="shared" si="0"/>
        <v>6</v>
      </c>
      <c r="B52" t="s">
        <v>49</v>
      </c>
      <c r="C52" t="s">
        <v>20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0.23</v>
      </c>
      <c r="L52">
        <v>5.25</v>
      </c>
      <c r="M52">
        <v>1.024E-4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 s="11">
        <f>12-2</f>
        <v>10</v>
      </c>
      <c r="V52">
        <v>25</v>
      </c>
      <c r="W52">
        <v>16</v>
      </c>
      <c r="X52" s="9">
        <v>-0.82</v>
      </c>
      <c r="Y52" s="2">
        <f t="shared" si="1"/>
        <v>4.5</v>
      </c>
      <c r="Z52" s="2">
        <f t="shared" si="2"/>
        <v>2.8800000000000008</v>
      </c>
      <c r="AA52" s="5">
        <v>0</v>
      </c>
      <c r="AB52" s="2">
        <f t="shared" si="27"/>
        <v>4.5</v>
      </c>
      <c r="AC52" s="2">
        <f t="shared" si="28"/>
        <v>2.8800000000000008</v>
      </c>
      <c r="AD52" s="4">
        <f t="shared" si="29"/>
        <v>10.395000000000001</v>
      </c>
      <c r="AE52" s="4"/>
      <c r="AF52">
        <f t="shared" si="30"/>
        <v>7.3800000000000008</v>
      </c>
      <c r="AT52" s="10"/>
    </row>
    <row r="53" spans="1:46" ht="13.5" customHeight="1" x14ac:dyDescent="0.35">
      <c r="A53">
        <f t="shared" si="0"/>
        <v>6</v>
      </c>
      <c r="B53" t="s">
        <v>49</v>
      </c>
      <c r="C53" t="s">
        <v>23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0.215</v>
      </c>
      <c r="L53">
        <v>5.25</v>
      </c>
      <c r="M53">
        <v>2.02125E-3</v>
      </c>
      <c r="N53">
        <v>0.05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 s="11">
        <f>7-1</f>
        <v>6</v>
      </c>
      <c r="V53">
        <v>65</v>
      </c>
      <c r="W53">
        <v>28</v>
      </c>
      <c r="X53" s="9" t="s">
        <v>44</v>
      </c>
      <c r="Y53" s="2">
        <f t="shared" ref="Y53:Y66" si="31">IFERROR(IF(ISNUMBER(SEARCH("Appui",C53)),V53+X53*V53,IF(A52&lt;A53,V53-X54*V54/2,IF(A53&lt;A54,V53-(X52*V52)/2,V53-(X54*V54+X52*V52)/2))),0)</f>
        <v>75.25</v>
      </c>
      <c r="Z53" s="2">
        <f t="shared" ref="Z53:Z66" si="32">IFERROR(IF(ISNUMBER(SEARCH("Appui",C53)),W53+X53*W53,IF(A52&lt;A53,W53-X54*W54/2,IF(A53&lt;A54,W53-(X52*W52)/2,W53-(X54*W54+X52*W52)/2))),0)</f>
        <v>34.56</v>
      </c>
      <c r="AA53" s="5">
        <v>0</v>
      </c>
      <c r="AB53" s="2">
        <f t="shared" ref="AB53:AB66" si="33">Y53*(1-AA53)</f>
        <v>75.25</v>
      </c>
      <c r="AC53" s="2">
        <f t="shared" ref="AC53:AC66" si="34">Y53*AA53 + Z53</f>
        <v>34.56</v>
      </c>
      <c r="AD53" s="4">
        <f t="shared" ref="AD53:AD66" si="35">1.35*Y53+1.5*Z53</f>
        <v>153.42750000000001</v>
      </c>
      <c r="AE53" s="4"/>
      <c r="AF53">
        <f t="shared" ref="AF53:AF66" si="36">AB53+AC53</f>
        <v>109.81</v>
      </c>
      <c r="AT53" s="10"/>
    </row>
    <row r="54" spans="1:46" x14ac:dyDescent="0.35">
      <c r="A54">
        <f t="shared" ref="A54:A66" si="37">IF(B54=B53,A53,A53+1)</f>
        <v>6</v>
      </c>
      <c r="B54" t="s">
        <v>49</v>
      </c>
      <c r="D54" s="6">
        <v>25</v>
      </c>
      <c r="E54" s="6" t="s">
        <v>18</v>
      </c>
      <c r="F54" s="6">
        <v>500</v>
      </c>
      <c r="G54" s="7">
        <v>220000</v>
      </c>
      <c r="H54" s="6">
        <v>1576</v>
      </c>
      <c r="I54" s="6">
        <v>1870</v>
      </c>
      <c r="J54" s="6">
        <v>1</v>
      </c>
      <c r="K54" s="6">
        <v>0.2</v>
      </c>
      <c r="L54" s="6">
        <v>2.2000000000000002</v>
      </c>
      <c r="M54" s="6">
        <v>1.0000000000000001E-5</v>
      </c>
      <c r="N54" s="6">
        <v>0.03</v>
      </c>
      <c r="O54" s="6">
        <v>1</v>
      </c>
      <c r="P54" s="6">
        <v>0</v>
      </c>
      <c r="Q54" s="6">
        <v>0</v>
      </c>
      <c r="R54" s="6">
        <v>1</v>
      </c>
      <c r="S54" s="6">
        <v>0</v>
      </c>
      <c r="T54" s="6">
        <v>0</v>
      </c>
      <c r="U54" s="6">
        <v>0</v>
      </c>
      <c r="V54" s="8">
        <v>0</v>
      </c>
      <c r="W54" s="8">
        <v>0</v>
      </c>
      <c r="X54" s="6"/>
      <c r="Y54" s="2">
        <f t="shared" si="31"/>
        <v>0</v>
      </c>
      <c r="Z54" s="2">
        <f t="shared" si="32"/>
        <v>0</v>
      </c>
      <c r="AA54" s="3"/>
      <c r="AB54" s="2">
        <f t="shared" si="33"/>
        <v>0</v>
      </c>
      <c r="AC54" s="2">
        <f t="shared" si="34"/>
        <v>0</v>
      </c>
      <c r="AD54" s="4">
        <f t="shared" si="35"/>
        <v>0</v>
      </c>
      <c r="AE54" s="4"/>
      <c r="AF54">
        <f t="shared" si="36"/>
        <v>0</v>
      </c>
      <c r="AT54" s="10"/>
    </row>
    <row r="55" spans="1:46" x14ac:dyDescent="0.35">
      <c r="A55">
        <f t="shared" si="37"/>
        <v>7</v>
      </c>
      <c r="B55" t="s">
        <v>46</v>
      </c>
      <c r="C55" t="s">
        <v>19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0.24</v>
      </c>
      <c r="L55">
        <v>5.3</v>
      </c>
      <c r="M55">
        <v>1.3621E-3</v>
      </c>
      <c r="N55">
        <v>0.04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40</v>
      </c>
      <c r="W55">
        <v>23</v>
      </c>
      <c r="X55" s="9" t="s">
        <v>44</v>
      </c>
      <c r="Y55" s="2">
        <f t="shared" si="31"/>
        <v>58.585000000000001</v>
      </c>
      <c r="Z55" s="2">
        <f t="shared" si="32"/>
        <v>33.177500000000002</v>
      </c>
      <c r="AA55" s="3">
        <v>0</v>
      </c>
      <c r="AB55" s="2">
        <f t="shared" si="33"/>
        <v>58.585000000000001</v>
      </c>
      <c r="AC55" s="2">
        <f t="shared" si="34"/>
        <v>33.177500000000002</v>
      </c>
      <c r="AD55" s="4">
        <f t="shared" si="35"/>
        <v>128.85599999999999</v>
      </c>
      <c r="AE55" s="4"/>
      <c r="AF55">
        <f t="shared" si="36"/>
        <v>91.762500000000003</v>
      </c>
      <c r="AT55" s="10"/>
    </row>
    <row r="56" spans="1:46" x14ac:dyDescent="0.35">
      <c r="A56">
        <f t="shared" si="37"/>
        <v>7</v>
      </c>
      <c r="B56" t="s">
        <v>46</v>
      </c>
      <c r="C56" t="s">
        <v>20</v>
      </c>
      <c r="D56">
        <v>25</v>
      </c>
      <c r="E56" t="s">
        <v>18</v>
      </c>
      <c r="F56">
        <v>500</v>
      </c>
      <c r="G56" s="1">
        <v>220000</v>
      </c>
      <c r="H56">
        <v>1576</v>
      </c>
      <c r="I56">
        <v>1870</v>
      </c>
      <c r="J56">
        <v>1</v>
      </c>
      <c r="K56">
        <v>0.23</v>
      </c>
      <c r="L56">
        <v>5.3</v>
      </c>
      <c r="M56">
        <v>1.024E-4</v>
      </c>
      <c r="N56">
        <v>6.9999999999999993E-2</v>
      </c>
      <c r="O56">
        <v>1</v>
      </c>
      <c r="P56">
        <v>0</v>
      </c>
      <c r="Q56">
        <v>0</v>
      </c>
      <c r="R56">
        <v>1</v>
      </c>
      <c r="S56">
        <v>2.9099999999999999E-5</v>
      </c>
      <c r="T56">
        <v>0</v>
      </c>
      <c r="U56" s="11">
        <f>12-2</f>
        <v>10</v>
      </c>
      <c r="V56">
        <v>42</v>
      </c>
      <c r="W56">
        <v>23</v>
      </c>
      <c r="X56" s="9">
        <v>-0.88500000000000001</v>
      </c>
      <c r="Y56" s="2">
        <f t="shared" si="31"/>
        <v>4.8299999999999983</v>
      </c>
      <c r="Z56" s="2">
        <f t="shared" si="32"/>
        <v>2.6449999999999996</v>
      </c>
      <c r="AA56" s="3">
        <v>0</v>
      </c>
      <c r="AB56" s="2">
        <f t="shared" si="33"/>
        <v>4.8299999999999983</v>
      </c>
      <c r="AC56" s="2">
        <f t="shared" si="34"/>
        <v>2.6449999999999996</v>
      </c>
      <c r="AD56" s="4">
        <f t="shared" si="35"/>
        <v>10.487999999999998</v>
      </c>
      <c r="AE56" s="4"/>
      <c r="AF56">
        <f t="shared" si="36"/>
        <v>7.4749999999999979</v>
      </c>
      <c r="AT56" s="10"/>
    </row>
    <row r="57" spans="1:46" x14ac:dyDescent="0.35">
      <c r="A57">
        <f t="shared" si="37"/>
        <v>7</v>
      </c>
      <c r="B57" t="s">
        <v>46</v>
      </c>
      <c r="C57" t="s">
        <v>23</v>
      </c>
      <c r="D57">
        <v>25</v>
      </c>
      <c r="E57" t="s">
        <v>18</v>
      </c>
      <c r="F57">
        <v>500</v>
      </c>
      <c r="G57" s="1">
        <v>220000</v>
      </c>
      <c r="H57">
        <v>1576</v>
      </c>
      <c r="I57">
        <v>1870</v>
      </c>
      <c r="J57">
        <v>1</v>
      </c>
      <c r="K57">
        <v>0.215</v>
      </c>
      <c r="L57">
        <v>5.3</v>
      </c>
      <c r="M57">
        <v>2.7188999999999998E-3</v>
      </c>
      <c r="N57">
        <v>0.04</v>
      </c>
      <c r="O57">
        <v>1</v>
      </c>
      <c r="P57">
        <v>0</v>
      </c>
      <c r="Q57">
        <v>0</v>
      </c>
      <c r="R57">
        <v>1</v>
      </c>
      <c r="S57">
        <v>2.9099999999999999E-5</v>
      </c>
      <c r="T57">
        <v>0</v>
      </c>
      <c r="U57" s="11">
        <f>7-1</f>
        <v>6</v>
      </c>
      <c r="V57">
        <v>83</v>
      </c>
      <c r="W57">
        <v>36</v>
      </c>
      <c r="X57" s="9" t="s">
        <v>44</v>
      </c>
      <c r="Y57" s="2">
        <f t="shared" si="31"/>
        <v>118.38500000000001</v>
      </c>
      <c r="Z57" s="2">
        <f t="shared" si="32"/>
        <v>54.997500000000002</v>
      </c>
      <c r="AA57" s="3">
        <v>0</v>
      </c>
      <c r="AB57" s="2">
        <f t="shared" si="33"/>
        <v>118.38500000000001</v>
      </c>
      <c r="AC57" s="2">
        <f t="shared" si="34"/>
        <v>54.997500000000002</v>
      </c>
      <c r="AD57" s="4">
        <f t="shared" si="35"/>
        <v>242.31600000000003</v>
      </c>
      <c r="AE57" s="4"/>
      <c r="AF57">
        <f t="shared" si="36"/>
        <v>173.38249999999999</v>
      </c>
      <c r="AT57" s="10"/>
    </row>
    <row r="58" spans="1:46" x14ac:dyDescent="0.35">
      <c r="A58">
        <f t="shared" si="37"/>
        <v>7</v>
      </c>
      <c r="B58" t="s">
        <v>46</v>
      </c>
      <c r="C58" t="s">
        <v>24</v>
      </c>
      <c r="D58">
        <v>25</v>
      </c>
      <c r="E58" t="s">
        <v>18</v>
      </c>
      <c r="F58">
        <v>500</v>
      </c>
      <c r="G58" s="1">
        <v>220000</v>
      </c>
      <c r="H58">
        <v>1576</v>
      </c>
      <c r="I58">
        <v>1870</v>
      </c>
      <c r="J58">
        <v>1</v>
      </c>
      <c r="K58">
        <v>0.2</v>
      </c>
      <c r="L58">
        <v>5.3</v>
      </c>
      <c r="M58">
        <v>1.3439999999999999E-4</v>
      </c>
      <c r="N58">
        <v>0.04</v>
      </c>
      <c r="O58">
        <v>1</v>
      </c>
      <c r="P58">
        <v>0</v>
      </c>
      <c r="Q58">
        <v>0</v>
      </c>
      <c r="R58">
        <v>1</v>
      </c>
      <c r="S58">
        <v>2.9099999999999999E-5</v>
      </c>
      <c r="T58">
        <v>0</v>
      </c>
      <c r="U58" s="11">
        <f>12-2</f>
        <v>10</v>
      </c>
      <c r="V58">
        <v>40</v>
      </c>
      <c r="W58">
        <v>21</v>
      </c>
      <c r="X58" s="9">
        <v>-0.84</v>
      </c>
      <c r="Y58" s="2">
        <f t="shared" si="31"/>
        <v>6.3999999999999986</v>
      </c>
      <c r="Z58" s="2">
        <f t="shared" si="32"/>
        <v>3.3599999999999994</v>
      </c>
      <c r="AA58" s="5">
        <v>0</v>
      </c>
      <c r="AB58" s="2">
        <f t="shared" si="33"/>
        <v>6.3999999999999986</v>
      </c>
      <c r="AC58" s="2">
        <f t="shared" si="34"/>
        <v>3.3599999999999994</v>
      </c>
      <c r="AD58" s="4">
        <f t="shared" si="35"/>
        <v>13.679999999999998</v>
      </c>
      <c r="AE58" s="4"/>
      <c r="AF58">
        <f t="shared" si="36"/>
        <v>9.759999999999998</v>
      </c>
      <c r="AT58" s="10"/>
    </row>
    <row r="59" spans="1:46" x14ac:dyDescent="0.35">
      <c r="A59">
        <f t="shared" si="37"/>
        <v>7</v>
      </c>
      <c r="B59" t="s">
        <v>46</v>
      </c>
      <c r="C59" t="s">
        <v>25</v>
      </c>
      <c r="D59">
        <v>25</v>
      </c>
      <c r="E59" t="s">
        <v>18</v>
      </c>
      <c r="F59">
        <v>500</v>
      </c>
      <c r="G59" s="1">
        <v>220000</v>
      </c>
      <c r="H59">
        <v>1576</v>
      </c>
      <c r="I59">
        <v>1870</v>
      </c>
      <c r="J59">
        <v>1</v>
      </c>
      <c r="K59">
        <v>0.215</v>
      </c>
      <c r="L59">
        <v>5.3</v>
      </c>
      <c r="M59">
        <v>6.7840000000000001E-4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16</v>
      </c>
      <c r="X59" s="9" t="s">
        <v>44</v>
      </c>
      <c r="Y59" s="2">
        <f t="shared" si="31"/>
        <v>16.8</v>
      </c>
      <c r="Z59" s="2">
        <f t="shared" si="32"/>
        <v>25.425000000000001</v>
      </c>
      <c r="AA59" s="3">
        <v>0</v>
      </c>
      <c r="AB59" s="2">
        <f t="shared" si="33"/>
        <v>16.8</v>
      </c>
      <c r="AC59" s="2">
        <f t="shared" si="34"/>
        <v>25.425000000000001</v>
      </c>
      <c r="AD59" s="4">
        <f t="shared" si="35"/>
        <v>60.81750000000001</v>
      </c>
      <c r="AE59" s="4"/>
      <c r="AF59">
        <f t="shared" si="36"/>
        <v>42.225000000000001</v>
      </c>
      <c r="AT59" s="10"/>
    </row>
    <row r="60" spans="1:46" x14ac:dyDescent="0.35">
      <c r="A60">
        <f t="shared" si="37"/>
        <v>7</v>
      </c>
      <c r="B60" t="s">
        <v>46</v>
      </c>
      <c r="C60" t="s">
        <v>26</v>
      </c>
      <c r="D60">
        <v>25</v>
      </c>
      <c r="E60" t="s">
        <v>18</v>
      </c>
      <c r="F60">
        <v>500</v>
      </c>
      <c r="G60" s="1">
        <v>220000</v>
      </c>
      <c r="H60">
        <v>1576</v>
      </c>
      <c r="I60">
        <v>1870</v>
      </c>
      <c r="J60">
        <v>1</v>
      </c>
      <c r="K60">
        <v>0.23</v>
      </c>
      <c r="L60">
        <v>5.3</v>
      </c>
      <c r="M60">
        <v>1.3439999999999999E-4</v>
      </c>
      <c r="N60">
        <v>6.9999999999999993E-2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11</v>
      </c>
      <c r="X60" s="9">
        <v>-0.11</v>
      </c>
      <c r="Y60" s="2">
        <f t="shared" si="31"/>
        <v>0</v>
      </c>
      <c r="Z60" s="2">
        <f t="shared" si="32"/>
        <v>9.7899999999999991</v>
      </c>
      <c r="AA60" s="3">
        <v>0</v>
      </c>
      <c r="AB60" s="2">
        <f t="shared" si="33"/>
        <v>0</v>
      </c>
      <c r="AC60" s="2">
        <f t="shared" si="34"/>
        <v>9.7899999999999991</v>
      </c>
      <c r="AD60" s="4">
        <f t="shared" si="35"/>
        <v>14.684999999999999</v>
      </c>
      <c r="AE60" s="4"/>
      <c r="AF60">
        <f t="shared" si="36"/>
        <v>9.7899999999999991</v>
      </c>
      <c r="AT60" s="10"/>
    </row>
    <row r="61" spans="1:46" x14ac:dyDescent="0.35">
      <c r="A61">
        <f t="shared" si="37"/>
        <v>7</v>
      </c>
      <c r="B61" t="s">
        <v>46</v>
      </c>
      <c r="C61" t="s">
        <v>27</v>
      </c>
      <c r="D61">
        <v>25</v>
      </c>
      <c r="E61" t="s">
        <v>18</v>
      </c>
      <c r="F61">
        <v>500</v>
      </c>
      <c r="G61" s="1">
        <v>220000</v>
      </c>
      <c r="H61">
        <v>1576</v>
      </c>
      <c r="I61">
        <v>1870</v>
      </c>
      <c r="J61">
        <v>1</v>
      </c>
      <c r="K61">
        <v>0.215</v>
      </c>
      <c r="L61">
        <v>5.3</v>
      </c>
      <c r="M61">
        <v>6.7840000000000001E-4</v>
      </c>
      <c r="N61">
        <v>0.04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2</v>
      </c>
      <c r="W61">
        <v>16</v>
      </c>
      <c r="X61" s="9" t="s">
        <v>44</v>
      </c>
      <c r="Y61" s="2">
        <f t="shared" si="31"/>
        <v>2</v>
      </c>
      <c r="Z61" s="2">
        <f t="shared" si="32"/>
        <v>16.605</v>
      </c>
      <c r="AA61" s="3">
        <v>0</v>
      </c>
      <c r="AB61" s="2">
        <f t="shared" si="33"/>
        <v>2</v>
      </c>
      <c r="AC61" s="2">
        <f t="shared" si="34"/>
        <v>16.605</v>
      </c>
      <c r="AD61" s="4">
        <f t="shared" si="35"/>
        <v>27.607499999999998</v>
      </c>
      <c r="AE61" s="4"/>
      <c r="AF61">
        <f t="shared" si="36"/>
        <v>18.605</v>
      </c>
      <c r="AT61" s="10"/>
    </row>
    <row r="62" spans="1:46" x14ac:dyDescent="0.35">
      <c r="A62">
        <f t="shared" si="37"/>
        <v>7</v>
      </c>
      <c r="B62" t="s">
        <v>46</v>
      </c>
      <c r="C62" t="s">
        <v>28</v>
      </c>
      <c r="D62">
        <v>25</v>
      </c>
      <c r="E62" t="s">
        <v>18</v>
      </c>
      <c r="F62">
        <v>500</v>
      </c>
      <c r="G62" s="1">
        <v>220000</v>
      </c>
      <c r="H62">
        <v>1576</v>
      </c>
      <c r="I62">
        <v>1870</v>
      </c>
      <c r="J62">
        <v>1</v>
      </c>
      <c r="K62">
        <v>0.2</v>
      </c>
      <c r="L62">
        <v>5.3</v>
      </c>
      <c r="M62">
        <v>1.8560000000000001E-4</v>
      </c>
      <c r="N62">
        <v>0.04</v>
      </c>
      <c r="O62">
        <v>1</v>
      </c>
      <c r="P62" s="11">
        <v>1.539E-4</v>
      </c>
      <c r="Q62" s="11">
        <v>0.04</v>
      </c>
      <c r="R62" s="11">
        <v>5</v>
      </c>
      <c r="S62">
        <v>2.9099999999999999E-5</v>
      </c>
      <c r="T62">
        <v>0</v>
      </c>
      <c r="U62" s="11">
        <f>(12-2)*0</f>
        <v>0</v>
      </c>
      <c r="V62">
        <v>36</v>
      </c>
      <c r="W62">
        <v>20</v>
      </c>
      <c r="X62" s="12">
        <v>0</v>
      </c>
      <c r="Y62" s="2">
        <f t="shared" si="31"/>
        <v>36</v>
      </c>
      <c r="Z62" s="2">
        <f t="shared" si="32"/>
        <v>20</v>
      </c>
      <c r="AA62" s="5">
        <v>0.25</v>
      </c>
      <c r="AB62" s="2">
        <f t="shared" si="33"/>
        <v>27</v>
      </c>
      <c r="AC62" s="2">
        <f t="shared" si="34"/>
        <v>29</v>
      </c>
      <c r="AD62" s="4">
        <f t="shared" si="35"/>
        <v>78.599999999999994</v>
      </c>
      <c r="AE62" s="4"/>
      <c r="AF62">
        <f t="shared" si="36"/>
        <v>56</v>
      </c>
      <c r="AT62" s="10"/>
    </row>
    <row r="63" spans="1:46" x14ac:dyDescent="0.35">
      <c r="A63">
        <f t="shared" si="37"/>
        <v>7</v>
      </c>
      <c r="B63" t="s">
        <v>46</v>
      </c>
      <c r="C63" t="s">
        <v>29</v>
      </c>
      <c r="D63">
        <v>25</v>
      </c>
      <c r="E63" t="s">
        <v>18</v>
      </c>
      <c r="F63">
        <v>500</v>
      </c>
      <c r="G63" s="1">
        <v>220000</v>
      </c>
      <c r="H63">
        <v>1576</v>
      </c>
      <c r="I63">
        <v>1870</v>
      </c>
      <c r="J63">
        <v>1</v>
      </c>
      <c r="K63">
        <v>0.215</v>
      </c>
      <c r="L63">
        <v>5.3</v>
      </c>
      <c r="M63">
        <v>1.3568E-3</v>
      </c>
      <c r="N63">
        <v>0.04</v>
      </c>
      <c r="O63">
        <v>1</v>
      </c>
      <c r="P63">
        <v>0</v>
      </c>
      <c r="Q63">
        <v>0</v>
      </c>
      <c r="R63">
        <v>1</v>
      </c>
      <c r="S63">
        <v>2.9099999999999999E-5</v>
      </c>
      <c r="T63">
        <v>0</v>
      </c>
      <c r="U63" s="11">
        <f>7-1+4</f>
        <v>10</v>
      </c>
      <c r="V63">
        <v>75</v>
      </c>
      <c r="W63">
        <v>34</v>
      </c>
      <c r="X63" s="9" t="s">
        <v>44</v>
      </c>
      <c r="Y63" s="2">
        <f t="shared" si="31"/>
        <v>75</v>
      </c>
      <c r="Z63" s="2">
        <f t="shared" si="32"/>
        <v>34</v>
      </c>
      <c r="AA63" s="5">
        <v>0.5</v>
      </c>
      <c r="AB63" s="2">
        <f t="shared" si="33"/>
        <v>37.5</v>
      </c>
      <c r="AC63" s="2">
        <f t="shared" si="34"/>
        <v>71.5</v>
      </c>
      <c r="AD63" s="4">
        <f t="shared" si="35"/>
        <v>152.25</v>
      </c>
      <c r="AE63" s="4"/>
      <c r="AF63">
        <f t="shared" si="36"/>
        <v>109</v>
      </c>
      <c r="AT63" s="10"/>
    </row>
    <row r="64" spans="1:46" x14ac:dyDescent="0.35">
      <c r="A64">
        <f t="shared" si="37"/>
        <v>7</v>
      </c>
      <c r="B64" t="s">
        <v>46</v>
      </c>
      <c r="C64" t="s">
        <v>30</v>
      </c>
      <c r="D64">
        <v>25</v>
      </c>
      <c r="E64" t="s">
        <v>18</v>
      </c>
      <c r="F64">
        <v>500</v>
      </c>
      <c r="G64" s="1">
        <v>220000</v>
      </c>
      <c r="H64">
        <v>1576</v>
      </c>
      <c r="I64">
        <v>1870</v>
      </c>
      <c r="J64">
        <v>1</v>
      </c>
      <c r="K64">
        <v>0.23</v>
      </c>
      <c r="L64">
        <v>5.3</v>
      </c>
      <c r="M64">
        <v>1.024E-4</v>
      </c>
      <c r="N64">
        <v>6.9999999999999993E-2</v>
      </c>
      <c r="O64">
        <v>1</v>
      </c>
      <c r="P64" s="11">
        <v>1.539E-4</v>
      </c>
      <c r="Q64" s="11">
        <v>0.04</v>
      </c>
      <c r="R64" s="11">
        <v>5</v>
      </c>
      <c r="S64">
        <v>2.9099999999999999E-5</v>
      </c>
      <c r="T64">
        <v>0</v>
      </c>
      <c r="U64" s="11">
        <f>(12-2)*0</f>
        <v>0</v>
      </c>
      <c r="V64">
        <v>36</v>
      </c>
      <c r="W64">
        <v>20</v>
      </c>
      <c r="X64" s="12">
        <v>0</v>
      </c>
      <c r="Y64" s="2">
        <f t="shared" si="31"/>
        <v>36</v>
      </c>
      <c r="Z64" s="2">
        <f t="shared" si="32"/>
        <v>20</v>
      </c>
      <c r="AA64" s="5">
        <v>0.5</v>
      </c>
      <c r="AB64" s="2">
        <f t="shared" si="33"/>
        <v>18</v>
      </c>
      <c r="AC64" s="2">
        <f t="shared" si="34"/>
        <v>38</v>
      </c>
      <c r="AD64" s="4">
        <f t="shared" si="35"/>
        <v>78.599999999999994</v>
      </c>
      <c r="AE64" s="4"/>
      <c r="AF64">
        <f t="shared" si="36"/>
        <v>56</v>
      </c>
      <c r="AT64" s="10"/>
    </row>
    <row r="65" spans="1:32" x14ac:dyDescent="0.35">
      <c r="A65">
        <f t="shared" si="37"/>
        <v>7</v>
      </c>
      <c r="B65" t="s">
        <v>46</v>
      </c>
      <c r="C65" t="s">
        <v>31</v>
      </c>
      <c r="D65">
        <v>25</v>
      </c>
      <c r="E65" t="s">
        <v>18</v>
      </c>
      <c r="F65">
        <v>500</v>
      </c>
      <c r="G65" s="1">
        <v>220000</v>
      </c>
      <c r="H65">
        <v>1576</v>
      </c>
      <c r="I65">
        <v>1870</v>
      </c>
      <c r="J65">
        <v>1</v>
      </c>
      <c r="K65">
        <v>0.24</v>
      </c>
      <c r="L65">
        <v>5.3</v>
      </c>
      <c r="M65">
        <v>1.3621E-3</v>
      </c>
      <c r="N65">
        <v>0.04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42</v>
      </c>
      <c r="W65">
        <v>23</v>
      </c>
      <c r="X65" s="9" t="s">
        <v>44</v>
      </c>
      <c r="Y65" s="2">
        <f t="shared" si="31"/>
        <v>42</v>
      </c>
      <c r="Z65" s="2">
        <f t="shared" si="32"/>
        <v>23</v>
      </c>
      <c r="AA65" s="5">
        <v>0.5</v>
      </c>
      <c r="AB65" s="2">
        <f t="shared" si="33"/>
        <v>21</v>
      </c>
      <c r="AC65" s="2">
        <f t="shared" si="34"/>
        <v>44</v>
      </c>
      <c r="AD65" s="4">
        <f t="shared" si="35"/>
        <v>91.2</v>
      </c>
      <c r="AE65" s="4"/>
      <c r="AF65">
        <f t="shared" si="36"/>
        <v>65</v>
      </c>
    </row>
    <row r="66" spans="1:32" x14ac:dyDescent="0.35">
      <c r="A66">
        <f t="shared" si="37"/>
        <v>7</v>
      </c>
      <c r="B66" t="s">
        <v>46</v>
      </c>
      <c r="D66" s="6">
        <v>25</v>
      </c>
      <c r="E66" s="6" t="s">
        <v>18</v>
      </c>
      <c r="F66" s="6">
        <v>500</v>
      </c>
      <c r="G66" s="7">
        <v>220000</v>
      </c>
      <c r="H66" s="6">
        <v>1576</v>
      </c>
      <c r="I66" s="6">
        <v>1870</v>
      </c>
      <c r="J66" s="6">
        <v>1</v>
      </c>
      <c r="K66" s="6">
        <v>0.2</v>
      </c>
      <c r="L66" s="6">
        <v>2.2000000000000002</v>
      </c>
      <c r="M66" s="6">
        <v>1.0000000000000001E-5</v>
      </c>
      <c r="N66" s="6">
        <v>0.03</v>
      </c>
      <c r="O66" s="6">
        <v>1</v>
      </c>
      <c r="P66" s="6">
        <v>0</v>
      </c>
      <c r="Q66" s="6">
        <v>0</v>
      </c>
      <c r="R66" s="6">
        <v>1</v>
      </c>
      <c r="S66" s="6">
        <v>0</v>
      </c>
      <c r="T66" s="6">
        <v>0</v>
      </c>
      <c r="U66" s="6">
        <v>0</v>
      </c>
      <c r="V66" s="8">
        <v>0</v>
      </c>
      <c r="W66" s="8">
        <v>0</v>
      </c>
      <c r="X66" s="6"/>
      <c r="Y66" s="2">
        <f t="shared" si="31"/>
        <v>0</v>
      </c>
      <c r="Z66" s="2">
        <f t="shared" si="32"/>
        <v>0</v>
      </c>
      <c r="AA66" s="3"/>
      <c r="AB66" s="2">
        <f t="shared" si="33"/>
        <v>0</v>
      </c>
      <c r="AC66" s="2">
        <f t="shared" si="34"/>
        <v>0</v>
      </c>
      <c r="AD66" s="4">
        <f t="shared" si="35"/>
        <v>0</v>
      </c>
      <c r="AE66" s="4"/>
      <c r="AF66">
        <f t="shared" si="36"/>
        <v>0</v>
      </c>
    </row>
    <row r="69" spans="1:32" x14ac:dyDescent="0.35">
      <c r="F69" s="1"/>
      <c r="U69" s="2"/>
      <c r="V69" s="2"/>
    </row>
  </sheetData>
  <phoneticPr fontId="18" type="noConversion"/>
  <conditionalFormatting sqref="W69">
    <cfRule type="expression" dxfId="1" priority="10">
      <formula>$A69="Travée"</formula>
    </cfRule>
  </conditionalFormatting>
  <conditionalFormatting sqref="X2:X66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2025-11-27T17:27:42Z</dcterms:modified>
</cp:coreProperties>
</file>