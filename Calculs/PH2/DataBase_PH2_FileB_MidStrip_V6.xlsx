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6F0E776D-5F74-466B-AFBA-EF06E67319C9}" xr6:coauthVersionLast="47" xr6:coauthVersionMax="47" xr10:uidLastSave="{00000000-0000-0000-0000-000000000000}"/>
  <bookViews>
    <workbookView xWindow="38780" yWindow="42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4" i="1" l="1"/>
  <c r="U30" i="1"/>
  <c r="U25" i="1"/>
  <c r="U23" i="1"/>
  <c r="U17" i="1"/>
  <c r="U15" i="1"/>
  <c r="U6" i="1"/>
  <c r="U7" i="1"/>
  <c r="U8" i="1"/>
  <c r="U9" i="1"/>
  <c r="U10" i="1"/>
  <c r="U11" i="1"/>
  <c r="U5" i="1"/>
  <c r="U4" i="1"/>
  <c r="Y4" i="1"/>
  <c r="AC4" i="1" s="1"/>
  <c r="Y6" i="1"/>
  <c r="AB6" i="1" s="1"/>
  <c r="Y8" i="1"/>
  <c r="AB8" i="1" s="1"/>
  <c r="Y10" i="1"/>
  <c r="Y16" i="1"/>
  <c r="AB16" i="1" s="1"/>
  <c r="Y18" i="1"/>
  <c r="AB18" i="1" s="1"/>
  <c r="Y22" i="1"/>
  <c r="AB22" i="1" s="1"/>
  <c r="Y24" i="1"/>
  <c r="Y30" i="1"/>
  <c r="AB30" i="1" s="1"/>
  <c r="Y32" i="1"/>
  <c r="AB32" i="1" s="1"/>
  <c r="Y34" i="1"/>
  <c r="AB34" i="1" s="1"/>
  <c r="Y36" i="1"/>
  <c r="AB36" i="1" s="1"/>
  <c r="Z4" i="1"/>
  <c r="Z6" i="1"/>
  <c r="Z8" i="1"/>
  <c r="Z10" i="1"/>
  <c r="Z16" i="1"/>
  <c r="Z18" i="1"/>
  <c r="Z22" i="1"/>
  <c r="Z24" i="1"/>
  <c r="Z30" i="1"/>
  <c r="Z32" i="1"/>
  <c r="Z34" i="1"/>
  <c r="Z36" i="1"/>
  <c r="AD30" i="1" l="1"/>
  <c r="AC6" i="1"/>
  <c r="AF6" i="1" s="1"/>
  <c r="AB4" i="1"/>
  <c r="AC32" i="1"/>
  <c r="AF32" i="1" s="1"/>
  <c r="AD8" i="1"/>
  <c r="AC8" i="1"/>
  <c r="AF8" i="1" s="1"/>
  <c r="AD6" i="1"/>
  <c r="AF4" i="1"/>
  <c r="AC24" i="1"/>
  <c r="AD10" i="1"/>
  <c r="AD32" i="1"/>
  <c r="AD4" i="1"/>
  <c r="AC34" i="1"/>
  <c r="AF34" i="1" s="1"/>
  <c r="AC22" i="1"/>
  <c r="AF22" i="1" s="1"/>
  <c r="AC18" i="1"/>
  <c r="AF18" i="1" s="1"/>
  <c r="AC30" i="1"/>
  <c r="AF30" i="1" s="1"/>
  <c r="AC10" i="1"/>
  <c r="AB24" i="1"/>
  <c r="AB10" i="1"/>
  <c r="AF10" i="1" s="1"/>
  <c r="AD24" i="1"/>
  <c r="AC16" i="1"/>
  <c r="AF16" i="1" s="1"/>
  <c r="AC36" i="1"/>
  <c r="AF36" i="1" s="1"/>
  <c r="AD18" i="1"/>
  <c r="AD36" i="1"/>
  <c r="AD16" i="1"/>
  <c r="AD34" i="1"/>
  <c r="AD22" i="1"/>
  <c r="AF24" i="1" l="1"/>
  <c r="A2" i="1" l="1"/>
  <c r="A3" i="1" s="1"/>
  <c r="A4" i="1" l="1"/>
  <c r="Y3" i="1"/>
  <c r="Z3" i="1"/>
  <c r="Z2" i="1"/>
  <c r="Y2" i="1"/>
  <c r="AB3" i="1" l="1"/>
  <c r="AD3" i="1"/>
  <c r="AC3" i="1"/>
  <c r="A5" i="1"/>
  <c r="A6" i="1" s="1"/>
  <c r="Z5" i="1"/>
  <c r="AD2" i="1"/>
  <c r="AB2" i="1"/>
  <c r="AC2" i="1"/>
  <c r="Y5" i="1" l="1"/>
  <c r="AC5" i="1" s="1"/>
  <c r="AD5" i="1"/>
  <c r="A7" i="1"/>
  <c r="A8" i="1" s="1"/>
  <c r="AF3" i="1"/>
  <c r="AF2" i="1"/>
  <c r="AB5" i="1" l="1"/>
  <c r="Z7" i="1"/>
  <c r="AF5" i="1"/>
  <c r="Y7" i="1"/>
  <c r="A9" i="1"/>
  <c r="A10" i="1" s="1"/>
  <c r="Z9" i="1" l="1"/>
  <c r="Y9" i="1"/>
  <c r="AB9" i="1" s="1"/>
  <c r="A11" i="1"/>
  <c r="AB7" i="1"/>
  <c r="AC7" i="1"/>
  <c r="AD7" i="1"/>
  <c r="AC9" i="1" l="1"/>
  <c r="AD9" i="1"/>
  <c r="A12" i="1"/>
  <c r="AF7" i="1"/>
  <c r="A13" i="1"/>
  <c r="Y12" i="1" s="1"/>
  <c r="AF9" i="1"/>
  <c r="AB12" i="1" l="1"/>
  <c r="Z12" i="1"/>
  <c r="AC12" i="1" s="1"/>
  <c r="AF12" i="1" s="1"/>
  <c r="Z11" i="1"/>
  <c r="Y11" i="1"/>
  <c r="A14" i="1"/>
  <c r="AB11" i="1" l="1"/>
  <c r="AC11" i="1"/>
  <c r="AF11" i="1" s="1"/>
  <c r="AD11" i="1"/>
  <c r="AD12" i="1"/>
  <c r="A15" i="1"/>
  <c r="Y13" i="1"/>
  <c r="Z13" i="1"/>
  <c r="AB13" i="1" l="1"/>
  <c r="AC13" i="1"/>
  <c r="AD13" i="1"/>
  <c r="A16" i="1"/>
  <c r="Z14" i="1"/>
  <c r="Y14" i="1"/>
  <c r="Z15" i="1" l="1"/>
  <c r="Y15" i="1"/>
  <c r="AB14" i="1"/>
  <c r="AC14" i="1"/>
  <c r="AD14" i="1"/>
  <c r="A17" i="1"/>
  <c r="A18" i="1" s="1"/>
  <c r="Y17" i="1"/>
  <c r="AF13" i="1"/>
  <c r="Z17" i="1" l="1"/>
  <c r="AD17" i="1" s="1"/>
  <c r="AB15" i="1"/>
  <c r="AC15" i="1"/>
  <c r="AD15" i="1"/>
  <c r="AB17" i="1"/>
  <c r="A19" i="1"/>
  <c r="AF14" i="1"/>
  <c r="AC17" i="1" l="1"/>
  <c r="AF17" i="1" s="1"/>
  <c r="A20" i="1"/>
  <c r="AF15" i="1"/>
  <c r="A21" i="1"/>
  <c r="A22" i="1" s="1"/>
  <c r="Y21" i="1"/>
  <c r="Z20" i="1" l="1"/>
  <c r="Z21" i="1"/>
  <c r="AC21" i="1" s="1"/>
  <c r="Y20" i="1"/>
  <c r="Y19" i="1"/>
  <c r="Z19" i="1"/>
  <c r="AD21" i="1"/>
  <c r="AB21" i="1"/>
  <c r="A23" i="1"/>
  <c r="A24" i="1" s="1"/>
  <c r="Z23" i="1"/>
  <c r="Y23" i="1"/>
  <c r="AF21" i="1" l="1"/>
  <c r="AB19" i="1"/>
  <c r="AC19" i="1"/>
  <c r="AF19" i="1" s="1"/>
  <c r="AD19" i="1"/>
  <c r="AC20" i="1"/>
  <c r="AB20" i="1"/>
  <c r="AF20" i="1" s="1"/>
  <c r="AD20" i="1"/>
  <c r="AB23" i="1"/>
  <c r="AC23" i="1"/>
  <c r="AF23" i="1" s="1"/>
  <c r="AD23" i="1"/>
  <c r="A25" i="1"/>
  <c r="A26" i="1" l="1"/>
  <c r="A27" i="1" l="1"/>
  <c r="Y25" i="1"/>
  <c r="Z25" i="1"/>
  <c r="AB25" i="1" l="1"/>
  <c r="AD25" i="1"/>
  <c r="AC25" i="1"/>
  <c r="AF25" i="1" s="1"/>
  <c r="A28" i="1"/>
  <c r="Z26" i="1"/>
  <c r="Y26" i="1"/>
  <c r="Z27" i="1" l="1"/>
  <c r="Y27" i="1"/>
  <c r="AD26" i="1"/>
  <c r="AC26" i="1"/>
  <c r="AB26" i="1"/>
  <c r="AF26" i="1" s="1"/>
  <c r="A29" i="1"/>
  <c r="A30" i="1" s="1"/>
  <c r="Y29" i="1"/>
  <c r="Z29" i="1"/>
  <c r="Y28" i="1" l="1"/>
  <c r="AC27" i="1"/>
  <c r="AD27" i="1"/>
  <c r="AB27" i="1"/>
  <c r="Z28" i="1"/>
  <c r="AC28" i="1" s="1"/>
  <c r="AC29" i="1"/>
  <c r="AD29" i="1"/>
  <c r="AB29" i="1"/>
  <c r="AF29" i="1" s="1"/>
  <c r="A31" i="1"/>
  <c r="A32" i="1" s="1"/>
  <c r="Z31" i="1" s="1"/>
  <c r="Y31" i="1" l="1"/>
  <c r="AF27" i="1"/>
  <c r="AB28" i="1"/>
  <c r="AF28" i="1" s="1"/>
  <c r="AD28" i="1"/>
  <c r="AB31" i="1"/>
  <c r="AC31" i="1"/>
  <c r="AD31" i="1"/>
  <c r="A33" i="1"/>
  <c r="A34" i="1" s="1"/>
  <c r="Y33" i="1" s="1"/>
  <c r="Z33" i="1"/>
  <c r="AF31" i="1" l="1"/>
  <c r="AB33" i="1"/>
  <c r="AC33" i="1"/>
  <c r="AD33" i="1"/>
  <c r="A35" i="1"/>
  <c r="A36" i="1" s="1"/>
  <c r="Z35" i="1"/>
  <c r="Y35" i="1"/>
  <c r="AB35" i="1" l="1"/>
  <c r="AC35" i="1"/>
  <c r="AF35" i="1" s="1"/>
  <c r="AD35" i="1"/>
  <c r="A37" i="1"/>
  <c r="AF33" i="1"/>
  <c r="Z37" i="1" l="1"/>
  <c r="Y37" i="1"/>
  <c r="AB37" i="1" l="1"/>
  <c r="AD37" i="1"/>
  <c r="AC37" i="1"/>
  <c r="AF37" i="1" s="1"/>
</calcChain>
</file>

<file path=xl/sharedStrings.xml><?xml version="1.0" encoding="utf-8"?>
<sst xmlns="http://schemas.openxmlformats.org/spreadsheetml/2006/main" count="158" uniqueCount="48">
  <si>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</si>
  <si>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</si>
  <si>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</si>
  <si>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</si>
  <si>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</si>
  <si>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</si>
  <si>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</si>
  <si>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</si>
  <si>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</si>
  <si>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</si>
  <si>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</si>
  <si>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</si>
  <si>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</si>
  <si>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</si>
  <si>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</si>
  <si>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</si>
  <si>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</si>
  <si>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</si>
  <si>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</si>
  <si>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</si>
  <si>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</si>
  <si>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</si>
  <si>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</si>
  <si>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</si>
  <si>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</si>
  <si>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</si>
  <si>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</si>
  <si>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</si>
  <si>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</si>
  <si>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</si>
  <si>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</si>
  <si>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</si>
  <si>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</si>
  <si>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</si>
  <si>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</si>
  <si>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</si>
  <si>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</si>
  <si>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</si>
  <si>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</si>
  <si>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</si>
  <si>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</si>
  <si>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</si>
  <si>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</si>
  <si>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B' - 1</t>
  </si>
  <si>
    <t>File B' - 2</t>
  </si>
  <si>
    <t>File B' - 3</t>
  </si>
  <si>
    <t>File B' - 4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</si>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</sst>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35" borderId="0" xfId="0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9"/>
  <sheetViews>
    <sheetView tabSelected="1" zoomScale="55" zoomScaleNormal="55" workbookViewId="0">
      <pane xSplit="3" topLeftCell="D1" activePane="topRight" state="frozen"/>
      <selection pane="topRight" activeCell="I2" sqref="I2:I37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38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40</v>
      </c>
      <c r="W1" t="s">
        <v>41</v>
      </c>
      <c r="X1" t="s">
        <v>39</v>
      </c>
      <c r="Y1" t="s">
        <v>35</v>
      </c>
      <c r="Z1" t="s">
        <v>36</v>
      </c>
      <c r="AA1" t="s">
        <v>37</v>
      </c>
      <c r="AB1" t="s">
        <v>32</v>
      </c>
      <c r="AC1" t="s">
        <v>34</v>
      </c>
      <c r="AD1" t="s">
        <v>30</v>
      </c>
      <c r="AE1" t="s">
        <v>33</v>
      </c>
      <c r="AF1" t="s">
        <v>31</v>
      </c>
    </row>
    <row r="2" spans="1:46" x14ac:dyDescent="0.35">
      <c r="A2">
        <f>IFERROR(IF(B2=B1,A1,A1+1),1)</f>
        <v>1</v>
      </c>
      <c r="B2" t="s">
        <v>47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1.0000000000000001E-5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42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37" si="0">IF(B3=B2,A2,A2+1)</f>
        <v>2</v>
      </c>
      <c r="B3" t="s">
        <v>43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0.215</v>
      </c>
      <c r="L3">
        <v>4</v>
      </c>
      <c r="M3">
        <v>1.5399999999999999E-3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26</v>
      </c>
      <c r="W3">
        <v>10</v>
      </c>
      <c r="X3" s="9" t="s">
        <v>42</v>
      </c>
      <c r="Y3" s="2">
        <f t="shared" ref="Y3:Y37" si="1">IFERROR(IF(ISNUMBER(SEARCH("Appui",C3)),V3+X3*V3,IF(A2&lt;A3,V3-X4*V4/2,IF(A3&lt;A4,V3-(X2*V2)/2,V3-(X4*V4+X2*V2)/2))),0)</f>
        <v>36</v>
      </c>
      <c r="Z3" s="2">
        <f t="shared" ref="Z3:Z37" si="2">IFERROR(IF(ISNUMBER(SEARCH("Appui",C3)),W3+X3*W3,IF(A2&lt;A3,W3-X4*W4/2,IF(A3&lt;A4,W3-(X2*W2)/2,W3-(X4*W4+X2*W2)/2))),0)</f>
        <v>14.4</v>
      </c>
      <c r="AA3" s="3">
        <v>0</v>
      </c>
      <c r="AB3" s="2">
        <f t="shared" ref="AB3:AB6" si="3">Y3*(1-AA3)</f>
        <v>36</v>
      </c>
      <c r="AC3" s="2">
        <f t="shared" ref="AC3:AC6" si="4">Y3*AA3 + Z3</f>
        <v>14.4</v>
      </c>
      <c r="AD3" s="4">
        <f t="shared" ref="AD3:AD6" si="5">1.35*Y3+1.5*Z3</f>
        <v>70.2</v>
      </c>
      <c r="AE3" s="4"/>
      <c r="AF3">
        <f t="shared" ref="AF3:AF6" si="6">AB3+AC3</f>
        <v>50.4</v>
      </c>
      <c r="AT3" s="10"/>
    </row>
    <row r="4" spans="1:46" x14ac:dyDescent="0.35">
      <c r="A4">
        <f t="shared" si="0"/>
        <v>2</v>
      </c>
      <c r="B4" t="s">
        <v>43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0.215</v>
      </c>
      <c r="L4">
        <v>4</v>
      </c>
      <c r="M4">
        <v>1E-4</v>
      </c>
      <c r="N4">
        <v>5.5E-2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 s="12">
        <f>12-2</f>
        <v>10</v>
      </c>
      <c r="V4">
        <v>25</v>
      </c>
      <c r="W4">
        <v>11</v>
      </c>
      <c r="X4" s="9">
        <v>-0.8</v>
      </c>
      <c r="Y4" s="2">
        <f t="shared" si="1"/>
        <v>5</v>
      </c>
      <c r="Z4" s="2">
        <f t="shared" si="2"/>
        <v>2.1999999999999993</v>
      </c>
      <c r="AA4" s="3">
        <v>0</v>
      </c>
      <c r="AB4" s="2">
        <f t="shared" si="3"/>
        <v>5</v>
      </c>
      <c r="AC4" s="2">
        <f t="shared" si="4"/>
        <v>2.1999999999999993</v>
      </c>
      <c r="AD4" s="4">
        <f t="shared" si="5"/>
        <v>10.049999999999999</v>
      </c>
      <c r="AE4" s="4"/>
      <c r="AF4">
        <f t="shared" si="6"/>
        <v>7.1999999999999993</v>
      </c>
      <c r="AT4" s="10"/>
    </row>
    <row r="5" spans="1:46" x14ac:dyDescent="0.35">
      <c r="A5">
        <f t="shared" si="0"/>
        <v>2</v>
      </c>
      <c r="B5" t="s">
        <v>43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0.215</v>
      </c>
      <c r="L5">
        <v>4</v>
      </c>
      <c r="M5">
        <v>5.1200000000000009E-4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 s="12">
        <f>7-1</f>
        <v>6</v>
      </c>
      <c r="V5">
        <v>33</v>
      </c>
      <c r="W5">
        <v>22</v>
      </c>
      <c r="X5" s="9" t="s">
        <v>42</v>
      </c>
      <c r="Y5" s="2">
        <f t="shared" si="1"/>
        <v>53.25</v>
      </c>
      <c r="Z5" s="2">
        <f t="shared" si="2"/>
        <v>32.549999999999997</v>
      </c>
      <c r="AA5" s="3">
        <v>0</v>
      </c>
      <c r="AB5" s="2">
        <f t="shared" si="3"/>
        <v>53.25</v>
      </c>
      <c r="AC5" s="2">
        <f t="shared" si="4"/>
        <v>32.549999999999997</v>
      </c>
      <c r="AD5" s="4">
        <f t="shared" si="5"/>
        <v>120.71250000000001</v>
      </c>
      <c r="AE5" s="4"/>
      <c r="AF5">
        <f t="shared" si="6"/>
        <v>85.8</v>
      </c>
      <c r="AT5" s="10"/>
    </row>
    <row r="6" spans="1:46" x14ac:dyDescent="0.35">
      <c r="A6">
        <f t="shared" si="0"/>
        <v>2</v>
      </c>
      <c r="B6" t="s">
        <v>43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0.215</v>
      </c>
      <c r="L6">
        <v>4</v>
      </c>
      <c r="M6">
        <v>1E-4</v>
      </c>
      <c r="N6">
        <v>5.5E-2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 s="12">
        <f t="shared" ref="U6" si="7">12-2</f>
        <v>10</v>
      </c>
      <c r="V6">
        <v>25</v>
      </c>
      <c r="W6">
        <v>15</v>
      </c>
      <c r="X6" s="9">
        <v>-0.82</v>
      </c>
      <c r="Y6" s="2">
        <f t="shared" si="1"/>
        <v>4.5</v>
      </c>
      <c r="Z6" s="2">
        <f t="shared" si="2"/>
        <v>2.7000000000000011</v>
      </c>
      <c r="AA6" s="5">
        <v>0</v>
      </c>
      <c r="AB6" s="2">
        <f t="shared" si="3"/>
        <v>4.5</v>
      </c>
      <c r="AC6" s="2">
        <f t="shared" si="4"/>
        <v>2.7000000000000011</v>
      </c>
      <c r="AD6" s="4">
        <f t="shared" si="5"/>
        <v>10.125000000000002</v>
      </c>
      <c r="AE6" s="4"/>
      <c r="AF6">
        <f t="shared" si="6"/>
        <v>7.2000000000000011</v>
      </c>
      <c r="AT6" s="10"/>
    </row>
    <row r="7" spans="1:46" x14ac:dyDescent="0.35">
      <c r="A7">
        <f t="shared" si="0"/>
        <v>2</v>
      </c>
      <c r="B7" t="s">
        <v>43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0.215</v>
      </c>
      <c r="L7">
        <v>4.4000000000000004</v>
      </c>
      <c r="M7">
        <v>1.694E-3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 s="12">
        <f t="shared" ref="U7" si="8">7-1</f>
        <v>6</v>
      </c>
      <c r="V7">
        <v>55</v>
      </c>
      <c r="W7">
        <v>33</v>
      </c>
      <c r="X7" s="9" t="s">
        <v>42</v>
      </c>
      <c r="Y7" s="2">
        <f t="shared" si="1"/>
        <v>83.94</v>
      </c>
      <c r="Z7" s="2">
        <f t="shared" si="2"/>
        <v>46.269999999999996</v>
      </c>
      <c r="AA7" s="3">
        <v>0</v>
      </c>
      <c r="AB7" s="2">
        <f t="shared" ref="AB7:AB13" si="9">Y7*(1-AA7)</f>
        <v>83.94</v>
      </c>
      <c r="AC7" s="2">
        <f t="shared" ref="AC7:AC13" si="10">Y7*AA7 + Z7</f>
        <v>46.269999999999996</v>
      </c>
      <c r="AD7" s="4">
        <f t="shared" ref="AD7:AD13" si="11">1.35*Y7+1.5*Z7</f>
        <v>182.72399999999999</v>
      </c>
      <c r="AE7" s="4"/>
      <c r="AF7">
        <f t="shared" ref="AF7:AF13" si="12">AB7+AC7</f>
        <v>130.20999999999998</v>
      </c>
      <c r="AT7" s="10"/>
    </row>
    <row r="8" spans="1:46" x14ac:dyDescent="0.35">
      <c r="A8">
        <f t="shared" si="0"/>
        <v>2</v>
      </c>
      <c r="B8" t="s">
        <v>43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0.215</v>
      </c>
      <c r="L8">
        <v>4.4000000000000004</v>
      </c>
      <c r="M8">
        <v>1E-4</v>
      </c>
      <c r="N8">
        <v>7.2000000000000008E-2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 s="12">
        <f t="shared" ref="U8" si="13">12-2</f>
        <v>10</v>
      </c>
      <c r="V8">
        <v>42</v>
      </c>
      <c r="W8">
        <v>16</v>
      </c>
      <c r="X8" s="9">
        <v>-0.89</v>
      </c>
      <c r="Y8" s="2">
        <f t="shared" si="1"/>
        <v>4.6199999999999974</v>
      </c>
      <c r="Z8" s="2">
        <f t="shared" si="2"/>
        <v>1.7599999999999998</v>
      </c>
      <c r="AA8" s="3">
        <v>0</v>
      </c>
      <c r="AB8" s="2">
        <f t="shared" si="9"/>
        <v>4.6199999999999974</v>
      </c>
      <c r="AC8" s="2">
        <f t="shared" si="10"/>
        <v>1.7599999999999998</v>
      </c>
      <c r="AD8" s="4">
        <f t="shared" si="11"/>
        <v>8.8769999999999953</v>
      </c>
      <c r="AE8" s="4"/>
      <c r="AF8">
        <f t="shared" si="12"/>
        <v>6.3799999999999972</v>
      </c>
      <c r="AT8" s="10"/>
    </row>
    <row r="9" spans="1:46" x14ac:dyDescent="0.35">
      <c r="A9">
        <f t="shared" si="0"/>
        <v>2</v>
      </c>
      <c r="B9" t="s">
        <v>43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0.215</v>
      </c>
      <c r="L9">
        <v>4.4000000000000004</v>
      </c>
      <c r="M9">
        <v>2.2572E-3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 s="12">
        <f t="shared" ref="U9" si="14">7-1</f>
        <v>6</v>
      </c>
      <c r="V9">
        <v>55</v>
      </c>
      <c r="W9">
        <v>35</v>
      </c>
      <c r="X9" s="9" t="s">
        <v>42</v>
      </c>
      <c r="Y9" s="2">
        <f t="shared" si="1"/>
        <v>86.365000000000009</v>
      </c>
      <c r="Z9" s="2">
        <f t="shared" si="2"/>
        <v>48.879999999999995</v>
      </c>
      <c r="AA9" s="3">
        <v>0</v>
      </c>
      <c r="AB9" s="2">
        <f t="shared" si="9"/>
        <v>86.365000000000009</v>
      </c>
      <c r="AC9" s="2">
        <f t="shared" si="10"/>
        <v>48.879999999999995</v>
      </c>
      <c r="AD9" s="4">
        <f t="shared" si="11"/>
        <v>189.91275000000002</v>
      </c>
      <c r="AE9" s="4"/>
      <c r="AF9">
        <f t="shared" si="12"/>
        <v>135.245</v>
      </c>
      <c r="AT9" s="10"/>
    </row>
    <row r="10" spans="1:46" x14ac:dyDescent="0.35">
      <c r="A10">
        <f t="shared" si="0"/>
        <v>2</v>
      </c>
      <c r="B10" t="s">
        <v>43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0.215</v>
      </c>
      <c r="L10">
        <v>5</v>
      </c>
      <c r="M10">
        <v>1E-4</v>
      </c>
      <c r="N10">
        <v>5.5E-2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 s="12">
        <f t="shared" ref="U10" si="15">12-2</f>
        <v>10</v>
      </c>
      <c r="V10">
        <v>30</v>
      </c>
      <c r="W10">
        <v>16</v>
      </c>
      <c r="X10" s="9">
        <v>-0.84499999999999997</v>
      </c>
      <c r="Y10" s="2">
        <f t="shared" si="1"/>
        <v>4.6500000000000021</v>
      </c>
      <c r="Z10" s="2">
        <f t="shared" si="2"/>
        <v>2.4800000000000004</v>
      </c>
      <c r="AA10" s="3">
        <v>0</v>
      </c>
      <c r="AB10" s="2">
        <f t="shared" si="9"/>
        <v>4.6500000000000021</v>
      </c>
      <c r="AC10" s="2">
        <f t="shared" si="10"/>
        <v>2.4800000000000004</v>
      </c>
      <c r="AD10" s="4">
        <f t="shared" si="11"/>
        <v>9.9975000000000041</v>
      </c>
      <c r="AE10" s="4"/>
      <c r="AF10">
        <f t="shared" si="12"/>
        <v>7.1300000000000026</v>
      </c>
      <c r="AT10" s="10"/>
    </row>
    <row r="11" spans="1:46" x14ac:dyDescent="0.35">
      <c r="A11">
        <f t="shared" si="0"/>
        <v>2</v>
      </c>
      <c r="B11" t="s">
        <v>43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0.215</v>
      </c>
      <c r="L11">
        <v>5</v>
      </c>
      <c r="M11">
        <v>2.565E-3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 s="12">
        <f t="shared" ref="U11" si="16">7-1</f>
        <v>6</v>
      </c>
      <c r="V11">
        <v>60</v>
      </c>
      <c r="W11">
        <v>33</v>
      </c>
      <c r="X11" s="9" t="s">
        <v>42</v>
      </c>
      <c r="Y11" s="2">
        <f t="shared" si="1"/>
        <v>72.674999999999997</v>
      </c>
      <c r="Z11" s="2">
        <f t="shared" si="2"/>
        <v>39.76</v>
      </c>
      <c r="AA11" s="5">
        <v>0</v>
      </c>
      <c r="AB11" s="2">
        <f t="shared" si="9"/>
        <v>72.674999999999997</v>
      </c>
      <c r="AC11" s="2">
        <f t="shared" si="10"/>
        <v>39.76</v>
      </c>
      <c r="AD11" s="4">
        <f t="shared" si="11"/>
        <v>157.75125</v>
      </c>
      <c r="AE11" s="4"/>
      <c r="AF11">
        <f t="shared" si="12"/>
        <v>112.435</v>
      </c>
      <c r="AT11" s="10"/>
    </row>
    <row r="12" spans="1:46" x14ac:dyDescent="0.35">
      <c r="A12">
        <f t="shared" si="0"/>
        <v>2</v>
      </c>
      <c r="B12" t="s">
        <v>43</v>
      </c>
      <c r="D12" s="6">
        <v>25</v>
      </c>
      <c r="E12" s="6" t="s">
        <v>18</v>
      </c>
      <c r="F12" s="6">
        <v>500</v>
      </c>
      <c r="G12" s="7">
        <v>220000</v>
      </c>
      <c r="H12" s="6">
        <v>1576</v>
      </c>
      <c r="I12" s="6">
        <v>1870</v>
      </c>
      <c r="J12" s="6">
        <v>1</v>
      </c>
      <c r="K12" s="6">
        <v>0.2</v>
      </c>
      <c r="L12" s="6">
        <v>2.2000000000000002</v>
      </c>
      <c r="M12" s="6">
        <v>1.0000000000000001E-5</v>
      </c>
      <c r="N12" s="6">
        <v>0.03</v>
      </c>
      <c r="O12" s="6">
        <v>1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8">
        <v>0</v>
      </c>
      <c r="W12" s="8">
        <v>0</v>
      </c>
      <c r="X12" s="6" t="s">
        <v>42</v>
      </c>
      <c r="Y12" s="2">
        <f t="shared" si="1"/>
        <v>0</v>
      </c>
      <c r="Z12" s="2">
        <f t="shared" si="2"/>
        <v>0</v>
      </c>
      <c r="AA12" s="3">
        <v>0</v>
      </c>
      <c r="AB12" s="2">
        <f t="shared" si="9"/>
        <v>0</v>
      </c>
      <c r="AC12" s="2">
        <f t="shared" si="10"/>
        <v>0</v>
      </c>
      <c r="AD12" s="4">
        <f t="shared" si="11"/>
        <v>0</v>
      </c>
      <c r="AE12" s="4"/>
      <c r="AF12">
        <f t="shared" si="12"/>
        <v>0</v>
      </c>
      <c r="AT12" s="10"/>
    </row>
    <row r="13" spans="1:46" x14ac:dyDescent="0.35">
      <c r="A13">
        <f t="shared" si="0"/>
        <v>3</v>
      </c>
      <c r="B13" t="s">
        <v>44</v>
      </c>
      <c r="C13" t="s">
        <v>19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0.215</v>
      </c>
      <c r="L13">
        <v>2</v>
      </c>
      <c r="M13">
        <v>7.7000000000000007E-4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11</v>
      </c>
      <c r="W13">
        <v>11</v>
      </c>
      <c r="X13" s="9" t="s">
        <v>42</v>
      </c>
      <c r="Y13" s="2">
        <f t="shared" si="1"/>
        <v>11</v>
      </c>
      <c r="Z13" s="2">
        <f t="shared" si="2"/>
        <v>11</v>
      </c>
      <c r="AA13" s="3">
        <v>0</v>
      </c>
      <c r="AB13" s="2">
        <f t="shared" si="9"/>
        <v>11</v>
      </c>
      <c r="AC13" s="2">
        <f t="shared" si="10"/>
        <v>11</v>
      </c>
      <c r="AD13" s="4">
        <f t="shared" si="11"/>
        <v>31.35</v>
      </c>
      <c r="AE13" s="4"/>
      <c r="AF13">
        <f t="shared" si="12"/>
        <v>22</v>
      </c>
      <c r="AT13" s="10"/>
    </row>
    <row r="14" spans="1:46" x14ac:dyDescent="0.35">
      <c r="A14">
        <f t="shared" si="0"/>
        <v>3</v>
      </c>
      <c r="B14" t="s">
        <v>44</v>
      </c>
      <c r="C14" t="s">
        <v>20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0.215</v>
      </c>
      <c r="L14">
        <v>2</v>
      </c>
      <c r="M14">
        <v>7.7000000000000007E-4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33</v>
      </c>
      <c r="W14">
        <v>15</v>
      </c>
      <c r="X14" s="9">
        <v>0</v>
      </c>
      <c r="Y14" s="2">
        <f t="shared" si="1"/>
        <v>33</v>
      </c>
      <c r="Z14" s="2">
        <f t="shared" si="2"/>
        <v>15</v>
      </c>
      <c r="AA14" s="3">
        <v>0</v>
      </c>
      <c r="AB14" s="2">
        <f t="shared" ref="AB14:AB18" si="17">Y14*(1-AA14)</f>
        <v>33</v>
      </c>
      <c r="AC14" s="2">
        <f t="shared" ref="AC14:AC18" si="18">Y14*AA14 + Z14</f>
        <v>15</v>
      </c>
      <c r="AD14" s="4">
        <f t="shared" ref="AD14:AD18" si="19">1.35*Y14+1.5*Z14</f>
        <v>67.050000000000011</v>
      </c>
      <c r="AE14" s="4"/>
      <c r="AF14">
        <f t="shared" ref="AF14:AF18" si="20">AB14+AC14</f>
        <v>48</v>
      </c>
      <c r="AT14" s="10"/>
    </row>
    <row r="15" spans="1:46" x14ac:dyDescent="0.35">
      <c r="A15">
        <f t="shared" si="0"/>
        <v>3</v>
      </c>
      <c r="B15" t="s">
        <v>44</v>
      </c>
      <c r="C15" t="s">
        <v>23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0.215</v>
      </c>
      <c r="L15">
        <v>2</v>
      </c>
      <c r="M15">
        <v>5.1400000000000003E-4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 s="12">
        <f t="shared" ref="U15" si="21">7-1</f>
        <v>6</v>
      </c>
      <c r="V15">
        <v>28</v>
      </c>
      <c r="W15">
        <v>15</v>
      </c>
      <c r="X15" s="9" t="s">
        <v>42</v>
      </c>
      <c r="Y15" s="2">
        <f t="shared" si="1"/>
        <v>28</v>
      </c>
      <c r="Z15" s="2">
        <f t="shared" si="2"/>
        <v>15</v>
      </c>
      <c r="AA15" s="3">
        <v>0</v>
      </c>
      <c r="AB15" s="2">
        <f t="shared" si="17"/>
        <v>28</v>
      </c>
      <c r="AC15" s="2">
        <f t="shared" si="18"/>
        <v>15</v>
      </c>
      <c r="AD15" s="4">
        <f t="shared" si="19"/>
        <v>60.300000000000004</v>
      </c>
      <c r="AE15" s="4"/>
      <c r="AF15">
        <f t="shared" si="20"/>
        <v>43</v>
      </c>
      <c r="AT15" s="10"/>
    </row>
    <row r="16" spans="1:46" x14ac:dyDescent="0.35">
      <c r="A16">
        <f t="shared" si="0"/>
        <v>3</v>
      </c>
      <c r="B16" t="s">
        <v>44</v>
      </c>
      <c r="C16" t="s">
        <v>24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0.215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42</v>
      </c>
      <c r="W16">
        <v>18</v>
      </c>
      <c r="X16" s="9">
        <v>0</v>
      </c>
      <c r="Y16" s="2">
        <f t="shared" si="1"/>
        <v>42</v>
      </c>
      <c r="Z16" s="2">
        <f t="shared" si="2"/>
        <v>18</v>
      </c>
      <c r="AA16" s="5">
        <v>0</v>
      </c>
      <c r="AB16" s="2">
        <f t="shared" si="17"/>
        <v>42</v>
      </c>
      <c r="AC16" s="2">
        <f t="shared" si="18"/>
        <v>18</v>
      </c>
      <c r="AD16" s="4">
        <f t="shared" si="19"/>
        <v>83.7</v>
      </c>
      <c r="AE16" s="4"/>
      <c r="AF16">
        <f t="shared" si="20"/>
        <v>60</v>
      </c>
      <c r="AT16" s="10"/>
    </row>
    <row r="17" spans="1:46" x14ac:dyDescent="0.35">
      <c r="A17">
        <f t="shared" si="0"/>
        <v>3</v>
      </c>
      <c r="B17" t="s">
        <v>44</v>
      </c>
      <c r="C17" t="s">
        <v>25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0.215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 s="12">
        <f t="shared" ref="U17" si="22">7-1</f>
        <v>6</v>
      </c>
      <c r="V17">
        <v>23</v>
      </c>
      <c r="W17">
        <v>14</v>
      </c>
      <c r="X17" s="9" t="s">
        <v>42</v>
      </c>
      <c r="Y17" s="2">
        <f t="shared" si="1"/>
        <v>23</v>
      </c>
      <c r="Z17" s="2">
        <f t="shared" si="2"/>
        <v>14</v>
      </c>
      <c r="AA17" s="3">
        <v>0</v>
      </c>
      <c r="AB17" s="2">
        <f t="shared" si="17"/>
        <v>23</v>
      </c>
      <c r="AC17" s="2">
        <f t="shared" si="18"/>
        <v>14</v>
      </c>
      <c r="AD17" s="4">
        <f t="shared" si="19"/>
        <v>52.05</v>
      </c>
      <c r="AE17" s="4"/>
      <c r="AF17">
        <f t="shared" si="20"/>
        <v>37</v>
      </c>
      <c r="AT17" s="10"/>
    </row>
    <row r="18" spans="1:46" x14ac:dyDescent="0.35">
      <c r="A18">
        <f t="shared" si="0"/>
        <v>3</v>
      </c>
      <c r="B18" t="s">
        <v>44</v>
      </c>
      <c r="C18" t="s">
        <v>26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0.215</v>
      </c>
      <c r="L18">
        <v>2</v>
      </c>
      <c r="M18">
        <v>1.01E-3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32</v>
      </c>
      <c r="W18">
        <v>14</v>
      </c>
      <c r="X18" s="9">
        <v>0</v>
      </c>
      <c r="Y18" s="2">
        <f t="shared" si="1"/>
        <v>32</v>
      </c>
      <c r="Z18" s="2">
        <f t="shared" si="2"/>
        <v>14</v>
      </c>
      <c r="AA18" s="3">
        <v>0</v>
      </c>
      <c r="AB18" s="2">
        <f t="shared" si="17"/>
        <v>32</v>
      </c>
      <c r="AC18" s="2">
        <f t="shared" si="18"/>
        <v>14</v>
      </c>
      <c r="AD18" s="4">
        <f t="shared" si="19"/>
        <v>64.2</v>
      </c>
      <c r="AE18" s="4"/>
      <c r="AF18">
        <f t="shared" si="20"/>
        <v>46</v>
      </c>
      <c r="AT18" s="10"/>
    </row>
    <row r="19" spans="1:46" x14ac:dyDescent="0.35">
      <c r="A19">
        <f t="shared" si="0"/>
        <v>3</v>
      </c>
      <c r="B19" t="s">
        <v>44</v>
      </c>
      <c r="C19" t="s">
        <v>27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0.215</v>
      </c>
      <c r="L19">
        <v>1.5</v>
      </c>
      <c r="M19">
        <v>5.7750000000000011E-4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>
        <v>15</v>
      </c>
      <c r="W19">
        <v>9</v>
      </c>
      <c r="X19" s="9" t="s">
        <v>42</v>
      </c>
      <c r="Y19" s="2">
        <f t="shared" si="1"/>
        <v>15</v>
      </c>
      <c r="Z19" s="2">
        <f t="shared" si="2"/>
        <v>9</v>
      </c>
      <c r="AA19" s="3">
        <v>0</v>
      </c>
      <c r="AB19" s="2">
        <f t="shared" ref="AB19:AB29" si="23">Y19*(1-AA19)</f>
        <v>15</v>
      </c>
      <c r="AC19" s="2">
        <f t="shared" ref="AC19:AC29" si="24">Y19*AA19 + Z19</f>
        <v>9</v>
      </c>
      <c r="AD19" s="4">
        <f t="shared" ref="AD19:AD29" si="25">1.35*Y19+1.5*Z19</f>
        <v>33.75</v>
      </c>
      <c r="AE19" s="4"/>
      <c r="AF19">
        <f t="shared" ref="AF19:AF29" si="26">AB19+AC19</f>
        <v>24</v>
      </c>
      <c r="AT19" s="10"/>
    </row>
    <row r="20" spans="1:46" x14ac:dyDescent="0.35">
      <c r="A20">
        <f t="shared" si="0"/>
        <v>3</v>
      </c>
      <c r="B20" t="s">
        <v>44</v>
      </c>
      <c r="D20" s="6">
        <v>25</v>
      </c>
      <c r="E20" s="6" t="s">
        <v>18</v>
      </c>
      <c r="F20" s="6">
        <v>500</v>
      </c>
      <c r="G20" s="7">
        <v>220000</v>
      </c>
      <c r="H20" s="6">
        <v>1576</v>
      </c>
      <c r="I20" s="6">
        <v>1870</v>
      </c>
      <c r="J20" s="6">
        <v>1</v>
      </c>
      <c r="K20" s="6">
        <v>0.2</v>
      </c>
      <c r="L20" s="6">
        <v>2.2000000000000002</v>
      </c>
      <c r="M20" s="6">
        <v>1.0000000000000001E-5</v>
      </c>
      <c r="N20" s="6">
        <v>0.03</v>
      </c>
      <c r="O20" s="6">
        <v>1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8">
        <v>0</v>
      </c>
      <c r="W20" s="8">
        <v>0</v>
      </c>
      <c r="X20" s="6" t="s">
        <v>42</v>
      </c>
      <c r="Y20" s="2">
        <f t="shared" si="1"/>
        <v>0</v>
      </c>
      <c r="Z20" s="2">
        <f t="shared" si="2"/>
        <v>0</v>
      </c>
      <c r="AA20" s="3">
        <v>0</v>
      </c>
      <c r="AB20" s="2">
        <f t="shared" si="23"/>
        <v>0</v>
      </c>
      <c r="AC20" s="2">
        <f t="shared" si="24"/>
        <v>0</v>
      </c>
      <c r="AD20" s="4">
        <f t="shared" si="25"/>
        <v>0</v>
      </c>
      <c r="AE20" s="4"/>
      <c r="AF20">
        <f t="shared" si="26"/>
        <v>0</v>
      </c>
      <c r="AT20" s="10"/>
    </row>
    <row r="21" spans="1:46" x14ac:dyDescent="0.35">
      <c r="A21">
        <f t="shared" si="0"/>
        <v>4</v>
      </c>
      <c r="B21" t="s">
        <v>45</v>
      </c>
      <c r="C21" t="s">
        <v>19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0.215</v>
      </c>
      <c r="L21">
        <v>2.5</v>
      </c>
      <c r="M21">
        <v>6.4250000000000006E-4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8</v>
      </c>
      <c r="W21">
        <v>5</v>
      </c>
      <c r="X21" s="9" t="s">
        <v>42</v>
      </c>
      <c r="Y21" s="2">
        <f t="shared" si="1"/>
        <v>8</v>
      </c>
      <c r="Z21" s="2">
        <f t="shared" si="2"/>
        <v>5</v>
      </c>
      <c r="AA21" s="5">
        <v>0</v>
      </c>
      <c r="AB21" s="2">
        <f t="shared" si="23"/>
        <v>8</v>
      </c>
      <c r="AC21" s="2">
        <f t="shared" si="24"/>
        <v>5</v>
      </c>
      <c r="AD21" s="4">
        <f t="shared" si="25"/>
        <v>18.3</v>
      </c>
      <c r="AE21" s="4"/>
      <c r="AF21">
        <f t="shared" si="26"/>
        <v>13</v>
      </c>
      <c r="AT21" s="10"/>
    </row>
    <row r="22" spans="1:46" x14ac:dyDescent="0.35">
      <c r="A22">
        <f t="shared" si="0"/>
        <v>4</v>
      </c>
      <c r="B22" t="s">
        <v>45</v>
      </c>
      <c r="C22" t="s">
        <v>20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0.215</v>
      </c>
      <c r="L22">
        <v>2</v>
      </c>
      <c r="M22">
        <v>1.0059999999999999E-3</v>
      </c>
      <c r="N22">
        <v>5.5E-2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27</v>
      </c>
      <c r="W22">
        <v>12.4</v>
      </c>
      <c r="X22" s="9">
        <v>0</v>
      </c>
      <c r="Y22" s="2">
        <f t="shared" si="1"/>
        <v>27</v>
      </c>
      <c r="Z22" s="2">
        <f t="shared" si="2"/>
        <v>12.4</v>
      </c>
      <c r="AA22" s="3">
        <v>0</v>
      </c>
      <c r="AB22" s="2">
        <f t="shared" si="23"/>
        <v>27</v>
      </c>
      <c r="AC22" s="2">
        <f t="shared" si="24"/>
        <v>12.4</v>
      </c>
      <c r="AD22" s="4">
        <f t="shared" si="25"/>
        <v>55.050000000000004</v>
      </c>
      <c r="AE22" s="4"/>
      <c r="AF22">
        <f t="shared" si="26"/>
        <v>39.4</v>
      </c>
      <c r="AT22" s="10"/>
    </row>
    <row r="23" spans="1:46" x14ac:dyDescent="0.35">
      <c r="A23">
        <f t="shared" si="0"/>
        <v>4</v>
      </c>
      <c r="B23" t="s">
        <v>45</v>
      </c>
      <c r="C23" t="s">
        <v>23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0.215</v>
      </c>
      <c r="L23">
        <v>2</v>
      </c>
      <c r="M23">
        <v>5.1400000000000003E-4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 s="12">
        <f t="shared" ref="U23" si="27">7-1</f>
        <v>6</v>
      </c>
      <c r="V23">
        <v>28</v>
      </c>
      <c r="W23">
        <v>15</v>
      </c>
      <c r="X23" s="9" t="s">
        <v>42</v>
      </c>
      <c r="Y23" s="2">
        <f t="shared" si="1"/>
        <v>28</v>
      </c>
      <c r="Z23" s="2">
        <f t="shared" si="2"/>
        <v>15</v>
      </c>
      <c r="AA23" s="3">
        <v>0</v>
      </c>
      <c r="AB23" s="2">
        <f t="shared" si="23"/>
        <v>28</v>
      </c>
      <c r="AC23" s="2">
        <f t="shared" si="24"/>
        <v>15</v>
      </c>
      <c r="AD23" s="4">
        <f t="shared" si="25"/>
        <v>60.300000000000004</v>
      </c>
      <c r="AE23" s="4"/>
      <c r="AF23">
        <f t="shared" si="26"/>
        <v>43</v>
      </c>
      <c r="AT23" s="10"/>
    </row>
    <row r="24" spans="1:46" x14ac:dyDescent="0.35">
      <c r="A24">
        <f t="shared" si="0"/>
        <v>4</v>
      </c>
      <c r="B24" t="s">
        <v>45</v>
      </c>
      <c r="C24" t="s">
        <v>24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0.215</v>
      </c>
      <c r="L24">
        <v>2</v>
      </c>
      <c r="M24">
        <v>1.0059999999999999E-3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41</v>
      </c>
      <c r="W24">
        <v>16.7</v>
      </c>
      <c r="X24" s="9">
        <v>0</v>
      </c>
      <c r="Y24" s="2">
        <f t="shared" si="1"/>
        <v>41</v>
      </c>
      <c r="Z24" s="2">
        <f t="shared" si="2"/>
        <v>16.7</v>
      </c>
      <c r="AA24" s="3">
        <v>0</v>
      </c>
      <c r="AB24" s="2">
        <f t="shared" si="23"/>
        <v>41</v>
      </c>
      <c r="AC24" s="2">
        <f t="shared" si="24"/>
        <v>16.7</v>
      </c>
      <c r="AD24" s="4">
        <f t="shared" si="25"/>
        <v>80.400000000000006</v>
      </c>
      <c r="AE24" s="4"/>
      <c r="AF24">
        <f t="shared" si="26"/>
        <v>57.7</v>
      </c>
      <c r="AT24" s="10"/>
    </row>
    <row r="25" spans="1:46" x14ac:dyDescent="0.35">
      <c r="A25">
        <f t="shared" si="0"/>
        <v>4</v>
      </c>
      <c r="B25" t="s">
        <v>45</v>
      </c>
      <c r="C25" t="s">
        <v>25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0.215</v>
      </c>
      <c r="L25">
        <v>2</v>
      </c>
      <c r="M25">
        <v>7.7000000000000007E-4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 s="12">
        <f t="shared" ref="U25" si="28">7-1</f>
        <v>6</v>
      </c>
      <c r="V25">
        <v>26</v>
      </c>
      <c r="W25">
        <v>15</v>
      </c>
      <c r="X25" s="9" t="s">
        <v>42</v>
      </c>
      <c r="Y25" s="2">
        <f t="shared" si="1"/>
        <v>26</v>
      </c>
      <c r="Z25" s="2">
        <f t="shared" si="2"/>
        <v>15</v>
      </c>
      <c r="AA25" s="3">
        <v>0</v>
      </c>
      <c r="AB25" s="2">
        <f t="shared" si="23"/>
        <v>26</v>
      </c>
      <c r="AC25" s="2">
        <f t="shared" si="24"/>
        <v>15</v>
      </c>
      <c r="AD25" s="4">
        <f t="shared" si="25"/>
        <v>57.6</v>
      </c>
      <c r="AE25" s="4"/>
      <c r="AF25">
        <f t="shared" si="26"/>
        <v>41</v>
      </c>
      <c r="AT25" s="10"/>
    </row>
    <row r="26" spans="1:46" x14ac:dyDescent="0.35">
      <c r="A26">
        <f t="shared" si="0"/>
        <v>4</v>
      </c>
      <c r="B26" t="s">
        <v>45</v>
      </c>
      <c r="C26" t="s">
        <v>26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0.215</v>
      </c>
      <c r="L26">
        <v>2</v>
      </c>
      <c r="M26">
        <v>1.01E-3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30</v>
      </c>
      <c r="W26">
        <v>13.5</v>
      </c>
      <c r="X26" s="9">
        <v>0</v>
      </c>
      <c r="Y26" s="2">
        <f t="shared" si="1"/>
        <v>30</v>
      </c>
      <c r="Z26" s="2">
        <f t="shared" si="2"/>
        <v>13.5</v>
      </c>
      <c r="AA26" s="5">
        <v>0</v>
      </c>
      <c r="AB26" s="2">
        <f t="shared" si="23"/>
        <v>30</v>
      </c>
      <c r="AC26" s="2">
        <f t="shared" si="24"/>
        <v>13.5</v>
      </c>
      <c r="AD26" s="4">
        <f t="shared" si="25"/>
        <v>60.75</v>
      </c>
      <c r="AE26" s="4"/>
      <c r="AF26">
        <f t="shared" si="26"/>
        <v>43.5</v>
      </c>
      <c r="AT26" s="10"/>
    </row>
    <row r="27" spans="1:46" x14ac:dyDescent="0.35">
      <c r="A27">
        <f t="shared" si="0"/>
        <v>4</v>
      </c>
      <c r="B27" t="s">
        <v>45</v>
      </c>
      <c r="C27" t="s">
        <v>27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0.215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15</v>
      </c>
      <c r="W27">
        <v>9</v>
      </c>
      <c r="X27" s="9" t="s">
        <v>42</v>
      </c>
      <c r="Y27" s="2">
        <f t="shared" si="1"/>
        <v>15</v>
      </c>
      <c r="Z27" s="2">
        <f t="shared" si="2"/>
        <v>9</v>
      </c>
      <c r="AA27" s="3">
        <v>0</v>
      </c>
      <c r="AB27" s="2">
        <f t="shared" si="23"/>
        <v>15</v>
      </c>
      <c r="AC27" s="2">
        <f t="shared" si="24"/>
        <v>9</v>
      </c>
      <c r="AD27" s="4">
        <f t="shared" si="25"/>
        <v>33.75</v>
      </c>
      <c r="AE27" s="4"/>
      <c r="AF27">
        <f t="shared" si="26"/>
        <v>24</v>
      </c>
      <c r="AT27" s="10"/>
    </row>
    <row r="28" spans="1:46" x14ac:dyDescent="0.35">
      <c r="A28">
        <f t="shared" si="0"/>
        <v>4</v>
      </c>
      <c r="B28" t="s">
        <v>45</v>
      </c>
      <c r="D28" s="6">
        <v>25</v>
      </c>
      <c r="E28" s="6" t="s">
        <v>18</v>
      </c>
      <c r="F28" s="6">
        <v>500</v>
      </c>
      <c r="G28" s="7">
        <v>220000</v>
      </c>
      <c r="H28" s="6">
        <v>1576</v>
      </c>
      <c r="I28" s="6">
        <v>1870</v>
      </c>
      <c r="J28" s="6">
        <v>1</v>
      </c>
      <c r="K28" s="6">
        <v>0.2</v>
      </c>
      <c r="L28" s="6">
        <v>2.2000000000000002</v>
      </c>
      <c r="M28" s="6">
        <v>1.0000000000000001E-5</v>
      </c>
      <c r="N28" s="6">
        <v>0.03</v>
      </c>
      <c r="O28" s="6">
        <v>1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8">
        <v>0</v>
      </c>
      <c r="W28" s="8">
        <v>0</v>
      </c>
      <c r="X28" s="6" t="s">
        <v>42</v>
      </c>
      <c r="Y28" s="2">
        <f t="shared" si="1"/>
        <v>0</v>
      </c>
      <c r="Z28" s="2">
        <f t="shared" si="2"/>
        <v>0</v>
      </c>
      <c r="AA28" s="3">
        <v>0</v>
      </c>
      <c r="AB28" s="2">
        <f t="shared" si="23"/>
        <v>0</v>
      </c>
      <c r="AC28" s="2">
        <f t="shared" si="24"/>
        <v>0</v>
      </c>
      <c r="AD28" s="4">
        <f t="shared" si="25"/>
        <v>0</v>
      </c>
      <c r="AE28" s="4"/>
      <c r="AF28">
        <f t="shared" si="26"/>
        <v>0</v>
      </c>
      <c r="AT28" s="10"/>
    </row>
    <row r="29" spans="1:46" x14ac:dyDescent="0.35">
      <c r="A29">
        <f t="shared" si="0"/>
        <v>5</v>
      </c>
      <c r="B29" t="s">
        <v>46</v>
      </c>
      <c r="C29" t="s">
        <v>19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0.215</v>
      </c>
      <c r="L29">
        <v>3.5</v>
      </c>
      <c r="M29">
        <v>4.4799999999999999E-4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13</v>
      </c>
      <c r="W29">
        <v>3</v>
      </c>
      <c r="X29" s="9" t="s">
        <v>42</v>
      </c>
      <c r="Y29" s="2">
        <f t="shared" si="1"/>
        <v>17.125</v>
      </c>
      <c r="Z29" s="2">
        <f t="shared" si="2"/>
        <v>3</v>
      </c>
      <c r="AA29" s="3">
        <v>0</v>
      </c>
      <c r="AB29" s="2">
        <f t="shared" si="23"/>
        <v>17.125</v>
      </c>
      <c r="AC29" s="2">
        <f t="shared" si="24"/>
        <v>3</v>
      </c>
      <c r="AD29" s="4">
        <f t="shared" si="25"/>
        <v>27.618750000000002</v>
      </c>
      <c r="AE29" s="4"/>
      <c r="AF29">
        <f t="shared" si="26"/>
        <v>20.125</v>
      </c>
      <c r="AT29" s="10"/>
    </row>
    <row r="30" spans="1:46" x14ac:dyDescent="0.35">
      <c r="A30">
        <f t="shared" si="0"/>
        <v>5</v>
      </c>
      <c r="B30" t="s">
        <v>46</v>
      </c>
      <c r="C30" t="s">
        <v>20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0.215</v>
      </c>
      <c r="L30">
        <v>4</v>
      </c>
      <c r="M30">
        <v>1E-4</v>
      </c>
      <c r="N30">
        <v>5.5E-2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 s="12">
        <f t="shared" ref="U30" si="29">12-2</f>
        <v>10</v>
      </c>
      <c r="V30">
        <v>15</v>
      </c>
      <c r="W30">
        <v>0</v>
      </c>
      <c r="X30" s="9">
        <v>-0.55000000000000004</v>
      </c>
      <c r="Y30" s="2">
        <f t="shared" si="1"/>
        <v>6.75</v>
      </c>
      <c r="Z30" s="2">
        <f t="shared" si="2"/>
        <v>0</v>
      </c>
      <c r="AA30" s="3">
        <v>0</v>
      </c>
      <c r="AB30" s="2">
        <f t="shared" ref="AB30" si="30">Y30*(1-AA30)</f>
        <v>6.75</v>
      </c>
      <c r="AC30" s="2">
        <f t="shared" ref="AC30" si="31">Y30*AA30 + Z30</f>
        <v>0</v>
      </c>
      <c r="AD30" s="4">
        <f t="shared" ref="AD30" si="32">1.35*Y30+1.5*Z30</f>
        <v>9.1125000000000007</v>
      </c>
      <c r="AE30" s="4"/>
      <c r="AF30">
        <f t="shared" ref="AF30" si="33">AB30+AC30</f>
        <v>6.75</v>
      </c>
      <c r="AT30" s="10"/>
    </row>
    <row r="31" spans="1:46" x14ac:dyDescent="0.35">
      <c r="A31">
        <f t="shared" si="0"/>
        <v>5</v>
      </c>
      <c r="B31" t="s">
        <v>46</v>
      </c>
      <c r="C31" t="s">
        <v>23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0.215</v>
      </c>
      <c r="L31">
        <v>4</v>
      </c>
      <c r="M31">
        <v>2.6679999999999998E-3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27</v>
      </c>
      <c r="W31">
        <v>15</v>
      </c>
      <c r="X31" s="9" t="s">
        <v>42</v>
      </c>
      <c r="Y31" s="2">
        <f t="shared" si="1"/>
        <v>31.125</v>
      </c>
      <c r="Z31" s="2">
        <f t="shared" si="2"/>
        <v>15</v>
      </c>
      <c r="AA31" s="5">
        <v>0</v>
      </c>
      <c r="AB31" s="2">
        <f t="shared" ref="AB31:AB37" si="34">Y31*(1-AA31)</f>
        <v>31.125</v>
      </c>
      <c r="AC31" s="2">
        <f t="shared" ref="AC31:AC37" si="35">Y31*AA31 + Z31</f>
        <v>15</v>
      </c>
      <c r="AD31" s="4">
        <f t="shared" ref="AD31:AD37" si="36">1.35*Y31+1.5*Z31</f>
        <v>64.518750000000011</v>
      </c>
      <c r="AE31" s="4"/>
      <c r="AF31">
        <f t="shared" ref="AF31:AF37" si="37">AB31+AC31</f>
        <v>46.125</v>
      </c>
      <c r="AT31" s="10"/>
    </row>
    <row r="32" spans="1:46" x14ac:dyDescent="0.35">
      <c r="A32">
        <f t="shared" si="0"/>
        <v>5</v>
      </c>
      <c r="B32" t="s">
        <v>46</v>
      </c>
      <c r="C32" t="s">
        <v>24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0.215</v>
      </c>
      <c r="L32">
        <v>4</v>
      </c>
      <c r="M32">
        <v>2.0119999999999999E-3</v>
      </c>
      <c r="N32">
        <v>5.5E-2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29</v>
      </c>
      <c r="W32">
        <v>14</v>
      </c>
      <c r="X32" s="9">
        <v>0</v>
      </c>
      <c r="Y32" s="2">
        <f t="shared" si="1"/>
        <v>29</v>
      </c>
      <c r="Z32" s="2">
        <f t="shared" si="2"/>
        <v>14</v>
      </c>
      <c r="AA32" s="3">
        <v>0</v>
      </c>
      <c r="AB32" s="2">
        <f t="shared" si="34"/>
        <v>29</v>
      </c>
      <c r="AC32" s="2">
        <f t="shared" si="35"/>
        <v>14</v>
      </c>
      <c r="AD32" s="4">
        <f t="shared" si="36"/>
        <v>60.150000000000006</v>
      </c>
      <c r="AE32" s="4"/>
      <c r="AF32">
        <f t="shared" si="37"/>
        <v>43</v>
      </c>
      <c r="AT32" s="10"/>
    </row>
    <row r="33" spans="1:46" x14ac:dyDescent="0.35">
      <c r="A33">
        <f t="shared" si="0"/>
        <v>5</v>
      </c>
      <c r="B33" t="s">
        <v>46</v>
      </c>
      <c r="C33" t="s">
        <v>25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0.215</v>
      </c>
      <c r="L33">
        <v>4</v>
      </c>
      <c r="M33">
        <v>2.052E-3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55</v>
      </c>
      <c r="W33">
        <v>29</v>
      </c>
      <c r="X33" s="9" t="s">
        <v>42</v>
      </c>
      <c r="Y33" s="2">
        <f t="shared" si="1"/>
        <v>69.892499999999998</v>
      </c>
      <c r="Z33" s="2">
        <f t="shared" si="2"/>
        <v>34.957000000000001</v>
      </c>
      <c r="AA33" s="3">
        <v>0</v>
      </c>
      <c r="AB33" s="2">
        <f t="shared" si="34"/>
        <v>69.892499999999998</v>
      </c>
      <c r="AC33" s="2">
        <f t="shared" si="35"/>
        <v>34.957000000000001</v>
      </c>
      <c r="AD33" s="4">
        <f t="shared" si="36"/>
        <v>146.79037500000001</v>
      </c>
      <c r="AE33" s="4"/>
      <c r="AF33">
        <f t="shared" si="37"/>
        <v>104.84950000000001</v>
      </c>
      <c r="AT33" s="10"/>
    </row>
    <row r="34" spans="1:46" x14ac:dyDescent="0.35">
      <c r="A34">
        <f t="shared" si="0"/>
        <v>5</v>
      </c>
      <c r="B34" t="s">
        <v>46</v>
      </c>
      <c r="C34" t="s">
        <v>26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0.215</v>
      </c>
      <c r="L34">
        <v>4</v>
      </c>
      <c r="M34">
        <v>1E-4</v>
      </c>
      <c r="N34">
        <v>5.5E-2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 s="12">
        <f t="shared" ref="U34" si="38">12-2</f>
        <v>10</v>
      </c>
      <c r="V34">
        <v>35</v>
      </c>
      <c r="W34">
        <v>14</v>
      </c>
      <c r="X34" s="9">
        <v>-0.85099999999999998</v>
      </c>
      <c r="Y34" s="2">
        <f t="shared" si="1"/>
        <v>5.2149999999999999</v>
      </c>
      <c r="Z34" s="2">
        <f t="shared" si="2"/>
        <v>2.0860000000000003</v>
      </c>
      <c r="AA34" s="3">
        <v>0</v>
      </c>
      <c r="AB34" s="2">
        <f t="shared" si="34"/>
        <v>5.2149999999999999</v>
      </c>
      <c r="AC34" s="2">
        <f t="shared" si="35"/>
        <v>2.0860000000000003</v>
      </c>
      <c r="AD34" s="4">
        <f t="shared" si="36"/>
        <v>10.169250000000002</v>
      </c>
      <c r="AE34" s="4"/>
      <c r="AF34">
        <f t="shared" si="37"/>
        <v>7.3010000000000002</v>
      </c>
      <c r="AT34" s="10"/>
    </row>
    <row r="35" spans="1:46" x14ac:dyDescent="0.35">
      <c r="A35">
        <f t="shared" si="0"/>
        <v>5</v>
      </c>
      <c r="B35" t="s">
        <v>46</v>
      </c>
      <c r="C35" t="s">
        <v>27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0.215</v>
      </c>
      <c r="L35">
        <v>4</v>
      </c>
      <c r="M35">
        <v>2.052E-3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38</v>
      </c>
      <c r="W35">
        <v>22</v>
      </c>
      <c r="X35" s="9" t="s">
        <v>42</v>
      </c>
      <c r="Y35" s="2">
        <f t="shared" si="1"/>
        <v>52.892499999999998</v>
      </c>
      <c r="Z35" s="2">
        <f t="shared" si="2"/>
        <v>27.957000000000001</v>
      </c>
      <c r="AA35" s="3">
        <v>0</v>
      </c>
      <c r="AB35" s="2">
        <f t="shared" si="34"/>
        <v>52.892499999999998</v>
      </c>
      <c r="AC35" s="2">
        <f t="shared" si="35"/>
        <v>27.957000000000001</v>
      </c>
      <c r="AD35" s="4">
        <f t="shared" si="36"/>
        <v>113.34037500000001</v>
      </c>
      <c r="AE35" s="4"/>
      <c r="AF35">
        <f t="shared" si="37"/>
        <v>80.849500000000006</v>
      </c>
      <c r="AT35" s="10"/>
    </row>
    <row r="36" spans="1:46" x14ac:dyDescent="0.35">
      <c r="A36">
        <f t="shared" si="0"/>
        <v>5</v>
      </c>
      <c r="B36" t="s">
        <v>46</v>
      </c>
      <c r="C36" t="s">
        <v>28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0.215</v>
      </c>
      <c r="L36">
        <v>4</v>
      </c>
      <c r="M36">
        <v>6.7199999999999996E-4</v>
      </c>
      <c r="N36">
        <v>5.5E-2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18</v>
      </c>
      <c r="W36">
        <v>10</v>
      </c>
      <c r="X36" s="9">
        <v>0</v>
      </c>
      <c r="Y36" s="2">
        <f t="shared" si="1"/>
        <v>18</v>
      </c>
      <c r="Z36" s="2">
        <f t="shared" si="2"/>
        <v>10</v>
      </c>
      <c r="AA36" s="5">
        <v>0</v>
      </c>
      <c r="AB36" s="2">
        <f t="shared" si="34"/>
        <v>18</v>
      </c>
      <c r="AC36" s="2">
        <f t="shared" si="35"/>
        <v>10</v>
      </c>
      <c r="AD36" s="4">
        <f t="shared" si="36"/>
        <v>39.299999999999997</v>
      </c>
      <c r="AE36" s="4"/>
      <c r="AF36">
        <f t="shared" si="37"/>
        <v>28</v>
      </c>
      <c r="AT36" s="10"/>
    </row>
    <row r="37" spans="1:46" x14ac:dyDescent="0.35">
      <c r="A37">
        <f t="shared" si="0"/>
        <v>5</v>
      </c>
      <c r="B37" t="s">
        <v>46</v>
      </c>
      <c r="C37" t="s">
        <v>29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0.215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25</v>
      </c>
      <c r="W37">
        <v>14</v>
      </c>
      <c r="X37" s="9" t="s">
        <v>42</v>
      </c>
      <c r="Y37" s="2">
        <f t="shared" si="1"/>
        <v>25</v>
      </c>
      <c r="Z37" s="2">
        <f t="shared" si="2"/>
        <v>14</v>
      </c>
      <c r="AA37" s="3">
        <v>0</v>
      </c>
      <c r="AB37" s="2">
        <f t="shared" si="34"/>
        <v>25</v>
      </c>
      <c r="AC37" s="2">
        <f t="shared" si="35"/>
        <v>14</v>
      </c>
      <c r="AD37" s="4">
        <f t="shared" si="36"/>
        <v>54.75</v>
      </c>
      <c r="AE37" s="4"/>
      <c r="AF37">
        <f t="shared" si="37"/>
        <v>39</v>
      </c>
      <c r="AT37" s="10"/>
    </row>
    <row r="38" spans="1:46" x14ac:dyDescent="0.35">
      <c r="G38" s="1"/>
      <c r="X38" s="9"/>
      <c r="Y38" s="2"/>
      <c r="Z38" s="2"/>
      <c r="AA38" s="11"/>
      <c r="AB38" s="2"/>
      <c r="AC38" s="2"/>
      <c r="AT38" s="10"/>
    </row>
    <row r="39" spans="1:46" x14ac:dyDescent="0.35">
      <c r="G39" s="1"/>
      <c r="X39" s="9"/>
      <c r="Y39" s="2"/>
      <c r="Z39" s="2"/>
      <c r="AA39" s="11"/>
      <c r="AB39" s="2"/>
      <c r="AC39" s="2"/>
      <c r="AT39" s="10"/>
    </row>
    <row r="40" spans="1:46" x14ac:dyDescent="0.35">
      <c r="G40" s="1"/>
      <c r="X40" s="9"/>
      <c r="Y40" s="2"/>
      <c r="Z40" s="2"/>
      <c r="AA40" s="11"/>
      <c r="AB40" s="2"/>
      <c r="AC40" s="2"/>
      <c r="AT40" s="10"/>
    </row>
    <row r="41" spans="1:46" x14ac:dyDescent="0.35">
      <c r="G41" s="1"/>
      <c r="X41" s="9"/>
      <c r="Y41" s="2"/>
      <c r="Z41" s="2"/>
      <c r="AA41" s="11"/>
      <c r="AB41" s="2"/>
      <c r="AC41" s="2"/>
      <c r="AT41" s="10"/>
    </row>
    <row r="42" spans="1:46" x14ac:dyDescent="0.35">
      <c r="G42" s="1"/>
      <c r="X42" s="9"/>
      <c r="Y42" s="2"/>
      <c r="Z42" s="2"/>
      <c r="AA42" s="11"/>
      <c r="AB42" s="2"/>
      <c r="AC42" s="2"/>
      <c r="AT42" s="10"/>
    </row>
    <row r="43" spans="1:46" x14ac:dyDescent="0.35">
      <c r="G43" s="1"/>
      <c r="X43" s="9"/>
      <c r="Y43" s="2"/>
      <c r="Z43" s="2"/>
      <c r="AA43" s="11"/>
      <c r="AB43" s="2"/>
      <c r="AC43" s="2"/>
      <c r="AT43" s="10"/>
    </row>
    <row r="44" spans="1:46" x14ac:dyDescent="0.35">
      <c r="G44" s="1"/>
      <c r="X44" s="9"/>
      <c r="Y44" s="2"/>
      <c r="Z44" s="2"/>
      <c r="AA44" s="11"/>
      <c r="AB44" s="2"/>
      <c r="AC44" s="2"/>
      <c r="AT44" s="10"/>
    </row>
    <row r="45" spans="1:46" x14ac:dyDescent="0.35">
      <c r="G45" s="1"/>
      <c r="X45" s="9"/>
      <c r="Y45" s="2"/>
      <c r="Z45" s="2"/>
      <c r="AA45" s="11"/>
      <c r="AB45" s="2"/>
      <c r="AC45" s="2"/>
      <c r="AT45" s="10"/>
    </row>
    <row r="46" spans="1:46" x14ac:dyDescent="0.35">
      <c r="G46" s="1"/>
      <c r="X46" s="9"/>
      <c r="Y46" s="2"/>
      <c r="Z46" s="2"/>
      <c r="AA46" s="11"/>
      <c r="AB46" s="2"/>
      <c r="AC46" s="2"/>
      <c r="AT46" s="10"/>
    </row>
    <row r="47" spans="1:46" x14ac:dyDescent="0.35">
      <c r="G47" s="1"/>
      <c r="X47" s="9"/>
      <c r="Y47" s="2"/>
      <c r="Z47" s="2"/>
      <c r="AA47" s="11"/>
      <c r="AB47" s="2"/>
      <c r="AC47" s="2"/>
      <c r="AT47" s="10"/>
    </row>
    <row r="48" spans="1:46" x14ac:dyDescent="0.35">
      <c r="G48" s="1"/>
      <c r="X48" s="9"/>
      <c r="Y48" s="2"/>
      <c r="Z48" s="2"/>
      <c r="AA48" s="11"/>
      <c r="AB48" s="2"/>
      <c r="AC48" s="2"/>
      <c r="AT48" s="10"/>
    </row>
    <row r="49" spans="7:46" x14ac:dyDescent="0.35">
      <c r="G49" s="1"/>
      <c r="X49" s="9"/>
      <c r="Y49" s="2"/>
      <c r="Z49" s="2"/>
      <c r="AA49" s="11"/>
      <c r="AB49" s="2"/>
      <c r="AC49" s="2"/>
      <c r="AT49" s="10"/>
    </row>
    <row r="50" spans="7:46" x14ac:dyDescent="0.35">
      <c r="G50" s="1"/>
      <c r="V50" s="2"/>
      <c r="W50" s="2"/>
      <c r="Y50" s="2"/>
      <c r="Z50" s="2"/>
      <c r="AA50" s="11"/>
      <c r="AB50" s="2"/>
      <c r="AC50" s="2"/>
      <c r="AT50" s="10"/>
    </row>
    <row r="51" spans="7:46" x14ac:dyDescent="0.35">
      <c r="G51" s="1"/>
      <c r="X51" s="9"/>
      <c r="Y51" s="2"/>
      <c r="Z51" s="2"/>
      <c r="AA51" s="11"/>
      <c r="AB51" s="2"/>
      <c r="AC51" s="2"/>
      <c r="AT51" s="10"/>
    </row>
    <row r="52" spans="7:46" x14ac:dyDescent="0.35">
      <c r="G52" s="1"/>
      <c r="X52" s="9"/>
      <c r="Y52" s="2"/>
      <c r="Z52" s="2"/>
      <c r="AA52" s="11"/>
      <c r="AB52" s="2"/>
      <c r="AC52" s="2"/>
      <c r="AT52" s="10"/>
    </row>
    <row r="53" spans="7:46" ht="13.5" customHeight="1" x14ac:dyDescent="0.35">
      <c r="G53" s="1"/>
      <c r="X53" s="9"/>
      <c r="Y53" s="2"/>
      <c r="Z53" s="2"/>
      <c r="AA53" s="11"/>
      <c r="AB53" s="2"/>
      <c r="AC53" s="2"/>
      <c r="AT53" s="10"/>
    </row>
    <row r="54" spans="7:46" x14ac:dyDescent="0.35">
      <c r="G54" s="1"/>
      <c r="X54" s="9"/>
      <c r="Y54" s="2"/>
      <c r="Z54" s="2"/>
      <c r="AA54" s="11"/>
      <c r="AB54" s="2"/>
      <c r="AC54" s="2"/>
      <c r="AT54" s="10"/>
    </row>
    <row r="55" spans="7:46" x14ac:dyDescent="0.35">
      <c r="G55" s="1"/>
      <c r="X55" s="9"/>
      <c r="Y55" s="2"/>
      <c r="Z55" s="2"/>
      <c r="AA55" s="11"/>
      <c r="AB55" s="2"/>
      <c r="AC55" s="2"/>
      <c r="AT55" s="10"/>
    </row>
    <row r="56" spans="7:46" x14ac:dyDescent="0.35">
      <c r="G56" s="1"/>
      <c r="X56" s="9"/>
      <c r="Y56" s="2"/>
      <c r="Z56" s="2"/>
      <c r="AA56" s="11"/>
      <c r="AB56" s="2"/>
      <c r="AC56" s="2"/>
      <c r="AT56" s="10"/>
    </row>
    <row r="57" spans="7:46" x14ac:dyDescent="0.35">
      <c r="G57" s="1"/>
      <c r="X57" s="9"/>
      <c r="Y57" s="2"/>
      <c r="Z57" s="2"/>
      <c r="AA57" s="11"/>
      <c r="AB57" s="2"/>
      <c r="AC57" s="2"/>
      <c r="AT57" s="10"/>
    </row>
    <row r="58" spans="7:46" x14ac:dyDescent="0.35">
      <c r="G58" s="1"/>
      <c r="X58" s="9"/>
      <c r="Y58" s="2"/>
      <c r="Z58" s="2"/>
      <c r="AA58" s="11"/>
      <c r="AB58" s="2"/>
      <c r="AC58" s="2"/>
      <c r="AT58" s="10"/>
    </row>
    <row r="59" spans="7:46" x14ac:dyDescent="0.35">
      <c r="G59" s="1"/>
      <c r="X59" s="9"/>
      <c r="Y59" s="2"/>
      <c r="Z59" s="2"/>
      <c r="AA59" s="11"/>
      <c r="AB59" s="2"/>
      <c r="AC59" s="2"/>
      <c r="AT59" s="10"/>
    </row>
    <row r="60" spans="7:46" x14ac:dyDescent="0.35">
      <c r="G60" s="1"/>
      <c r="X60" s="9"/>
      <c r="Y60" s="2"/>
      <c r="Z60" s="2"/>
      <c r="AA60" s="11"/>
      <c r="AB60" s="2"/>
      <c r="AC60" s="2"/>
      <c r="AT60" s="10"/>
    </row>
    <row r="61" spans="7:46" x14ac:dyDescent="0.35">
      <c r="G61" s="1"/>
      <c r="X61" s="9"/>
      <c r="Y61" s="2"/>
      <c r="Z61" s="2"/>
      <c r="AA61" s="11"/>
      <c r="AB61" s="2"/>
      <c r="AC61" s="2"/>
      <c r="AT61" s="10"/>
    </row>
    <row r="62" spans="7:46" x14ac:dyDescent="0.35">
      <c r="G62" s="1"/>
      <c r="X62" s="9"/>
      <c r="Y62" s="2"/>
      <c r="Z62" s="2"/>
      <c r="AA62" s="11"/>
      <c r="AB62" s="2"/>
      <c r="AC62" s="2"/>
      <c r="AT62" s="10"/>
    </row>
    <row r="63" spans="7:46" x14ac:dyDescent="0.35">
      <c r="G63" s="1"/>
      <c r="X63" s="9"/>
      <c r="Y63" s="2"/>
      <c r="Z63" s="2"/>
      <c r="AA63" s="11"/>
      <c r="AB63" s="2"/>
      <c r="AC63" s="2"/>
      <c r="AT63" s="10"/>
    </row>
    <row r="64" spans="7:46" x14ac:dyDescent="0.35">
      <c r="G64" s="1"/>
      <c r="X64" s="9"/>
      <c r="Y64" s="2"/>
      <c r="Z64" s="2"/>
      <c r="AA64" s="11"/>
      <c r="AB64" s="2"/>
      <c r="AC64" s="2"/>
      <c r="AT64" s="10"/>
    </row>
    <row r="69" spans="6:22" x14ac:dyDescent="0.35">
      <c r="F69" s="1"/>
      <c r="U69" s="2"/>
      <c r="V69" s="2"/>
    </row>
  </sheetData>
  <phoneticPr fontId="18" type="noConversion"/>
  <conditionalFormatting sqref="W69">
    <cfRule type="expression" dxfId="1" priority="10">
      <formula>$A69="Travée"</formula>
    </cfRule>
  </conditionalFormatting>
  <conditionalFormatting sqref="X2:X64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2025-12-01T11:05:22Z</dcterms:modified>
</cp:coreProperties>
</file>